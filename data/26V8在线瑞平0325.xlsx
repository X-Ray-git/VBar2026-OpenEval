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x.rw/dev/vbar2026-openeval/data/"/>
    </mc:Choice>
  </mc:AlternateContent>
  <xr:revisionPtr revIDLastSave="0" documentId="13_ncr:1_{042F96D5-B806-244C-A57F-D7713AA81890}" xr6:coauthVersionLast="47" xr6:coauthVersionMax="47" xr10:uidLastSave="{00000000-0000-0000-0000-000000000000}"/>
  <bookViews>
    <workbookView xWindow="0" yWindow="680" windowWidth="30240" windowHeight="17640" firstSheet="12" activeTab="23" xr2:uid="{00000000-000D-0000-FFFF-FFFF00000000}"/>
  </bookViews>
  <sheets>
    <sheet name="模板页" sheetId="1" r:id="rId1"/>
    <sheet name="💥" sheetId="2" r:id="rId2"/>
    <sheet name="檐下猫&amp;南宫若馨Cylna.AC+部分AF" sheetId="3" r:id="rId3"/>
    <sheet name="下半S组纯夸感想" sheetId="4" r:id="rId4"/>
    <sheet name="ctce SF瞎评价" sheetId="5" r:id="rId5"/>
    <sheet name="枫岚聊混音" sheetId="6" r:id="rId6"/>
    <sheet name="imi的sc乱评" sheetId="7" r:id="rId7"/>
    <sheet name="乱评价" sheetId="8" r:id="rId8"/>
    <sheet name="アドミン.SF" sheetId="9" r:id="rId9"/>
    <sheet name="雷云云云.AF" sheetId="10" r:id="rId10"/>
    <sheet name="锐评一个a组下半场" sheetId="11" r:id="rId11"/>
    <sheet name="186.SC" sheetId="12" r:id="rId12"/>
    <sheet name="Ehu.SC" sheetId="13" r:id="rId13"/>
    <sheet name="。SC" sheetId="14" r:id="rId14"/>
    <sheet name="720 下半AF" sheetId="15" r:id="rId15"/>
    <sheet name="happy" sheetId="16" r:id="rId16"/>
    <sheet name="F组仅日语（by ld）" sheetId="17" r:id="rId17"/>
    <sheet name="KalonTonics AF" sheetId="18" r:id="rId18"/>
    <sheet name="krvspt" sheetId="19" r:id="rId19"/>
    <sheet name="sm乱打-AC" sheetId="20" r:id="rId20"/>
    <sheet name="sm乱打-SC" sheetId="21" r:id="rId21"/>
    <sheet name="哈弗茨~ACAFSC" sheetId="22" r:id="rId22"/>
    <sheet name="JFLACSCAAF" sheetId="23" r:id="rId23"/>
    <sheet name="X-Ray AF" sheetId="24" r:id="rId24"/>
    <sheet name="hs sc" sheetId="25" r:id="rId25"/>
    <sheet name="正言ACSC" sheetId="26" r:id="rId26"/>
    <sheet name="星空ACSC" sheetId="27" r:id="rId27"/>
    <sheet name="蓝婉111" sheetId="28" r:id="rId28"/>
    <sheet name="KATIKA评AF" sheetId="29" r:id="rId29"/>
    <sheet name="乱评" sheetId="30" r:id="rId30"/>
    <sheet name="李逵乱评- SF" sheetId="31" r:id="rId31"/>
    <sheet name="Periberry 下半A组" sheetId="32" r:id="rId32"/>
    <sheet name="临江 下半场SC钝评" sheetId="33" r:id="rId33"/>
    <sheet name="千千潜秋乱品.acf.sc" sheetId="34" r:id="rId34"/>
    <sheet name="品鉴下半A组和SF" sheetId="35" r:id="rId35"/>
    <sheet name="imi下半场sf锐评极速版" sheetId="36" r:id="rId36"/>
    <sheet name="备份P SF乱评" sheetId="37" r:id="rId37"/>
  </sheets>
  <definedNames>
    <definedName name="_xlnm._FilterDatabase" localSheetId="27" hidden="1">蓝婉111!$A$1:$C$181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8" i="35" l="1"/>
  <c r="G278" i="35"/>
  <c r="H277" i="35"/>
  <c r="G277" i="35"/>
  <c r="H276" i="35"/>
  <c r="G276" i="35"/>
  <c r="H275" i="35"/>
  <c r="G275" i="35"/>
  <c r="H274" i="35"/>
  <c r="G274" i="35"/>
  <c r="H273" i="35"/>
  <c r="G273" i="35"/>
  <c r="H272" i="35"/>
  <c r="G272" i="35"/>
  <c r="H271" i="35"/>
  <c r="G271" i="35"/>
  <c r="H270" i="35"/>
  <c r="G270" i="35"/>
  <c r="H269" i="35"/>
  <c r="G269" i="35"/>
  <c r="H268" i="35"/>
  <c r="G268" i="35"/>
  <c r="H267" i="35"/>
  <c r="G267" i="35"/>
  <c r="H266" i="35"/>
  <c r="G266" i="35"/>
  <c r="H265" i="35"/>
  <c r="G265" i="35"/>
  <c r="H264" i="35"/>
  <c r="G264" i="35"/>
  <c r="H263" i="35"/>
  <c r="G263" i="35"/>
  <c r="H262" i="35"/>
  <c r="G262" i="35"/>
  <c r="H261" i="35"/>
  <c r="G261" i="35"/>
  <c r="H260" i="35"/>
  <c r="G260" i="35"/>
  <c r="H259" i="35"/>
  <c r="G259" i="35"/>
  <c r="H258" i="35"/>
  <c r="G258" i="35"/>
  <c r="H257" i="35"/>
  <c r="G257" i="35"/>
  <c r="H256" i="35"/>
  <c r="G256" i="35"/>
  <c r="H255" i="35"/>
  <c r="G255" i="35"/>
  <c r="H254" i="35"/>
  <c r="G254" i="35"/>
  <c r="H253" i="35"/>
  <c r="G253" i="35"/>
  <c r="H252" i="35"/>
  <c r="G252" i="35"/>
  <c r="H251" i="35"/>
  <c r="G251" i="35"/>
  <c r="H250" i="35"/>
  <c r="G250" i="35"/>
  <c r="H249" i="35"/>
  <c r="G249" i="35"/>
  <c r="H248" i="35"/>
  <c r="G248" i="35"/>
  <c r="H247" i="35"/>
  <c r="G247" i="35"/>
  <c r="H246" i="35"/>
  <c r="G246" i="35"/>
  <c r="H245" i="35"/>
  <c r="G245" i="35"/>
  <c r="H244" i="35"/>
  <c r="G244" i="35"/>
  <c r="H243" i="35"/>
  <c r="G243" i="35"/>
  <c r="H242" i="35"/>
  <c r="G242" i="35"/>
  <c r="H241" i="35"/>
  <c r="G241" i="35"/>
  <c r="H240" i="35"/>
  <c r="G240" i="35"/>
  <c r="M239" i="35"/>
  <c r="H239" i="35"/>
  <c r="G239" i="35"/>
  <c r="N239" i="35" s="1"/>
  <c r="M238" i="35"/>
  <c r="H238" i="35"/>
  <c r="G238" i="35"/>
  <c r="N238" i="35" s="1"/>
  <c r="M237" i="35"/>
  <c r="H237" i="35"/>
  <c r="G237" i="35"/>
  <c r="N237" i="35" s="1"/>
  <c r="M236" i="35"/>
  <c r="H236" i="35"/>
  <c r="G236" i="35"/>
  <c r="N236" i="35" s="1"/>
  <c r="M235" i="35"/>
  <c r="H235" i="35"/>
  <c r="G235" i="35"/>
  <c r="N235" i="35" s="1"/>
  <c r="G233" i="35"/>
  <c r="G232" i="35"/>
  <c r="G230" i="35"/>
  <c r="G229" i="35"/>
  <c r="H227" i="35"/>
  <c r="G227" i="35"/>
  <c r="H226" i="35"/>
  <c r="G226" i="35"/>
  <c r="H225" i="35"/>
  <c r="G225" i="35"/>
  <c r="H224" i="35"/>
  <c r="G224" i="35"/>
  <c r="H223" i="35"/>
  <c r="G223" i="35"/>
  <c r="H222" i="35"/>
  <c r="G222" i="35"/>
  <c r="H221" i="35"/>
  <c r="G221" i="35"/>
  <c r="H220" i="35"/>
  <c r="G220" i="35"/>
  <c r="H219" i="35"/>
  <c r="G219" i="35"/>
  <c r="H218" i="35"/>
  <c r="G218" i="35"/>
  <c r="H217" i="35"/>
  <c r="G217" i="35"/>
  <c r="H216" i="35"/>
  <c r="G216" i="35"/>
  <c r="H215" i="35"/>
  <c r="G215" i="35"/>
  <c r="H214" i="35"/>
  <c r="G214" i="35"/>
  <c r="H213" i="35"/>
  <c r="G213" i="35"/>
  <c r="H212" i="35"/>
  <c r="G212" i="35"/>
  <c r="H211" i="35"/>
  <c r="G211" i="35"/>
  <c r="H210" i="35"/>
  <c r="G210" i="35"/>
  <c r="H209" i="35"/>
  <c r="G209" i="35"/>
  <c r="H208" i="35"/>
  <c r="G208" i="35"/>
  <c r="H207" i="35"/>
  <c r="G207" i="35"/>
  <c r="H206" i="35"/>
  <c r="G206" i="35"/>
  <c r="H205" i="35"/>
  <c r="G205" i="35"/>
  <c r="H204" i="35"/>
  <c r="G204" i="35"/>
  <c r="H203" i="35"/>
  <c r="G203" i="35"/>
  <c r="H202" i="35"/>
  <c r="G202" i="35"/>
  <c r="H201" i="35"/>
  <c r="G201" i="35"/>
  <c r="H200" i="35"/>
  <c r="G200" i="35"/>
  <c r="H199" i="35"/>
  <c r="G199" i="35"/>
  <c r="H198" i="35"/>
  <c r="G198" i="35"/>
  <c r="H197" i="35"/>
  <c r="G197" i="35"/>
  <c r="H196" i="35"/>
  <c r="G196" i="35"/>
  <c r="H195" i="35"/>
  <c r="G195" i="35"/>
  <c r="H194" i="35"/>
  <c r="G194" i="35"/>
  <c r="H193" i="35"/>
  <c r="G193" i="35"/>
  <c r="H192" i="35"/>
  <c r="G192" i="35"/>
  <c r="H191" i="35"/>
  <c r="G191" i="35"/>
  <c r="H190" i="35"/>
  <c r="G190" i="35"/>
  <c r="H189" i="35"/>
  <c r="G189" i="35"/>
  <c r="H188" i="35"/>
  <c r="G188" i="35"/>
  <c r="H187" i="35"/>
  <c r="G187" i="35"/>
  <c r="H186" i="35"/>
  <c r="G186" i="35"/>
  <c r="H185" i="35"/>
  <c r="G185" i="35"/>
  <c r="H184" i="35"/>
  <c r="G184" i="35"/>
  <c r="H183" i="35"/>
  <c r="G183" i="35"/>
  <c r="H182" i="35"/>
  <c r="G182" i="35"/>
  <c r="H181" i="35"/>
  <c r="G181" i="35"/>
  <c r="H180" i="35"/>
  <c r="G180" i="35"/>
  <c r="H179" i="35"/>
  <c r="G179" i="35"/>
  <c r="H178" i="35"/>
  <c r="G178" i="35"/>
  <c r="H177" i="35"/>
  <c r="G177" i="35"/>
  <c r="H176" i="35"/>
  <c r="G176" i="35"/>
  <c r="H175" i="35"/>
  <c r="G175" i="35"/>
  <c r="H174" i="35"/>
  <c r="G174" i="35"/>
  <c r="H173" i="35"/>
  <c r="G173" i="35"/>
  <c r="H172" i="35"/>
  <c r="G172" i="35"/>
  <c r="H171" i="35"/>
  <c r="G171" i="35"/>
  <c r="H170" i="35"/>
  <c r="G170" i="35"/>
  <c r="H169" i="35"/>
  <c r="G169" i="35"/>
  <c r="H168" i="35"/>
  <c r="G168" i="35"/>
  <c r="H167" i="35"/>
  <c r="G167" i="35"/>
  <c r="H166" i="35"/>
  <c r="G166" i="35"/>
  <c r="H165" i="35"/>
  <c r="G165" i="35"/>
  <c r="H164" i="35"/>
  <c r="G164" i="35"/>
  <c r="H163" i="35"/>
  <c r="G163" i="35"/>
  <c r="H162" i="35"/>
  <c r="G162" i="35"/>
  <c r="H161" i="35"/>
  <c r="G161" i="35"/>
  <c r="H160" i="35"/>
  <c r="G160" i="35"/>
  <c r="H159" i="35"/>
  <c r="G159" i="35"/>
  <c r="H158" i="35"/>
  <c r="G158" i="35"/>
  <c r="H157" i="35"/>
  <c r="G157" i="35"/>
  <c r="H156" i="35"/>
  <c r="G156" i="35"/>
  <c r="H155" i="35"/>
  <c r="G155" i="35"/>
  <c r="H154" i="35"/>
  <c r="G154" i="35"/>
  <c r="H153" i="35"/>
  <c r="G153" i="35"/>
  <c r="H152" i="35"/>
  <c r="G152" i="35"/>
  <c r="H151" i="35"/>
  <c r="G151" i="35"/>
  <c r="H150" i="35"/>
  <c r="G150" i="35"/>
  <c r="H149" i="35"/>
  <c r="G149" i="35"/>
  <c r="H148" i="35"/>
  <c r="G148" i="35"/>
  <c r="H147" i="35"/>
  <c r="G147" i="35"/>
  <c r="H146" i="35"/>
  <c r="G146" i="35"/>
  <c r="H145" i="35"/>
  <c r="G145" i="35"/>
  <c r="H144" i="35"/>
  <c r="G144" i="35"/>
  <c r="H143" i="35"/>
  <c r="G143" i="35"/>
  <c r="M142" i="35"/>
  <c r="H142" i="35"/>
  <c r="G142" i="35"/>
  <c r="M141" i="35"/>
  <c r="H141" i="35"/>
  <c r="G141" i="35"/>
  <c r="M140" i="35"/>
  <c r="H140" i="35"/>
  <c r="G140" i="35"/>
  <c r="M139" i="35"/>
  <c r="H139" i="35"/>
  <c r="G139" i="35"/>
  <c r="M138" i="35"/>
  <c r="H138" i="35"/>
  <c r="G138" i="35"/>
  <c r="N141" i="35" s="1"/>
  <c r="H134" i="35"/>
  <c r="G134" i="35"/>
  <c r="H133" i="35"/>
  <c r="G133" i="35"/>
  <c r="H132" i="35"/>
  <c r="G132" i="35"/>
  <c r="H131" i="35"/>
  <c r="G131" i="35"/>
  <c r="H130" i="35"/>
  <c r="G130" i="35"/>
  <c r="H129" i="35"/>
  <c r="G129" i="35"/>
  <c r="H128" i="35"/>
  <c r="G128" i="35"/>
  <c r="H127" i="35"/>
  <c r="G127" i="35"/>
  <c r="H126" i="35"/>
  <c r="G126" i="35"/>
  <c r="H125" i="35"/>
  <c r="G125" i="35"/>
  <c r="H124" i="35"/>
  <c r="G124" i="35"/>
  <c r="H123" i="35"/>
  <c r="G123" i="35"/>
  <c r="H122" i="35"/>
  <c r="G122" i="35"/>
  <c r="H121" i="35"/>
  <c r="G121" i="35"/>
  <c r="H120" i="35"/>
  <c r="G120" i="35"/>
  <c r="H119" i="35"/>
  <c r="G119" i="35"/>
  <c r="H118" i="35"/>
  <c r="G118" i="35"/>
  <c r="H117" i="35"/>
  <c r="G117" i="35"/>
  <c r="H116" i="35"/>
  <c r="G116" i="35"/>
  <c r="H115" i="35"/>
  <c r="G115" i="35"/>
  <c r="H114" i="35"/>
  <c r="G114" i="35"/>
  <c r="H113" i="35"/>
  <c r="G113" i="35"/>
  <c r="H112" i="35"/>
  <c r="G112" i="35"/>
  <c r="H111" i="35"/>
  <c r="G111" i="35"/>
  <c r="H110" i="35"/>
  <c r="G110" i="35"/>
  <c r="H109" i="35"/>
  <c r="G109" i="35"/>
  <c r="H108" i="35"/>
  <c r="G108" i="35"/>
  <c r="H107" i="35"/>
  <c r="G107" i="35"/>
  <c r="H106" i="35"/>
  <c r="G106" i="35"/>
  <c r="H105" i="35"/>
  <c r="G105" i="35"/>
  <c r="H104" i="35"/>
  <c r="G104" i="35"/>
  <c r="H103" i="35"/>
  <c r="G103" i="35"/>
  <c r="H102" i="35"/>
  <c r="G102" i="35"/>
  <c r="H101" i="35"/>
  <c r="G101" i="35"/>
  <c r="H100" i="35"/>
  <c r="G100" i="35"/>
  <c r="H99" i="35"/>
  <c r="G99" i="35"/>
  <c r="H98" i="35"/>
  <c r="G98" i="35"/>
  <c r="H97" i="35"/>
  <c r="G97" i="35"/>
  <c r="H96" i="35"/>
  <c r="G96" i="35"/>
  <c r="H95" i="35"/>
  <c r="G95" i="35"/>
  <c r="H94" i="35"/>
  <c r="G94" i="35"/>
  <c r="H93" i="35"/>
  <c r="G93" i="35"/>
  <c r="H92" i="35"/>
  <c r="G92" i="35"/>
  <c r="H91" i="35"/>
  <c r="G91" i="35"/>
  <c r="H90" i="35"/>
  <c r="G90" i="35"/>
  <c r="H89" i="35"/>
  <c r="G89" i="35"/>
  <c r="H88" i="35"/>
  <c r="G88" i="35"/>
  <c r="H87" i="35"/>
  <c r="G87" i="35"/>
  <c r="H86" i="35"/>
  <c r="G86" i="35"/>
  <c r="H85" i="35"/>
  <c r="G85" i="35"/>
  <c r="H84" i="35"/>
  <c r="G84" i="35"/>
  <c r="H83" i="35"/>
  <c r="G83" i="35"/>
  <c r="H82" i="35"/>
  <c r="G82" i="35"/>
  <c r="H81" i="35"/>
  <c r="G81" i="35"/>
  <c r="H80" i="35"/>
  <c r="G80" i="35"/>
  <c r="H79" i="35"/>
  <c r="G79" i="35"/>
  <c r="H78" i="35"/>
  <c r="G78" i="35"/>
  <c r="H77" i="35"/>
  <c r="G77" i="35"/>
  <c r="H76" i="35"/>
  <c r="G76" i="35"/>
  <c r="H75" i="35"/>
  <c r="G75" i="35"/>
  <c r="H74" i="35"/>
  <c r="G74" i="35"/>
  <c r="H73" i="35"/>
  <c r="G73" i="35"/>
  <c r="H72" i="35"/>
  <c r="G72" i="35"/>
  <c r="H71" i="35"/>
  <c r="G71" i="35"/>
  <c r="H70" i="35"/>
  <c r="G70" i="35"/>
  <c r="H69" i="35"/>
  <c r="G69" i="35"/>
  <c r="H68" i="35"/>
  <c r="G68" i="35"/>
  <c r="H67" i="35"/>
  <c r="G67" i="35"/>
  <c r="H66" i="35"/>
  <c r="G66" i="35"/>
  <c r="H65" i="35"/>
  <c r="G65" i="35"/>
  <c r="H64" i="35"/>
  <c r="G64" i="35"/>
  <c r="H63" i="35"/>
  <c r="G63" i="35"/>
  <c r="H62" i="35"/>
  <c r="G62" i="35"/>
  <c r="H61" i="35"/>
  <c r="G61" i="35"/>
  <c r="H60" i="35"/>
  <c r="G60" i="35"/>
  <c r="H59" i="35"/>
  <c r="G59" i="35"/>
  <c r="H58" i="35"/>
  <c r="G58" i="35"/>
  <c r="H57" i="35"/>
  <c r="G57" i="35"/>
  <c r="H56" i="35"/>
  <c r="G56" i="35"/>
  <c r="H55" i="35"/>
  <c r="G55" i="35"/>
  <c r="H54" i="35"/>
  <c r="G54" i="35"/>
  <c r="H53" i="35"/>
  <c r="G53" i="35"/>
  <c r="H52" i="35"/>
  <c r="G52" i="35"/>
  <c r="H51" i="35"/>
  <c r="G51" i="35"/>
  <c r="H50" i="35"/>
  <c r="G50" i="35"/>
  <c r="H49" i="35"/>
  <c r="G49" i="35"/>
  <c r="H48" i="35"/>
  <c r="G48" i="35"/>
  <c r="H47" i="35"/>
  <c r="G47" i="35"/>
  <c r="H46" i="35"/>
  <c r="G46" i="35"/>
  <c r="H45" i="35"/>
  <c r="G45" i="35"/>
  <c r="H44" i="35"/>
  <c r="G44" i="35"/>
  <c r="H43" i="35"/>
  <c r="G43" i="35"/>
  <c r="H42" i="35"/>
  <c r="G42" i="35"/>
  <c r="H41" i="35"/>
  <c r="G41" i="35"/>
  <c r="H40" i="35"/>
  <c r="G40" i="35"/>
  <c r="H39" i="35"/>
  <c r="G39" i="35"/>
  <c r="H38" i="35"/>
  <c r="G38" i="35"/>
  <c r="H37" i="35"/>
  <c r="G37" i="35"/>
  <c r="H36" i="35"/>
  <c r="G36" i="35"/>
  <c r="H35" i="35"/>
  <c r="G35" i="35"/>
  <c r="H34" i="35"/>
  <c r="G34" i="35"/>
  <c r="H33" i="35"/>
  <c r="G33" i="35"/>
  <c r="H32" i="35"/>
  <c r="G32" i="35"/>
  <c r="H31" i="35"/>
  <c r="G31" i="35"/>
  <c r="H30" i="35"/>
  <c r="G30" i="35"/>
  <c r="H29" i="35"/>
  <c r="G29" i="35"/>
  <c r="H28" i="35"/>
  <c r="G28" i="35"/>
  <c r="H27" i="35"/>
  <c r="G27" i="35"/>
  <c r="H26" i="35"/>
  <c r="G26" i="35"/>
  <c r="H25" i="35"/>
  <c r="G25" i="35"/>
  <c r="H24" i="35"/>
  <c r="G24" i="35"/>
  <c r="H23" i="35"/>
  <c r="G23" i="35"/>
  <c r="H22" i="35"/>
  <c r="G22" i="35"/>
  <c r="H21" i="35"/>
  <c r="G21" i="35"/>
  <c r="H20" i="35"/>
  <c r="G20" i="35"/>
  <c r="H19" i="35"/>
  <c r="G19" i="35"/>
  <c r="H18" i="35"/>
  <c r="G18" i="35"/>
  <c r="H17" i="35"/>
  <c r="G17" i="35"/>
  <c r="H16" i="35"/>
  <c r="G16" i="35"/>
  <c r="H15" i="35"/>
  <c r="G15" i="35"/>
  <c r="H14" i="35"/>
  <c r="G14" i="35"/>
  <c r="H13" i="35"/>
  <c r="G13" i="35"/>
  <c r="H12" i="35"/>
  <c r="G12" i="35"/>
  <c r="H11" i="35"/>
  <c r="G11" i="35"/>
  <c r="H10" i="35"/>
  <c r="G10" i="35"/>
  <c r="H9" i="35"/>
  <c r="G9" i="35"/>
  <c r="M8" i="35"/>
  <c r="H8" i="35"/>
  <c r="G8" i="35"/>
  <c r="M7" i="35"/>
  <c r="H7" i="35"/>
  <c r="G7" i="35"/>
  <c r="M6" i="35"/>
  <c r="H6" i="35"/>
  <c r="G6" i="35"/>
  <c r="M5" i="35"/>
  <c r="H5" i="35"/>
  <c r="G5" i="35"/>
  <c r="M4" i="35"/>
  <c r="M9" i="35" s="1"/>
  <c r="H4" i="35"/>
  <c r="G4" i="35"/>
  <c r="N6" i="35" s="1"/>
  <c r="O322" i="34"/>
  <c r="O321" i="34"/>
  <c r="O320" i="34"/>
  <c r="O319" i="34"/>
  <c r="O318" i="34"/>
  <c r="O317" i="34"/>
  <c r="O316" i="34"/>
  <c r="O315" i="34"/>
  <c r="O314" i="34"/>
  <c r="O313" i="34"/>
  <c r="O312" i="34"/>
  <c r="O311" i="34"/>
  <c r="O310" i="34"/>
  <c r="O309" i="34"/>
  <c r="O308" i="34"/>
  <c r="O307" i="34"/>
  <c r="O306" i="34"/>
  <c r="O305" i="34"/>
  <c r="O304" i="34"/>
  <c r="O303" i="34"/>
  <c r="O302" i="34"/>
  <c r="O301" i="34"/>
  <c r="O300" i="34"/>
  <c r="O299" i="34"/>
  <c r="O298" i="34"/>
  <c r="O297" i="34"/>
  <c r="O296" i="34"/>
  <c r="O295" i="34"/>
  <c r="O294" i="34"/>
  <c r="O293" i="34"/>
  <c r="O292" i="34"/>
  <c r="O291" i="34"/>
  <c r="O290" i="34"/>
  <c r="O289" i="34"/>
  <c r="O288" i="34"/>
  <c r="O287" i="34"/>
  <c r="O286" i="34"/>
  <c r="O285" i="34"/>
  <c r="O284" i="34"/>
  <c r="O283" i="34"/>
  <c r="O282" i="34"/>
  <c r="O281" i="34"/>
  <c r="O280" i="34"/>
  <c r="O279" i="34"/>
  <c r="O278" i="34"/>
  <c r="O277" i="34"/>
  <c r="O276" i="34"/>
  <c r="O275" i="34"/>
  <c r="O274" i="34"/>
  <c r="O273" i="34"/>
  <c r="O272" i="34"/>
  <c r="O271" i="34"/>
  <c r="O270" i="34"/>
  <c r="O269" i="34"/>
  <c r="O268" i="34"/>
  <c r="O267" i="34"/>
  <c r="O266" i="34"/>
  <c r="O265" i="34"/>
  <c r="O264" i="34"/>
  <c r="O263" i="34"/>
  <c r="O262" i="34"/>
  <c r="O261" i="34"/>
  <c r="O260" i="34"/>
  <c r="O259" i="34"/>
  <c r="O258" i="34"/>
  <c r="O257" i="34"/>
  <c r="O256" i="34"/>
  <c r="O255" i="34"/>
  <c r="O254" i="34"/>
  <c r="O253" i="34"/>
  <c r="O252" i="34"/>
  <c r="O251" i="34"/>
  <c r="O250" i="34"/>
  <c r="O249" i="34"/>
  <c r="O248" i="34"/>
  <c r="O247" i="34"/>
  <c r="O246" i="34"/>
  <c r="O245" i="34"/>
  <c r="O244" i="34"/>
  <c r="O243" i="34"/>
  <c r="O242" i="34"/>
  <c r="O241" i="34"/>
  <c r="O240" i="34"/>
  <c r="O239" i="34"/>
  <c r="O238" i="34"/>
  <c r="O237" i="34"/>
  <c r="O236" i="34"/>
  <c r="O235" i="34"/>
  <c r="O234" i="34"/>
  <c r="O233" i="34"/>
  <c r="O232" i="34"/>
  <c r="O231" i="34"/>
  <c r="O230" i="34"/>
  <c r="O229" i="34"/>
  <c r="O228" i="34"/>
  <c r="O227" i="34"/>
  <c r="O226" i="34"/>
  <c r="O225" i="34"/>
  <c r="O224" i="34"/>
  <c r="O223" i="34"/>
  <c r="O222" i="34"/>
  <c r="O221" i="34"/>
  <c r="O220" i="34"/>
  <c r="O219" i="34"/>
  <c r="O218" i="34"/>
  <c r="O217" i="34"/>
  <c r="O216" i="34"/>
  <c r="O215" i="34"/>
  <c r="O214" i="34"/>
  <c r="O213" i="34"/>
  <c r="O212" i="34"/>
  <c r="O211" i="34"/>
  <c r="O210" i="34"/>
  <c r="O209" i="34"/>
  <c r="O208" i="34"/>
  <c r="O207" i="34"/>
  <c r="O206" i="34"/>
  <c r="O205" i="34"/>
  <c r="O204" i="34"/>
  <c r="O203" i="34"/>
  <c r="O202" i="34"/>
  <c r="O201" i="34"/>
  <c r="O200" i="34"/>
  <c r="O199" i="34"/>
  <c r="O198" i="34"/>
  <c r="O197" i="34"/>
  <c r="O196" i="34"/>
  <c r="O195" i="34"/>
  <c r="O194" i="34"/>
  <c r="O193" i="34"/>
  <c r="O192" i="34"/>
  <c r="O191" i="34"/>
  <c r="O190" i="34"/>
  <c r="O189" i="34"/>
  <c r="O188" i="34"/>
  <c r="O187" i="34"/>
  <c r="O186" i="34"/>
  <c r="O185" i="34"/>
  <c r="O184" i="34"/>
  <c r="O183" i="34"/>
  <c r="O182" i="34"/>
  <c r="O181" i="34"/>
  <c r="O180" i="34"/>
  <c r="O179" i="34"/>
  <c r="O178" i="34"/>
  <c r="O177" i="34"/>
  <c r="O176" i="34"/>
  <c r="O175" i="34"/>
  <c r="O174" i="34"/>
  <c r="O173" i="34"/>
  <c r="O172" i="34"/>
  <c r="O171" i="34"/>
  <c r="O170" i="34"/>
  <c r="O169" i="34"/>
  <c r="O168" i="34"/>
  <c r="O167" i="34"/>
  <c r="O166" i="34"/>
  <c r="O165" i="34"/>
  <c r="O164" i="34"/>
  <c r="O163" i="34"/>
  <c r="O162" i="34"/>
  <c r="O161" i="34"/>
  <c r="O160" i="34"/>
  <c r="O159" i="34"/>
  <c r="O158" i="34"/>
  <c r="O157" i="34"/>
  <c r="O156" i="34"/>
  <c r="O155" i="34"/>
  <c r="O154" i="34"/>
  <c r="O153" i="34"/>
  <c r="O152" i="34"/>
  <c r="O151" i="34"/>
  <c r="O150" i="34"/>
  <c r="O149" i="34"/>
  <c r="O148" i="34"/>
  <c r="O147" i="34"/>
  <c r="O146" i="34"/>
  <c r="O145" i="34"/>
  <c r="O144" i="34"/>
  <c r="O143" i="34"/>
  <c r="O142" i="34"/>
  <c r="O141" i="34"/>
  <c r="O140" i="34"/>
  <c r="O139" i="34"/>
  <c r="O138" i="34"/>
  <c r="O137" i="34"/>
  <c r="O136" i="34"/>
  <c r="O135" i="34"/>
  <c r="O134" i="34"/>
  <c r="O133" i="34"/>
  <c r="O132" i="34"/>
  <c r="O131" i="34"/>
  <c r="O130" i="34"/>
  <c r="O129" i="34"/>
  <c r="O128" i="34"/>
  <c r="O127" i="34"/>
  <c r="O126" i="34"/>
  <c r="O125" i="34"/>
  <c r="O124" i="34"/>
  <c r="O123" i="34"/>
  <c r="O122" i="34"/>
  <c r="O121" i="34"/>
  <c r="O120" i="34"/>
  <c r="O119" i="34"/>
  <c r="O118" i="34"/>
  <c r="O117" i="34"/>
  <c r="O116" i="34"/>
  <c r="O115" i="34"/>
  <c r="O114" i="34"/>
  <c r="O113" i="34"/>
  <c r="O112" i="34"/>
  <c r="O111" i="34"/>
  <c r="O110" i="34"/>
  <c r="O109" i="34"/>
  <c r="O108" i="34"/>
  <c r="O107" i="34"/>
  <c r="O106" i="34"/>
  <c r="O105" i="34"/>
  <c r="O104" i="34"/>
  <c r="O103" i="34"/>
  <c r="O102" i="34"/>
  <c r="O101" i="34"/>
  <c r="O100" i="34"/>
  <c r="O99" i="34"/>
  <c r="O98" i="34"/>
  <c r="O97" i="34"/>
  <c r="O96" i="34"/>
  <c r="O95" i="34"/>
  <c r="O94" i="34"/>
  <c r="O93" i="34"/>
  <c r="O92" i="34"/>
  <c r="O91" i="34"/>
  <c r="O90" i="34"/>
  <c r="O89" i="34"/>
  <c r="O88" i="34"/>
  <c r="O87" i="34"/>
  <c r="O86" i="34"/>
  <c r="O85" i="34"/>
  <c r="O84" i="34"/>
  <c r="O83" i="34"/>
  <c r="O82" i="34"/>
  <c r="O81" i="34"/>
  <c r="O80" i="34"/>
  <c r="O79" i="34"/>
  <c r="O78" i="34"/>
  <c r="O77" i="34"/>
  <c r="O76" i="34"/>
  <c r="O75" i="34"/>
  <c r="O74" i="34"/>
  <c r="O73" i="34"/>
  <c r="O72" i="34"/>
  <c r="O71" i="34"/>
  <c r="O70" i="34"/>
  <c r="O69" i="34"/>
  <c r="O68" i="34"/>
  <c r="O67" i="34"/>
  <c r="O66" i="34"/>
  <c r="O65" i="34"/>
  <c r="O64" i="34"/>
  <c r="O63" i="34"/>
  <c r="O62" i="34"/>
  <c r="O61" i="34"/>
  <c r="O60" i="34"/>
  <c r="O59" i="34"/>
  <c r="O58" i="34"/>
  <c r="O57" i="34"/>
  <c r="O56" i="34"/>
  <c r="O55" i="34"/>
  <c r="O54" i="34"/>
  <c r="O53" i="34"/>
  <c r="O52" i="34"/>
  <c r="O51" i="34"/>
  <c r="O50" i="34"/>
  <c r="O49" i="34"/>
  <c r="O48" i="34"/>
  <c r="O47" i="34"/>
  <c r="O46" i="34"/>
  <c r="O45" i="34"/>
  <c r="O44" i="34"/>
  <c r="O43" i="34"/>
  <c r="O42" i="34"/>
  <c r="O41" i="34"/>
  <c r="O40" i="34"/>
  <c r="O39" i="34"/>
  <c r="O38" i="34"/>
  <c r="O37" i="34"/>
  <c r="O36" i="34"/>
  <c r="O35" i="34"/>
  <c r="O34" i="34"/>
  <c r="O33" i="34"/>
  <c r="O32" i="34"/>
  <c r="O31" i="34"/>
  <c r="O30" i="34"/>
  <c r="O29" i="34"/>
  <c r="O28" i="34"/>
  <c r="O27" i="34"/>
  <c r="O26" i="34"/>
  <c r="O25" i="34"/>
  <c r="O23" i="34"/>
  <c r="O22" i="34"/>
  <c r="O21" i="34"/>
  <c r="O20" i="34"/>
  <c r="O19" i="34"/>
  <c r="O18" i="34"/>
  <c r="O17" i="34"/>
  <c r="O16" i="34"/>
  <c r="O15" i="34"/>
  <c r="O14" i="34"/>
  <c r="O13" i="34"/>
  <c r="O12" i="34"/>
  <c r="O11" i="34"/>
  <c r="O10" i="34"/>
  <c r="O9" i="34"/>
  <c r="O8" i="34"/>
  <c r="O7" i="34"/>
  <c r="O6" i="34"/>
  <c r="O5" i="34"/>
  <c r="O4" i="34"/>
  <c r="O3" i="34"/>
  <c r="O2" i="34"/>
  <c r="C198" i="32"/>
  <c r="C149" i="32"/>
  <c r="C118" i="32"/>
  <c r="C97" i="32"/>
  <c r="C38" i="32"/>
  <c r="C1" i="30"/>
  <c r="B1" i="30"/>
  <c r="G105" i="27"/>
  <c r="G104" i="27"/>
  <c r="G103" i="27"/>
  <c r="G102" i="27"/>
  <c r="G101" i="27"/>
  <c r="G100" i="27"/>
  <c r="G99" i="27"/>
  <c r="G98" i="27"/>
  <c r="G97" i="27"/>
  <c r="G96" i="27"/>
  <c r="G95" i="27"/>
  <c r="G94" i="27"/>
  <c r="G93" i="27"/>
  <c r="G92" i="27"/>
  <c r="G91" i="27"/>
  <c r="G90" i="27"/>
  <c r="G89" i="27"/>
  <c r="G88" i="27"/>
  <c r="G87" i="27"/>
  <c r="G86" i="27"/>
  <c r="G85" i="27"/>
  <c r="G84" i="27"/>
  <c r="G83" i="27"/>
  <c r="G82" i="27"/>
  <c r="G81" i="27"/>
  <c r="G80" i="27"/>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52" i="27"/>
  <c r="G51" i="27"/>
  <c r="G50" i="27"/>
  <c r="G49" i="27"/>
  <c r="G48" i="27"/>
  <c r="G47"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16" i="27"/>
  <c r="G15" i="27"/>
  <c r="G14" i="27"/>
  <c r="G13" i="27"/>
  <c r="G12" i="27"/>
  <c r="G11" i="27"/>
  <c r="G10" i="27"/>
  <c r="G9" i="27"/>
  <c r="G8" i="27"/>
  <c r="G7" i="27"/>
  <c r="G6" i="27"/>
  <c r="G5" i="27"/>
  <c r="G4" i="27"/>
  <c r="S320" i="22"/>
  <c r="S319" i="22"/>
  <c r="S318" i="22"/>
  <c r="S317" i="22"/>
  <c r="S316" i="22"/>
  <c r="S315" i="22"/>
  <c r="S314" i="22"/>
  <c r="S313" i="22"/>
  <c r="S312" i="22"/>
  <c r="S311" i="22"/>
  <c r="S310" i="22"/>
  <c r="S309" i="22"/>
  <c r="S308" i="22"/>
  <c r="S307" i="22"/>
  <c r="S306" i="22"/>
  <c r="S305" i="22"/>
  <c r="S304" i="22"/>
  <c r="S303" i="22"/>
  <c r="S302" i="22"/>
  <c r="S301" i="22"/>
  <c r="S300" i="22"/>
  <c r="S299" i="22"/>
  <c r="S298" i="22"/>
  <c r="S297" i="22"/>
  <c r="S296" i="22"/>
  <c r="S295" i="22"/>
  <c r="S294" i="22"/>
  <c r="S293" i="22"/>
  <c r="S292" i="22"/>
  <c r="S291" i="22"/>
  <c r="S290" i="22"/>
  <c r="S289" i="22"/>
  <c r="S288" i="22"/>
  <c r="S287" i="22"/>
  <c r="S286" i="22"/>
  <c r="S285" i="22"/>
  <c r="S284" i="22"/>
  <c r="S283" i="22"/>
  <c r="S282" i="22"/>
  <c r="S281" i="22"/>
  <c r="S280" i="22"/>
  <c r="S279" i="22"/>
  <c r="S278" i="22"/>
  <c r="S277" i="22"/>
  <c r="G105" i="20"/>
  <c r="G104" i="20"/>
  <c r="G103" i="20"/>
  <c r="G102" i="20"/>
  <c r="G101" i="20"/>
  <c r="G100" i="20"/>
  <c r="G99" i="20"/>
  <c r="G98" i="20"/>
  <c r="G97" i="20"/>
  <c r="G96" i="20"/>
  <c r="G95" i="20"/>
  <c r="G94" i="20"/>
  <c r="G93" i="20"/>
  <c r="G92" i="20"/>
  <c r="G91" i="20"/>
  <c r="G90" i="20"/>
  <c r="G89" i="20"/>
  <c r="G88" i="20"/>
  <c r="G87" i="20"/>
  <c r="G86" i="20"/>
  <c r="G85" i="20"/>
  <c r="G84" i="20"/>
  <c r="G83" i="20"/>
  <c r="G82" i="20"/>
  <c r="G81" i="20"/>
  <c r="G80" i="20"/>
  <c r="G79"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52" i="20"/>
  <c r="G51" i="20"/>
  <c r="G50" i="20"/>
  <c r="G48" i="20"/>
  <c r="G47" i="20"/>
  <c r="G46" i="20"/>
  <c r="G45" i="20"/>
  <c r="G44" i="20"/>
  <c r="G43" i="20"/>
  <c r="G42" i="20"/>
  <c r="G41" i="20"/>
  <c r="G40" i="20"/>
  <c r="G39" i="20"/>
  <c r="G38" i="20"/>
  <c r="G37" i="20"/>
  <c r="G36" i="20"/>
  <c r="G35" i="20"/>
  <c r="G34" i="20"/>
  <c r="G33" i="20"/>
  <c r="G32" i="20"/>
  <c r="G31" i="20"/>
  <c r="G30" i="20"/>
  <c r="G28" i="20"/>
  <c r="G27" i="20"/>
  <c r="G26" i="20"/>
  <c r="G25" i="20"/>
  <c r="G24" i="20"/>
  <c r="G23" i="20"/>
  <c r="G22" i="20"/>
  <c r="G20" i="20"/>
  <c r="G19" i="20"/>
  <c r="G18" i="20"/>
  <c r="G17" i="20"/>
  <c r="G16" i="20"/>
  <c r="G15" i="20"/>
  <c r="G14" i="20"/>
  <c r="G12" i="20"/>
  <c r="G11" i="20"/>
  <c r="G10" i="20"/>
  <c r="G9" i="20"/>
  <c r="G7" i="20"/>
  <c r="G6" i="20"/>
  <c r="AH1" i="19"/>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H5" i="13"/>
  <c r="H4" i="13"/>
  <c r="Q323" i="11"/>
  <c r="Q322" i="11"/>
  <c r="Q321" i="11"/>
  <c r="Q320" i="11"/>
  <c r="Q319" i="11"/>
  <c r="Q318" i="11"/>
  <c r="Q317" i="11"/>
  <c r="Q316" i="11"/>
  <c r="Q315" i="11"/>
  <c r="Q314" i="11"/>
  <c r="Q313" i="11"/>
  <c r="Q312" i="11"/>
  <c r="Q311" i="11"/>
  <c r="Q310" i="11"/>
  <c r="Q309"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3" i="11"/>
  <c r="Q132" i="11"/>
  <c r="Q131" i="11"/>
  <c r="Q130" i="11"/>
  <c r="Q129" i="11"/>
  <c r="Q128" i="11"/>
  <c r="Q127" i="11"/>
  <c r="Q126" i="11"/>
  <c r="Q125" i="11"/>
  <c r="Q124" i="11"/>
  <c r="Q123" i="11"/>
  <c r="Q122" i="11"/>
  <c r="Q121" i="11"/>
  <c r="Q119" i="11"/>
  <c r="Q118" i="11"/>
  <c r="Q117" i="11"/>
  <c r="Q116" i="11"/>
  <c r="Q115" i="11"/>
  <c r="Q114" i="11"/>
  <c r="Q113" i="11"/>
  <c r="Q112" i="11"/>
  <c r="Q111" i="11"/>
  <c r="Q110" i="11"/>
  <c r="Q109" i="11"/>
  <c r="Q108" i="11"/>
  <c r="Q107" i="11"/>
  <c r="Q106" i="11"/>
  <c r="Q105" i="11"/>
  <c r="G105" i="11"/>
  <c r="Q104" i="11"/>
  <c r="G104" i="11"/>
  <c r="Q103" i="11"/>
  <c r="G103" i="11"/>
  <c r="G102" i="11"/>
  <c r="Q101" i="11"/>
  <c r="G101" i="11"/>
  <c r="Q100" i="11"/>
  <c r="G100" i="11"/>
  <c r="Q99" i="11"/>
  <c r="G99" i="11"/>
  <c r="Q98" i="11"/>
  <c r="G98" i="11"/>
  <c r="Q97" i="11"/>
  <c r="G97" i="11"/>
  <c r="Q96" i="11"/>
  <c r="G96" i="11"/>
  <c r="Q95" i="11"/>
  <c r="G95" i="11"/>
  <c r="Q94" i="11"/>
  <c r="G94" i="11"/>
  <c r="Q93" i="11"/>
  <c r="G93" i="11"/>
  <c r="G92" i="11"/>
  <c r="Q91" i="11"/>
  <c r="G91" i="11"/>
  <c r="Q90" i="11"/>
  <c r="G90" i="11"/>
  <c r="Q89" i="11"/>
  <c r="G89" i="11"/>
  <c r="Q88" i="11"/>
  <c r="G88" i="11"/>
  <c r="Q87" i="11"/>
  <c r="G87" i="11"/>
  <c r="G86" i="11"/>
  <c r="Q85" i="11"/>
  <c r="G85" i="11"/>
  <c r="Q84" i="11"/>
  <c r="G84" i="11"/>
  <c r="G83" i="11"/>
  <c r="Q82" i="11"/>
  <c r="G82" i="11"/>
  <c r="Q81" i="11"/>
  <c r="G81" i="11"/>
  <c r="Q80" i="11"/>
  <c r="G80" i="11"/>
  <c r="Q79" i="11"/>
  <c r="G79" i="11"/>
  <c r="Q78" i="11"/>
  <c r="G78" i="11"/>
  <c r="Q77" i="11"/>
  <c r="G77" i="11"/>
  <c r="G76" i="11"/>
  <c r="Q75" i="11"/>
  <c r="G75" i="11"/>
  <c r="Q74" i="11"/>
  <c r="G74" i="11"/>
  <c r="Q73" i="11"/>
  <c r="G73" i="11"/>
  <c r="Q72" i="11"/>
  <c r="G72" i="11"/>
  <c r="Q71" i="11"/>
  <c r="G71" i="11"/>
  <c r="Q70" i="11"/>
  <c r="G70" i="11"/>
  <c r="Q69" i="11"/>
  <c r="G69" i="11"/>
  <c r="Q68" i="11"/>
  <c r="G68" i="11"/>
  <c r="Q67" i="11"/>
  <c r="G67" i="11"/>
  <c r="Q66" i="11"/>
  <c r="G66" i="11"/>
  <c r="Q65" i="11"/>
  <c r="G65" i="11"/>
  <c r="G64" i="11"/>
  <c r="Q63" i="11"/>
  <c r="G63" i="11"/>
  <c r="Q62" i="11"/>
  <c r="G62" i="11"/>
  <c r="Q61" i="11"/>
  <c r="G61" i="11"/>
  <c r="G60" i="11"/>
  <c r="Q59" i="11"/>
  <c r="G59" i="11"/>
  <c r="Q58" i="11"/>
  <c r="G58" i="11"/>
  <c r="Q57" i="11"/>
  <c r="G57" i="11"/>
  <c r="Q56" i="11"/>
  <c r="G56" i="11"/>
  <c r="Q55" i="11"/>
  <c r="G55" i="11"/>
  <c r="Q54" i="11"/>
  <c r="G54" i="11"/>
  <c r="Q53" i="11"/>
  <c r="G53" i="11"/>
  <c r="Q52" i="11"/>
  <c r="G52" i="11"/>
  <c r="Q51" i="11"/>
  <c r="G51" i="11"/>
  <c r="Q50" i="11"/>
  <c r="G50" i="11"/>
  <c r="Q49" i="11"/>
  <c r="G49" i="11"/>
  <c r="Q48" i="11"/>
  <c r="G48" i="11"/>
  <c r="Q47" i="11"/>
  <c r="G47" i="11"/>
  <c r="Q46" i="11"/>
  <c r="G46" i="11"/>
  <c r="Q45" i="11"/>
  <c r="G45" i="11"/>
  <c r="G44" i="11"/>
  <c r="Q43" i="11"/>
  <c r="G43" i="11"/>
  <c r="Q42" i="11"/>
  <c r="G42" i="11"/>
  <c r="Q41" i="11"/>
  <c r="G41" i="11"/>
  <c r="Q40" i="11"/>
  <c r="G40" i="11"/>
  <c r="Q39" i="11"/>
  <c r="G39" i="11"/>
  <c r="G38" i="11"/>
  <c r="Q37" i="11"/>
  <c r="G37" i="11"/>
  <c r="Q36" i="11"/>
  <c r="G36" i="11"/>
  <c r="Q35" i="11"/>
  <c r="G35" i="11"/>
  <c r="Q34" i="11"/>
  <c r="G34" i="11"/>
  <c r="Q33" i="11"/>
  <c r="G33" i="11"/>
  <c r="Q32" i="11"/>
  <c r="G32" i="11"/>
  <c r="Q31" i="11"/>
  <c r="Q30" i="11"/>
  <c r="G30" i="11"/>
  <c r="Q29" i="11"/>
  <c r="G29" i="11"/>
  <c r="Q28" i="11"/>
  <c r="G28" i="11"/>
  <c r="Q27" i="11"/>
  <c r="G27" i="11"/>
  <c r="G26" i="11"/>
  <c r="Q25" i="11"/>
  <c r="G25" i="11"/>
  <c r="Q24" i="11"/>
  <c r="G24" i="11"/>
  <c r="Q23" i="11"/>
  <c r="G23" i="11"/>
  <c r="G22" i="11"/>
  <c r="Q21" i="11"/>
  <c r="G21" i="11"/>
  <c r="Q20" i="11"/>
  <c r="G20" i="11"/>
  <c r="G19" i="11"/>
  <c r="Q18" i="11"/>
  <c r="G18" i="11"/>
  <c r="Q17" i="11"/>
  <c r="G17" i="11"/>
  <c r="G16" i="11"/>
  <c r="Q15" i="11"/>
  <c r="G15" i="11"/>
  <c r="Q14" i="11"/>
  <c r="G14" i="11"/>
  <c r="Q13" i="11"/>
  <c r="G13" i="11"/>
  <c r="Q12" i="11"/>
  <c r="G12" i="11"/>
  <c r="Q11" i="11"/>
  <c r="G11" i="11"/>
  <c r="Q10" i="11"/>
  <c r="G10" i="11"/>
  <c r="Q9" i="11"/>
  <c r="G9" i="11"/>
  <c r="Q8" i="11"/>
  <c r="G8" i="11"/>
  <c r="G7" i="11"/>
  <c r="Q6" i="11"/>
  <c r="Q5" i="11"/>
  <c r="G5" i="11"/>
  <c r="G4" i="11"/>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0" i="8"/>
  <c r="G9" i="8"/>
  <c r="G8" i="8"/>
  <c r="G7" i="8"/>
  <c r="G6" i="8"/>
  <c r="G5" i="8"/>
  <c r="G4" i="8"/>
  <c r="F50" i="6"/>
  <c r="I59" i="5"/>
  <c r="I58" i="5"/>
  <c r="I57" i="5"/>
  <c r="I56" i="5"/>
  <c r="I55" i="5"/>
  <c r="I54" i="5"/>
  <c r="I53" i="5"/>
  <c r="I52" i="5"/>
  <c r="I51" i="5"/>
  <c r="I50" i="5"/>
  <c r="I49" i="5"/>
  <c r="I48" i="5"/>
  <c r="I47" i="5"/>
  <c r="I46" i="5"/>
  <c r="I45" i="5"/>
  <c r="I44" i="5"/>
  <c r="I43" i="5"/>
  <c r="I42" i="5"/>
  <c r="I41" i="5"/>
  <c r="I40" i="5"/>
  <c r="I39" i="5"/>
  <c r="I38" i="5"/>
  <c r="I37" i="5"/>
  <c r="I36" i="5"/>
  <c r="I35" i="5"/>
  <c r="I34" i="5"/>
  <c r="I33" i="5"/>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G105" i="1"/>
  <c r="Q104" i="1"/>
  <c r="G104" i="1"/>
  <c r="Q103" i="1"/>
  <c r="G103" i="1"/>
  <c r="Q102" i="1"/>
  <c r="G102" i="1"/>
  <c r="Q101" i="1"/>
  <c r="G101" i="1"/>
  <c r="Q100" i="1"/>
  <c r="G100" i="1"/>
  <c r="Q99" i="1"/>
  <c r="G99" i="1"/>
  <c r="Q98" i="1"/>
  <c r="G98" i="1"/>
  <c r="Q97" i="1"/>
  <c r="G97" i="1"/>
  <c r="Q96" i="1"/>
  <c r="G96" i="1"/>
  <c r="Q95" i="1"/>
  <c r="G95" i="1"/>
  <c r="Q94" i="1"/>
  <c r="G94" i="1"/>
  <c r="Q93" i="1"/>
  <c r="G93" i="1"/>
  <c r="Q92" i="1"/>
  <c r="G92" i="1"/>
  <c r="Q91" i="1"/>
  <c r="G91" i="1"/>
  <c r="Q90" i="1"/>
  <c r="G90" i="1"/>
  <c r="Q89" i="1"/>
  <c r="G89" i="1"/>
  <c r="Q88" i="1"/>
  <c r="G88" i="1"/>
  <c r="Q87" i="1"/>
  <c r="G87" i="1"/>
  <c r="Q86" i="1"/>
  <c r="G86" i="1"/>
  <c r="Q85" i="1"/>
  <c r="G85" i="1"/>
  <c r="Q84" i="1"/>
  <c r="G84" i="1"/>
  <c r="Q83" i="1"/>
  <c r="G83" i="1"/>
  <c r="Q82" i="1"/>
  <c r="G82" i="1"/>
  <c r="Q81" i="1"/>
  <c r="G81" i="1"/>
  <c r="Q80" i="1"/>
  <c r="G80" i="1"/>
  <c r="Q79" i="1"/>
  <c r="G79" i="1"/>
  <c r="Q78" i="1"/>
  <c r="G78" i="1"/>
  <c r="Q77" i="1"/>
  <c r="G77" i="1"/>
  <c r="Q76" i="1"/>
  <c r="G76" i="1"/>
  <c r="Q75" i="1"/>
  <c r="G75" i="1"/>
  <c r="Q74" i="1"/>
  <c r="G74" i="1"/>
  <c r="Q73" i="1"/>
  <c r="G73" i="1"/>
  <c r="Q72" i="1"/>
  <c r="G72" i="1"/>
  <c r="Q71" i="1"/>
  <c r="G71" i="1"/>
  <c r="Q70" i="1"/>
  <c r="G70" i="1"/>
  <c r="Q69" i="1"/>
  <c r="G69" i="1"/>
  <c r="Q68" i="1"/>
  <c r="G68" i="1"/>
  <c r="Q67" i="1"/>
  <c r="G67" i="1"/>
  <c r="Q66" i="1"/>
  <c r="G66" i="1"/>
  <c r="Q65" i="1"/>
  <c r="G65" i="1"/>
  <c r="Q64" i="1"/>
  <c r="G64" i="1"/>
  <c r="Q63" i="1"/>
  <c r="G63" i="1"/>
  <c r="Q62" i="1"/>
  <c r="G62" i="1"/>
  <c r="Q61" i="1"/>
  <c r="G61" i="1"/>
  <c r="Q60" i="1"/>
  <c r="G60" i="1"/>
  <c r="Q59" i="1"/>
  <c r="G59" i="1"/>
  <c r="Q58" i="1"/>
  <c r="G58" i="1"/>
  <c r="Q57" i="1"/>
  <c r="G57" i="1"/>
  <c r="Q56" i="1"/>
  <c r="G56" i="1"/>
  <c r="Q55" i="1"/>
  <c r="G55" i="1"/>
  <c r="Q54" i="1"/>
  <c r="G54" i="1"/>
  <c r="Q53" i="1"/>
  <c r="G53" i="1"/>
  <c r="Q52" i="1"/>
  <c r="G52" i="1"/>
  <c r="Q51" i="1"/>
  <c r="G51" i="1"/>
  <c r="Q50" i="1"/>
  <c r="G50" i="1"/>
  <c r="Q49" i="1"/>
  <c r="G49" i="1"/>
  <c r="Q48" i="1"/>
  <c r="G48" i="1"/>
  <c r="Q47" i="1"/>
  <c r="G47" i="1"/>
  <c r="Q46" i="1"/>
  <c r="G46" i="1"/>
  <c r="Q45" i="1"/>
  <c r="G45" i="1"/>
  <c r="Q44" i="1"/>
  <c r="G44" i="1"/>
  <c r="Q43" i="1"/>
  <c r="G43" i="1"/>
  <c r="Q42" i="1"/>
  <c r="G42" i="1"/>
  <c r="Q41" i="1"/>
  <c r="G41" i="1"/>
  <c r="Q40" i="1"/>
  <c r="G40" i="1"/>
  <c r="Q39" i="1"/>
  <c r="G39" i="1"/>
  <c r="Q38" i="1"/>
  <c r="G38" i="1"/>
  <c r="Q37" i="1"/>
  <c r="G37" i="1"/>
  <c r="Q36" i="1"/>
  <c r="G36" i="1"/>
  <c r="Q35" i="1"/>
  <c r="G35" i="1"/>
  <c r="Q34" i="1"/>
  <c r="G34" i="1"/>
  <c r="Q33" i="1"/>
  <c r="G33" i="1"/>
  <c r="Q32" i="1"/>
  <c r="G32" i="1"/>
  <c r="Q31" i="1"/>
  <c r="G31" i="1"/>
  <c r="Q30" i="1"/>
  <c r="G30" i="1"/>
  <c r="Q29" i="1"/>
  <c r="G29" i="1"/>
  <c r="Q28" i="1"/>
  <c r="G28" i="1"/>
  <c r="Q27" i="1"/>
  <c r="G27" i="1"/>
  <c r="Q26" i="1"/>
  <c r="G26" i="1"/>
  <c r="Q25" i="1"/>
  <c r="G25" i="1"/>
  <c r="Q24" i="1"/>
  <c r="G24" i="1"/>
  <c r="Q23" i="1"/>
  <c r="G23" i="1"/>
  <c r="Q22" i="1"/>
  <c r="G22" i="1"/>
  <c r="Q21" i="1"/>
  <c r="G21" i="1"/>
  <c r="Q20" i="1"/>
  <c r="G20" i="1"/>
  <c r="Q19" i="1"/>
  <c r="G19" i="1"/>
  <c r="Q18" i="1"/>
  <c r="G18" i="1"/>
  <c r="Q17" i="1"/>
  <c r="G17" i="1"/>
  <c r="Q16" i="1"/>
  <c r="G16" i="1"/>
  <c r="Q15" i="1"/>
  <c r="G15" i="1"/>
  <c r="Q14" i="1"/>
  <c r="G14" i="1"/>
  <c r="Q13" i="1"/>
  <c r="G13" i="1"/>
  <c r="Q12" i="1"/>
  <c r="G12" i="1"/>
  <c r="Q11" i="1"/>
  <c r="G11" i="1"/>
  <c r="Q10" i="1"/>
  <c r="G10" i="1"/>
  <c r="Q9" i="1"/>
  <c r="G9" i="1"/>
  <c r="Q8" i="1"/>
  <c r="G8" i="1"/>
  <c r="Q7" i="1"/>
  <c r="G7" i="1"/>
  <c r="Q6" i="1"/>
  <c r="G6" i="1"/>
  <c r="Q5" i="1"/>
  <c r="G5" i="1"/>
  <c r="G4" i="1"/>
  <c r="N4" i="35" l="1"/>
  <c r="N7" i="35"/>
  <c r="N139" i="35"/>
  <c r="N142" i="35"/>
  <c r="N5" i="35"/>
  <c r="N8" i="35"/>
  <c r="N140" i="35"/>
  <c r="N138" i="35"/>
  <c r="N9" i="35" l="1"/>
</calcChain>
</file>

<file path=xl/sharedStrings.xml><?xml version="1.0" encoding="utf-8"?>
<sst xmlns="http://schemas.openxmlformats.org/spreadsheetml/2006/main" count="34725" uniqueCount="5281">
  <si>
    <t>下半场请尽量复用工作表，目前工作表太多了找起来会比较乱！</t>
  </si>
  <si>
    <t>AC1</t>
  </si>
  <si>
    <t>AC2</t>
  </si>
  <si>
    <t>AC0</t>
  </si>
  <si>
    <t>编号</t>
  </si>
  <si>
    <t>曲名</t>
  </si>
  <si>
    <t>软件操作使用</t>
  </si>
  <si>
    <t>艺术表达技巧</t>
  </si>
  <si>
    <t>歌声解析能力</t>
  </si>
  <si>
    <t>发展潜力</t>
  </si>
  <si>
    <t>总评</t>
  </si>
  <si>
    <t>瑞平评语</t>
  </si>
  <si>
    <t>观众留言</t>
  </si>
  <si>
    <t>原编号</t>
  </si>
  <si>
    <t>AC 1001</t>
  </si>
  <si>
    <t>夜昙</t>
  </si>
  <si>
    <t>D</t>
  </si>
  <si>
    <t>S</t>
  </si>
  <si>
    <t>B</t>
  </si>
  <si>
    <t>AC2001</t>
  </si>
  <si>
    <t>守护契约</t>
  </si>
  <si>
    <t>A</t>
  </si>
  <si>
    <t>?</t>
  </si>
  <si>
    <t>AC0001</t>
  </si>
  <si>
    <t>AC1091</t>
  </si>
  <si>
    <t>薄荷夏天</t>
  </si>
  <si>
    <t>AC 1002</t>
  </si>
  <si>
    <t>起风了</t>
  </si>
  <si>
    <t>A+</t>
  </si>
  <si>
    <t>AC2002</t>
  </si>
  <si>
    <t>月光</t>
  </si>
  <si>
    <t>AC0002</t>
  </si>
  <si>
    <t>AC2127</t>
  </si>
  <si>
    <t>如此</t>
  </si>
  <si>
    <t>AC 1003</t>
  </si>
  <si>
    <t>左手右手</t>
  </si>
  <si>
    <t>AC2003</t>
  </si>
  <si>
    <t>春意红包</t>
  </si>
  <si>
    <t>AC0003</t>
  </si>
  <si>
    <t>AC2043</t>
  </si>
  <si>
    <t>红绝</t>
  </si>
  <si>
    <t>AC 1004</t>
  </si>
  <si>
    <t>重音：我爱吃蟑螂</t>
  </si>
  <si>
    <t>AC2004</t>
  </si>
  <si>
    <t>无题 — 创作欲</t>
  </si>
  <si>
    <t>AC0004</t>
  </si>
  <si>
    <t>AC1071</t>
  </si>
  <si>
    <t>燕尾蝶</t>
  </si>
  <si>
    <t>AC 1005</t>
  </si>
  <si>
    <t>倒数</t>
  </si>
  <si>
    <t>AC2005</t>
  </si>
  <si>
    <t>给电影人的情书</t>
  </si>
  <si>
    <t>AC0005</t>
  </si>
  <si>
    <t>AC1041</t>
  </si>
  <si>
    <t>それからCODAへ（飞向苍空的终末）</t>
  </si>
  <si>
    <t>AC 1006</t>
  </si>
  <si>
    <t>末路狂花</t>
  </si>
  <si>
    <t>AC2006</t>
  </si>
  <si>
    <t>心淡</t>
  </si>
  <si>
    <t>AC0006</t>
  </si>
  <si>
    <t>AC2111</t>
  </si>
  <si>
    <t>身世</t>
  </si>
  <si>
    <t>AC 1007</t>
  </si>
  <si>
    <t>游京</t>
  </si>
  <si>
    <t>AC2007</t>
  </si>
  <si>
    <t>梅花三弄</t>
  </si>
  <si>
    <t>AC0007</t>
  </si>
  <si>
    <t>AC 1008</t>
  </si>
  <si>
    <t>雨爱</t>
  </si>
  <si>
    <t>AC2008</t>
  </si>
  <si>
    <t>The B❤chy Idol（桃色牌坊）</t>
  </si>
  <si>
    <t>AC0008</t>
  </si>
  <si>
    <t>AC2088</t>
  </si>
  <si>
    <t>纯妹妹</t>
  </si>
  <si>
    <t>AC 1009</t>
  </si>
  <si>
    <t>逸一时误一世</t>
  </si>
  <si>
    <t>AC2009</t>
  </si>
  <si>
    <t>最最最差劲神明</t>
  </si>
  <si>
    <t>AC0009</t>
  </si>
  <si>
    <t>AC1035</t>
  </si>
  <si>
    <t>可我已忘记怎样唱歌</t>
  </si>
  <si>
    <t>AC 1010</t>
  </si>
  <si>
    <t>珍珠奶茶赋格</t>
  </si>
  <si>
    <t>AC2010</t>
  </si>
  <si>
    <t>拆穿</t>
  </si>
  <si>
    <t>AC0010</t>
  </si>
  <si>
    <t>AC2064</t>
  </si>
  <si>
    <t>范进中举</t>
  </si>
  <si>
    <t>AC 1011</t>
  </si>
  <si>
    <t>赤道与北极</t>
  </si>
  <si>
    <t>AC2011</t>
  </si>
  <si>
    <t>🫴</t>
  </si>
  <si>
    <t>AC0011</t>
  </si>
  <si>
    <t>AC1048</t>
  </si>
  <si>
    <t>我爱</t>
  </si>
  <si>
    <t>AC 1012</t>
  </si>
  <si>
    <t>说书人</t>
  </si>
  <si>
    <t>AC2012</t>
  </si>
  <si>
    <t>我多想说再见啊（short ver）</t>
  </si>
  <si>
    <t>AC0012</t>
  </si>
  <si>
    <t>AC2065</t>
  </si>
  <si>
    <t>看山看水看中国</t>
  </si>
  <si>
    <t>AC 1013</t>
  </si>
  <si>
    <t>Iron Crown</t>
  </si>
  <si>
    <t>AC2013</t>
  </si>
  <si>
    <t>舞娘</t>
  </si>
  <si>
    <t>AC0013</t>
  </si>
  <si>
    <t>AC1102</t>
  </si>
  <si>
    <t>所以我伸出了手</t>
  </si>
  <si>
    <t>AC 1014</t>
  </si>
  <si>
    <t>底色theory</t>
  </si>
  <si>
    <t>AC2014</t>
  </si>
  <si>
    <t>逃</t>
  </si>
  <si>
    <t>AC0014</t>
  </si>
  <si>
    <t>AC1066</t>
  </si>
  <si>
    <t>你是不是误会什么Miss understanding</t>
  </si>
  <si>
    <t>AC 1015</t>
  </si>
  <si>
    <t>本色</t>
  </si>
  <si>
    <t>AC2015</t>
  </si>
  <si>
    <t>婆婆纳甸长河长</t>
  </si>
  <si>
    <t>AC0015</t>
  </si>
  <si>
    <t>AC2039</t>
  </si>
  <si>
    <t>我的故事未写完</t>
  </si>
  <si>
    <t>AC 1016</t>
  </si>
  <si>
    <t>老子明天不上班</t>
  </si>
  <si>
    <t>AC2016</t>
  </si>
  <si>
    <t>在太行山上</t>
  </si>
  <si>
    <t>AC0016</t>
  </si>
  <si>
    <t>AC1017</t>
  </si>
  <si>
    <t>飞鸟与鱼</t>
  </si>
  <si>
    <t>AC 1017</t>
  </si>
  <si>
    <t>AC2017</t>
  </si>
  <si>
    <t>身后</t>
  </si>
  <si>
    <t>AC0017</t>
  </si>
  <si>
    <t>AC2120</t>
  </si>
  <si>
    <t>孤城</t>
  </si>
  <si>
    <t>AC 1018</t>
  </si>
  <si>
    <t>向日葵朝着夜</t>
  </si>
  <si>
    <t>AC2018</t>
  </si>
  <si>
    <t>李香兰</t>
  </si>
  <si>
    <t>AC0018</t>
  </si>
  <si>
    <t>AC2100</t>
  </si>
  <si>
    <t>爱爱爱爱</t>
  </si>
  <si>
    <t>AC 1019</t>
  </si>
  <si>
    <t>大东北我的家乡 (DJ版)</t>
  </si>
  <si>
    <t>AC2019</t>
  </si>
  <si>
    <t>老子才是老大</t>
  </si>
  <si>
    <t>AC0019</t>
  </si>
  <si>
    <t>AC1068</t>
  </si>
  <si>
    <t>黄河怨</t>
  </si>
  <si>
    <t>AC 1020</t>
  </si>
  <si>
    <t>玛依拉变奏曲</t>
  </si>
  <si>
    <t>AC2020</t>
  </si>
  <si>
    <t>AC0020</t>
  </si>
  <si>
    <t>AC2097</t>
  </si>
  <si>
    <t>草木青时</t>
  </si>
  <si>
    <t>AC 1021</t>
  </si>
  <si>
    <t>荷塘月色</t>
  </si>
  <si>
    <t>AC2021</t>
  </si>
  <si>
    <t>太难唱了</t>
  </si>
  <si>
    <t>AC0021</t>
  </si>
  <si>
    <t>AC1047</t>
  </si>
  <si>
    <t>下完这场雨</t>
  </si>
  <si>
    <t>AC 1022</t>
  </si>
  <si>
    <t>剑心</t>
  </si>
  <si>
    <t>AC2022</t>
  </si>
  <si>
    <t>希望风帆</t>
  </si>
  <si>
    <t>AC0022</t>
  </si>
  <si>
    <t>AC1072</t>
  </si>
  <si>
    <t>敕勒歌</t>
  </si>
  <si>
    <t>AC 1023</t>
  </si>
  <si>
    <t>戒网</t>
  </si>
  <si>
    <t>AC2023</t>
  </si>
  <si>
    <t>飞鸟和蝉</t>
  </si>
  <si>
    <t>AC0023</t>
  </si>
  <si>
    <t>AC2076</t>
  </si>
  <si>
    <t>雨霖铃</t>
  </si>
  <si>
    <t>AC 1024</t>
  </si>
  <si>
    <t>我是我，我非我</t>
  </si>
  <si>
    <t>AC2024</t>
  </si>
  <si>
    <t>天下</t>
  </si>
  <si>
    <t>AC0024</t>
  </si>
  <si>
    <t>AC2084</t>
  </si>
  <si>
    <t>失落沙洲</t>
  </si>
  <si>
    <t>AC 1025</t>
  </si>
  <si>
    <t>泡沫</t>
  </si>
  <si>
    <t>AC2025</t>
  </si>
  <si>
    <t>说散就散</t>
  </si>
  <si>
    <t>AC0025</t>
  </si>
  <si>
    <t>AC2077</t>
  </si>
  <si>
    <t>人间共鸣</t>
  </si>
  <si>
    <t>AC 1026</t>
  </si>
  <si>
    <t>Pulse in Flora(花频)</t>
  </si>
  <si>
    <t>AC2026</t>
  </si>
  <si>
    <t>脚后跟的皴等着谁来搓（精简版）</t>
  </si>
  <si>
    <t>AC0026</t>
  </si>
  <si>
    <t>AC1073</t>
  </si>
  <si>
    <t>午夜dj</t>
  </si>
  <si>
    <t>AC 1027</t>
  </si>
  <si>
    <t>故乡的云</t>
  </si>
  <si>
    <t>AC2027</t>
  </si>
  <si>
    <t>珠玉</t>
  </si>
  <si>
    <t>AC0027</t>
  </si>
  <si>
    <t>AC2110</t>
  </si>
  <si>
    <t>弹棉花</t>
  </si>
  <si>
    <t>AC 1028</t>
  </si>
  <si>
    <t>深夏</t>
  </si>
  <si>
    <t>AC2028</t>
  </si>
  <si>
    <t>皆不过</t>
  </si>
  <si>
    <t>AC0028</t>
  </si>
  <si>
    <t>AC2056</t>
  </si>
  <si>
    <t>沉溺</t>
  </si>
  <si>
    <t>AC 1029</t>
  </si>
  <si>
    <t>from z to z</t>
  </si>
  <si>
    <t>AC2029</t>
  </si>
  <si>
    <t>血腥爱情故事</t>
  </si>
  <si>
    <t>AC0029</t>
  </si>
  <si>
    <t>AC2049</t>
  </si>
  <si>
    <t>AC 1030</t>
  </si>
  <si>
    <t>一生一次的冒险。</t>
  </si>
  <si>
    <t>AC2030</t>
  </si>
  <si>
    <t>达道，东山</t>
  </si>
  <si>
    <t>AC0030</t>
  </si>
  <si>
    <t>AC1086</t>
  </si>
  <si>
    <t>奈何天</t>
  </si>
  <si>
    <t>AC 1031</t>
  </si>
  <si>
    <t>姑苏城</t>
  </si>
  <si>
    <t>AC2031</t>
  </si>
  <si>
    <t>魂萦旧梦</t>
  </si>
  <si>
    <t>AC0031</t>
  </si>
  <si>
    <t>AC2063</t>
  </si>
  <si>
    <t>血母蔭身</t>
  </si>
  <si>
    <t>AC 1032</t>
  </si>
  <si>
    <t>lemon</t>
  </si>
  <si>
    <t>AC2032</t>
  </si>
  <si>
    <t>AC0032</t>
  </si>
  <si>
    <t>AC1084</t>
  </si>
  <si>
    <t>逃！</t>
  </si>
  <si>
    <t>AC 1033</t>
  </si>
  <si>
    <t>海星人鱼</t>
  </si>
  <si>
    <t>AC2033</t>
  </si>
  <si>
    <t>只要你快乐</t>
  </si>
  <si>
    <t>AC0033</t>
  </si>
  <si>
    <t>AC 1034</t>
  </si>
  <si>
    <t>阿司匹林</t>
  </si>
  <si>
    <t>AC2034</t>
  </si>
  <si>
    <t>翠湖</t>
  </si>
  <si>
    <t>AC0034</t>
  </si>
  <si>
    <t>AC2098</t>
  </si>
  <si>
    <t>信仰</t>
  </si>
  <si>
    <t>AC 1035</t>
  </si>
  <si>
    <t>AC2035</t>
  </si>
  <si>
    <t>小孩的歌</t>
  </si>
  <si>
    <t>AC0035</t>
  </si>
  <si>
    <t>AC2123</t>
  </si>
  <si>
    <t>秘宝</t>
  </si>
  <si>
    <t>AC 1036</t>
  </si>
  <si>
    <t>你=我</t>
  </si>
  <si>
    <t>AC2036</t>
  </si>
  <si>
    <t>滚！</t>
  </si>
  <si>
    <t>AC0036</t>
  </si>
  <si>
    <t>AC2068</t>
  </si>
  <si>
    <t>我的世界总是在下雨</t>
  </si>
  <si>
    <t>AC 1037</t>
  </si>
  <si>
    <t>只因你太美</t>
  </si>
  <si>
    <t>AC2037</t>
  </si>
  <si>
    <t>在夜里跳舞 short ver</t>
  </si>
  <si>
    <t>AC0037</t>
  </si>
  <si>
    <t>AC1006</t>
  </si>
  <si>
    <t>AC 1038</t>
  </si>
  <si>
    <t>小苹果</t>
  </si>
  <si>
    <t>AC2038</t>
  </si>
  <si>
    <t>阿刁</t>
  </si>
  <si>
    <t>AC0038</t>
  </si>
  <si>
    <t>AC 1039</t>
  </si>
  <si>
    <t>春光献祖国</t>
  </si>
  <si>
    <t>AC0039</t>
  </si>
  <si>
    <t>AC1057</t>
  </si>
  <si>
    <t>Nightension</t>
  </si>
  <si>
    <t>AC 1040</t>
  </si>
  <si>
    <t>天地浮雪</t>
  </si>
  <si>
    <t>AC2040</t>
  </si>
  <si>
    <t>俩俩相忘</t>
  </si>
  <si>
    <t>AC0040</t>
  </si>
  <si>
    <t>AC2107</t>
  </si>
  <si>
    <t>喀什噶尔胡杨</t>
  </si>
  <si>
    <t>AC 1041</t>
  </si>
  <si>
    <t>AC2041</t>
  </si>
  <si>
    <t>我用什么把你留住</t>
  </si>
  <si>
    <t>AC0041</t>
  </si>
  <si>
    <t>AC2122</t>
  </si>
  <si>
    <t>寻味於心</t>
  </si>
  <si>
    <t>AC 1042</t>
  </si>
  <si>
    <t>洛天依你到底把我家钥匙放在哪里了</t>
  </si>
  <si>
    <t>AC2042</t>
  </si>
  <si>
    <t>东 北 最 强 音</t>
  </si>
  <si>
    <t>AC0042</t>
  </si>
  <si>
    <t>AC1040</t>
  </si>
  <si>
    <t>AC 1043</t>
  </si>
  <si>
    <t>恋人</t>
  </si>
  <si>
    <t>AC0043</t>
  </si>
  <si>
    <t>AC2128</t>
  </si>
  <si>
    <t>AC 1044</t>
  </si>
  <si>
    <t>人间白首</t>
  </si>
  <si>
    <t>AC2044</t>
  </si>
  <si>
    <t>铁窗泪</t>
  </si>
  <si>
    <t>AC0044</t>
  </si>
  <si>
    <t>AC1063</t>
  </si>
  <si>
    <t>蜃楼</t>
  </si>
  <si>
    <t>AC 1045</t>
  </si>
  <si>
    <t>他守恒</t>
  </si>
  <si>
    <t>AC2045</t>
  </si>
  <si>
    <t>说不清</t>
  </si>
  <si>
    <t>AC0045</t>
  </si>
  <si>
    <t>AC1013</t>
  </si>
  <si>
    <t>AC 1046</t>
  </si>
  <si>
    <t>大鱼</t>
  </si>
  <si>
    <t>AC2046</t>
  </si>
  <si>
    <t>还你茉莉</t>
  </si>
  <si>
    <t>AC0046</t>
  </si>
  <si>
    <t>AC1078</t>
  </si>
  <si>
    <t>三万天</t>
  </si>
  <si>
    <t>AC 1047</t>
  </si>
  <si>
    <t>AC2047</t>
  </si>
  <si>
    <t>AC0047</t>
  </si>
  <si>
    <t>AC1031</t>
  </si>
  <si>
    <t>AC 1048</t>
  </si>
  <si>
    <t>AC2048</t>
  </si>
  <si>
    <t>Da Vittorio</t>
  </si>
  <si>
    <t>AC0048</t>
  </si>
  <si>
    <t>AC1016</t>
  </si>
  <si>
    <t>AC 1049</t>
  </si>
  <si>
    <t>请不要带我走。</t>
  </si>
  <si>
    <t>AC0049</t>
  </si>
  <si>
    <t>AC 1050</t>
  </si>
  <si>
    <t>光明</t>
  </si>
  <si>
    <t>AC2050</t>
  </si>
  <si>
    <t>伸出援手（Helping Hands）</t>
  </si>
  <si>
    <t>AC0050</t>
  </si>
  <si>
    <t>AC 1051</t>
  </si>
  <si>
    <t>我在池袋看漂亮姐姐</t>
  </si>
  <si>
    <t>AC2051</t>
  </si>
  <si>
    <t>🌀涡 - Whorl</t>
  </si>
  <si>
    <t>AC0051</t>
  </si>
  <si>
    <t>AC2129</t>
  </si>
  <si>
    <t>山笑水笑人欢笑</t>
  </si>
  <si>
    <t>AC 1052</t>
  </si>
  <si>
    <t>时间都去哪儿了</t>
  </si>
  <si>
    <t>AC2052</t>
  </si>
  <si>
    <t>流沙</t>
  </si>
  <si>
    <t>AC0052</t>
  </si>
  <si>
    <t>AC1092</t>
  </si>
  <si>
    <t>神的随波逐流</t>
  </si>
  <si>
    <t>AC 1053</t>
  </si>
  <si>
    <t>典中典之自创虚拟歌姬</t>
  </si>
  <si>
    <t>AC2053</t>
  </si>
  <si>
    <t>走过</t>
  </si>
  <si>
    <t>AC0053</t>
  </si>
  <si>
    <t>AC 1054</t>
  </si>
  <si>
    <t>船歌</t>
  </si>
  <si>
    <t>AC2054</t>
  </si>
  <si>
    <t>天行九歌</t>
  </si>
  <si>
    <t>AC0054</t>
  </si>
  <si>
    <t>AC2091</t>
  </si>
  <si>
    <t>末日后一天</t>
  </si>
  <si>
    <t>AC 1055</t>
  </si>
  <si>
    <t>大东北我的家乡</t>
  </si>
  <si>
    <t>AC2055</t>
  </si>
  <si>
    <t>痒</t>
  </si>
  <si>
    <t>AC0055</t>
  </si>
  <si>
    <t>AC1005</t>
  </si>
  <si>
    <t>AC 1056</t>
  </si>
  <si>
    <t>Peach Pit and Cyanide</t>
  </si>
  <si>
    <t>AC0056</t>
  </si>
  <si>
    <t>AC2062</t>
  </si>
  <si>
    <t>落</t>
  </si>
  <si>
    <t>AC 1057</t>
  </si>
  <si>
    <t>AC2057</t>
  </si>
  <si>
    <t>我好像在哪见过你</t>
  </si>
  <si>
    <t>AC0057</t>
  </si>
  <si>
    <t>AC1101</t>
  </si>
  <si>
    <t>Simon</t>
  </si>
  <si>
    <t>AC 1058</t>
  </si>
  <si>
    <t>人世间</t>
  </si>
  <si>
    <t>AC2058</t>
  </si>
  <si>
    <t>FTW</t>
  </si>
  <si>
    <t>AC0058</t>
  </si>
  <si>
    <t>AC 1059</t>
  </si>
  <si>
    <t>电话杀人事件</t>
  </si>
  <si>
    <t>AC2059</t>
  </si>
  <si>
    <t>Kira大道东</t>
  </si>
  <si>
    <t>AC0059</t>
  </si>
  <si>
    <t>AC1054</t>
  </si>
  <si>
    <t>AC 1060</t>
  </si>
  <si>
    <t>尘曦</t>
  </si>
  <si>
    <t>AC2060</t>
  </si>
  <si>
    <t>何日重到苏澜桥</t>
  </si>
  <si>
    <t>AC0060</t>
  </si>
  <si>
    <t>AC1075</t>
  </si>
  <si>
    <t>AC 1061</t>
  </si>
  <si>
    <t>吟游诗人</t>
  </si>
  <si>
    <t>AC2061</t>
  </si>
  <si>
    <t>倒数到零</t>
  </si>
  <si>
    <t>AC0061</t>
  </si>
  <si>
    <t>AC 1062</t>
  </si>
  <si>
    <t>花雨落</t>
  </si>
  <si>
    <t>AC0062</t>
  </si>
  <si>
    <t>AC2124</t>
  </si>
  <si>
    <t>幸福花开</t>
  </si>
  <si>
    <t>AC 1063</t>
  </si>
  <si>
    <t>AC0063</t>
  </si>
  <si>
    <t>AC2126</t>
  </si>
  <si>
    <t>双人船</t>
  </si>
  <si>
    <t>AC 1064</t>
  </si>
  <si>
    <t>故我逢真</t>
  </si>
  <si>
    <t>AC0064</t>
  </si>
  <si>
    <t>AC 1065</t>
  </si>
  <si>
    <t>山鬼自白</t>
  </si>
  <si>
    <t>AC0065</t>
  </si>
  <si>
    <t>AC2104</t>
  </si>
  <si>
    <t>门没锁</t>
  </si>
  <si>
    <t>AC 1066</t>
  </si>
  <si>
    <t>你是不是误会什么 Miss understanding</t>
  </si>
  <si>
    <t>AC2066</t>
  </si>
  <si>
    <t>情人</t>
  </si>
  <si>
    <t>AC0066</t>
  </si>
  <si>
    <t>AC 1067</t>
  </si>
  <si>
    <t>体无完肤</t>
  </si>
  <si>
    <t>AC2067</t>
  </si>
  <si>
    <t>贝如塔</t>
  </si>
  <si>
    <t>AC0067</t>
  </si>
  <si>
    <t>AC1027</t>
  </si>
  <si>
    <t>AC 1068</t>
  </si>
  <si>
    <t>AC0068</t>
  </si>
  <si>
    <t>AC1014</t>
  </si>
  <si>
    <t>AC 1069</t>
  </si>
  <si>
    <t>人间最值得</t>
  </si>
  <si>
    <t>AC2069</t>
  </si>
  <si>
    <t>Falling Into You</t>
  </si>
  <si>
    <t>AC0069</t>
  </si>
  <si>
    <t>AC1094</t>
  </si>
  <si>
    <t>此刻即永夜</t>
  </si>
  <si>
    <t>AC 1070</t>
  </si>
  <si>
    <t>一荤一素</t>
  </si>
  <si>
    <t>AC2070</t>
  </si>
  <si>
    <t>八方来财</t>
  </si>
  <si>
    <t>AC0070</t>
  </si>
  <si>
    <t>AC 1071</t>
  </si>
  <si>
    <t>AC2071</t>
  </si>
  <si>
    <t>如果没有你</t>
  </si>
  <si>
    <t>AC0071</t>
  </si>
  <si>
    <t>AC 1072</t>
  </si>
  <si>
    <t>AC2072</t>
  </si>
  <si>
    <t>下等马</t>
  </si>
  <si>
    <t>AC0072</t>
  </si>
  <si>
    <t>AC 1073</t>
  </si>
  <si>
    <t>AC2073</t>
  </si>
  <si>
    <t>跨越星海的合奏</t>
  </si>
  <si>
    <t>AC0073</t>
  </si>
  <si>
    <t>AC1087</t>
  </si>
  <si>
    <t>隆里电丝</t>
  </si>
  <si>
    <t>AC 1074</t>
  </si>
  <si>
    <t>AC2074</t>
  </si>
  <si>
    <t>巨人症</t>
  </si>
  <si>
    <t>AC0074</t>
  </si>
  <si>
    <t>AC1029</t>
  </si>
  <si>
    <t>From Z to Z</t>
  </si>
  <si>
    <t>AC 1075</t>
  </si>
  <si>
    <t>AC2075</t>
  </si>
  <si>
    <t>淡风无痕</t>
  </si>
  <si>
    <t>AC0075</t>
  </si>
  <si>
    <t>AC1018</t>
  </si>
  <si>
    <t>AC 1076</t>
  </si>
  <si>
    <t>涛声依旧</t>
  </si>
  <si>
    <t>AC0076</t>
  </si>
  <si>
    <t>AC 1077</t>
  </si>
  <si>
    <t>十万个为啥</t>
  </si>
  <si>
    <t>AC0077</t>
  </si>
  <si>
    <t>AC 1078</t>
  </si>
  <si>
    <t>AC2078</t>
  </si>
  <si>
    <t>素芬</t>
  </si>
  <si>
    <t>AC0078</t>
  </si>
  <si>
    <t>AC1052</t>
  </si>
  <si>
    <t>AC 1079</t>
  </si>
  <si>
    <t>渡情</t>
  </si>
  <si>
    <t>AC2079</t>
  </si>
  <si>
    <t>兄妹</t>
  </si>
  <si>
    <t>AC0079</t>
  </si>
  <si>
    <t>AC 1080</t>
  </si>
  <si>
    <t>情话</t>
  </si>
  <si>
    <t>AC2080</t>
  </si>
  <si>
    <t>鲁冰花（童年版）</t>
  </si>
  <si>
    <t>AC0080</t>
  </si>
  <si>
    <t>AC1011</t>
  </si>
  <si>
    <t>AC 1081</t>
  </si>
  <si>
    <t>一程山路</t>
  </si>
  <si>
    <t>AC2081</t>
  </si>
  <si>
    <t>上城名媛</t>
  </si>
  <si>
    <t>AC0081</t>
  </si>
  <si>
    <t>AC1034</t>
  </si>
  <si>
    <t>AC 1082</t>
  </si>
  <si>
    <t>知我</t>
  </si>
  <si>
    <t>AC2082</t>
  </si>
  <si>
    <t>哪吒</t>
  </si>
  <si>
    <t>AF0</t>
  </si>
  <si>
    <t>AC 1083</t>
  </si>
  <si>
    <t>薄荷</t>
  </si>
  <si>
    <t>AC2083</t>
  </si>
  <si>
    <t>时光盲盒</t>
  </si>
  <si>
    <t>AC 1084</t>
  </si>
  <si>
    <t>AC 1085</t>
  </si>
  <si>
    <t>南屏晚钟</t>
  </si>
  <si>
    <t>AC2085</t>
  </si>
  <si>
    <t>堪解人间</t>
  </si>
  <si>
    <t>AF0001</t>
  </si>
  <si>
    <t>AF2022</t>
  </si>
  <si>
    <t>花になって</t>
  </si>
  <si>
    <t>AC 1086</t>
  </si>
  <si>
    <t>AC2086</t>
  </si>
  <si>
    <t>纤维</t>
  </si>
  <si>
    <t>AF0002</t>
  </si>
  <si>
    <t>AF1054</t>
  </si>
  <si>
    <t>illusion</t>
  </si>
  <si>
    <t>AC 1087</t>
  </si>
  <si>
    <t>AC2087</t>
  </si>
  <si>
    <t>被驯服的象</t>
  </si>
  <si>
    <t>AF0003</t>
  </si>
  <si>
    <t>AF2040</t>
  </si>
  <si>
    <t>LITMUS</t>
  </si>
  <si>
    <t>AC 1088</t>
  </si>
  <si>
    <t>突然的陀螺</t>
  </si>
  <si>
    <t>AF0004</t>
  </si>
  <si>
    <t>AF2077</t>
  </si>
  <si>
    <t>そこに空があるから</t>
  </si>
  <si>
    <t>AC 1089</t>
  </si>
  <si>
    <t>习惯失恋</t>
  </si>
  <si>
    <t>AC2089</t>
  </si>
  <si>
    <t>爱情是苦和甜的交错（Bitter Times）</t>
  </si>
  <si>
    <t>AF0005</t>
  </si>
  <si>
    <t>AF1070</t>
  </si>
  <si>
    <t>デビルマンのうた（恶 魔 人）</t>
  </si>
  <si>
    <t>AC 1090</t>
  </si>
  <si>
    <t>重音テト的煤气仙踪</t>
  </si>
  <si>
    <t>AC2090</t>
  </si>
  <si>
    <t>遇见</t>
  </si>
  <si>
    <t>AF0006</t>
  </si>
  <si>
    <t>AF1055</t>
  </si>
  <si>
    <t>僕らの記憶を掠わないで（不要掠夺我们的记忆)</t>
  </si>
  <si>
    <t>AC 1091</t>
  </si>
  <si>
    <t>薄荷色的夏天</t>
  </si>
  <si>
    <t>AF0007</t>
  </si>
  <si>
    <t>AF2013</t>
  </si>
  <si>
    <t>Fallin'</t>
  </si>
  <si>
    <t>AC 1092</t>
  </si>
  <si>
    <t>AC2092</t>
  </si>
  <si>
    <t>碎镜</t>
  </si>
  <si>
    <t>AF0008</t>
  </si>
  <si>
    <t>AF1016</t>
  </si>
  <si>
    <t>THE BEYOND</t>
  </si>
  <si>
    <t>AC 1093</t>
  </si>
  <si>
    <t>长安姑娘</t>
  </si>
  <si>
    <t>AC2093</t>
  </si>
  <si>
    <t>AF0009</t>
  </si>
  <si>
    <t>AF2074</t>
  </si>
  <si>
    <t>Try</t>
  </si>
  <si>
    <t>AC 1094</t>
  </si>
  <si>
    <t>AC2094</t>
  </si>
  <si>
    <t>演员</t>
  </si>
  <si>
    <t>AF0010</t>
  </si>
  <si>
    <t>AF2049</t>
  </si>
  <si>
    <t>一縷</t>
  </si>
  <si>
    <t>AC 1095</t>
  </si>
  <si>
    <t>一样的月光</t>
  </si>
  <si>
    <t>AC2095</t>
  </si>
  <si>
    <t>千万次初见</t>
  </si>
  <si>
    <t>AF0011</t>
  </si>
  <si>
    <t>AF1058</t>
  </si>
  <si>
    <t>愛♡スクリ～ム!</t>
  </si>
  <si>
    <t>AC 1096</t>
  </si>
  <si>
    <t>暗示</t>
  </si>
  <si>
    <t>AC2096</t>
  </si>
  <si>
    <t>栖凰</t>
  </si>
  <si>
    <t>AF0012</t>
  </si>
  <si>
    <t>AF2090</t>
  </si>
  <si>
    <t>威风堂堂</t>
  </si>
  <si>
    <t>AC 1097</t>
  </si>
  <si>
    <t>橄榄树</t>
  </si>
  <si>
    <t>AF0013</t>
  </si>
  <si>
    <t>AF1022</t>
  </si>
  <si>
    <t>僕が死のうと思ったのは（曾经我也想过一了百了）</t>
  </si>
  <si>
    <t>AC 1098</t>
  </si>
  <si>
    <t>芙蓉至（cover天河弈）</t>
  </si>
  <si>
    <t>AF0014</t>
  </si>
  <si>
    <t>AF1001</t>
  </si>
  <si>
    <t>Sinister ～至天の座アルカディア</t>
  </si>
  <si>
    <t>AC 1099</t>
  </si>
  <si>
    <t>在加纳共和国离婚</t>
  </si>
  <si>
    <t>AC2099</t>
  </si>
  <si>
    <t>嗵嗵</t>
  </si>
  <si>
    <t>AF0015</t>
  </si>
  <si>
    <t>AF2064</t>
  </si>
  <si>
    <t>本能</t>
  </si>
  <si>
    <t>AC 1100</t>
  </si>
  <si>
    <t>簪花雨</t>
  </si>
  <si>
    <t>AF0016</t>
  </si>
  <si>
    <t>AF2052</t>
  </si>
  <si>
    <t>ワールドイズマイン （世界第一公主殿下）</t>
  </si>
  <si>
    <t>AC 1101</t>
  </si>
  <si>
    <t>AC2101</t>
  </si>
  <si>
    <t>孤儿乐园</t>
  </si>
  <si>
    <t>AF0017</t>
  </si>
  <si>
    <t>AF2024</t>
  </si>
  <si>
    <t>猛独が襲う（猛独侵袭）</t>
  </si>
  <si>
    <t>AC 1102</t>
  </si>
  <si>
    <t>AC2102</t>
  </si>
  <si>
    <t>苦笑</t>
  </si>
  <si>
    <t>AF0018</t>
  </si>
  <si>
    <t>AF2009</t>
  </si>
  <si>
    <t>家族になろうよ</t>
  </si>
  <si>
    <t>AF1</t>
  </si>
  <si>
    <t>AC2103</t>
  </si>
  <si>
    <t>Vast&amp;Hazy</t>
  </si>
  <si>
    <t>AF0019</t>
  </si>
  <si>
    <t>AF1062</t>
  </si>
  <si>
    <t>サマータイムシンデレラ</t>
  </si>
  <si>
    <t>AF0020</t>
  </si>
  <si>
    <t>AF1037</t>
  </si>
  <si>
    <t>if i ain't got you</t>
  </si>
  <si>
    <t>AC2105</t>
  </si>
  <si>
    <t>边关有我</t>
  </si>
  <si>
    <t>AF0021</t>
  </si>
  <si>
    <t>AF2032</t>
  </si>
  <si>
    <t>Underneath the Stars</t>
  </si>
  <si>
    <t>AF 1001</t>
  </si>
  <si>
    <t>AC2106</t>
  </si>
  <si>
    <t>再见月光</t>
  </si>
  <si>
    <t>AF0022</t>
  </si>
  <si>
    <t>AF2066</t>
  </si>
  <si>
    <t>永遠の不在証明</t>
  </si>
  <si>
    <t>AF 1002</t>
  </si>
  <si>
    <t>叫べ（呐喊吧）</t>
  </si>
  <si>
    <t>AF0023</t>
  </si>
  <si>
    <t>AF2060</t>
  </si>
  <si>
    <t>プレイ</t>
  </si>
  <si>
    <t>AF 1003</t>
  </si>
  <si>
    <t>Black Veil Bride</t>
  </si>
  <si>
    <t>AC2108</t>
  </si>
  <si>
    <t>中华少女・终</t>
  </si>
  <si>
    <t>AF0024</t>
  </si>
  <si>
    <t>AF2031</t>
  </si>
  <si>
    <t>Don't cry</t>
  </si>
  <si>
    <t>AF 1004</t>
  </si>
  <si>
    <t>花降らし</t>
  </si>
  <si>
    <t>AC2109</t>
  </si>
  <si>
    <t>突然的陀螺（原曲：《突然的自我》）</t>
  </si>
  <si>
    <t>AF0025</t>
  </si>
  <si>
    <t>AF1063</t>
  </si>
  <si>
    <t>With Open Arms</t>
  </si>
  <si>
    <t>AF 1005</t>
  </si>
  <si>
    <t>星座になれたら</t>
  </si>
  <si>
    <t>AF0026</t>
  </si>
  <si>
    <t>AF1039</t>
  </si>
  <si>
    <t>Subtle Invitation</t>
  </si>
  <si>
    <t>AF 1006</t>
  </si>
  <si>
    <t>AF0027</t>
  </si>
  <si>
    <t>AF1009</t>
  </si>
  <si>
    <t>DAY BY DAY</t>
  </si>
  <si>
    <t>AF 1007</t>
  </si>
  <si>
    <t>夕立のりぼん</t>
  </si>
  <si>
    <t>AC2112</t>
  </si>
  <si>
    <t>求求你让我玩原神吧！</t>
  </si>
  <si>
    <t>AF0028</t>
  </si>
  <si>
    <t>AF2045</t>
  </si>
  <si>
    <t>Colors of the Wind（风之彩）</t>
  </si>
  <si>
    <t>AF 1008</t>
  </si>
  <si>
    <t>Drive Your Heart</t>
  </si>
  <si>
    <t>AC2113</t>
  </si>
  <si>
    <t>大东北我的家乡（最强音版）</t>
  </si>
  <si>
    <t>AF0029</t>
  </si>
  <si>
    <t>AF2023</t>
  </si>
  <si>
    <t>If I Were a Boy</t>
  </si>
  <si>
    <t>AF 1009</t>
  </si>
  <si>
    <t>AC2114</t>
  </si>
  <si>
    <t>莫负今宵</t>
  </si>
  <si>
    <t>AF0030</t>
  </si>
  <si>
    <t>AF1017</t>
  </si>
  <si>
    <t>忘れじの言の葉</t>
  </si>
  <si>
    <t>AF 1010</t>
  </si>
  <si>
    <t>目覚めぬ彼女の痛みが、癒えますように(愿无法醒来的她的痛苦能够痊愈)</t>
  </si>
  <si>
    <t>AC2115</t>
  </si>
  <si>
    <t>元和未够</t>
  </si>
  <si>
    <t>AF0031</t>
  </si>
  <si>
    <t>AF1020</t>
  </si>
  <si>
    <t>火之涂写</t>
  </si>
  <si>
    <t>AF 1011</t>
  </si>
  <si>
    <t>幻想のサテライト</t>
  </si>
  <si>
    <t>AC2116</t>
  </si>
  <si>
    <t>我想要太多太多</t>
  </si>
  <si>
    <t>AF0032</t>
  </si>
  <si>
    <t>AF1018</t>
  </si>
  <si>
    <t>伽藍如何前零番地</t>
  </si>
  <si>
    <t>AF 1012</t>
  </si>
  <si>
    <t>高音厨音域テスト</t>
  </si>
  <si>
    <t>AC2117</t>
  </si>
  <si>
    <t>断点</t>
  </si>
  <si>
    <t>AF0033</t>
  </si>
  <si>
    <t>AF2046</t>
  </si>
  <si>
    <t>Transpain</t>
  </si>
  <si>
    <t>AF 1013</t>
  </si>
  <si>
    <t>雪花繚乱</t>
  </si>
  <si>
    <t>AC2118</t>
  </si>
  <si>
    <t>惊鹊</t>
  </si>
  <si>
    <t>AF0034</t>
  </si>
  <si>
    <t>AF2025</t>
  </si>
  <si>
    <t>インフェリア（下位者）</t>
  </si>
  <si>
    <t>AF 1014</t>
  </si>
  <si>
    <t>勃◯しちゃいました</t>
  </si>
  <si>
    <t>AC2119</t>
  </si>
  <si>
    <t>天命三国</t>
  </si>
  <si>
    <t>AF0035</t>
  </si>
  <si>
    <t>AF2073</t>
  </si>
  <si>
    <t>I Will Always Love You（我会永远爱你）</t>
  </si>
  <si>
    <t>AF 1015</t>
  </si>
  <si>
    <t>丑角诡械</t>
  </si>
  <si>
    <t>AF0036</t>
  </si>
  <si>
    <t>AF2057</t>
  </si>
  <si>
    <t>JANE DOE</t>
  </si>
  <si>
    <t>AF 1016</t>
  </si>
  <si>
    <t>AC2121</t>
  </si>
  <si>
    <t>地尽头</t>
  </si>
  <si>
    <t>AF0037</t>
  </si>
  <si>
    <t>AF2058</t>
  </si>
  <si>
    <t>逆光</t>
  </si>
  <si>
    <t>AF 1017</t>
  </si>
  <si>
    <t>AF0038</t>
  </si>
  <si>
    <t>AF1032</t>
  </si>
  <si>
    <t>ハヰカラ修羅道</t>
  </si>
  <si>
    <t>AF 1018</t>
  </si>
  <si>
    <t>AF0039</t>
  </si>
  <si>
    <t>AF2072</t>
  </si>
  <si>
    <t>空之箱</t>
  </si>
  <si>
    <t>AF 1019</t>
  </si>
  <si>
    <t>檄!帝国華撃団</t>
  </si>
  <si>
    <t>AF0040</t>
  </si>
  <si>
    <t>AF1036</t>
  </si>
  <si>
    <t>暗黒天国</t>
  </si>
  <si>
    <t>AF 1020</t>
  </si>
  <si>
    <t>AC2125</t>
  </si>
  <si>
    <t>太平</t>
  </si>
  <si>
    <t>AF0041</t>
  </si>
  <si>
    <t>AF2018</t>
  </si>
  <si>
    <t>Killkiss</t>
  </si>
  <si>
    <t>AF 1021</t>
  </si>
  <si>
    <t>ファンサ</t>
  </si>
  <si>
    <t>AF0042</t>
  </si>
  <si>
    <t>AF2003</t>
  </si>
  <si>
    <t>아모르 파티（命运之爱）</t>
  </si>
  <si>
    <t>AF 1022</t>
  </si>
  <si>
    <t>僕が死のうと思ったのは</t>
  </si>
  <si>
    <t>AF0043</t>
  </si>
  <si>
    <t>AF2015</t>
  </si>
  <si>
    <t>ロウワ―（lower one's eyes）</t>
  </si>
  <si>
    <t>AF 1023</t>
  </si>
  <si>
    <t>우리의 푸른 봄에게</t>
  </si>
  <si>
    <t>AF0044</t>
  </si>
  <si>
    <t>AF2034</t>
  </si>
  <si>
    <t>馬鹿の一つ覚え</t>
  </si>
  <si>
    <t>AF 1024</t>
  </si>
  <si>
    <t>ルミナスゲイト</t>
  </si>
  <si>
    <t>AF0045</t>
  </si>
  <si>
    <t>AF2078</t>
  </si>
  <si>
    <t>人生は夢だらけ（人生处处是美梦）</t>
  </si>
  <si>
    <t>AF 1025</t>
  </si>
  <si>
    <t>モザイクロール (Reloaded)</t>
  </si>
  <si>
    <t>AC2130</t>
  </si>
  <si>
    <t>多情岸</t>
  </si>
  <si>
    <t>AF0046</t>
  </si>
  <si>
    <t>AF2068</t>
  </si>
  <si>
    <t>Whiplash</t>
  </si>
  <si>
    <t>AF 1026</t>
  </si>
  <si>
    <t>Bulbel（珠芽）</t>
  </si>
  <si>
    <t>AC2131</t>
  </si>
  <si>
    <t>AF0047</t>
  </si>
  <si>
    <t>AF2011</t>
  </si>
  <si>
    <t>春泥棒</t>
  </si>
  <si>
    <t>AF 1027</t>
  </si>
  <si>
    <t>花びらの刻（花瓣飞舞之时）</t>
  </si>
  <si>
    <t>AF2</t>
  </si>
  <si>
    <t>AF0048</t>
  </si>
  <si>
    <t>AF2039</t>
  </si>
  <si>
    <t>川の流れのように（川流不息）</t>
  </si>
  <si>
    <t>AF 1028</t>
  </si>
  <si>
    <t>MOTHER</t>
  </si>
  <si>
    <t>AF0049</t>
  </si>
  <si>
    <t>AF1067</t>
  </si>
  <si>
    <t>堕天</t>
  </si>
  <si>
    <t>AF 1029</t>
  </si>
  <si>
    <t>福寿草</t>
  </si>
  <si>
    <t>AF0050</t>
  </si>
  <si>
    <t>AF1005</t>
  </si>
  <si>
    <t>AF 1030</t>
  </si>
  <si>
    <t>唄うと死ぬ歌（唱即死之歌）</t>
  </si>
  <si>
    <t>AF2001</t>
  </si>
  <si>
    <t>Away</t>
  </si>
  <si>
    <t>AF0051</t>
  </si>
  <si>
    <t>AF1065</t>
  </si>
  <si>
    <t>ファタール - Fatal</t>
  </si>
  <si>
    <t>AF 1031</t>
  </si>
  <si>
    <t>アンノウン・マザーグース（不为人知的鹅妈妈童谣）</t>
  </si>
  <si>
    <t>AF2002</t>
  </si>
  <si>
    <t>化孵化（KAFUKA）</t>
  </si>
  <si>
    <t>AF0052</t>
  </si>
  <si>
    <t>AF2006</t>
  </si>
  <si>
    <t>BALALAIKA</t>
  </si>
  <si>
    <t>AF 1032</t>
  </si>
  <si>
    <t>AF0053</t>
  </si>
  <si>
    <t>AF2043</t>
  </si>
  <si>
    <t>LEVEL5-judgelight</t>
  </si>
  <si>
    <t>AF 1033</t>
  </si>
  <si>
    <t>十五の月</t>
  </si>
  <si>
    <t>AF2004</t>
  </si>
  <si>
    <t>あのバンド</t>
  </si>
  <si>
    <t>AF0054</t>
  </si>
  <si>
    <t>AF1031</t>
  </si>
  <si>
    <t>アンノウン・マザーグース（不为人知的鹅妈妈童谣）</t>
  </si>
  <si>
    <t>AF 1034</t>
  </si>
  <si>
    <t>wish i could care less</t>
  </si>
  <si>
    <t>AF2005</t>
  </si>
  <si>
    <t>Samson's Tale</t>
  </si>
  <si>
    <t>AF0055</t>
  </si>
  <si>
    <t>AF2038</t>
  </si>
  <si>
    <t>海色</t>
  </si>
  <si>
    <t>AF 1035</t>
  </si>
  <si>
    <t>The Fate of Ophelia</t>
  </si>
  <si>
    <t>AF0056</t>
  </si>
  <si>
    <t>AF1064</t>
  </si>
  <si>
    <t>想い人</t>
  </si>
  <si>
    <t>AF 1036</t>
  </si>
  <si>
    <t>暗黑天国</t>
  </si>
  <si>
    <t>AF2007</t>
  </si>
  <si>
    <t>第六感（THE SIXTH SENSE）</t>
  </si>
  <si>
    <t>AF0057</t>
  </si>
  <si>
    <t>AF1043</t>
  </si>
  <si>
    <t>Vincent</t>
  </si>
  <si>
    <t>AF 1037</t>
  </si>
  <si>
    <t>AF2008</t>
  </si>
  <si>
    <t>GOAT！</t>
  </si>
  <si>
    <t>AF0058</t>
  </si>
  <si>
    <t>AF1047</t>
  </si>
  <si>
    <t>Replica(仿制品)</t>
  </si>
  <si>
    <t>AF 1038</t>
  </si>
  <si>
    <t>Shelter</t>
  </si>
  <si>
    <t>AF0059</t>
  </si>
  <si>
    <t>AF2056</t>
  </si>
  <si>
    <t>There is a reason</t>
  </si>
  <si>
    <t>AF 1039</t>
  </si>
  <si>
    <t>AF2010</t>
  </si>
  <si>
    <t>The Phantom of the Opera</t>
  </si>
  <si>
    <t>SC0</t>
  </si>
  <si>
    <t>AF 1040</t>
  </si>
  <si>
    <t>タクシィ</t>
  </si>
  <si>
    <t>AF 1041</t>
  </si>
  <si>
    <t>날떠난이유（离开我的理由）</t>
  </si>
  <si>
    <t>AF2012</t>
  </si>
  <si>
    <t>大泥棒（大盗）</t>
  </si>
  <si>
    <t>AF 1042</t>
  </si>
  <si>
    <t>怪獣</t>
  </si>
  <si>
    <t>SC0001</t>
  </si>
  <si>
    <t>SC1030</t>
  </si>
  <si>
    <t>云山尽处</t>
  </si>
  <si>
    <t>AF 1043</t>
  </si>
  <si>
    <t>AF2014</t>
  </si>
  <si>
    <t>Komplexe</t>
  </si>
  <si>
    <t>SC0002</t>
  </si>
  <si>
    <t>SC1025</t>
  </si>
  <si>
    <t>聚财咒</t>
  </si>
  <si>
    <t>AF 1044</t>
  </si>
  <si>
    <t>All The Times（咖啡之歌）</t>
  </si>
  <si>
    <t>SC0003</t>
  </si>
  <si>
    <t>SC2043</t>
  </si>
  <si>
    <t>嘉平歌</t>
  </si>
  <si>
    <t>AF 1045</t>
  </si>
  <si>
    <t>パラボラ（抛物线）</t>
  </si>
  <si>
    <t>AF2016</t>
  </si>
  <si>
    <t>未来があるから</t>
  </si>
  <si>
    <t>SC0004</t>
  </si>
  <si>
    <t>SC2028</t>
  </si>
  <si>
    <t>千秋梦</t>
  </si>
  <si>
    <t>AF 1046</t>
  </si>
  <si>
    <t>オメガリズム</t>
  </si>
  <si>
    <t>AF2017</t>
  </si>
  <si>
    <t>転生林檎</t>
  </si>
  <si>
    <t>SC0005</t>
  </si>
  <si>
    <t>SC2003</t>
  </si>
  <si>
    <t>葬花词</t>
  </si>
  <si>
    <t>AF 1047</t>
  </si>
  <si>
    <t>SC0006</t>
  </si>
  <si>
    <t>SC1022</t>
  </si>
  <si>
    <t>AF 1048</t>
  </si>
  <si>
    <t>東京テディベア</t>
  </si>
  <si>
    <t>AF2019</t>
  </si>
  <si>
    <t>告白日和、です!</t>
  </si>
  <si>
    <t>SC0007</t>
  </si>
  <si>
    <t>SC2040</t>
  </si>
  <si>
    <t>问天星不问天</t>
  </si>
  <si>
    <t>AF 1049</t>
  </si>
  <si>
    <t>Sensitive</t>
  </si>
  <si>
    <t>AF2020</t>
  </si>
  <si>
    <t>Metronome</t>
  </si>
  <si>
    <t>SC0008</t>
  </si>
  <si>
    <t>SC1027</t>
  </si>
  <si>
    <t>象人</t>
  </si>
  <si>
    <t>AF 1050</t>
  </si>
  <si>
    <t>初恋日记</t>
  </si>
  <si>
    <t>AF2021</t>
  </si>
  <si>
    <t>三月と狼少年</t>
  </si>
  <si>
    <t>SC0009</t>
  </si>
  <si>
    <t>SC1009</t>
  </si>
  <si>
    <t>人造卫星</t>
  </si>
  <si>
    <t>AF 1051</t>
  </si>
  <si>
    <t>Cynic</t>
  </si>
  <si>
    <t>SC0010</t>
  </si>
  <si>
    <t>SC1008</t>
  </si>
  <si>
    <t>落日来信</t>
  </si>
  <si>
    <t>AF 1052</t>
  </si>
  <si>
    <t>メフィスト</t>
  </si>
  <si>
    <t>SC0011</t>
  </si>
  <si>
    <t>SC2026</t>
  </si>
  <si>
    <t>想见你想见你想见你</t>
  </si>
  <si>
    <t>AF 1053</t>
  </si>
  <si>
    <t>Oynasun</t>
  </si>
  <si>
    <t>SC0012</t>
  </si>
  <si>
    <t>SC1024</t>
  </si>
  <si>
    <t>万象霜天</t>
  </si>
  <si>
    <t>AF 1054</t>
  </si>
  <si>
    <t>SC0013</t>
  </si>
  <si>
    <t>SC2007</t>
  </si>
  <si>
    <t>AF 1055</t>
  </si>
  <si>
    <t>AF2026</t>
  </si>
  <si>
    <t>NOTOK</t>
  </si>
  <si>
    <t>SC0014</t>
  </si>
  <si>
    <t>SC1021</t>
  </si>
  <si>
    <t>别找我麻烦</t>
  </si>
  <si>
    <t>AF 1056</t>
  </si>
  <si>
    <t>25時の情熱（25时的热情）</t>
  </si>
  <si>
    <t>AF2027</t>
  </si>
  <si>
    <t>こちら、幸福安心委員会です。</t>
  </si>
  <si>
    <t>SC0015</t>
  </si>
  <si>
    <t>SC2011</t>
  </si>
  <si>
    <t>三月雨</t>
  </si>
  <si>
    <t>AF 1057</t>
  </si>
  <si>
    <t>bella ciao</t>
  </si>
  <si>
    <t>AF2028</t>
  </si>
  <si>
    <t>暁の车</t>
  </si>
  <si>
    <t>SC0016</t>
  </si>
  <si>
    <t>SC2006</t>
  </si>
  <si>
    <t>底色theory。</t>
  </si>
  <si>
    <t>AF 1058</t>
  </si>
  <si>
    <t>愛♡スクリ～ム！</t>
  </si>
  <si>
    <t>AF2029</t>
  </si>
  <si>
    <t>丸の内サディスティック (丸之内虐待狂)</t>
  </si>
  <si>
    <t>SC0017</t>
  </si>
  <si>
    <t>SC2037</t>
  </si>
  <si>
    <t>刹那芳华</t>
  </si>
  <si>
    <t>AF 1059</t>
  </si>
  <si>
    <t>Live Gloriously</t>
  </si>
  <si>
    <t>AF2030</t>
  </si>
  <si>
    <t>Sugar Sweet Nightmare</t>
  </si>
  <si>
    <t>SC0018</t>
  </si>
  <si>
    <t>SC1013</t>
  </si>
  <si>
    <t>穿林响</t>
  </si>
  <si>
    <t>AF 1060</t>
  </si>
  <si>
    <t>Snow Parade</t>
  </si>
  <si>
    <t>SC0019</t>
  </si>
  <si>
    <t>SC1003</t>
  </si>
  <si>
    <t>END</t>
  </si>
  <si>
    <t>AF 1061</t>
  </si>
  <si>
    <t>君が飛び降りるのならば</t>
  </si>
  <si>
    <t>SC0020</t>
  </si>
  <si>
    <t>SC2032</t>
  </si>
  <si>
    <t>我的美丽</t>
  </si>
  <si>
    <t>AF 1062</t>
  </si>
  <si>
    <t>AF2033</t>
  </si>
  <si>
    <t>浮舟</t>
  </si>
  <si>
    <t>SC0021</t>
  </si>
  <si>
    <t>SC1010</t>
  </si>
  <si>
    <t>AF 1063</t>
  </si>
  <si>
    <t>SC0022</t>
  </si>
  <si>
    <t>SC2020</t>
  </si>
  <si>
    <t>星辰starlight</t>
  </si>
  <si>
    <t>AF 1064</t>
  </si>
  <si>
    <t>AF2035</t>
  </si>
  <si>
    <t>天国と地獄(愛のTVバージョン)</t>
  </si>
  <si>
    <t>SC0023</t>
  </si>
  <si>
    <t>SC2038</t>
  </si>
  <si>
    <t>蝶恋花·槛菊愁烟兰泣露</t>
  </si>
  <si>
    <t>AF 1065</t>
  </si>
  <si>
    <t>AF2036</t>
  </si>
  <si>
    <t>Có Không Giữ Mất Đừng Tìm</t>
  </si>
  <si>
    <t>SC0024</t>
  </si>
  <si>
    <t>SC2017</t>
  </si>
  <si>
    <t>天知河</t>
  </si>
  <si>
    <t>AF 1066</t>
  </si>
  <si>
    <t>結婚行進曲</t>
  </si>
  <si>
    <t>AF2037</t>
  </si>
  <si>
    <t>Come What May</t>
  </si>
  <si>
    <t>SC0025</t>
  </si>
  <si>
    <t>SC2046</t>
  </si>
  <si>
    <t>世上只有妈妈好</t>
  </si>
  <si>
    <t>AF 1067</t>
  </si>
  <si>
    <t>SC0026</t>
  </si>
  <si>
    <t>SC1031</t>
  </si>
  <si>
    <t>天后</t>
  </si>
  <si>
    <t>AF 1068</t>
  </si>
  <si>
    <t>青的红的皂的白的</t>
  </si>
  <si>
    <t>SC0027</t>
  </si>
  <si>
    <t>SC1005</t>
  </si>
  <si>
    <t>易安难安</t>
  </si>
  <si>
    <t>AF 1069</t>
  </si>
  <si>
    <t>Hit Me Up</t>
  </si>
  <si>
    <t>SC0028</t>
  </si>
  <si>
    <t>SC2014</t>
  </si>
  <si>
    <t>逃开夜幕</t>
  </si>
  <si>
    <t>AF 1070</t>
  </si>
  <si>
    <t>AF2041</t>
  </si>
  <si>
    <t>Ready to Rock</t>
  </si>
  <si>
    <t>SC0029</t>
  </si>
  <si>
    <t>SC2036</t>
  </si>
  <si>
    <t>道道山</t>
  </si>
  <si>
    <t>AF 1071</t>
  </si>
  <si>
    <t>丸ノ内サディスティック(丸之内虐待狂)</t>
  </si>
  <si>
    <t>AF2042</t>
  </si>
  <si>
    <t>If Only You'd Love Me Again</t>
  </si>
  <si>
    <t>SF0</t>
  </si>
  <si>
    <t>SC1</t>
  </si>
  <si>
    <t>AF2044</t>
  </si>
  <si>
    <t>恋の魔球</t>
  </si>
  <si>
    <t>SF0001</t>
  </si>
  <si>
    <t>SF1043</t>
  </si>
  <si>
    <t>箱庭の夢</t>
  </si>
  <si>
    <t>SC 1001</t>
  </si>
  <si>
    <t>财神到</t>
  </si>
  <si>
    <t>SC开篇就是新年财神到，大家新年发大财呀！</t>
  </si>
  <si>
    <t>SF0002</t>
  </si>
  <si>
    <t>SF2015</t>
  </si>
  <si>
    <t>ロストワンの号哭（Lost One的号哭）</t>
  </si>
  <si>
    <t>SC 1002</t>
  </si>
  <si>
    <t>你若三冬（DJ版将军の小曲）</t>
  </si>
  <si>
    <t>AF2047</t>
  </si>
  <si>
    <t>Better off worse</t>
  </si>
  <si>
    <t>SF0003</t>
  </si>
  <si>
    <t>SF2024</t>
  </si>
  <si>
    <t>法螺话</t>
  </si>
  <si>
    <t>SC 1003</t>
  </si>
  <si>
    <t>AF2048</t>
  </si>
  <si>
    <t>貰い火傷</t>
  </si>
  <si>
    <t>SF0004</t>
  </si>
  <si>
    <t>SF1027</t>
  </si>
  <si>
    <t>月光潤色ガール</t>
  </si>
  <si>
    <t>SC 1004</t>
  </si>
  <si>
    <t>离岛之歌</t>
  </si>
  <si>
    <t>SF0005</t>
  </si>
  <si>
    <t>SF2025</t>
  </si>
  <si>
    <t>창귀（伥鬼）</t>
  </si>
  <si>
    <t>SC 1005</t>
  </si>
  <si>
    <t>AF2050</t>
  </si>
  <si>
    <t>LA FAMA(LIVE ver.)</t>
  </si>
  <si>
    <t>SF0006</t>
  </si>
  <si>
    <t>SF2020</t>
  </si>
  <si>
    <t>SC 1006</t>
  </si>
  <si>
    <t>AF2051</t>
  </si>
  <si>
    <t>If You Leave Me Now</t>
  </si>
  <si>
    <t>SF0007</t>
  </si>
  <si>
    <t>SF2030</t>
  </si>
  <si>
    <t>げのげ（最烂）</t>
  </si>
  <si>
    <t>SC 1007</t>
  </si>
  <si>
    <t>呓语</t>
  </si>
  <si>
    <t>SF0008</t>
  </si>
  <si>
    <t>SF1023</t>
  </si>
  <si>
    <t>一分間だけください（请就给我一分钟）</t>
  </si>
  <si>
    <t>SC 1008</t>
  </si>
  <si>
    <t>AF2053</t>
  </si>
  <si>
    <t>vampire</t>
  </si>
  <si>
    <t>SF0009</t>
  </si>
  <si>
    <t>SF1019</t>
  </si>
  <si>
    <t>唱 / Show</t>
  </si>
  <si>
    <t>SC 1009</t>
  </si>
  <si>
    <t>AF2054</t>
  </si>
  <si>
    <t>Numb</t>
  </si>
  <si>
    <t>SF0010</t>
  </si>
  <si>
    <t>SF1024</t>
  </si>
  <si>
    <t>Falling Into Eternity</t>
  </si>
  <si>
    <t>SC 1010</t>
  </si>
  <si>
    <t>AF2055</t>
  </si>
  <si>
    <t>Dear My</t>
  </si>
  <si>
    <t>SF0011</t>
  </si>
  <si>
    <t>SF1036</t>
  </si>
  <si>
    <t>KISSIN' CLAW</t>
  </si>
  <si>
    <t>SC 1011</t>
  </si>
  <si>
    <t>做个文明舞萌人</t>
  </si>
  <si>
    <t>SF0012</t>
  </si>
  <si>
    <t>SF1026</t>
  </si>
  <si>
    <t>Misery</t>
  </si>
  <si>
    <t>SC 1012</t>
  </si>
  <si>
    <t>Зоопарк</t>
  </si>
  <si>
    <t>SF0013</t>
  </si>
  <si>
    <t>SF2005</t>
  </si>
  <si>
    <t>水族館で会いましょう（在水族馆见面吧）</t>
  </si>
  <si>
    <t>SC 1013</t>
  </si>
  <si>
    <t>SF0014</t>
  </si>
  <si>
    <t>SF1025</t>
  </si>
  <si>
    <t>SC 1014</t>
  </si>
  <si>
    <t>极昼之下</t>
  </si>
  <si>
    <t>AF2059</t>
  </si>
  <si>
    <t>Wake Up， Get Up， Get Out There</t>
  </si>
  <si>
    <t>SF0015</t>
  </si>
  <si>
    <t>SF1037</t>
  </si>
  <si>
    <t>恋をしているみたいなの</t>
  </si>
  <si>
    <t>SC 1015</t>
  </si>
  <si>
    <t>泥汤</t>
  </si>
  <si>
    <t>SF0016</t>
  </si>
  <si>
    <t>SF2034</t>
  </si>
  <si>
    <t>かなしみのなみにおぼれる（伤潮溺亡）</t>
  </si>
  <si>
    <t>SC 1016</t>
  </si>
  <si>
    <t>十年</t>
  </si>
  <si>
    <t>AF2061</t>
  </si>
  <si>
    <t>wood</t>
  </si>
  <si>
    <t>SF0017</t>
  </si>
  <si>
    <t>SF1011</t>
  </si>
  <si>
    <t>アフターエポックス</t>
  </si>
  <si>
    <t>SC 1017</t>
  </si>
  <si>
    <t>零和Zero-Sum</t>
  </si>
  <si>
    <t>AF2062</t>
  </si>
  <si>
    <t>O.0w0.O</t>
  </si>
  <si>
    <t>SF0018</t>
  </si>
  <si>
    <t>SF2007</t>
  </si>
  <si>
    <t>Awaken</t>
  </si>
  <si>
    <t>SC 1018</t>
  </si>
  <si>
    <t>好冷啊！！！</t>
  </si>
  <si>
    <t>AF2063</t>
  </si>
  <si>
    <t>竹</t>
  </si>
  <si>
    <t>SF0019</t>
  </si>
  <si>
    <t>SF1041</t>
  </si>
  <si>
    <t>狭心症</t>
  </si>
  <si>
    <t>SC 1019</t>
  </si>
  <si>
    <t>泡沫买卖</t>
  </si>
  <si>
    <t>SF0020</t>
  </si>
  <si>
    <t>SF2033</t>
  </si>
  <si>
    <t>冬の花</t>
  </si>
  <si>
    <t>SC 1020</t>
  </si>
  <si>
    <t>AF2065</t>
  </si>
  <si>
    <t>栞（TV size）</t>
  </si>
  <si>
    <t>SF0021</t>
  </si>
  <si>
    <t>SF2012</t>
  </si>
  <si>
    <t>多次元宇宙融合論（多次元宇宙融合论）</t>
  </si>
  <si>
    <t>SC 1021</t>
  </si>
  <si>
    <t>SF0022</t>
  </si>
  <si>
    <t>SF1012</t>
  </si>
  <si>
    <t>ウルフィズム（狼主义）</t>
  </si>
  <si>
    <t>SC 1022</t>
  </si>
  <si>
    <t>AF2067</t>
  </si>
  <si>
    <t>三日月ステップ（三日月 step）</t>
  </si>
  <si>
    <t>SF0023</t>
  </si>
  <si>
    <t>SF2043</t>
  </si>
  <si>
    <t>马</t>
  </si>
  <si>
    <t>SC 1023</t>
  </si>
  <si>
    <t>SF0024</t>
  </si>
  <si>
    <t>SF1028</t>
  </si>
  <si>
    <t>ビターエチュード</t>
  </si>
  <si>
    <t>SC 1024</t>
  </si>
  <si>
    <t>AF2069</t>
  </si>
  <si>
    <t>Billie Jean</t>
  </si>
  <si>
    <t>SF0025</t>
  </si>
  <si>
    <t>SF2017</t>
  </si>
  <si>
    <t>愛するように</t>
  </si>
  <si>
    <t>SC 1025</t>
  </si>
  <si>
    <t>AF2070</t>
  </si>
  <si>
    <t>I Will Always Love You</t>
  </si>
  <si>
    <t>SF0026</t>
  </si>
  <si>
    <t>SF1040</t>
  </si>
  <si>
    <t>コヨーテエンゴースト</t>
  </si>
  <si>
    <t>SC 1026</t>
  </si>
  <si>
    <t>江南</t>
  </si>
  <si>
    <t>AF2071</t>
  </si>
  <si>
    <t>さよーならまたいつか</t>
  </si>
  <si>
    <t>SF0027</t>
  </si>
  <si>
    <t>SF2014</t>
  </si>
  <si>
    <t>ダーリン</t>
  </si>
  <si>
    <t>SC 1027</t>
  </si>
  <si>
    <t>SF0028</t>
  </si>
  <si>
    <t>SF2032</t>
  </si>
  <si>
    <t>最偉大的作品（花丸はれる Ver.）</t>
  </si>
  <si>
    <t>SC 1028</t>
  </si>
  <si>
    <t>弈</t>
  </si>
  <si>
    <t>SF0029</t>
  </si>
  <si>
    <t>SF2028</t>
  </si>
  <si>
    <t>愛して愛して愛して</t>
  </si>
  <si>
    <t>SC 1029</t>
  </si>
  <si>
    <t>阿弥陀佛头摇摇</t>
  </si>
  <si>
    <t>SF0030</t>
  </si>
  <si>
    <t>SF1001</t>
  </si>
  <si>
    <t>さよならは欺瞞だ、ずっと痛かった（再见只是谎言、痛苦从未停歇）</t>
  </si>
  <si>
    <t>SC 1030</t>
  </si>
  <si>
    <t>AF2075</t>
  </si>
  <si>
    <t>unknown mother goose</t>
  </si>
  <si>
    <t>SF0031</t>
  </si>
  <si>
    <t>SF2039</t>
  </si>
  <si>
    <t>Saloon</t>
  </si>
  <si>
    <t>SC 1031</t>
  </si>
  <si>
    <t>AF2076</t>
  </si>
  <si>
    <t>Mizlecca</t>
  </si>
  <si>
    <t>SF0032</t>
  </si>
  <si>
    <t>SF1044</t>
  </si>
  <si>
    <t>自主</t>
  </si>
  <si>
    <t>SC 1032</t>
  </si>
  <si>
    <t>SF0033</t>
  </si>
  <si>
    <t>SF1032</t>
  </si>
  <si>
    <t>SC 1033</t>
  </si>
  <si>
    <t>一路生花</t>
  </si>
  <si>
    <t>人生は夢だらけ（人生处处是美梦）</t>
  </si>
  <si>
    <t>SF0034</t>
  </si>
  <si>
    <t>SF2002</t>
  </si>
  <si>
    <t>X</t>
  </si>
  <si>
    <t>SC 1034</t>
  </si>
  <si>
    <t>烟雨行舟</t>
  </si>
  <si>
    <t>AF2079</t>
  </si>
  <si>
    <t>Out of Love</t>
  </si>
  <si>
    <t>SF0035</t>
  </si>
  <si>
    <t>SF2041</t>
  </si>
  <si>
    <t>人魚の夢（人鱼之梦）</t>
  </si>
  <si>
    <t>SC 1035</t>
  </si>
  <si>
    <t>在意你</t>
  </si>
  <si>
    <t>AF2080</t>
  </si>
  <si>
    <t>Singin' In The Rain（雨中曲）</t>
  </si>
  <si>
    <t>SF0036</t>
  </si>
  <si>
    <t>SF2003</t>
  </si>
  <si>
    <t>Blurry Love</t>
  </si>
  <si>
    <t>SC 1036</t>
  </si>
  <si>
    <t>虞兮叹</t>
  </si>
  <si>
    <t>AF2081</t>
  </si>
  <si>
    <t>不爱我，就去死吧（Умри， если меня не любишь）</t>
  </si>
  <si>
    <t>SC 1037</t>
  </si>
  <si>
    <t>恋人心</t>
  </si>
  <si>
    <t>AF2082</t>
  </si>
  <si>
    <t>Careless Whisper</t>
  </si>
  <si>
    <t>SC 1038</t>
  </si>
  <si>
    <t>九万字</t>
  </si>
  <si>
    <t>AF2083</t>
  </si>
  <si>
    <t>一首还没有歌名的秋日小民谣</t>
  </si>
  <si>
    <t>SC 1039</t>
  </si>
  <si>
    <t>红红的蔷薇柏柏的玫瑰</t>
  </si>
  <si>
    <t>AF2084</t>
  </si>
  <si>
    <t>404 not found</t>
  </si>
  <si>
    <t>SF1</t>
  </si>
  <si>
    <t>AF2085</t>
  </si>
  <si>
    <t>AF2086</t>
  </si>
  <si>
    <t>Bluebird</t>
  </si>
  <si>
    <t>AF2087</t>
  </si>
  <si>
    <t>春となり</t>
  </si>
  <si>
    <t>SF 1001</t>
  </si>
  <si>
    <t>AF2088</t>
  </si>
  <si>
    <t>"Fly, My Wings"</t>
  </si>
  <si>
    <t>SF 1002</t>
  </si>
  <si>
    <t>トンデモワンダーズ（不可思议的wonders）</t>
  </si>
  <si>
    <t>AF2089</t>
  </si>
  <si>
    <t>花映「タマシイノハナ」（花映「魂之花」）</t>
  </si>
  <si>
    <t>SF 1003</t>
  </si>
  <si>
    <t>Summering</t>
  </si>
  <si>
    <t>SF 1004</t>
  </si>
  <si>
    <t>天国</t>
  </si>
  <si>
    <t>SC2</t>
  </si>
  <si>
    <t>SF 1005</t>
  </si>
  <si>
    <t>망상감상대상연맹（妄想感伤代偿联盟）</t>
  </si>
  <si>
    <t>SF 1006</t>
  </si>
  <si>
    <t>バラ色の日々</t>
  </si>
  <si>
    <t>SF 1007</t>
  </si>
  <si>
    <t>SC2001</t>
  </si>
  <si>
    <t>❖阿耳忒弥斯的飞蛾❖</t>
  </si>
  <si>
    <t>SF 1008</t>
  </si>
  <si>
    <t>GOOD DAY.</t>
  </si>
  <si>
    <t>SC2002</t>
  </si>
  <si>
    <t>黑凤梨</t>
  </si>
  <si>
    <t>SF 1009</t>
  </si>
  <si>
    <t>恋爱的迪斯科女王</t>
  </si>
  <si>
    <t>SF 1010</t>
  </si>
  <si>
    <t>味噌汁とバター</t>
  </si>
  <si>
    <t>SC2004</t>
  </si>
  <si>
    <t>聘书</t>
  </si>
  <si>
    <t>SF 1011</t>
  </si>
  <si>
    <t>SC2005</t>
  </si>
  <si>
    <t>SF 1012</t>
  </si>
  <si>
    <t>底色 theory。</t>
  </si>
  <si>
    <t>SF 1013</t>
  </si>
  <si>
    <t>ブラインド・エゴイスト</t>
  </si>
  <si>
    <t>SF 1014</t>
  </si>
  <si>
    <t>メーベル</t>
  </si>
  <si>
    <t>SC2008</t>
  </si>
  <si>
    <t>SF 1015</t>
  </si>
  <si>
    <t>Crucifix X</t>
  </si>
  <si>
    <t>SC2009</t>
  </si>
  <si>
    <t>英雄主义</t>
  </si>
  <si>
    <t>SF 1016</t>
  </si>
  <si>
    <t>吸って、吐く</t>
  </si>
  <si>
    <t>SC2010</t>
  </si>
  <si>
    <t>刀剑如梦</t>
  </si>
  <si>
    <t>SF 1017</t>
  </si>
  <si>
    <t>色は匂へど散りぬるを</t>
  </si>
  <si>
    <t>SF 1018</t>
  </si>
  <si>
    <t>さよならプリンセス</t>
  </si>
  <si>
    <t>SC2012</t>
  </si>
  <si>
    <t>SF 1019</t>
  </si>
  <si>
    <t>SC2013</t>
  </si>
  <si>
    <t>四风判词</t>
  </si>
  <si>
    <t>SF 1020</t>
  </si>
  <si>
    <t>ただ病名が欲しかった</t>
  </si>
  <si>
    <t>SF 1021</t>
  </si>
  <si>
    <t>夢と葉桜</t>
  </si>
  <si>
    <t>SC2015</t>
  </si>
  <si>
    <t>DawnBreaker（我们生而眺望）</t>
  </si>
  <si>
    <t>SF 1022</t>
  </si>
  <si>
    <t>lulu.</t>
  </si>
  <si>
    <t>SC2016</t>
  </si>
  <si>
    <t>我的防御</t>
  </si>
  <si>
    <t>SF 1023</t>
  </si>
  <si>
    <t>SF 1024</t>
  </si>
  <si>
    <t>SC2018</t>
  </si>
  <si>
    <t>世末歌者</t>
  </si>
  <si>
    <t>SF 1025</t>
  </si>
  <si>
    <t>SC2019</t>
  </si>
  <si>
    <t>辟浪</t>
  </si>
  <si>
    <t>SF 1026</t>
  </si>
  <si>
    <t>SF 1027</t>
  </si>
  <si>
    <t>月光润色ガール</t>
  </si>
  <si>
    <t>SC2021</t>
  </si>
  <si>
    <t>Believe</t>
  </si>
  <si>
    <t>再也不敢乱糊flags了😭</t>
  </si>
  <si>
    <t>SF 1028</t>
  </si>
  <si>
    <t>SC2022</t>
  </si>
  <si>
    <t>富士山下</t>
  </si>
  <si>
    <t>SF 1029</t>
  </si>
  <si>
    <t>夢の国</t>
  </si>
  <si>
    <t>SC2023</t>
  </si>
  <si>
    <t>默</t>
  </si>
  <si>
    <t>SF 1030</t>
  </si>
  <si>
    <t>SC2024</t>
  </si>
  <si>
    <t>恋爱困难少女</t>
  </si>
  <si>
    <t>SF 1031</t>
  </si>
  <si>
    <t>フィクション</t>
  </si>
  <si>
    <t>SC2025</t>
  </si>
  <si>
    <t>弥渡山歌 (PHONK)</t>
  </si>
  <si>
    <t>SF 1032</t>
  </si>
  <si>
    <t>SF 1033</t>
  </si>
  <si>
    <t>アヤノの幸福理論</t>
  </si>
  <si>
    <t>SC2027</t>
  </si>
  <si>
    <t>山雀</t>
  </si>
  <si>
    <t>SF 1034</t>
  </si>
  <si>
    <t>Hearts</t>
  </si>
  <si>
    <t>SF 1035</t>
  </si>
  <si>
    <t>ミジ子の恋（水蚤之恋）</t>
  </si>
  <si>
    <t>SC2029</t>
  </si>
  <si>
    <t>要</t>
  </si>
  <si>
    <t>SF 1036</t>
  </si>
  <si>
    <t>SC2030</t>
  </si>
  <si>
    <t>小美满</t>
  </si>
  <si>
    <t>SF 1037</t>
  </si>
  <si>
    <t>SC2031</t>
  </si>
  <si>
    <t>贝加尔湖畔</t>
  </si>
  <si>
    <t>SF 1038</t>
  </si>
  <si>
    <t>はぐ</t>
  </si>
  <si>
    <t>SF 1039</t>
  </si>
  <si>
    <t>凤仙花（Balasm）</t>
  </si>
  <si>
    <t>SC2033</t>
  </si>
  <si>
    <t>一人行者</t>
  </si>
  <si>
    <t>SF 1040</t>
  </si>
  <si>
    <t>SC2034</t>
  </si>
  <si>
    <t>灾厄之时</t>
  </si>
  <si>
    <t>SF 1041</t>
  </si>
  <si>
    <t>SC2035</t>
  </si>
  <si>
    <t>家是本</t>
  </si>
  <si>
    <t>SF 1042</t>
  </si>
  <si>
    <t>不死身ごっこ（不死身游戏）</t>
  </si>
  <si>
    <t>SF 1043</t>
  </si>
  <si>
    <t>SF 1044</t>
  </si>
  <si>
    <t>SF 1045</t>
  </si>
  <si>
    <t>Puzzle / パズル</t>
  </si>
  <si>
    <t>SC2039</t>
  </si>
  <si>
    <t>双抛桥</t>
  </si>
  <si>
    <t>SC2041</t>
  </si>
  <si>
    <t>蝉眠夏至</t>
  </si>
  <si>
    <t>SC2042</t>
  </si>
  <si>
    <t>铝黄瓜（Алюминиевые огурцы）</t>
  </si>
  <si>
    <t>SC2044</t>
  </si>
  <si>
    <t>失谐</t>
  </si>
  <si>
    <t>SC2045</t>
  </si>
  <si>
    <t>SF2</t>
  </si>
  <si>
    <t>SF2001</t>
  </si>
  <si>
    <t>숨바꼭질</t>
  </si>
  <si>
    <t>SF2004</t>
  </si>
  <si>
    <t>SAIKAI</t>
  </si>
  <si>
    <t>SF2006</t>
  </si>
  <si>
    <t>星座みたいに繋がれて</t>
  </si>
  <si>
    <t>SF2008</t>
  </si>
  <si>
    <t>Snow Song Show</t>
  </si>
  <si>
    <t>SF2009</t>
  </si>
  <si>
    <t>My Dream Girls</t>
  </si>
  <si>
    <t>SF2010</t>
  </si>
  <si>
    <t>秋笺</t>
  </si>
  <si>
    <t>SF2011</t>
  </si>
  <si>
    <t>春日影</t>
  </si>
  <si>
    <t>SF2013</t>
  </si>
  <si>
    <t>ロストワンの号哭（Lost One 的号哭）</t>
  </si>
  <si>
    <t>SF2016</t>
  </si>
  <si>
    <t>水槽の街から</t>
  </si>
  <si>
    <t>SF2018</t>
  </si>
  <si>
    <t>キャラルラ</t>
  </si>
  <si>
    <t>SF2019</t>
  </si>
  <si>
    <t>UNO</t>
  </si>
  <si>
    <t>SF2021</t>
  </si>
  <si>
    <t>病み垢ステロイド</t>
  </si>
  <si>
    <t>SF2022</t>
  </si>
  <si>
    <t>愛のCoda</t>
  </si>
  <si>
    <t>SF2023</t>
  </si>
  <si>
    <t>Chururira Chururira Daddadda!</t>
  </si>
  <si>
    <t>SF2026</t>
  </si>
  <si>
    <t>炉心融解</t>
  </si>
  <si>
    <t>SF2027</t>
  </si>
  <si>
    <t>獣ゆく細道</t>
  </si>
  <si>
    <t>SF2029</t>
  </si>
  <si>
    <t>Scattered Glass</t>
  </si>
  <si>
    <t>SF2031</t>
  </si>
  <si>
    <t>あだぽしゃ</t>
  </si>
  <si>
    <t>SF2035</t>
  </si>
  <si>
    <t>耀斑</t>
  </si>
  <si>
    <t>SF2036</t>
  </si>
  <si>
    <t>全部夢だった！</t>
  </si>
  <si>
    <t>SF2037</t>
  </si>
  <si>
    <t xml:space="preserve">天才ロック(天才搖滾) </t>
  </si>
  <si>
    <t>SF2038</t>
  </si>
  <si>
    <t>サマータイムレコード</t>
  </si>
  <si>
    <t>SF2040</t>
  </si>
  <si>
    <t>泡沫、そのまほろば</t>
  </si>
  <si>
    <t>SF2042</t>
  </si>
  <si>
    <t>もぬけのからだ（蜕皮之躯）</t>
  </si>
  <si>
    <t>SF2044</t>
  </si>
  <si>
    <t>私は最強</t>
  </si>
  <si>
    <t>作者及其留言</t>
  </si>
  <si>
    <t>木叶</t>
  </si>
  <si>
    <t>空诩，谢谢大家喜欢</t>
  </si>
  <si>
    <t>谙哥</t>
  </si>
  <si>
    <t>720祝老婆们杏生活愉快🥹</t>
  </si>
  <si>
    <t>临江有山</t>
  </si>
  <si>
    <t>空诩，对不起我自己觉得不该进决赛的</t>
  </si>
  <si>
    <t>星空</t>
  </si>
  <si>
    <t>苍梧_abilrue</t>
  </si>
  <si>
    <t>不朽之言</t>
  </si>
  <si>
    <t>SYnCrona
给张草票求求了😭</t>
  </si>
  <si>
    <t>请我喝奶茶就给☝️</t>
  </si>
  <si>
    <t>阿昆达</t>
  </si>
  <si>
    <t>投草票给梦影喵 投草票给梦影谢谢喵</t>
  </si>
  <si>
    <t>修复了雀河咬字不包准的问题（什</t>
  </si>
  <si>
    <t>蒸汽皿</t>
  </si>
  <si>
    <t>しょりん</t>
  </si>
  <si>
    <t>空诩，最满意这首了……</t>
  </si>
  <si>
    <t>和和</t>
  </si>
  <si>
    <t>水母</t>
  </si>
  <si>
    <t>IM-AGINE_落雪</t>
  </si>
  <si>
    <t>落雪～下次不因为声库就选这么大的歌了qwq</t>
  </si>
  <si>
    <t>呆呆丶P神人制作，求草票，咕咕嘎嘎！</t>
  </si>
  <si>
    <t>空诩，6h滑铲进决赛谢谢大家</t>
  </si>
  <si>
    <t>蓝婉元漪</t>
  </si>
  <si>
    <t>⏣</t>
  </si>
  <si>
    <t>蒸汽皿（请期待重置版谢谢喵）</t>
  </si>
  <si>
    <t>白烁</t>
  </si>
  <si>
    <t>天依依依p</t>
  </si>
  <si>
    <t>Z-e-r-oP</t>
  </si>
  <si>
    <t>水龙头</t>
  </si>
  <si>
    <t>洛叶</t>
  </si>
  <si>
    <t>懒</t>
  </si>
  <si>
    <t>杯</t>
  </si>
  <si>
    <t>空诩 请助力主包草榜前五谢谢喵</t>
  </si>
  <si>
    <t>Hozuki_あやめ</t>
  </si>
  <si>
    <t>雨森优希：请支持时之歌以前的歌谢谢喵</t>
  </si>
  <si>
    <t>临江有山：别骂了别骂了，有没有苏州人瑞平一下发音啊</t>
  </si>
  <si>
    <t>夜暗幽魂</t>
  </si>
  <si>
    <t>X-Ray</t>
  </si>
  <si>
    <t>劳尔Blawn</t>
  </si>
  <si>
    <t>檐下猫</t>
  </si>
  <si>
    <t>七瀬みきや:大海啊你全是水</t>
  </si>
  <si>
    <t>这个也是梦影orz</t>
  </si>
  <si>
    <t>小猫娘</t>
  </si>
  <si>
    <t>←快要忘记此人本名叫松海出英豪</t>
  </si>
  <si>
    <t>John_Em</t>
  </si>
  <si>
    <t>中颖微华：天河弈真神曲吧！</t>
  </si>
  <si>
    <t>七瀬みきや:门没锁耶~</t>
  </si>
  <si>
    <t>正十字</t>
  </si>
  <si>
    <t>Periberry 第一次参赛你们给我张挺好票吧😭</t>
  </si>
  <si>
    <t>每年都说不调东方的中颖微华P来了</t>
  </si>
  <si>
    <t>空诩，谢谢大家喜欢我清华懵赢匹</t>
  </si>
  <si>
    <t>PADDLINGPADDLE as 我也要调吗 在线求草票</t>
  </si>
  <si>
    <t>MirroredVoid</t>
  </si>
  <si>
    <t>夏拉密</t>
  </si>
  <si>
    <t>新一威尔特</t>
  </si>
  <si>
    <t>krvspt</t>
  </si>
  <si>
    <t>旱鸭子</t>
  </si>
  <si>
    <t>KalonTonics﻿</t>
  </si>
  <si>
    <t>千千浅秋</t>
  </si>
  <si>
    <t>云森之处</t>
  </si>
  <si>
    <t>PADDLINGPADDLE</t>
  </si>
  <si>
    <t>中颖微华：乌蒙神曲神谱 都来打——</t>
  </si>
  <si>
    <t>七瀬みきや</t>
  </si>
  <si>
    <t>メフィスト（梅菲斯特）</t>
  </si>
  <si>
    <t>河堤幽梦</t>
  </si>
  <si>
    <t>TBK我不是故意写错的啊！网易云伴奏坑我！</t>
  </si>
  <si>
    <t>N613</t>
  </si>
  <si>
    <t>赫尔森</t>
  </si>
  <si>
    <t>IMAGINE_LUOXUE_分个草票谢谢喵（没看过lrc中翻的都去看！（被打</t>
  </si>
  <si>
    <t>肉食系P</t>
  </si>
  <si>
    <t>梦影</t>
  </si>
  <si>
    <t>-11℃</t>
  </si>
  <si>
    <t>Light_Lawliet</t>
  </si>
  <si>
    <t>雨森优希</t>
  </si>
  <si>
    <t>PADDLINGPADDLE as AAA抹茶芭菲批发</t>
  </si>
  <si>
    <t>夏拉密，我宣布我是v吧调音赛第一首trot</t>
  </si>
  <si>
    <t>■■■■■■■■■/螭柏 （其实我调了一大堆参数（）但为什么听起来像无参咕…）</t>
  </si>
  <si>
    <t>我是2036年的中颖微华P，成绩单出了吗</t>
  </si>
  <si>
    <t>akd</t>
  </si>
  <si>
    <t>雪下li如碧</t>
  </si>
  <si>
    <t>_负者_</t>
  </si>
  <si>
    <t>Ark</t>
  </si>
  <si>
    <t>krvspt 萌新求票😭</t>
  </si>
  <si>
    <t>时津泪</t>
  </si>
  <si>
    <t>薏米</t>
  </si>
  <si>
    <t>happy：请助力今年幻晓伊十周年谢谢（）</t>
  </si>
  <si>
    <t>雨森优希：请助力今年幻晓伊十周年谢谢（复读）</t>
  </si>
  <si>
    <t>语老二</t>
  </si>
  <si>
    <t>七瀬みきや:练习时间长达一周的svstd萌新来袭👊🏻</t>
  </si>
  <si>
    <t>アドミンP</t>
  </si>
  <si>
    <t>PADDLINGPADDLE aka 不打瓦，真的 aka 对不起对不起对不起😭</t>
  </si>
  <si>
    <t>糯米</t>
  </si>
  <si>
    <t>十亿光年0707</t>
  </si>
  <si>
    <t>早起又是好天气-</t>
  </si>
  <si>
    <t>立葵_Tachi</t>
  </si>
  <si>
    <t>雨森优希：你是谁请支持永咲家无生物</t>
  </si>
  <si>
    <t>我真的只是XP大爆发了才这么调的我平时不这么调的你们相信我</t>
  </si>
  <si>
    <t>Akd</t>
  </si>
  <si>
    <t>👊</t>
  </si>
  <si>
    <t>小叶增森</t>
  </si>
  <si>
    <t>临江有山：德不配位这一块</t>
  </si>
  <si>
    <t>调得挺好的就是拆太碎了！！</t>
  </si>
  <si>
    <t>尼古拉车夫斯基</t>
  </si>
  <si>
    <t>复活不了一点（）</t>
  </si>
  <si>
    <t>左边是南宫老师给的票，右边是檐下猫的简短点评，以调教为主评分，混音占比会比较小，B+代表靠近B,A-代表靠近A</t>
  </si>
  <si>
    <t>虚拟一倍</t>
  </si>
  <si>
    <t>虚拟三倍</t>
  </si>
  <si>
    <t>草</t>
  </si>
  <si>
    <t>南宫评</t>
  </si>
  <si>
    <t>猫评</t>
  </si>
  <si>
    <t>猫评语</t>
  </si>
  <si>
    <t>一倍</t>
  </si>
  <si>
    <t>三倍</t>
  </si>
  <si>
    <t>猫留言</t>
  </si>
  <si>
    <t>好特别的音色……这是谁？</t>
  </si>
  <si>
    <t>C+</t>
  </si>
  <si>
    <t>很有特点的音色，但是呢，发音又很奇怪</t>
  </si>
  <si>
    <t>没有技巧 全是感情……？</t>
  </si>
  <si>
    <t>仙品/极品/没有技巧全是感情</t>
  </si>
  <si>
    <t>“万般流连”的万疑似钢琴缝了（有好几处）</t>
  </si>
  <si>
    <t>B+</t>
  </si>
  <si>
    <t>转音还可以再丰富一点，音色没有足够穿透力</t>
  </si>
  <si>
    <t>嘉然而止（？）我个人觉得 男声一直的假声 如果是我会把真假声的对比做多一点（？）</t>
  </si>
  <si>
    <t>太短了，和我一样，谁最狂这一句转音很细腻，整体听感很好</t>
  </si>
  <si>
    <t>律动感可以更好一点 会更体现出这首歌活泼的感觉</t>
  </si>
  <si>
    <t>天依唱这个还是挺合适的,但是处理上，减少了声音的欢脱性，个别字动态还有待商榷</t>
  </si>
  <si>
    <t>感觉音尾更干脆一些 会更符合活泼的气氛一点</t>
  </si>
  <si>
    <t>C</t>
  </si>
  <si>
    <t>很喜庆，但是有比较明显的混音问题，整体听感欠佳，调教中规中矩</t>
  </si>
  <si>
    <t>这个声线……非常有穿透力了……我是广东人 我不给投草</t>
  </si>
  <si>
    <t>调教更激进一些 更多一些顿挫感会更好（？）</t>
  </si>
  <si>
    <t>平平淡淡</t>
  </si>
  <si>
    <t>技术很到位 跨语种辛苦了</t>
  </si>
  <si>
    <t>细节很丰富，很好听</t>
  </si>
  <si>
    <t>（X）</t>
  </si>
  <si>
    <t>配色好看 好可爱~语感很好 个人感觉可以更激进一点（？）张弛的感觉可以更突出一点（？）</t>
  </si>
  <si>
    <t>A-</t>
  </si>
  <si>
    <t>调教比较细腻，个别句的在伴奏中的清晰度处理有待商榷</t>
  </si>
  <si>
    <t>真假音转换很对味儿</t>
  </si>
  <si>
    <t>调的可以，就是听着有点累</t>
  </si>
  <si>
    <t>如果是不会粤语的话 辛苦了 一些韵尾的长度 把握可以更加斟酌一下（）</t>
  </si>
  <si>
    <t>听不懂粤语，但是我觉得很好听</t>
  </si>
  <si>
    <t>依字行腔好评 用天依辛苦了</t>
  </si>
  <si>
    <t>我很喜欢这个！语调的语气感很到位 语感很不错 顿挫感也非常到位</t>
  </si>
  <si>
    <t>很好听哦</t>
  </si>
  <si>
    <t>可以斟酌一下辅音长度 部分音头音尾可以更在调上一点</t>
  </si>
  <si>
    <t>B-</t>
  </si>
  <si>
    <t>咬字得修一修</t>
  </si>
  <si>
    <t>可以更烧一点？咬字有点模糊了 辅音长度可以稍微长一丢丢（）</t>
  </si>
  <si>
    <t>目空一切的目空二字响度压的有点太低，听感不佳</t>
  </si>
  <si>
    <t>咬字可以更轻一点 辅音长度可以收一点</t>
  </si>
  <si>
    <t>这奇怪的咬字发音,有点平</t>
  </si>
  <si>
    <t>这是神御玥吗？？？辅音太短有点模糊了（？）</t>
  </si>
  <si>
    <t>咬字有些吞吞吐吐，这首歌挺有趣的</t>
  </si>
  <si>
    <t>你害得我饿了！我要去买奶茶！！！真·美味</t>
  </si>
  <si>
    <t>流行曲的“谁”居然是shui……？语尾息做得不错</t>
  </si>
  <si>
    <t>高声部有些挤，声音有些舒展不开</t>
  </si>
  <si>
    <t>不错的华流</t>
  </si>
  <si>
    <t>不错</t>
  </si>
  <si>
    <t>阿卡贝拉？？？走错赛道了这是……？我不知道怎么评 但是很好听（？？？？？？）</t>
  </si>
  <si>
    <t>这让我怎么评嘛，合唱团，眼里全是对金钱的渴望</t>
  </si>
  <si>
    <t>语感很不错 有些PIT线可以更干净一点</t>
  </si>
  <si>
    <t>有意思的天依，介猴卖嘛</t>
  </si>
  <si>
    <t>善用自动音高 画音高可以更多一点 加油</t>
  </si>
  <si>
    <t>电鳗，伴奏糊糊糊，人声可能需要更多的转音去丰富一下</t>
  </si>
  <si>
    <t>音高和真假转换都很到位</t>
  </si>
  <si>
    <t>调教平稳落地，混音如混，听感不佳</t>
  </si>
  <si>
    <t>转音和真假声转换都很到位 推进也很到位</t>
  </si>
  <si>
    <t>调的非常好，转音和假声切换比较细腻</t>
  </si>
  <si>
    <t>撑起来了！很华丽</t>
  </si>
  <si>
    <t>很不错的星尘，声音颗粒感有点重</t>
  </si>
  <si>
    <t>可以加更多一点装饰音？可以更激进一点</t>
  </si>
  <si>
    <t>个别句的情绪可以再激进一点</t>
  </si>
  <si>
    <t>给我干到成都来了 你还别说 这确实调得听起来特别有烧0的感觉……</t>
  </si>
  <si>
    <t>720风味配色，6</t>
  </si>
  <si>
    <t>冷鸟辛苦了（）音头和音尾可以更稳一点 高音可能要更多调整一点 尝试用一下SFTC</t>
  </si>
  <si>
    <t>歌手选择有待商榷,高音更是拖累了整体</t>
  </si>
  <si>
    <t>你还真别说 挺有内味儿 这不会是镜老师吧</t>
  </si>
  <si>
    <t>很牛逼，这是评委下来打人了？不会是719吧，这么不想上班</t>
  </si>
  <si>
    <t>阿绫辛苦了 调教辛苦了 气声可以更少一点 能更体现雄壮的感觉 加油</t>
  </si>
  <si>
    <t>缺乏气势，阿凌没办法很好的驾驭这首歌</t>
  </si>
  <si>
    <t>你怎么用天依的配色（不是）英文发音很不容易 强弱对比很OK的</t>
  </si>
  <si>
    <t>很不错的言和</t>
  </si>
  <si>
    <t>技巧非常到位 语感顿挫 强弱对比 都非常不错 个人感觉 顿挫可以稍微收一点点 这首歌并不需要太过咬牙切齿（？）</t>
  </si>
  <si>
    <t>转音不错，但是字与字的连贯性稍差了一点，有些过去顿挫</t>
  </si>
  <si>
    <t>很不错</t>
  </si>
  <si>
    <t>很不错的墨姐</t>
  </si>
  <si>
    <t>铁头的口型偏大了 最后一个人“我”的零声母 好像发成h了（） 但是能把teto调成这样非常不容易了 辛苦了</t>
  </si>
  <si>
    <t>想做出旧歌的感觉，但是弄的有些过头了</t>
  </si>
  <si>
    <t>音高可以减少抖动一点</t>
  </si>
  <si>
    <t>这种痞的感觉很到位诶！律动感更好一点会更好 摆了.jpg</t>
  </si>
  <si>
    <t>假声可以减少一点</t>
  </si>
  <si>
    <t>又过年了？</t>
  </si>
  <si>
    <t>真假音的对比做得很不错</t>
  </si>
  <si>
    <t>声音很细腻，转音也很顺，混响有些厚，有些体现不出人声的本质美</t>
  </si>
  <si>
    <t>我很想给你选曲一倍 但是细节可以更雕琢一点……妈的 评早了</t>
  </si>
  <si>
    <t>混响有点大的星尘,6</t>
  </si>
  <si>
    <t>调得很不错 真假音装饰歌曲理解都很到位</t>
  </si>
  <si>
    <t>确实挺难唱,人声有些太靠后了</t>
  </si>
  <si>
    <t>音高可以更稳一点</t>
  </si>
  <si>
    <t>颤音有点多</t>
  </si>
  <si>
    <t>艹 这什么粤语（）太艹了</t>
  </si>
  <si>
    <t>主歌的低音稍微有点引擎声 咬字更轻柔一些会更好（？）</t>
  </si>
  <si>
    <t>还行</t>
  </si>
  <si>
    <t>可以更激进一点 更大胆一点</t>
  </si>
  <si>
    <t>消音消掉了乐器？个别句动态有待商榷</t>
  </si>
  <si>
    <t>强弱和真假音转换处理很不错</t>
  </si>
  <si>
    <t>动态处理的很不错，转音很细腻</t>
  </si>
  <si>
    <t>东北妤姐.jpg 语感相当好 相当到位</t>
  </si>
  <si>
    <t>转音可以更在调上一点（？）歌姬尽力了（）</t>
  </si>
  <si>
    <t>这歌没力气，我觉得和声比主声好听</t>
  </si>
  <si>
    <t>我知道你想调什么效果 语感还可以 主歌颤音和假声可以稍微收着一点点（？）主歌更浑厚一点会更好（？？？）</t>
  </si>
  <si>
    <t>这音色有力气</t>
  </si>
  <si>
    <t>VS女子组 句和句之间要断开一点会更好 不太血腥的爱情故事（？）</t>
  </si>
  <si>
    <t>D+</t>
  </si>
  <si>
    <t>人声有点小， 很平，直出没怎么混差不多就这效果</t>
  </si>
  <si>
    <t>哪个广东人选的曲  rap的听感其实还不错 咬字更斟酌一点就更好了</t>
  </si>
  <si>
    <t>人声有些一惊一乍，合理性有待商榷，混音没怎么混的样子，咬字稍微有些不太行</t>
  </si>
  <si>
    <t>复古味道很对 语调的味道也很对</t>
  </si>
  <si>
    <t>做旧的感觉很对</t>
  </si>
  <si>
    <t>很华流的处理 各方面都很到位</t>
  </si>
  <si>
    <t>这个对唱摆位处理有待商榷</t>
  </si>
  <si>
    <t>有些转音画得太直角了 更柔和一些会更好</t>
  </si>
  <si>
    <t>音高转的有些直，有点电</t>
  </si>
  <si>
    <t>这是什么方言 天依的发音太端正了（？）</t>
  </si>
  <si>
    <t>方言有意思</t>
  </si>
  <si>
    <t>我的面前出现了煊宇叔背着书包蹦蹦跳跳的样子 煊宇叔你在干什么啊煊宇叔—— 30岁的老小孩（不是）</t>
  </si>
  <si>
    <t>这TM是8岁？煊宇返老还童但是声音忘了还童了？</t>
  </si>
  <si>
    <t>机关枪感非常棒！！！爽————————</t>
  </si>
  <si>
    <t>这歌有力气,调的很规矩，cool</t>
  </si>
  <si>
    <t>可以更激进一点</t>
  </si>
  <si>
    <t>古早的AI？</t>
  </si>
  <si>
    <t>虚拟张韶涵（？）各方面都很到位</t>
  </si>
  <si>
    <t>音色稍微有点硬，用在副歌很合适，在主歌上就显得过于硬朗</t>
  </si>
  <si>
    <t>DS冷鸟 强弱对比真假转换都很不错</t>
  </si>
  <si>
    <t>很细腻，动态把握的很好</t>
  </si>
  <si>
    <t>语气感可以更激进一点 总体不错</t>
  </si>
  <si>
    <t>平平淡淡的好听</t>
  </si>
  <si>
    <t>歌手可以把嘴张大一点 各种处理可以更激进一点 转音可以更稳一点 高音可以试一下各种科技 减少尖锐的感觉（？）</t>
  </si>
  <si>
    <t>高音上不去，整体太平了，主歌和副歌没明显的情绪变化，声音真假音切换也不是很流畅</t>
  </si>
  <si>
    <t>东北人的日本媳妇 很热闹</t>
  </si>
  <si>
    <t>太带派了</t>
  </si>
  <si>
    <t>总体听感不错 我个人会更倾向于更激进一点点</t>
  </si>
  <si>
    <t>原为虚空这里，伴奏把人声淹了</t>
  </si>
  <si>
    <t>葛平？歌手选得很对味 有些字音准似乎有待斟酌（？）监狱KTV（？？？）</t>
  </si>
  <si>
    <t>我的葛平啊，6，有些唱的节奏感觉不是很好，有些跑调</t>
  </si>
  <si>
    <t>可以更激进一点 律动感更好一点会更好 R&amp;B嘛</t>
  </si>
  <si>
    <t>有些辅音有些吞，电话音有点足了，影响了对唱的听感</t>
  </si>
  <si>
    <t>没想到是这么帅的歌 好电波的歌词 调得很不错 很有酷姐的感觉 音尾很利落</t>
  </si>
  <si>
    <t>调教规矩的好听，有些地方是打算做立体声？效果有些没出来</t>
  </si>
  <si>
    <t>低音有点为难歌姬 “太”字的转音可以更稳一点 自由发挥的部分稍微有些不和谐（？）</t>
  </si>
  <si>
    <t>前面有点压嗓子，副歌加点假音转换可能会更好，有点干燥，改编的地方听感欠佳</t>
  </si>
  <si>
    <t>摩柯辛苦了 调教辛苦了 字尾收得可以更干净利落一点</t>
  </si>
  <si>
    <t>这个怪怪的咬字，这个歌手好像也没啥法子了吧</t>
  </si>
  <si>
    <t>真假音转换之类的处理很不错</t>
  </si>
  <si>
    <t>好阔爱的声线</t>
  </si>
  <si>
    <t>龙牙哥能调出这个质感已经很不容易了 可以多用辅音长度来做出律动感来</t>
  </si>
  <si>
    <t>有点平，像在read</t>
  </si>
  <si>
    <t>主歌的低音有点勉强歌手了（？）辛苦了</t>
  </si>
  <si>
    <t>混音如混，人声有些被淹没</t>
  </si>
  <si>
    <t>律动和强弱的掌握都很到位 你的选曲有点单调 但是你的加花又很好地弥补了这一点</t>
  </si>
  <si>
    <t>规规矩矩的好听</t>
  </si>
  <si>
    <t>可以适当增加更多一点转音 可以增加一些真假音转换等动态可以更丰富听感</t>
  </si>
  <si>
    <t>歌曲上限就在那了，整体偏平</t>
  </si>
  <si>
    <t>这个咬字是声库本身的特性吗？语感很不错 音高线也很不错 但是气声稍微有点多了</t>
  </si>
  <si>
    <t>发音有些偏鼻腔，eng eng 的听感有些不太好，音色有些偏软</t>
  </si>
  <si>
    <t xml:space="preserve">很努力在模仿了 不过还是可以更烧一点 </t>
  </si>
  <si>
    <t>不够骚，不够刺挠,PIT转音可以再激进一些</t>
  </si>
  <si>
    <t>女声音色蛮合适的 顿挫感可以更好一点 男声的音色可以更斟酌一点 更柔软有弹性的音色会更贴近曲子比较缠绵的氛围</t>
  </si>
  <si>
    <t>就调教而言，还是比较细腻的，有一种美女与野兽的既视感，很反差，好评</t>
  </si>
  <si>
    <t>情感十分充沛 技巧十分纯熟 孩子都快哭断气了 似有故人之姿</t>
  </si>
  <si>
    <t>人声感觉有点小，情感丰富，一惊一乍的那种丰富,C47传人？混音如混</t>
  </si>
  <si>
    <t>这种R&amp;B的律动感要求很高 加油吧</t>
  </si>
  <si>
    <t>lofi音乐？可惜，在这个比赛还是有些费力哦不讨好</t>
  </si>
  <si>
    <t>日本人唱粤语 （）语感可以更好一点（？）</t>
  </si>
  <si>
    <t>像是在读歌词，缺乏变化</t>
  </si>
  <si>
    <t xml:space="preserve">开头几句的颤音可以稍微地收一点点 </t>
  </si>
  <si>
    <t>开头抖的有些多了，音色很不错,合唱部分有些挤在一起了</t>
  </si>
  <si>
    <t>辅音长度可以稍微收一点 轻柔歌曲的咬字可以更轻柔一点 “灯一下子全亮了”的一句口型稍微有点太大了</t>
  </si>
  <si>
    <t>天依赛道还是太卷了啊，很难让人有眼前一亮的感觉,个别字的动态也有些问题</t>
  </si>
  <si>
    <t>口型可以再开一点，个别字的动态还可以微调一下，整体细腻感还可以，听感还不错</t>
  </si>
  <si>
    <t>闽语不会 不评价发音 音色挺好听 可以更激进一点</t>
  </si>
  <si>
    <t>听不懂，但是有点平，变化有点少，听到后面，有点腻</t>
  </si>
  <si>
    <t>我的眼睛.jpg 配色好像喝了好多青柠柠檬优酸乳 善用辅音长度 可以更aggressive一点 更疯一点</t>
  </si>
  <si>
    <t>这配色很720，这种歌还是太吃亏了,很难太出彩</t>
  </si>
  <si>
    <t>年味渐浓.jpg 女声不会是yoko吧？？</t>
  </si>
  <si>
    <t>怎么又过春节了</t>
  </si>
  <si>
    <t xml:space="preserve">狙杀凌龙天宇 律动感更强一点会更好 氛围感很不错 </t>
  </si>
  <si>
    <t>delicious</t>
  </si>
  <si>
    <t>？？？？？？？调得……挺有味道……？？？？</t>
  </si>
  <si>
    <t>super贝吉塔  混响应该是想做旧，但是这个只是大</t>
  </si>
  <si>
    <t>律动感很可以！！！</t>
  </si>
  <si>
    <t>有点短，这个混响有待商榷，有点轰耳朵</t>
  </si>
  <si>
    <t>可以适当地在必要地时候多一点真声 可以给歌曲更多的听感变化 “少年气”的“气”辅音似乎有点短了 听起来像j</t>
  </si>
  <si>
    <t>调的还不错，伴奏有些刺耳，混响有点轰，影响了欣赏调音的细节</t>
  </si>
  <si>
    <t>不够垮 不够有广东土老板的感觉</t>
  </si>
  <si>
    <t>唱腔很有复古味儿</t>
  </si>
  <si>
    <t>做旧还不错，唱腔有内味</t>
  </si>
  <si>
    <t>调教很有意思 语感不错 “绣花杀”这几个字可以更稳一点 同乐同乐 同乐同乐</t>
  </si>
  <si>
    <t>律动感做的很干脆，马年快乐</t>
  </si>
  <si>
    <t>转音可以更在调上一点（？）我感受到你对天依的爱了 辛苦了</t>
  </si>
  <si>
    <t>pit 有待商榷，转音也不够丝滑，声音穿透力不足，结尾不够温柔别卷天依啦,混音如混</t>
  </si>
  <si>
    <t>语感可以更加好一点</t>
  </si>
  <si>
    <t>唱的太平，rap像是在读</t>
  </si>
  <si>
    <t>中规中矩，单声道做的立体声？辛苦了</t>
  </si>
  <si>
    <t>技巧非常到位 咬字的处理也很有特点</t>
  </si>
  <si>
    <t>选曲有点吃亏，整首歌没多少唱的，前奏还长，但是调的很不错，转音，真假声细节比较丰富</t>
  </si>
  <si>
    <t>挺到位的</t>
  </si>
  <si>
    <t>声音比较细腻，转音细节比较丰富，动态也很好，混响真的开太大啦，别轰我耳朵啦</t>
  </si>
  <si>
    <t>四川话听不懂 辛苦了</t>
  </si>
  <si>
    <t>平平的,有些字怎么还有东北口呢,调方言辛苦了</t>
  </si>
  <si>
    <t>Verse23的言和？可以适当地拉多一点点张力 减小一点点的假声 让声音稍微实一点</t>
  </si>
  <si>
    <t>整体的动态控制有待加强</t>
  </si>
  <si>
    <t>天依很合适这样的童谣 很有小女孩的感觉 歌曲理解也很对</t>
  </si>
  <si>
    <t>思路很对，调的还不错的一款天依,规规矩矩的好听</t>
  </si>
  <si>
    <t>律动感可以稍微更好一点 转音可以更斟酌一点</t>
  </si>
  <si>
    <t>人声音色咋这么渣，高音也有些上不去</t>
  </si>
  <si>
    <t>颤音可以稍微收一点 装饰音可以稍微平缓一些</t>
  </si>
  <si>
    <t>音色有些虚，pit抖的有些多</t>
  </si>
  <si>
    <t>新年快乐！可以更激进一点</t>
  </si>
  <si>
    <t>音色有些机械，有些缺频的感觉，新年快乐</t>
  </si>
  <si>
    <t>技巧很到位 张弛感很到位</t>
  </si>
  <si>
    <t>人声有点小，调的还不错，有细节，声音也比较细腻</t>
  </si>
  <si>
    <t>“冰肌玉骨”那两句的咬字可以更清晰一点 可以更多灵活运用颤音、真假声转换等技巧丰富听感</t>
  </si>
  <si>
    <t>还不错的调教，声音丰富度还可以再多一点，多一点真假声切换，高声部会更加细腻</t>
  </si>
  <si>
    <t>我理解你想调出分手的心碎感 但是颤音可以稍微收着点儿（？）转音也稍微斟酌一点点 言和别哭了 抱抱抱抱</t>
  </si>
  <si>
    <t>人声有些小,太短，混音如混</t>
  </si>
  <si>
    <t>节奏感律动感很到位</t>
  </si>
  <si>
    <t>调的律动感很好，个别高声部音有些许哑火感</t>
  </si>
  <si>
    <t>整体挺好听（？）</t>
  </si>
  <si>
    <t>调的很不错哦，规规矩矩的好听</t>
  </si>
  <si>
    <t>天依辛苦了 摩柯也辛苦了 这两位的年纪好像还没到该唱这首歌的年纪啊——</t>
  </si>
  <si>
    <t>合唱配合的还需要更好一些，调的有些平</t>
  </si>
  <si>
    <t>口型稍微有点大了 声线稍微有点不够苦情（？）颤音可以斟酌一下</t>
  </si>
  <si>
    <t>个别音发音有问题，口型开有些太大了,有一些字与字的连贯性稍差</t>
  </si>
  <si>
    <t>好Jpop的调法 音尾的上拉很有特色 副歌可以更激进一点</t>
  </si>
  <si>
    <t>副歌爆发力不够，有点软，人声有些偏小</t>
  </si>
  <si>
    <t>技巧可以听得出来是有的 连贯性可以更好一点 重型组 辛苦了</t>
  </si>
  <si>
    <t>副歌情绪不太够，没起来，音色有些薄，字与字连贯性可以再好一点</t>
  </si>
  <si>
    <t>感情十分充沛 转音可以更稳一点 颤音可以稍微收着点儿 咬字可以稍微更轻一点</t>
  </si>
  <si>
    <t>有些太咬牙切齿啦，pit可以不这么多的抖动，适度就好，是排位被演员演的太闹心了？这么咬牙切齿</t>
  </si>
  <si>
    <t>PIT可以更平缓一点 会减少一些失真的感觉</t>
  </si>
  <si>
    <t>调是不是有点飘？pit转的可以再柔一些，在场基础上，再丰富一点</t>
  </si>
  <si>
    <t>辅音可以稍微更长一点 高音对男声可能有点勉强（挚彬？）</t>
  </si>
  <si>
    <t>动态可以处理的再好一点，歌手的选择有待商榷，着音色有些太薄了，副歌撑不起来</t>
  </si>
  <si>
    <t>节奏感很可以 很有活泼的感觉 够干脆利落 真假转换也很到位</t>
  </si>
  <si>
    <t>很对劲，好短啊</t>
  </si>
  <si>
    <t>主歌可以更体现一点倾诉的语气感 副歌的情绪可以更激烈一点</t>
  </si>
  <si>
    <t>副歌情绪有些不太够，可以再猛烈一点</t>
  </si>
  <si>
    <t>歌曲理解有待商榷</t>
  </si>
  <si>
    <t>不敢评</t>
  </si>
  <si>
    <t>技巧拉满了这是 很到位了</t>
  </si>
  <si>
    <t>很到位，技巧很丰富</t>
  </si>
  <si>
    <t>草w</t>
  </si>
  <si>
    <t>能调出这种10s年代感的唱腔 挺特别的 很贴 律动感也很到位</t>
  </si>
  <si>
    <t>洧禸菋孒</t>
  </si>
  <si>
    <t>副歌可以爆发力更强一点</t>
  </si>
  <si>
    <t>调的还是可以的，就是人声有点小</t>
  </si>
  <si>
    <t>旱鸭子精神继承人 疑似AF黑大妈出现C传C现象 太好了已经没法夸了</t>
  </si>
  <si>
    <t>调的很牛，转音很丰富，动态处理的很好</t>
  </si>
  <si>
    <t>调得挺有那个味道的 倒也不用真的用个喇叭来唱歌……</t>
  </si>
  <si>
    <t>滋啦滋啦</t>
  </si>
  <si>
    <t>龙牙调成这样 非常厉害了 转音很丰富 戏腔不错</t>
  </si>
  <si>
    <t>调的很不错，转音很丰富，情绪可以再激进一点，音色有点吃亏,戏腔共振峰可以再拉一拉？会更有味道？</t>
  </si>
  <si>
    <t>人声的沙哑质感很到位 副歌爆发的部分（“人世间”这几个字）可以稍微更实一点</t>
  </si>
  <si>
    <t>有刀郎味道</t>
  </si>
  <si>
    <t>律动感不错 “梦想着”那几句应该放开一点唱</t>
  </si>
  <si>
    <t>太短了，律动感不错，副歌有点萎</t>
  </si>
  <si>
    <t>星尘起调太高了（？）</t>
  </si>
  <si>
    <t>没力气，防御型陀螺</t>
  </si>
  <si>
    <t>葛平？很有内味儿了</t>
  </si>
  <si>
    <t>做旧很到位  6</t>
  </si>
  <si>
    <t>祥瑞御免 家宅平安 阴间（褒义） 非常细腻</t>
  </si>
  <si>
    <t>情绪很到位，转音细节丰富，副歌人声有些听不清，实属可惜</t>
  </si>
  <si>
    <t>观之不似人活</t>
  </si>
  <si>
    <t>可以更豪放一点</t>
  </si>
  <si>
    <t>6,不够带派啊</t>
  </si>
  <si>
    <t>留声机几连了这是.jpg 复古味到位了</t>
  </si>
  <si>
    <t>今年是上海滩1937?这么多留声机</t>
  </si>
  <si>
    <t>转音可以更稳一点 节奏感可以更好一点</t>
  </si>
  <si>
    <t>捅了星尘窝了？</t>
  </si>
  <si>
    <t>转音可更稳一点 PIT可以更斟酌一下</t>
  </si>
  <si>
    <t>动态还可以斟酌斟酌，混音如混，pit需要再润色润色</t>
  </si>
  <si>
    <t>天依别哭了……颤音可以稍微收一点 可以尽量把转音画在钢琴格子中间</t>
  </si>
  <si>
    <t>捅了天依窝了？难为天依了，pit有些抖，有的地方还有些唱不上去,伴奏有些失真</t>
  </si>
  <si>
    <t>不错 可以在动态和和颤音/转音的使用上更激进一点（以个人审美而言）</t>
  </si>
  <si>
    <t>规规矩矩的还不错</t>
  </si>
  <si>
    <t>粤语发音的语感可以更好一些 副歌可以更豪迈一些</t>
  </si>
  <si>
    <t>粤语听不懂思密达,有点不够豪迈</t>
  </si>
  <si>
    <t>个别字动态有点哑</t>
  </si>
  <si>
    <t>跨语种辛苦了</t>
  </si>
  <si>
    <t>粤语听不懂思密达,感觉发音怪怪的，动态还可以润色润色</t>
  </si>
  <si>
    <t>挺好 总体听感可以</t>
  </si>
  <si>
    <t>调的不错,中途两句换歌姬了？几个歌姬在配合上，还可以润色润色，整体有点糊</t>
  </si>
  <si>
    <t>颤音和装饰音都很到位 “燃烧”之后那一句感觉可以适当地把张力拉高一点 做出更放开的感觉</t>
  </si>
  <si>
    <t>整体还可，人声有点小，个别字的动态变化，可以再过渡的自然一点</t>
  </si>
  <si>
    <t>字尾的颤音 可以稍微有一个“收”的感觉会更好 可以更激进一点</t>
  </si>
  <si>
    <t>捅了言和窝了？动态还可再斟酌斟酌</t>
  </si>
  <si>
    <t>重型组的力度应该更激进一点</t>
  </si>
  <si>
    <t>捅了星尘窝了？人声有些不清晰</t>
  </si>
  <si>
    <t>整体听感不错</t>
  </si>
  <si>
    <t>情绪很到位，转音细节丰富，音色很细腻</t>
  </si>
  <si>
    <t>非常到位</t>
  </si>
  <si>
    <t>情绪很到位，转音细节丰富</t>
  </si>
  <si>
    <t>语尾息稍微有点太过频繁了（是歌手特性吗？）稍微有点破坏连贯感 除此之外还是不错的 最后一段情绪爆发撑起来了 转音可稍微斟酌一下</t>
  </si>
  <si>
    <t>音尾变化可以再丰富一点，总用一种风格，有点疲劳</t>
  </si>
  <si>
    <t>有内味儿了 “的哥隆冬强”的那一句 收尾可以更干脆利落一点</t>
  </si>
  <si>
    <t>又过年了？调的真不错，今年好多葛平</t>
  </si>
  <si>
    <t>可以在强弱对比和真假转换上更下一些功夫 丰富一下听感</t>
  </si>
  <si>
    <t>情感需要再细腻一些，pit有点平，可以再丰富一点</t>
  </si>
  <si>
    <t>颤音可以稍微收一收 低音有点勉强天依了 看得出来你非常爱天依了</t>
  </si>
  <si>
    <t>又是一只天依,音色有点杂，缺了点纯净的穿透感，低音有点压嗓子</t>
  </si>
  <si>
    <t>律动感可以更加强一点 可以增加一点真假声的转换对比</t>
  </si>
  <si>
    <t>韩语不懂 不评价发音 选人很对 很有复古感 好听</t>
  </si>
  <si>
    <t>重型组 力度可以在加强一点</t>
  </si>
  <si>
    <t>听感不错</t>
  </si>
  <si>
    <t>律动感很不错 怒音可以稍微收一点 更好保持歌曲暧昧的氛围 最后一段放得很开 很棒很棒 NAISU</t>
  </si>
  <si>
    <t>声线我觉得 更实一点会更好 总体来说很不错</t>
  </si>
  <si>
    <t>律动感可以更好一点（）</t>
  </si>
  <si>
    <t>好温柔的曲子 总体听感不错 细节上可以更雕琢一点喵</t>
  </si>
  <si>
    <t>捅了天依窝了（不是） 辛苦了 听得出很努力地在修发音了 这言和的音色搓得意外地很好听</t>
  </si>
  <si>
    <t>旱鸭子？？没啥好说 三倍走起</t>
  </si>
  <si>
    <t>我很喜欢这个处理 声线很够硬 撑得住 虽然上拉音尾有点多 不过这是JROCK就合适这么搞（）</t>
  </si>
  <si>
    <t>好还原 一开口我就哭了 呜哇……（看过原作）</t>
  </si>
  <si>
    <t>重型组 力度很到位！！！爽！！！</t>
  </si>
  <si>
    <t>选曲仙品 味道达到80%了</t>
  </si>
  <si>
    <t>音色很有内味儿</t>
  </si>
  <si>
    <t>音色很贴原唱 音尾要更干脆利落一点会更好</t>
  </si>
  <si>
    <t>很标准的JPOP式调声</t>
  </si>
  <si>
    <t>律动感很不错 整体听起来不错</t>
  </si>
  <si>
    <t>技巧蛮到位的 整体听感也不错 强弱的对比可以更激进一点点</t>
  </si>
  <si>
    <t>很有味道 律动感也很到位</t>
  </si>
  <si>
    <t>听起来很痞 很酷 很爽 够aggressive</t>
  </si>
  <si>
    <t>hso 插入的小呼吸非常能烘托牙白的氛围 爽到了</t>
  </si>
  <si>
    <t>可以稍微更多一点强弱对比一旦</t>
  </si>
  <si>
    <t>英文的发音流畅性可以提高一些 一些词尾辅音不需要发得太清楚 英文的咬字不需要太清楚的（）</t>
  </si>
  <si>
    <t>？？？？？？</t>
  </si>
  <si>
    <t>下半SF太好了所以来建设……重振std术力口荣光我辈义不容辞.jpg</t>
  </si>
  <si>
    <t>老师们不要套参好吗我真的感觉感情被欺骗了😭</t>
  </si>
  <si>
    <t>草票</t>
  </si>
  <si>
    <t>感想</t>
  </si>
  <si>
    <t>《叠甲》
   铁血std用户，唱歌假人全肯定
   非古参，很多没过听原曲
   常年受日术砖头混音影响，
   现很可能确诊木耳
   有搞错的我先滑跪！</t>
  </si>
  <si>
    <t>猜出这首的时候也是很惊喜、、、喜欢X on me和一些er音，节奏也很好</t>
  </si>
  <si>
    <t>三色绘恋草，但是良调，好有感情</t>
  </si>
  <si>
    <t>（有点像去年主榜用玄武的老师</t>
  </si>
  <si>
    <t>好温柔的曲和调，轻轻的</t>
  </si>
  <si>
    <t>好像是熟悉的吴涛音源，萌萌的，喜欢不同唱词的合唱</t>
  </si>
  <si>
    <t>中跨英（？）像SC民族唱法大神打过来了，好华丽</t>
  </si>
  <si>
    <t>（过了一天变成海嗣合唱团了😱直接神经退行了</t>
  </si>
  <si>
    <t>Miramiee</t>
  </si>
  <si>
    <t>喜欢toot那段好萌啊，但是竟然是g-20合唱我真的喷了</t>
  </si>
  <si>
    <t>（我去这个好像是敲九，，笑了一下</t>
  </si>
  <si>
    <t>良曲，古早味喜欢，赛后可以配布inst吗（</t>
  </si>
  <si>
    <t>草，洛天依少女乐队时候</t>
  </si>
  <si>
    <t>🙇 🙇 🙇 🙇 🙇 🙇 🙇 🙇 🙇 🙇 🙇 🙇</t>
  </si>
  <si>
    <t>售人吴涛😱好劲，这歌有力气！结尾好喜欢</t>
  </si>
  <si>
    <t>（要是错了我先跪在这里orz</t>
  </si>
  <si>
    <t>就是你害我猜歌猜半天.jpg  喜欢这个咬字，有些小上滑处理suki</t>
  </si>
  <si>
    <t>（牧心std有日文吗（？）</t>
  </si>
  <si>
    <t>好多新颖转音，副歌有劲！</t>
  </si>
  <si>
    <t>（卧槽但是和声有点问题，不过这个就跟投稿老师没关系了！！单独写在旁边</t>
  </si>
  <si>
    <t>哈茨涅米库我们喜欢你，淡淡的！喜欢から转音</t>
  </si>
  <si>
    <t>哈茨涅米库我们喜欢你，很喜欢这首歌！听着感觉脑内浮现曲绘了……</t>
  </si>
  <si>
    <t>（构图：仰角，米库坐在天台闭眼唱歌，背景是傍晚天空（？</t>
  </si>
  <si>
    <t>剧药弹舌suki，这歌也有力气</t>
  </si>
  <si>
    <t>今年好多不同风味的nb剑斗，听哭了</t>
  </si>
  <si>
    <t>无机感好，副歌假人味拉满了就好这口假人</t>
  </si>
  <si>
    <t>不敢猜音源了😭好电影感的曲……</t>
  </si>
  <si>
    <t>你也害我猜歌猜半天.jpg 空耳歌词好好笑……喜欢语尾处理</t>
  </si>
  <si>
    <t>美萌盈希酱……主人级别的啊</t>
  </si>
  <si>
    <t>（如果认错了我先跪</t>
  </si>
  <si>
    <t>鬼味出来了！喜欢有点不屑的非人感，但是为什么是马桶啊（</t>
  </si>
  <si>
    <t>猜歌压力最小的一集（）⚡⚡⚡核⚡融⚡合⚡炉⚡に⚡さ⚡⚡⚡</t>
  </si>
  <si>
    <t>最电的一集</t>
  </si>
  <si>
    <t>←在外面手机没电了又没充电宝，灵机一动点开了SF2026播完手机满电了</t>
  </si>
  <si>
    <t>←天才</t>
  </si>
  <si>
    <t>はるHume</t>
  </si>
  <si>
    <t>后面好有冲击力！喜欢苦しい到解いて的变化</t>
  </si>
  <si>
    <t>好喜欢那个目を閉じても，转音好有意思</t>
  </si>
  <si>
    <t>千言万语汇成我喜欢你</t>
  </si>
  <si>
    <t>不敢猜音源了但这个应该是吧（吗（对吗（破案之敲九周杰伦时候</t>
  </si>
  <si>
    <t>前面吓哭了中间吓哭了结尾语调更是吓哭了</t>
  </si>
  <si>
    <t>（颤音处理越听越觉得像12字母黑头像 您要连冠了吗.jpg</t>
  </si>
  <si>
    <t>合唱美味，好像真的听出溺水的感觉了（）淡淡の懮殇</t>
  </si>
  <si>
    <t>⚡⚡⚡⚡⚡这歌有力气⚡⚡⚡⚡⚡</t>
  </si>
  <si>
    <t>单独音还是cvvc（？）还有高速神言，节奏好好</t>
  </si>
  <si>
    <t>天才ロック(天才搖滾)</t>
  </si>
  <si>
    <t>你也是我猜出来的.jpg 音源好合适，求赛后投全曲</t>
  </si>
  <si>
    <t>阳炎好！年轻十五岁……</t>
  </si>
  <si>
    <t>好萌呀。。。喜欢左右声道轮唱，rap也萌萌的哎呦</t>
  </si>
  <si>
    <t>（小护士？</t>
  </si>
  <si>
    <t>开口好惊艳……弱音源用得好好，一些转音好有意思</t>
  </si>
  <si>
    <t>你让大家猜歌猜半天.jpg 好帅啊！求赛后投全曲</t>
  </si>
  <si>
    <t>感情也太充沛了……老艺术家调声啊！！吓哭了</t>
  </si>
  <si>
    <t>（您和冬之花是同一个人吗</t>
  </si>
  <si>
    <t>啥评？</t>
  </si>
  <si>
    <t>哦…！</t>
  </si>
  <si>
    <t>喜欢“可是我”后面还有“苦痛与乐”那句，赛后求全曲！题外话配色好米……</t>
  </si>
  <si>
    <t>我去</t>
  </si>
  <si>
    <t>哇</t>
  </si>
  <si>
    <t>感情好到位！安利选曲了，昆曲仙，好美的气息</t>
  </si>
  <si>
    <t>萌</t>
  </si>
  <si>
    <t>咋这么萌，好合适，转音也萌萌的</t>
  </si>
  <si>
    <t>草？</t>
  </si>
  <si>
    <t>猜歌的时候有被选曲吓到（）听完这集跳了.jpg</t>
  </si>
  <si>
    <t>教我</t>
  </si>
  <si>
    <t>哎呦好好听……跃动感喜欢……</t>
  </si>
  <si>
    <t>颤音也太美了，，求全曲</t>
  </si>
  <si>
    <t>有点像一位熟悉的帅哥，高音听感还蛮好的</t>
  </si>
  <si>
    <t>这歌小时候抱过我，副歌很有气势！</t>
  </si>
  <si>
    <t>（好像还有洛吟唱</t>
  </si>
  <si>
    <t>皱皮来了.jpg 好新的发音</t>
  </si>
  <si>
    <t>哦哦有些微妙的小转音和强弱变化喜欢……</t>
  </si>
  <si>
    <t>像两种唱法切换，一些尾音懒懒的好有味道，语调也好牛逼，听哭了</t>
  </si>
  <si>
    <t>（呼吸音有点像utau的fre系发出来的动静</t>
  </si>
  <si>
    <t>（怎么还有神秘版聊尾杀</t>
  </si>
  <si>
    <t>听完这集我的防御被清零了.jpg</t>
  </si>
  <si>
    <t>开口就好美，有种娓娓道来的感觉！请问这里是春晚现场吗.jpg</t>
  </si>
  <si>
    <t>经典搭配！古早味调声，很有老术曲感</t>
  </si>
  <si>
    <t>妈呀</t>
  </si>
  <si>
    <t>好帅（好帅），好新的歌！滑铲辛苦了……</t>
  </si>
  <si>
    <t>（吴涛声库？</t>
  </si>
  <si>
    <t>淡淡的萌，好像电视剧OST（</t>
  </si>
  <si>
    <t>（啊啊啊大人你中间轨歪了！！！那种事情不要啊</t>
  </si>
  <si>
    <t>（脑子里那英和乐正绫两张脸在打架，，</t>
  </si>
  <si>
    <t>言和好合适！感觉传递了好心情……（好短啊！</t>
  </si>
  <si>
    <t>⚡⚡⚡⚡⚡崖⚡对⚡崖⚡⚡⚡⚡⚡</t>
  </si>
  <si>
    <t>（哇你跟SF那个充电只差一个号码 猿粪啊</t>
  </si>
  <si>
    <t>（高频好像有点爆了混音救一下啊！！</t>
  </si>
  <si>
    <t>你们选这个配色的好像都是淡淡的美味啊！</t>
  </si>
  <si>
    <t>还能这样调.jpg 很启发的一集，顺便选曲也被安利了！</t>
  </si>
  <si>
    <t>（总觉得得对这位老师说声谢谢！</t>
  </si>
  <si>
    <t>🏮年味还在延续！🏮</t>
  </si>
  <si>
    <t>递进好！有空灵感，喜欢</t>
  </si>
  <si>
    <t>这歌也抱过我，选曲感动……感觉和原曲是不一样的味道！</t>
  </si>
  <si>
    <t>（虽然有点无呼吸义务但是拖长了诞生了一种很新的听感.jpg</t>
  </si>
  <si>
    <t>你也是淡淡的.jpg不过很和谐！</t>
  </si>
  <si>
    <t>久   等   了（您甚至认真调了，，示以尊敬，，</t>
  </si>
  <si>
    <t>好仙的调，感觉这个调法非常贴歌词……</t>
  </si>
  <si>
    <t>好爽，，原来耳朵美了的代价是眼睛龙了，，，</t>
  </si>
  <si>
    <t>（配色你的目的达到了！</t>
  </si>
  <si>
    <t>吓哭了，不敢选教我，赛后要是可以免费看跳绳晒都得跪了</t>
  </si>
  <si>
    <t>这个好美，小转音喜欢……好像还捏了gen还是口型总之喜欢</t>
  </si>
  <si>
    <t>就是你害大家猜歌猜半天.jpg 还蛮美味的，有眼前一亮的感觉</t>
  </si>
  <si>
    <t>感情好好！能听出传达的情绪</t>
  </si>
  <si>
    <t>也算经典曲了！搞得好像唱诗班啊.jpg</t>
  </si>
  <si>
    <t>感觉也是言和优势区间😋听感很舒服！副歌很亮</t>
  </si>
  <si>
    <t>跟原版很不一样！原来还能这样演绎，又学到了我赚</t>
  </si>
  <si>
    <t>宝宝巴士啊啊啊，其实调得蛮温柔的，听完这集从孤儿乐园脱出了</t>
  </si>
  <si>
    <t>（你和孤儿乐园为什么不在一组啊.jpg</t>
  </si>
  <si>
    <t>评价请勿参考（我瞎评价的）</t>
  </si>
  <si>
    <t>20s印象</t>
  </si>
  <si>
    <t>票</t>
  </si>
  <si>
    <t>有点含糊不清。。主要还是听不惯</t>
  </si>
  <si>
    <t>发音怪怪的...但是混音非常好</t>
  </si>
  <si>
    <t>可以，就是歌姬有点。。。换个歌姬比较好</t>
  </si>
  <si>
    <t>这个可以，就是混音。。。。难绷</t>
  </si>
  <si>
    <t>卧槽，牛逼</t>
  </si>
  <si>
    <t>感觉转音。。。但是不错</t>
  </si>
  <si>
    <t>卧槽卧槽卧槽女高音！！！！</t>
  </si>
  <si>
    <t>混音好怪。。还有一些b动静，但是选曲不错</t>
  </si>
  <si>
    <t>我不确定是声库还是引擎问题。。有点怪</t>
  </si>
  <si>
    <t>好温柔。。好牛逼。。。</t>
  </si>
  <si>
    <t>为什么要调春日影？！</t>
  </si>
  <si>
    <t>卧槽卧槽，强，牛逼</t>
  </si>
  <si>
    <t>差点去草榜，无法评价</t>
  </si>
  <si>
    <t>混音可以啊</t>
  </si>
  <si>
    <t>好有特色</t>
  </si>
  <si>
    <t>可以</t>
  </si>
  <si>
    <t>可以可以</t>
  </si>
  <si>
    <t>我先去缓缓耳朵（</t>
  </si>
  <si>
    <t>本表格只锐评混音，以B站音频为准。因为B站会压音质，所以可能不够准确。
S：非常好
A：没有明显问题
B：问题还好
C：约等于没混（但起码问题不算大）
D+：不如没混
D：过分了（
？：应该就是没混吧</t>
  </si>
  <si>
    <t>融合性/均衡/质感</t>
  </si>
  <si>
    <t>混响</t>
  </si>
  <si>
    <t>声场</t>
  </si>
  <si>
    <t>没有明显瑕疵</t>
  </si>
  <si>
    <t>混了但没怎么混</t>
  </si>
  <si>
    <t>有点可惜</t>
  </si>
  <si>
    <t>加油</t>
  </si>
  <si>
    <t>怀疑是引擎有bug，但结果声音就是有点糟（</t>
  </si>
  <si>
    <t>音量均衡是败笔，混响画下自动化就好了</t>
  </si>
  <si>
    <t>？</t>
  </si>
  <si>
    <t>注意共振峰</t>
  </si>
  <si>
    <t>混音拖后腿了</t>
  </si>
  <si>
    <t>伴奏质量就有点问题</t>
  </si>
  <si>
    <t>齿音绕梁</t>
  </si>
  <si>
    <t>如听仙乐耳暂明</t>
  </si>
  <si>
    <t>eq没调好</t>
  </si>
  <si>
    <t>和声的声场保守了，不过整体好听</t>
  </si>
  <si>
    <t>delay小尾巴有点意思，但是整体太干了</t>
  </si>
  <si>
    <t>共振峰</t>
  </si>
  <si>
    <t>666autotune</t>
  </si>
  <si>
    <t>可惜啊，和声声场没做，明明调的很好</t>
  </si>
  <si>
    <t>上磁带机了吗，vintage好听</t>
  </si>
  <si>
    <t>质感不错</t>
  </si>
  <si>
    <t>响度太低了</t>
  </si>
  <si>
    <t>融合度有点问题</t>
  </si>
  <si>
    <t>共振峰太吵了，应该是调的问题，强行比原key高八度</t>
  </si>
  <si>
    <t>我觉得不是混音的问题。</t>
  </si>
  <si>
    <t>曲子本身很空的，做质感和空间感确实很难</t>
  </si>
  <si>
    <t>和声。</t>
  </si>
  <si>
    <t>质感稍微差了些，可以试试多段压缩找好的频段</t>
  </si>
  <si>
    <t>合唱的声场摆位斟酌斟酌，drop的均衡想想</t>
  </si>
  <si>
    <t>虽然混响还有点浑，但是建议大家学学这个</t>
  </si>
  <si>
    <t>混响给我干哪来了</t>
  </si>
  <si>
    <t>多上点压缩</t>
  </si>
  <si>
    <t>中频太多了，加点高频</t>
  </si>
  <si>
    <t>混响听得出来努力了，但是那种效果是不那么好做（</t>
  </si>
  <si>
    <t>高频甜点好吃</t>
  </si>
  <si>
    <t>6k左右太多了</t>
  </si>
  <si>
    <t>融合性是败笔，主要是声场和频段不融合</t>
  </si>
  <si>
    <t>好好好好好好，质感也很丝滑</t>
  </si>
  <si>
    <t>试试总线压缩</t>
  </si>
  <si>
    <t>人声不够厚</t>
  </si>
  <si>
    <t>试试磁带机和bus压缩</t>
  </si>
  <si>
    <t>说明：评价会偏高普遍C以上，评到C的是有明显问题的，D+的可能是让我有点难受的。普遍会给很多评语，如果我能听出来问题会给比较多建议，听不出来的纯我自己实力不够，草榜我也会当正常选曲来评价技术。如果有我写了想扩列的老师可以赛后找我扩列吗卧槽太强了我想学。我自己的参赛作品我也会假装我是路人装装样子评价来避嫌。也算是自我反省。</t>
  </si>
  <si>
    <t>财神到，借你吉言，但拼接感很重，还有很大改善空间（是奔着草榜来的吗？）</t>
  </si>
  <si>
    <t>草，知道是奔着草榜来的。很草。但要说技术上的话就是断续感比较强，而且pit画得太乱</t>
  </si>
  <si>
    <t>调得很清亮，喜欢，气息感很强，pit线画得很好，颤音颤得很好。又吓哭我了，到底是谁在下场打我。我想学这个！！老师可以和我扩列吗？！</t>
  </si>
  <si>
    <t>比较中规中矩的调声，缺更多修饰，是天依，因为本身音源咬字的原因，听起来不算惊艳。修一下咬字和动态会好很多。那个“你”会有点硬邦邦的，而且重复的歌词没有较多变化，会有点审美疲劳，最后是跑调了吗？</t>
  </si>
  <si>
    <t>很不错的调，很清亮的赤羽，看得出来调声技巧，但是最终我降了点评级，因为有调参复刻因素在。</t>
  </si>
  <si>
    <t>很对味的洛，但是和上面那位比起来就相对缺点感觉，其实我觉得有声库选择的原因。力度有待改善。咬字比离岛那位好很多</t>
  </si>
  <si>
    <t>太硬了，换个引擎会好点。而且咬字改善空间很大。应该是utau？善用vc音素或者拿“R”这种音素来捏出律动会好很多。给我感觉选曲太长而没有细调完全部的感觉</t>
  </si>
  <si>
    <t>还不错，很喜欢选曲，调得很有感情，音尾画得不错。混音好像有点闷拖了点后腿。希望力度感加强一点，强弱得当一点会更有激情一点，可以善用气声、张力、性别等参数</t>
  </si>
  <si>
    <t>可以看出有自己的理解，还是好听的，但辅音噪音有待改善，偏硬。发声方式可以多变一点调调假声之类的。从头到尾太平了，期待多做音尾之类的也可以拉拉节奏做律动</t>
  </si>
  <si>
    <t>艺术表达力极高，情感丰富，对民族唱法和高音的掌握极强。吓哭了，但是有点爆音，最后的长音有点拉伸噪音，都是可以优化的点。这个应该调的是栀子，我又想扩您了</t>
  </si>
  <si>
    <t>知道是冲着草榜来的，但是辅音的噪音重了。跨语种咬字也可以再捏细一点，实在不是很像的发音建议eq修，可以修得很像。</t>
  </si>
  <si>
    <t>是冲着草榜来的吗？好像节奏有点乱。不会怒音不如没有，卡痰好难受，混音混响太大了。目前第一个让我有评D冲动的。</t>
  </si>
  <si>
    <t>律动不错，很不错的pit把握，但是觉得混音有些拖后腿了？声场没拉开的感觉。让我感觉比较惊艳的是开头部分的气势感，但是高潮部分给我感觉差一点点意思</t>
  </si>
  <si>
    <t>无生物参赛很大胆，但大胆也就意味着需要有能够收到比较严格的评价的承受能力。比较平，缺乏亮点，另外无生物不是一些改善空间的借口。让我比较难受的是高频炸了而且炸得很严重，这点是可以利用eq改善的。另外混音也比较差意思。律动也可以改善。</t>
  </si>
  <si>
    <t>草榜来的，开口偏硬，可以更柔和一点。算是草榜调得还过得去的。但平平无奇。</t>
  </si>
  <si>
    <t>比上面相同选曲好太多了，但是混音拖了后腿的感觉，另外还是辅音噪音的问题，完全可以后期削。拼接感较强力度差点意思。</t>
  </si>
  <si>
    <t>不错的，律动很好，气息和律动把握好，可以听出来假声的使用，喜欢这种清闲的感觉，看出来实力了，有游刃有余的感觉，但是选曲偏平，没有显露出特别多的实力，有点可惜。</t>
  </si>
  <si>
    <t>活人感很强，气息把握很不错，可以听出来全曲的不同层次的变化，但是力度差点意思，或许下次混用引擎会好更多</t>
  </si>
  <si>
    <t>喜欢选曲，低音好听，但是咬字有改善空间，另外辅音的噪音一定要后期修一下啊！另外选曲偏长，没有听到比较丰富的层次变化会有点审美疲劳。</t>
  </si>
  <si>
    <t>吓哭了，但是后来去仔细看了一下是调参复刻，只能说很厉害但是我不能给太高。我觉得颇有一种全是技巧缺乏一些感情的感觉，希望老大参赛能拿出更多自己的东西</t>
  </si>
  <si>
    <t>草榜调得不错的一位，投一草票</t>
  </si>
  <si>
    <t>草榜来的，跨语种不错，但是老大你是不是混炸了，咬字也可以细捏一些</t>
  </si>
  <si>
    <t>比我厉害，可以看出来有很多技巧，用得很厉害，包括气泡音、真假转换等都很自然。pit画得不错，是偏硬的质感但是调得很好。但给我感觉混音差点意思，而且表达想法和我不太一样（用了很多参但是是我错觉吗我觉得炫技有点刻意？显得有点油，我反倒期待这位做做减法</t>
  </si>
  <si>
    <t>好听，假声调得很好，但感觉比较中规中矩，缺少更细节的捏？期待用上更多技巧。</t>
  </si>
  <si>
    <t>希望这位P主能教我做说唱</t>
  </si>
  <si>
    <t>我要验频！</t>
  </si>
  <si>
    <t>汪大吼！</t>
  </si>
  <si>
    <t>盲肠肝脏大肠年龄</t>
  </si>
  <si>
    <t>nhsk这个劲啊话说鼓点好大声</t>
  </si>
  <si>
    <t>好奇怪</t>
  </si>
  <si>
    <t>本表评价不使用ABCD，而使用“超大杯”“大杯”“中杯”“小杯”评价（仅仅因为我任性），请注意。</t>
  </si>
  <si>
    <t>只评日语。大部分歌姬都听不出来抱歉。</t>
  </si>
  <si>
    <t>超大杯中</t>
  </si>
  <si>
    <t>超大杯上</t>
  </si>
  <si>
    <t>超大杯</t>
  </si>
  <si>
    <t>用的是UTAU吧？嗯，第一耳听上去感觉女声音源的质量不行，但接下来就被调教水平震撼到了。呼吸音，喉塞音，哭腔和颤音全都是超大杯水平，只在某些地方上还有不足（例如わたし的た未浊化）但瑕不掩瑜，总的来说属于超大杯。</t>
  </si>
  <si>
    <t>大杯上</t>
  </si>
  <si>
    <t>大杯中</t>
  </si>
  <si>
    <t>超大杯下</t>
  </si>
  <si>
    <t>大杯</t>
  </si>
  <si>
    <t>很有创意地利用了歌手音ピコ的两声类特质还原了原曲的和声。可惜的是PIT变化过于少了一些，感觉从开头的那个あれ上可以看出作者其实是知道怎么调PIT的，有点可惜。而且感觉混音有点闷，而且和伴奏有些不贴合。</t>
  </si>
  <si>
    <t>大杯下</t>
  </si>
  <si>
    <t>听得出男歌手的性能还是不错的。然而混音有点问题，感觉和声像是在合唱一样。PIT感觉也调的中规中矩，例如気が付けど里的“付”原曲末尾是有个明显的上扬的（当然じん的调教不是谁都能仿的）。</t>
  </si>
  <si>
    <t>中杯中</t>
  </si>
  <si>
    <t>中杯上</t>
  </si>
  <si>
    <t>中杯</t>
  </si>
  <si>
    <t>感觉唯一的一点调教用在拉音头，添加颤音和添加尾部R音符上面了。听得出这是女高音的弱音源，低音部分直接变鸭子了（笑）有些地方想要模仿原唱反而弄巧成拙，例如どれほど的れ原曲中不明显，曲中缩短了其音素时值但未降低音量，导致有点突兀。</t>
  </si>
  <si>
    <t>调教水平和上一首不分伯仲，不过起码知道自家的最适音域，没有鸭子，所以听感上好一点。</t>
  </si>
  <si>
    <t>抱歉听不出音源是男声还是女声。能听出有意识地调整音素时值和动态，但和声的音量还是大了一点。</t>
  </si>
  <si>
    <t>感觉这曲咬字应该更用力一点，放在UTAU里就是ATK可以拉高一点。其他抓不出什么毛病。还有我真的有点想学怎么用ご这个音捏出girl的。</t>
  </si>
  <si>
    <t>这个音源有很多发音感觉对比日语来说明显的口型过大，如果不是跨语种的话，那就是录制的时候有些中式日语了。抛开这一点的话调的还是中规中矩，给个大杯。</t>
  </si>
  <si>
    <t>中杯下</t>
  </si>
  <si>
    <t>混音上就有问题，人声和伴奏完全没有贴住。PIT方面有点奇怪（心にぽっかり空いちゃ↑った），抛开洛天依V4J本身的模糊不谈，初音的咬字也不尽人意。</t>
  </si>
  <si>
    <t>小杯</t>
  </si>
  <si>
    <t>初听：把老匹的Dark用Original翻调，有点意思。再听：这GWL是人加的！？作者你是不是觉得随便乱拉GWL老帅老有水平了啊？谁告诉你的？遂怒给出全场唯一小杯作品。</t>
  </si>
  <si>
    <t>总评准则：S可放歌单红心单曲循环的程度；A，A+会在收藏夹放着闲的没事听的程度，B，B+是三连支持后躺收藏夹吃灰的程度，C+以下是不会收藏，点赞或投币支持的程度</t>
  </si>
  <si>
    <t>好帅</t>
  </si>
  <si>
    <t>混音有点问题的感觉，最后段表达不赖</t>
  </si>
  <si>
    <t>有点无参感的ykn</t>
  </si>
  <si>
    <t>这个高音我疯了</t>
  </si>
  <si>
    <t>合唱时有点抢，或许可以在混音上的空间躲一下</t>
  </si>
  <si>
    <t>有力气的声音</t>
  </si>
  <si>
    <t>和声很帅</t>
  </si>
  <si>
    <t>说唱很帅</t>
  </si>
  <si>
    <t>颤音和转音是需要进步的地方</t>
  </si>
  <si>
    <t>这个伴唱牛逼</t>
  </si>
  <si>
    <t>混响有点大，回音再小点会不会更好</t>
  </si>
  <si>
    <t>混响好怪，不过平泽进的手法的确很难学</t>
  </si>
  <si>
    <t>这个配色真的很阴间</t>
  </si>
  <si>
    <t>喜欢这个清爽的混音</t>
  </si>
  <si>
    <t>这个转音可以做教科书的程度</t>
  </si>
  <si>
    <t>开场的人声应该只做一遍，切片，丢采样器里面重复，这个听起来像是一口气唱出来的，然后人声轨的自动化没做好，应该用autotune一类的叠一层降八度，2:45之后的EQ自动化也没做，不过音准不错，缺点只在DAW里面，混音和插件使用学的话还是快的</t>
  </si>
  <si>
    <t>ykn绝妙高音...但没太听出来可察觉得到的音高线调教</t>
  </si>
  <si>
    <t>节奏医生好耶，但是缺一点温情温柔感</t>
  </si>
  <si>
    <t>副歌的怒音救了略显平淡的verse1</t>
  </si>
  <si>
    <t>即便不说这个巨大混响，这个声音为什么这么闷...</t>
  </si>
  <si>
    <t>印度语</t>
  </si>
  <si>
    <t>好高完成度</t>
  </si>
  <si>
    <t>依旧，问题在混音上，人声闷</t>
  </si>
  <si>
    <t>三问三答那里语调教扣分，其他地方很好</t>
  </si>
  <si>
    <t>进步空间在和声上</t>
  </si>
  <si>
    <t>what the hell...这么爵！</t>
  </si>
  <si>
    <t>副歌“命运”“人生”的转音机械音出来了</t>
  </si>
  <si>
    <t>三角初音本人？</t>
  </si>
  <si>
    <t>感觉人声还是少点昭和味</t>
  </si>
  <si>
    <t>扒错音，填错词...这首歌我之前有做过，BV1wM7ezoEWQ，如果把我的做B+基准，这个调教就算是需要补考</t>
  </si>
  <si>
    <t>第一次参赛哦，由于对其他声库不了解，只评vsinger声库调的歌曲，上半场暂时没听过，等我把下半场评完再听
ps:给c相当于个人觉得像无参直出，草曲个人不评级</t>
  </si>
  <si>
    <t>一耳无参的天依，可以试着探索画参和pit呢</t>
  </si>
  <si>
    <t>个人觉得音高线平平淡淡，
有几个地方有点电可以改进一下呢，
唱的轻重可以再明显一点呢</t>
  </si>
  <si>
    <t>太踏马好听了把我硬控住了
所以给个最高评价吧</t>
  </si>
  <si>
    <t>是阿凌吗，印象里调的还可以</t>
  </si>
  <si>
    <t>唱法有特色o</t>
  </si>
  <si>
    <t>正儿八经的草曲，所以没法打分，语调不错
u1s1这个歌姬听着好可爱</t>
  </si>
  <si>
    <t>开头把我硬控住了，副歌惊艳
想给票</t>
  </si>
  <si>
    <t>草曲，太草了</t>
  </si>
  <si>
    <t>这云南话太标准了，有内味了
一首翠湖笑得我把我的饭从嘴里喷出来了，🌿</t>
  </si>
  <si>
    <t>女声是海伊么，好听，好灵动的歌
想给票</t>
  </si>
  <si>
    <t>致歉:个人听感像无参直出，情感平平淡淡，
像念经，试试探索pit吧（｡ò ∀ ó｡）</t>
  </si>
  <si>
    <t>草草草</t>
  </si>
  <si>
    <t>好有年代感的歌，个人感觉有点跑调，
草</t>
  </si>
  <si>
    <t>漏气有点严重了噢，谈不上情感</t>
  </si>
  <si>
    <t>伴奏声音太大了，喧宾夺主了，
pit有点平，没听到什么转音
但参数的音色拉的挺可以的</t>
  </si>
  <si>
    <t>草，娜娜经典曲目</t>
  </si>
  <si>
    <t>x调成这样还不错，
有的地方有点抖抖的
不过怎么感觉pit跟参数不太匹配呀（?）
第二段我是觉得情感要更强烈的，没有预想中的起来原谅我因此扣分了</t>
  </si>
  <si>
    <t>pit挺不错的，有的地方电了可以修修，
有些字我觉得可以轻一点，转音可以再多</t>
  </si>
  <si>
    <t>不错的海伊，喜欢
想给票</t>
  </si>
  <si>
    <t>这个洛有点淡淡的美，
去试着探索一下其他维度吧（?）</t>
  </si>
  <si>
    <t>淡淡的嘿嘿嘿</t>
  </si>
  <si>
    <t>草，不准教小娃讲脏话，
静教些不好的😂，等长大了还得了啊?</t>
  </si>
  <si>
    <t>这小品不错</t>
  </si>
  <si>
    <t>草草草，这重庆话太巴适了</t>
  </si>
  <si>
    <t>大东北↘↗↗↘～</t>
  </si>
  <si>
    <t>是不是用x抽参了?
可以修修再发呢
记得分力度轻重(｢･ω･)｢嘿</t>
  </si>
  <si>
    <t>这音色怎么像v5，ACE和x杂交的洛?
致歉:这个参数下配的音色个人觉得有些出戏，有的地方怎么感觉像是导出来干声进宿主里拿去音高修正了?音高修正是会改变原音色的，建议在调教软件里画pit
情感不够强烈</t>
  </si>
  <si>
    <t>不代表最终投票，暂定还会修改，评分标准浮动仅供娱乐</t>
  </si>
  <si>
    <t>操作</t>
  </si>
  <si>
    <t>技巧</t>
  </si>
  <si>
    <t>解析</t>
  </si>
  <si>
    <t>潜力</t>
  </si>
  <si>
    <t>阿耳忒弥斯的飞蛾</t>
  </si>
  <si>
    <t>引擎原因电电的，长句尾多加点颤音可能会好很多</t>
  </si>
  <si>
    <t>啦啦啦啦啦啦啦啦啦啦</t>
  </si>
  <si>
    <t>⬇️？</t>
  </si>
  <si>
    <t>听感很流畅，但是决定此刻就跟你刷</t>
  </si>
  <si>
    <t>乐正绫</t>
  </si>
  <si>
    <t>音高捕捉模式</t>
  </si>
  <si>
    <t>将军\o/\o/\o/\o/</t>
  </si>
  <si>
    <t>有些奇怪的咬字是故意的还是不小心</t>
  </si>
  <si>
    <t>赤羽</t>
  </si>
  <si>
    <t>前奏在磨我的耳朵，但是谁下场打我？</t>
  </si>
  <si>
    <t>⬆️？</t>
  </si>
  <si>
    <t>请加大pit使用频率</t>
  </si>
  <si>
    <t>洛天萌</t>
  </si>
  <si>
    <t>你！一一一一</t>
  </si>
  <si>
    <t>后面的和声在喧宾夺主</t>
  </si>
  <si>
    <t>开卷考试</t>
  </si>
  <si>
    <t>听感好棒，但实际操作似乎并没有很多</t>
  </si>
  <si>
    <t>洛天婉</t>
  </si>
  <si>
    <t>感觉有点偷懒</t>
  </si>
  <si>
    <t>你好短，和好神秘的气声</t>
  </si>
  <si>
    <t>有点像抽了芋泥波波奶茶味的电子烟</t>
  </si>
  <si>
    <t>怎么不选个短的细细调之</t>
  </si>
  <si>
    <t>赶快学拆音</t>
  </si>
  <si>
    <t>修修咬字会再好很多</t>
  </si>
  <si>
    <t>让歌姬休息一会吧，听起来好累！</t>
  </si>
  <si>
    <t>幻晓伊</t>
  </si>
  <si>
    <t>贯穿始终的中规中矩</t>
  </si>
  <si>
    <t>副歌听感不错，但主歌崩了，合理怀疑是伴奏垫子在救命</t>
  </si>
  <si>
    <t>爆音了！</t>
  </si>
  <si>
    <t>律动方面可以多建设一下</t>
  </si>
  <si>
    <t>还整的挺好</t>
  </si>
  <si>
    <t>咋有点大舌头</t>
  </si>
  <si>
    <t>卡痰了！</t>
  </si>
  <si>
    <t>整曲似乎没什么变化，但是是歌的原因</t>
  </si>
  <si>
    <t>怎么全曲都一样？</t>
  </si>
  <si>
    <t>好牛但是呼吸音有点怪怪</t>
  </si>
  <si>
    <t>言和</t>
  </si>
  <si>
    <t>低音区好像不太会调的样子</t>
  </si>
  <si>
    <t>DawnBreaker</t>
  </si>
  <si>
    <t>结尾我以为耳机坏了！</t>
  </si>
  <si>
    <t>像是【数据删除】</t>
  </si>
  <si>
    <t>人声和伴奏各响各的，尽量学习一下混音！</t>
  </si>
  <si>
    <t>调的就好像是调出来的</t>
  </si>
  <si>
    <t>主歌SVSTD气声魅力时刻，可以修一修气声</t>
  </si>
  <si>
    <t>镜音连</t>
  </si>
  <si>
    <t>好跨</t>
  </si>
  <si>
    <t>转音的PIT尽量快一点</t>
  </si>
  <si>
    <t>V4C</t>
  </si>
  <si>
    <t>应该画大颤音的</t>
  </si>
  <si>
    <t>滑铲 滑铲 滑铲</t>
  </si>
  <si>
    <t>有想法但不多</t>
  </si>
  <si>
    <t>与上半场有首U一样很牛比但是高音似乎上不去？</t>
  </si>
  <si>
    <t>心华</t>
  </si>
  <si>
    <t>抄袭我，律动创创的，最后俩字吓我一跳</t>
  </si>
  <si>
    <t>快多画点pit，顺便加点气口</t>
  </si>
  <si>
    <t>牛牛</t>
  </si>
  <si>
    <t>好辛苦的心华，副歌的音域不太合适听感比较难受</t>
  </si>
  <si>
    <t>栀子</t>
  </si>
  <si>
    <t>没硬起来，但是很牛</t>
  </si>
  <si>
    <t>调教上可以再大胆一点</t>
  </si>
  <si>
    <t>音太低了导致糊糊</t>
  </si>
  <si>
    <t>请从本曲中找出颤音</t>
  </si>
  <si>
    <t>这有个偷懒的来了</t>
  </si>
  <si>
    <t>？你想干啥</t>
  </si>
  <si>
    <t>混音拖了！在爆音</t>
  </si>
  <si>
    <t>是跨的语种还挺牛哈</t>
  </si>
  <si>
    <t>不要把人声都堆中间！</t>
  </si>
  <si>
    <t>牧心</t>
  </si>
  <si>
    <t>混音有点拖，但很强</t>
  </si>
  <si>
    <t>依旧开卷考试</t>
  </si>
  <si>
    <t>minus</t>
  </si>
  <si>
    <t>选曲也扣分</t>
  </si>
  <si>
    <t>我举报配色抄袭。开头气泡音过多了！</t>
  </si>
  <si>
    <t>颤音有点创</t>
  </si>
  <si>
    <t>吸气...呼气...吸气...呼气...吸气...呼气...吸气...呼气...</t>
  </si>
  <si>
    <t>乐正幽</t>
  </si>
  <si>
    <t>V5的高频在摩擦我</t>
  </si>
  <si>
    <t>怎么是单声道伴奏</t>
  </si>
  <si>
    <t>星尘</t>
  </si>
  <si>
    <t>细细切做臊子，谁下场打我？</t>
  </si>
  <si>
    <t>人声并没有在0:41开始，受到欺骗。请多画BRI</t>
  </si>
  <si>
    <t>像tl调的 pit有点怪</t>
  </si>
  <si>
    <t>留点气口吧！虚拟歌姬也是人</t>
  </si>
  <si>
    <t>诗岸</t>
  </si>
  <si>
    <t>好平平</t>
  </si>
  <si>
    <t>可以在混音摆一摆人声位置，会好很多</t>
  </si>
  <si>
    <t>V4C拖累</t>
  </si>
  <si>
    <t>手牵手呀 转圈圈~</t>
  </si>
  <si>
    <t>有点创人的下拉</t>
  </si>
  <si>
    <t>jiu xiao 的发音感觉怪怪，是故意还是不小心</t>
  </si>
  <si>
    <t>转音都硬硬的</t>
  </si>
  <si>
    <t>听感很爽但是为什么要伤害我的眼睛！</t>
  </si>
  <si>
    <t>挺好，转音奇奇怪怪</t>
  </si>
  <si>
    <t>蝶恋花</t>
  </si>
  <si>
    <t>很艺术，不过可以在混音挖一挖EQ，听感比较顶耳朵</t>
  </si>
  <si>
    <t>还不错就是平平的</t>
  </si>
  <si>
    <t>有些个别突兀的拆轨痕迹</t>
  </si>
  <si>
    <t>主歌有点顿顿的，但副歌听感很棒，后续又缺少点变化</t>
  </si>
  <si>
    <t>感觉副歌段歌手在硬硬的扯着</t>
  </si>
  <si>
    <t>铝黄瓜</t>
  </si>
  <si>
    <t>洛天依在我左右来回跑</t>
  </si>
  <si>
    <t>有点吵吵</t>
  </si>
  <si>
    <t>V5拼V3不错，希望其他V5选手学习</t>
  </si>
  <si>
    <t xml:space="preserve"> </t>
  </si>
  <si>
    <t>妈妈</t>
  </si>
  <si>
    <t>歌姬</t>
  </si>
  <si>
    <t>叠甲：理想评分标准是D不如无参C无参B正常调而且没什么瑕疵，但是实际上瞎拉的可能会±一到两个小等级
觉得我是厕品那你就是对的</t>
  </si>
  <si>
    <t>好电啊 没颤音</t>
  </si>
  <si>
    <t>感觉力用猛了，pit很飞，混音也不太行
但是律动和辅音节奏其实挺不错的</t>
  </si>
  <si>
    <t>尘</t>
  </si>
  <si>
    <t>部分尾字似乎是为了押韵改音了 好坏不评价
气声怎么偷的教教我 律动还能再连贯一点</t>
  </si>
  <si>
    <t>山</t>
  </si>
  <si>
    <t>颤音呢颤音呢 然后辅音和节奏的问题</t>
  </si>
  <si>
    <t>听……听不懂</t>
  </si>
  <si>
    <t>依然是V5听感一晃耳很不错但是细品差点情感，副歌地方高音没处理情绪没拉起来
比原曲好听</t>
  </si>
  <si>
    <t xml:space="preserve">太短了.jpg </t>
  </si>
  <si>
    <t>龙牙</t>
  </si>
  <si>
    <t>平平的，能出来调的痕迹，但是颤音也没有，情绪也没有，就那么过去了</t>
  </si>
  <si>
    <t>加油努力，和石墨坐一桌</t>
  </si>
  <si>
    <t>太平啦，虽然赤羽不打人了挺开心的说是，副歌全靠和声抬起来</t>
  </si>
  <si>
    <t>乐正炽</t>
  </si>
  <si>
    <t>开头可以再软一点说是，bri--，副歌感觉缺了情感，动点的给我洗脑了</t>
  </si>
  <si>
    <t>哪来的单独音，连续性呢</t>
  </si>
  <si>
    <t>苍穹</t>
  </si>
  <si>
    <t>没辅音节奏，有的地方有神秘动态</t>
  </si>
  <si>
    <t>赤羽打人</t>
  </si>
  <si>
    <t>感觉副歌没起来</t>
  </si>
  <si>
    <t>评……评不来</t>
  </si>
  <si>
    <t>歌很好听，但是副歌感觉少了点穿透力</t>
  </si>
  <si>
    <t>无参……算了这是大前年的我，加油努力吧，去vsqx学点工程</t>
  </si>
  <si>
    <t>歌的问题，副歌感觉也就那样，感觉是调了但是听起来也就那样</t>
  </si>
  <si>
    <t>下半的悟他悟睾手 但是SC的高音还能唱憋着了 歌手的问题,jpg</t>
  </si>
  <si>
    <t>你也是个没气口的，然后很长的音一点颤音不给的</t>
  </si>
  <si>
    <t>听得出来很用力，但是怎么想不通调这种东西呢</t>
  </si>
  <si>
    <t>整体没问题，但是禁不起细考究，辅音节奏有点问题，然后就是V5经典的情感起不来
颤音很公式化，很多长音前面很直，可以大胆一点</t>
  </si>
  <si>
    <t>你是说1.30的歌有30s前奏是吗然后还戛然而止
平平的，也没律动，没颤音，没动态，一点都不有趣</t>
  </si>
  <si>
    <t>Ctrl+C Ctrl+V</t>
  </si>
  <si>
    <t>查询混音状态，怎么爆音了 然后有点神秘颤音</t>
  </si>
  <si>
    <t>平平的无参，但是比下面几个好</t>
  </si>
  <si>
    <t>抄作业……</t>
  </si>
  <si>
    <t>批发气泡音来了吗，副歌有pit但是……感情呢，感觉是硬拉上去的</t>
  </si>
  <si>
    <t>无参，然后呼吸音加不来可以不加的真的，不打扰STD的听感
STD瞎加呼吸才假人</t>
  </si>
  <si>
    <t>神秘呼吸音 加不来呼吸音可以不加的真的，然后有调教痕迹但是反而不如上一个</t>
  </si>
  <si>
    <t>怎么就20s那里有点动态，其他地方呢</t>
  </si>
  <si>
    <t>虚拟歌姬让我不能呼吸.jpg 有的地方颤音幅度大了</t>
  </si>
  <si>
    <t>言 洛</t>
  </si>
  <si>
    <t>很白，小无参，混音没对</t>
  </si>
  <si>
    <t>家是本呀本是家</t>
  </si>
  <si>
    <t>感觉咬字是没调还是专门处理成这样的，导致听起来很糊糊的</t>
  </si>
  <si>
    <t>大哥我眼睛</t>
  </si>
  <si>
    <t>赤羽打人 好吧其实没那么打人 有的颤音有点神秘了，呼吸音有点大了
但是完成度在这里没什么大问题</t>
  </si>
  <si>
    <t>洛天婉 乐正幽</t>
  </si>
  <si>
    <t>气泡音有想法但是没做好 拆轨痕迹有点明显了
 喉塞音什么的术力口搞不出来就不要搞了（</t>
  </si>
  <si>
    <t>能听出来很有想法但是实现起来emm</t>
  </si>
  <si>
    <t>主歌不错的但是副歌差了一点，在那一堆炫技的赤羽大人里面有点不够看了</t>
  </si>
  <si>
    <t>？什么东西</t>
  </si>
  <si>
    <t>很明显听得出来的假声处理加分了</t>
  </si>
  <si>
    <t>很不错，没了</t>
  </si>
  <si>
    <t>想不到能些什么（</t>
  </si>
  <si>
    <t>你都调这个了就…… 不如来点震撼哭腔</t>
  </si>
  <si>
    <t>财神到！！新年发大财！</t>
  </si>
  <si>
    <t>乐正炽？</t>
  </si>
  <si>
    <t>你都调这个了就……</t>
  </si>
  <si>
    <t>我的天啊赤羽打人……不是，大人</t>
  </si>
  <si>
    <t>加油努力</t>
  </si>
  <si>
    <t>先结婚 比下面的厉害</t>
  </si>
  <si>
    <t>先结婚 副歌没燃起来，然后听感也不是很好</t>
  </si>
  <si>
    <t>悟他悟的</t>
  </si>
  <si>
    <t>好长好长啊……</t>
  </si>
  <si>
    <t>有点瑕疵但问题不大</t>
  </si>
  <si>
    <t>惨啊，被去年今年打 也没有真假声的变化，头平到尾巴</t>
  </si>
  <si>
    <t>怎么还有爆音（ 查询混音状态</t>
  </si>
  <si>
    <t>awmc</t>
  </si>
  <si>
    <t>痰吐了再唱歌</t>
  </si>
  <si>
    <t>反正听起来很高级的样子</t>
  </si>
  <si>
    <t>言和 乐正炽</t>
  </si>
  <si>
    <t>主歌副歌真的是一个人调的吗，预副歌能来真假声转换能来渐强主歌什么东西</t>
  </si>
  <si>
    <t>好像真的在泥汤里唱的</t>
  </si>
  <si>
    <t>都调这个了就……就……</t>
  </si>
  <si>
    <t>你都跨语种了就……就……</t>
  </si>
  <si>
    <t>好冷啊 为什么不C47</t>
  </si>
  <si>
    <t>难见的赤羽没打人</t>
  </si>
  <si>
    <t>不如……186 最后两字什么东西？</t>
  </si>
  <si>
    <t>无需多言</t>
  </si>
  <si>
    <t>传说中的悟他悟大人？气泡气泡气泡音可惜SC就两张三倍</t>
  </si>
  <si>
    <t>神秘+GEN 大哥你但凡升点key呢 有想法但不多</t>
  </si>
  <si>
    <t>感觉……不如原唱</t>
  </si>
  <si>
    <t>真不是186？好听爱听天天听</t>
  </si>
  <si>
    <t>混音有点毁 前面有点平，最后不错</t>
  </si>
  <si>
    <t>减</t>
  </si>
  <si>
    <t>还有点保守可以再放开点</t>
  </si>
  <si>
    <t>天啊这是V4尘</t>
  </si>
  <si>
    <t>辅音没律动 听得出来有操作但是操作没作对，可以很有意思的</t>
  </si>
  <si>
    <t>V4C很好的弥补了技巧的作用</t>
  </si>
  <si>
    <t>节奏，跑调，颤音都是问题</t>
  </si>
  <si>
    <t>律动呢律动呢 有点一字一蹦的 pit也有问题 然后dyn感觉像是句幅度上的大波浪线</t>
  </si>
  <si>
    <t>有想法但是手看起来不听话</t>
  </si>
  <si>
    <t>律动呢律动呢，辅音节奏呢</t>
  </si>
  <si>
    <t>宇宙免责声明：纯主观的瞎几把评，自己水平比A不足比D有余，但是又眼高于顶所以打分偏低（）所以评级仅代表个人审美喵~</t>
  </si>
  <si>
    <t>歌名</t>
  </si>
  <si>
    <t>瞎几把ray一下（）</t>
  </si>
  <si>
    <t>好有气势！一开口让我觉得和泽野弘之的歌适配感拉满！（虽然我并没有搜到原唱不知道这是否就是泽野的歌x）2.38左声道的女声出来挺眼前一亮的！不过大合唱的展现方式还是很容易丢细节的（）完成度很高的歌！</t>
  </si>
  <si>
    <t>主歌挺好的！哥们低八度的和声声道偏左了（什么何晨光的和声x）最后一段歌姬掐脖子了啊啊啊啊啊！大概全曲是想温柔向调的，很喜欢！副歌的高音多点真假声转换应该会更好！</t>
  </si>
  <si>
    <t>喜欢！得劲！ 歌姬对味！但是我不懂韩语思密达（）这个尾音AAA颤音批发有点像中岛美嘉在唱韩语的感觉（？）</t>
  </si>
  <si>
    <t>有种歌姬和伴奏各自美丽的美感（）很帅的调！有些高音的咬字似乎可以再干脆一点？（比如2.36的ta ku na i）</t>
  </si>
  <si>
    <t>好会选歌姬！！感情好好！是哪个滑铲大佬！！</t>
  </si>
  <si>
    <t>咬字好喜欢！rap的律动感缺失了一丢丢（）“hey”有点出戏dbq哈哈哈哈</t>
  </si>
  <si>
    <t>AAAautune批发，电音加这里没毛病但你电跑了（）rap没那么夯（）副歌没爆出来555不知道是不是歌姬的声线限制了（）个人觉得这歌也许选个亮点的歌姬比如teto会更得劲！</t>
  </si>
  <si>
    <t>咱要不要考虑换个混响喵（）1：17有个混音小建议！可以把那些个nan de，pan一下，听感就不会那么单调了喵（）顺便感谢种草好歌！！</t>
  </si>
  <si>
    <t>混音有点太亮了（）字头处理好细致！已严肃学习！</t>
  </si>
  <si>
    <t>好厉害的跨！可是个人觉得这歌不适合言洛啊啊啊啊啊（）</t>
  </si>
  <si>
    <t>AAAbr批发，疑似混音压缩压的（）这是ACE的歌姬吗感觉质感不像爱思维的！顺便这个混音的压缩感觉把副歌也压得有点平，因为我总感觉干音的副歌应该动态会更灵动（）</t>
  </si>
  <si>
    <t>dbq无如参一位（）</t>
  </si>
  <si>
    <t>我喜欢你的小尾音和小转音！已严肃学习</t>
  </si>
  <si>
    <t>混音好炸啊啊啊啊啊，歌姬还没炸出来（）为什么不多批发一点颤音啊啊啊啊啊！dbq无如参又一位（）</t>
  </si>
  <si>
    <t>AAA前倚音批发（）主歌无如参（）副歌一出来我爽了！但没完全爽（）可能因为主副歌之间的感情递进和强弱变化不太明显（）</t>
  </si>
  <si>
    <t>好家伙大合唱！dbq无如参又一位（）</t>
  </si>
  <si>
    <t>在？为什么交干混？（）dbq无如参又一位（）全曲情感变化偏少了点（）2.47其实可以不用让歌姬这么上气不接下气的（）</t>
  </si>
  <si>
    <t>AAA上拉批发（）调音技巧高超，但是审美跟我有点分道扬镳dbq（）</t>
  </si>
  <si>
    <t>很可爱！歌姬很合适！dbq无如参又一位（）疑似又是被混音的动态耽误的一位（）</t>
  </si>
  <si>
    <t>？这是什么代打歌姬！teto吗（）性别这么拉的吗（）和声可以pan一下的（）不过这个和声在这我感觉已经在起反作用了dbq（）咬字不太干脆比如oh oh u wo oh那里（）</t>
  </si>
  <si>
    <t>dbq干如混一位（）主歌无如参，副歌pit有点迷惑（）疑似混音想加嘶吼科技但是并不太会加（）</t>
  </si>
  <si>
    <t>好帅！姐姐正面上我！！第一段主歌好完美！副歌转音离夯还缺了点内味（）第二段主歌咬字可以再干脆一点！嗯最后一段副歌情绪没推上来好可惜5555混音整体人声好大（）</t>
  </si>
  <si>
    <t>副歌情绪到位！我喜欢你副歌的第一句boy的尾息！0.53的think的pit何意味啊啊啊啊啊（）</t>
  </si>
  <si>
    <t>主歌无如参dbq，副歌有点面无表情硬吼的美感，像极了我自己强行唱高音的样子（）</t>
  </si>
  <si>
    <t>0.43kksk！好俏啊🤤副歌前倚音不用批发那么多的555第二段主歌疑似摆烂了起来（）最后一段桥段好优雅🤤</t>
  </si>
  <si>
    <t>开口疑似无如参dbq（）咬字不够干脆有点没帅起来（）</t>
  </si>
  <si>
    <t>AAA混响批发，大澡堂子混音一位（）rap出来吓我一跳dbq（）rap有种早年v4语调的美感（）补兑这选曲是什么拼好歌吗（）ber这又是哪个live伴奏啊啊啊啊啊啊</t>
  </si>
  <si>
    <t>AAA ds批发（）齿音不用消得这么狠啊啊啊啊啊（）像是手机音歌姬（？）味很对！小转音好美味🤤两段的伴奏差挺多的但是调得却感觉差不多（）情感递进不太够（）</t>
  </si>
  <si>
    <t>每年v8必调曲目（）pit有点跑跑的（）像是圈内流弊歌姬的未修音干音（）也许尾音可以再加点小巧思（）最后一段的怒音好评！但是没太怒起来可惜了呜呜呜呜（）</t>
  </si>
  <si>
    <t>AAAair fresh批发（）但这个空气感我很喜欢！dbq无如参又一位（）第二段主歌咬字太黏了（）最后一段发力了好评！虽然疑似最后一段音区偏移拉爆了（）</t>
  </si>
  <si>
    <t>主歌歌姬被压低得好惨😭女孩子唱男key好委屈啊😭副歌爽起来了！！等等这这这该不会是yuma吧（）情感递进好棒啊啊啊啊啊！主歌也许可以再拉一下音区偏移（）玛雅最后一段飙高音有点吓人dbq（）</t>
  </si>
  <si>
    <t xml:space="preserve">强弱处理爱了！已严肃学习！我喜欢这个尾息🤤已严肃学习！2.23一怒之下怒了一下爱了🤤你好🥹结芬🥹
</t>
  </si>
  <si>
    <t xml:space="preserve">dbq一开口我自动脑补起了神婆跳舞的画面不知道为什么（）音劲挺大🥹但是pit又挺无参（）
</t>
  </si>
  <si>
    <t>卧槽弹舌好帅！姐姐请正面上我🤤气声和声好细节！这个气泡尾音好喜欢🤤诶不儿弹舌怎么这么多（）有点太多了啊啊啊啊啊啊！鉴定为AAA弹舌批发（）</t>
  </si>
  <si>
    <t>？？？？？？草榜一位！</t>
  </si>
  <si>
    <t>歌姬对味！但是听不懂思密达（）为什么我觉得这么像粤语啊啊啊啊啊啊啊但是又不是（）副歌后面的吟唱跑如调（）</t>
  </si>
  <si>
    <t>开头语调怎么一个词比一个词拉啊啊啊啊啊dbq）但主歌调得好流弊！全是技巧！！深情感似乎差了一丢丢？也许是歌姬限制（）最后怎么还有女歌姬摆烂小彩蛋啊哈哈哈哈哈哈</t>
  </si>
  <si>
    <t>好猛！好喜欢！姐姐请正面上我啊啊啊啊啊啊！这个强弱变化啊啊啊啊我死了！！我想看看你的底裤！！！！哪个评委下场打人了（）</t>
  </si>
  <si>
    <t>好家伙年代感上大分！这个前奏我还以为是邓丽君的甜蜜蜜救命哈哈哈哈哈哈（）不管是选歌姬还是调还是混都非常对味！！！跟下半场那几个ac怀旧大佬坐一桌！（？）</t>
  </si>
  <si>
    <t>好流弊的律动！！！但个人感觉作为个a组动态有点太大了（）</t>
  </si>
  <si>
    <t>好几把帅！！佬教教弹射55555</t>
  </si>
  <si>
    <t>佬教教语调！！</t>
  </si>
  <si>
    <t>有得感情也有得技巧！！！副歌特别爽！！！</t>
  </si>
  <si>
    <t>好有内味啊啊啊啊啊啊啊啊！喜欢！厚重感的歌姬和这歌适配度拉满！！疑似某位评委下场打人（）</t>
  </si>
  <si>
    <t>？我以为前面是银叫，结果特么是李白（）rap流弊！有点做m会还手的美感</t>
  </si>
  <si>
    <t>标蓝是喜欢，标红是特别喜欢</t>
  </si>
  <si>
    <t>标绿是草</t>
  </si>
  <si>
    <t>一边做事一边听一边随便写写（技术不高纯主观评价orz）（如果给了牛逼作品低分是因为我没品😭）
（耳机和耳朵都不太好使，混音评得不对的话私密马赛orz）</t>
  </si>
  <si>
    <t>姑且是全评完惹！谢谢大噶！（？）</t>
  </si>
  <si>
    <t>三倍：AC7，AF5，SC3，SF3
普通：AC40，AF27，SC14，SF14</t>
  </si>
  <si>
    <t>三倍：AC13，AF9，SC5，SF6
普通：AC41，AF30，SC15，SF18</t>
  </si>
  <si>
    <t>瞎几把评</t>
  </si>
  <si>
    <t>唠嗑（？</t>
  </si>
  <si>
    <t>随便评</t>
  </si>
  <si>
    <t>唠嗑</t>
  </si>
  <si>
    <t>（5+23，5+15，3+9，4+14）</t>
  </si>
  <si>
    <t>放置家产进行镇宅.jpg</t>
  </si>
  <si>
    <t>AC1（6+31）</t>
  </si>
  <si>
    <t>咋这么多微调AI洛（）别为难洛佬了.jpg</t>
  </si>
  <si>
    <t>AC2（7+40）</t>
  </si>
  <si>
    <t>还以为点错进了std组（）前面突然变到左声道那句有点唐突惹混音没处理好，副歌声音忽大忽小疑似均衡(?)没做好</t>
  </si>
  <si>
    <t>？颤的啥 故意的还是不小心.jpg</t>
  </si>
  <si>
    <t>我需要观众唠嗑列</t>
  </si>
  <si>
    <t>耳暂明</t>
  </si>
  <si>
    <t>虚得像没调的洛，咬字修利落点，缺掉的转音补点，“节奏”的“奏”音错了</t>
  </si>
  <si>
    <t>这首我曾经也想扒但发现这好像还是个变速曲（</t>
  </si>
  <si>
    <t>omg为啥要在我这唠嗑（）</t>
  </si>
  <si>
    <t>歌手可爱 句与句之间尾音别拖太长 给孩子留个气口罢 混音咋回事独唱跟合唱音量差太大了</t>
  </si>
  <si>
    <t>？卧槽尼玛丢雷楼某广东人强烈谴责。以及音头高得能戳死十个我（sv音头不要拉那么高吧kuso！</t>
  </si>
  <si>
    <t>因为你出口成脏</t>
  </si>
  <si>
    <t>哪个人类能忍得了食曱甴😡</t>
  </si>
  <si>
    <t>太平了 副歌该有的转音也没了（）</t>
  </si>
  <si>
    <t>私密马赛我听这种平到发腻的微参ACE洛就容易暴躁（）</t>
  </si>
  <si>
    <t>原唱吧卧槽😱（以后就说我调得不如倒数😭）</t>
  </si>
  <si>
    <t>颤音有点抖</t>
  </si>
  <si>
    <t>好帅的言……这个口型变化太帅了尤其是“晚霞”那里太喜欢了……</t>
  </si>
  <si>
    <t>非常流畅粤语</t>
  </si>
  <si>
    <t>ACE特有的没调般的虚，转音加点，口型和辅音修点</t>
  </si>
  <si>
    <t>哪来的在逃人民艺术家（下跪）</t>
  </si>
  <si>
    <t>pit不太稳，有些地方听着像直接拉平的，怎么还有字掉拍和跑调</t>
  </si>
  <si>
    <t>配色好夜店 调声平了 上扬音有点太过了（）混音有点闷</t>
  </si>
  <si>
    <t>？你们究竟从哪掏出来的这些怪曲子.jpg</t>
  </si>
  <si>
    <t>歌手咬字原本就这样的嘛（）感觉在一些曲风里能做出挺有意思的效果，但在这里有点糊到影响听感惹</t>
  </si>
  <si>
    <t>我想喝一杯珍珠奶茶。尼玛甚至是阿卡贝拉啊啊啊啊啊。。</t>
  </si>
  <si>
    <t>大佬风格的选曲和歌手.jpg 颤音跟一些修饰音差了点内味儿</t>
  </si>
  <si>
    <t>……？（槽点太多不知从何开口……）</t>
  </si>
  <si>
    <t>哇说书洛（？）这种确实不好调，pit还是有点飘惹（俺也不知道怎么改orz）</t>
  </si>
  <si>
    <t>平 可以从颤音和音头音尾开始加 伴奏音质感觉有问题（）</t>
  </si>
  <si>
    <t>卧槽非常牛逼转音使我大脑螺旋飞升 旋转跳跃我闭着眼.wav</t>
  </si>
  <si>
    <t>气泡音爽……</t>
  </si>
  <si>
    <t>我的眼睛 还有耳朵，谁在往跳绳赛里投💩，</t>
  </si>
  <si>
    <t>？？？？😱</t>
  </si>
  <si>
    <t>不够悲壮（？）</t>
  </si>
  <si>
    <t>俺个人不太感冒的抒情言orz 莫名感觉颤音略不稳（）</t>
  </si>
  <si>
    <t>粤语咬字感觉差了点点内味儿 混响好像有点大</t>
  </si>
  <si>
    <t>人声太小了满耳朵伴奏的动次打次，nm“土生土chang”是什么（敲打</t>
  </si>
  <si>
    <t>？最后那句突破天际的音头没给我绷住，，还有声音怎么嘎然而止了啊！</t>
  </si>
  <si>
    <t>没混音？颤音好抖</t>
  </si>
  <si>
    <t>该有的转音都没有，神秘澡堂大混响，20s选了个什么神秘弹簧颤音，，</t>
  </si>
  <si>
    <t>歌手声音挺对味，颤音有点抖，副歌高音没上去？</t>
  </si>
  <si>
    <t>？我的眼睛，特马一开口怎么还是广普啊啊啊啊啊这尼玛也能过审啊啊啊啊</t>
  </si>
  <si>
    <t>pit有点不稳的洛</t>
  </si>
  <si>
    <t>混音怪怪</t>
  </si>
  <si>
    <t>偶尔冒出来的跑调和节奏与bpm打架（）</t>
  </si>
  <si>
    <t>歌手咬字像没睡醒（）颤音不太和谐</t>
  </si>
  <si>
    <t>？评论区说这是海伊？？</t>
  </si>
  <si>
    <t>歌手声音好听捏 吸气声有点大(?)</t>
  </si>
  <si>
    <t>？？？？？我尼玛你们这些人都从哪找的怪曲子来参赛</t>
  </si>
  <si>
    <t>好有年代感的选曲，卧槽好轻盈美丽的言，第二段力度起来了的声线好喜欢，最后“空空的”变调把情绪爆发出来了太会了……</t>
  </si>
  <si>
    <t>有些转音没处理好听着像跑调 高音的力度或者起码音量要一起放小 前面都很小声我就拉大音量了结果突然大声吓我一跳（）还有混音不太行 大回声混响也不是这么用的罢（）</t>
  </si>
  <si>
    <t>深夏为什么是雪人.jpg 平平的</t>
  </si>
  <si>
    <t>美丽洛洛好好好 感觉有点一味拉高张力惹 可以再完善一下pit 第二段绫的张力就比较合适</t>
  </si>
  <si>
    <t>平得脑瓜嗡嗡（谁说的无参爱情故事我笑得……）</t>
  </si>
  <si>
    <t>好健气的声音（）颤音推进不太合适？</t>
  </si>
  <si>
    <t>调得不算差但是混音咋回事</t>
  </si>
  <si>
    <t>感觉面前有个闪着雪花屏的旧电视下一秒就有个贞子爬出来要索我命（意思是氛围做得很成功）（）</t>
  </si>
  <si>
    <t>？唱的啥，？咋还跑调</t>
  </si>
  <si>
    <t>这唱的哪个版本咋和声这么突出（？）</t>
  </si>
  <si>
    <t>亚撒西言言，怎么戛然而止了啊！没听够😭</t>
  </si>
  <si>
    <t>转音咋带电 长音加点颤音</t>
  </si>
  <si>
    <t>没→有→（一声）（有点平平电电的是故意的吗x）</t>
  </si>
  <si>
    <t>虚</t>
  </si>
  <si>
    <t>流畅动听的绫绫</t>
  </si>
  <si>
    <t>omg还有inj</t>
  </si>
  <si>
    <t>巨大混响.wav</t>
  </si>
  <si>
    <t>有点烫嘴但整体还算爽</t>
  </si>
  <si>
    <t>看到曲名：？看到lrc：？？？还自带MV？</t>
  </si>
  <si>
    <t>感觉调得不多（）副歌尾音似乎没加颤音，平得脑瓜嗡嗡（？）</t>
  </si>
  <si>
    <t>？什么阿卡贝拉苹果🆘🆘</t>
  </si>
  <si>
    <t>屌啊</t>
  </si>
  <si>
    <t>唱得虚 混音不对劲</t>
  </si>
  <si>
    <t>如此空灵悦耳</t>
  </si>
  <si>
    <t>古早海报配色好看（？）</t>
  </si>
  <si>
    <t>如此空灵婉转的绫……</t>
  </si>
  <si>
    <t>混音好闷</t>
  </si>
  <si>
    <t>↑谁干的</t>
  </si>
  <si>
    <t>怎么还有AI复刻版啊！又虚又抖的，ACE自动生成的pit也不带这样罢，，</t>
  </si>
  <si>
    <t>东北大袄配色草</t>
  </si>
  <si>
    <t>不是我</t>
  </si>
  <si>
    <t>把恋人丢进垃圾桶.jpg 轻飘飘的洛</t>
  </si>
  <si>
    <t>混音好像有点闷</t>
  </si>
  <si>
    <t>？给我听出葛平的气度了草 什么ktv混响草 有些地方莫名感觉掉拍</t>
  </si>
  <si>
    <t>配色好看（？）男声闷了且没融进伴奏且混响大了（）</t>
  </si>
  <si>
    <t>有点点不稳</t>
  </si>
  <si>
    <t>好爽的音调和咬字好好好 混响是不是有点大（？）</t>
  </si>
  <si>
    <t>声线好合适好对味</t>
  </si>
  <si>
    <t>该放轻的地方没放轻，主歌听着还好副歌就略出戏（）转音听着有点僵硬，草后面怎么还没唱上去</t>
  </si>
  <si>
    <t>配色好看（？）口型变化和律动很赞（只是俺个人对这种风格的曲子没啥兴趣orz）</t>
  </si>
  <si>
    <t>亚撒西柯柯</t>
  </si>
  <si>
    <t>？这个声线配上管弦有种草感🆘 卧槽ACE葛叔啊？（）</t>
  </si>
  <si>
    <t>歌手卡瓦 感觉第一段的高音有点点勉强（）</t>
  </si>
  <si>
    <t>声线对味 嗓子里有痰（）</t>
  </si>
  <si>
    <t>青春男大牙牙</t>
  </si>
  <si>
    <t>大白嗓(没有真假声变化)  太平了(pit不够大胆)</t>
  </si>
  <si>
    <t>混音处理蛮舒服</t>
  </si>
  <si>
    <t>非常好牧心好好好pit该有的情绪基本都有了</t>
  </si>
  <si>
    <t>亚撒西心心 卧槽后面的假声切换好动听</t>
  </si>
  <si>
    <t>？词味儿太冲给我听怒了，，，特马混音使用剪映我尿了，，，，</t>
  </si>
  <si>
    <t>有点平</t>
  </si>
  <si>
    <t>调得有点内味儿了 混音人声有点闷＋没融进伴奏</t>
  </si>
  <si>
    <t>家xyiiiiiaang</t>
  </si>
  <si>
    <t>原唱那种有气无力的感觉有了 挺好（？）有些转音的音高和时长听着不太对劲</t>
  </si>
  <si>
    <t>Peach Pit and Cyanide（核桃与氰化物）</t>
  </si>
  <si>
    <t>对我耳朵非常好的调和混 好好好好好</t>
  </si>
  <si>
    <t>爽</t>
  </si>
  <si>
    <t>混音不太行，？主歌还挺正常副歌咋回事，感觉孩子唱不上去还快断气了（）</t>
  </si>
  <si>
    <t>党的好歌基（中年美声版）</t>
  </si>
  <si>
    <t>配色好看（？）那一声“喂”好像爆电平了我没绷住（）</t>
  </si>
  <si>
    <t>粤语咬字差了点味儿，唉卧槽重填词啊，？20s选了段啥玩意差点把我超度走了.jpg</t>
  </si>
  <si>
    <t>声线对味</t>
  </si>
  <si>
    <t>亚撒西的绫绫和谁 pit有点抖</t>
  </si>
  <si>
    <t>平平淡淡 副歌有些pit不太稳 有些地方电平爆了？</t>
  </si>
  <si>
    <t>可爱温柔但又不会腻的洛洛 好好好</t>
  </si>
  <si>
    <t>亚撒西绫绫 副歌有些地方有点抖（？）</t>
  </si>
  <si>
    <t>力度放太轻感觉快断气了（）</t>
  </si>
  <si>
    <t>曲子好好好调得也好帅</t>
  </si>
  <si>
    <t>啥方言吗不太懂发音 唱挺好（？）</t>
  </si>
  <si>
    <t>好听</t>
  </si>
  <si>
    <t>？我的眼睛，rap部分pit有点飘，音程跨度大的上扬音有点鬼畜（）</t>
  </si>
  <si>
    <t>？红起来了，</t>
  </si>
  <si>
    <t>配色好看（？）口型和唱腔变化太牛了我跪……</t>
  </si>
  <si>
    <t>好骚（褒义）</t>
  </si>
  <si>
    <t>？什么神秘歌名和ktv混响</t>
  </si>
  <si>
    <t>？有够怨啊！宝贝啊你死得这样惨.wav</t>
  </si>
  <si>
    <t>有点虚 最后能不能加个淡出啊草（）</t>
  </si>
  <si>
    <t>字跟底的颜色不要这么像啊！我的眼睛.jpg</t>
  </si>
  <si>
    <t>前面都挺流畅可爱 最后高音感觉上不去（）</t>
  </si>
  <si>
    <t>卧槽今年几几年 好听好对味好好好</t>
  </si>
  <si>
    <t>？给我干到哪个年代来了（）混音真的做出那种老式收音机的音效了整挺好hhhhh</t>
  </si>
  <si>
    <t>前半有点飘有点无力（俺还是比较喜欢有力点的）（卧槽这牧心？）</t>
  </si>
  <si>
    <t>？？？尼玛给我电得一哆嗦，但是这电音又做得挺好还挺tmd上头，，，</t>
  </si>
  <si>
    <t>别为难洛佬了.jpg</t>
  </si>
  <si>
    <t>卧槽好听</t>
  </si>
  <si>
    <t>混音不太对劲</t>
  </si>
  <si>
    <t>这么美丽的牧心……完成度太高了……</t>
  </si>
  <si>
    <t>绮萱酱卡哇伊</t>
  </si>
  <si>
    <t>给我干哪个年代来了.jpg 歌手声线原唱放送</t>
  </si>
  <si>
    <t>咕咕叽叽念啥呢（）唱的部分挺牛逼</t>
  </si>
  <si>
    <t>你他吗哪来那么多为什么🔨（半恼）额调得挺好只是俺听扯着嗓子嘶吼着问一堆若只问题有点莫名火大（）</t>
  </si>
  <si>
    <t>卧槽好牛逼好美丽好婉转动听的言…… 后面还有好可爱的牙牙</t>
  </si>
  <si>
    <t>重庆话？咬字还是差点味儿xd</t>
  </si>
  <si>
    <t>？西湖美景三月天唉。咋还有背景音语调，，伴奏有点大</t>
  </si>
  <si>
    <t>俺不太感冒的抒情言（私密马赛orz）</t>
  </si>
  <si>
    <t>古早流行味喜欢 歌手咬字卡瓦捏</t>
  </si>
  <si>
    <t>？这歌还有这么慢的版本吗 感觉快给洛佬唱断气了（）不过还调挺好（）</t>
  </si>
  <si>
    <t>混音不对劲</t>
  </si>
  <si>
    <t>咋感觉有些地方没对上拍 高音上不去 转音有点电 颤音有点抖</t>
  </si>
  <si>
    <t>副歌咬字有点含糊？高音感觉有点勉强（）</t>
  </si>
  <si>
    <t>有点抖</t>
  </si>
  <si>
    <t>平</t>
  </si>
  <si>
    <t>流畅又亚撒西 念得快的地方感觉有点掉拍（）</t>
  </si>
  <si>
    <t>卧槽这么牛逼的真假声切换太爽了… 副歌人声好像大了（）</t>
  </si>
  <si>
    <t>（对慢歌不太感冒不知咋评orz）</t>
  </si>
  <si>
    <t>对味</t>
  </si>
  <si>
    <t>哦莫和声是miku吗 卡瓦</t>
  </si>
  <si>
    <t>牛</t>
  </si>
  <si>
    <t>配色好看（？）怎么进度条过半了还没开唱（）有点虚的言 pit有点抖 结尾怎么又戛然而止（）</t>
  </si>
  <si>
    <t>配色好夜店（甩头）唱的部分好扫好对味好好好，唉rap好像有点不够流畅（萎掉.jpg（不</t>
  </si>
  <si>
    <t>声线和气泡音好对味 就是该放轻的地方没放轻 尤其是“迷雾”和“迷路”后一个字的假声没调出来总感觉缺了点什么x</t>
  </si>
  <si>
    <t>？这啥歌🆘 假声调得好牛逼……</t>
  </si>
  <si>
    <t>咬字不太清楚的粤语</t>
  </si>
  <si>
    <t>双蓝？ACE没咋调般的虚（）副歌颤音原曲就这样的吗感觉有点鬼畜（）</t>
  </si>
  <si>
    <t>？啥歌名 调好虚</t>
  </si>
  <si>
    <t>颤音不太对（）向左↑↓↑↓↑↓↑↓.wav</t>
  </si>
  <si>
    <t>听感很舒服 有些颤音好像有点出戏（）</t>
  </si>
  <si>
    <t>歌手可爱捏 不过有时候咬字有些太刻意惹x</t>
  </si>
  <si>
    <t>舒服……</t>
  </si>
  <si>
    <t>抖</t>
  </si>
  <si>
    <t>技术力好高的洛AI好喜欢……混音精进些或许更爽？（）</t>
  </si>
  <si>
    <t>好大的颤</t>
  </si>
  <si>
    <t>副歌挺爽</t>
  </si>
  <si>
    <t>转音不太对劲</t>
  </si>
  <si>
    <t>非常空灵的言</t>
  </si>
  <si>
    <t>卧槽我童年 颤音频率好像不太对</t>
  </si>
  <si>
    <t>非常流畅的尘</t>
  </si>
  <si>
    <t>挺好的尘 高音虚了</t>
  </si>
  <si>
    <t>好好好</t>
  </si>
  <si>
    <t>颤音抖了</t>
  </si>
  <si>
    <t>？这颤音听得我有点怀疑是不是耳机抽风了，，</t>
  </si>
  <si>
    <t>？？谁家大佬调怪东西炸鱼😱</t>
  </si>
  <si>
    <t>那一声长音处理太爽了我跪下…………</t>
  </si>
  <si>
    <t>????这尼玛哪个声库</t>
  </si>
  <si>
    <t>能听出跟本家处理得不一样的稍柔和的风味但是依然牛逼……</t>
  </si>
  <si>
    <t>人声有点小混响有点大（？）古早流行味好听</t>
  </si>
  <si>
    <t>AF1（4+22）</t>
  </si>
  <si>
    <t>A组听得好累就随缘写了，没斟酌用词私密马赛orz</t>
  </si>
  <si>
    <t>选曲不错，混音好像没做好，感觉人声乃至全曲的音量都小了一截，有点听不清细节（）</t>
  </si>
  <si>
    <t>😱谁家关大佬的门没锁</t>
  </si>
  <si>
    <t>咦怎么没来得及听就无了（）</t>
  </si>
  <si>
    <t>红起来了</t>
  </si>
  <si>
    <t>清晰流畅的 好听</t>
  </si>
  <si>
    <t>非常好戏腔龙牙</t>
  </si>
  <si>
    <t>唱得有点不稳x</t>
  </si>
  <si>
    <t>什么巨大混响（）中年ktv男（音准挺好版）</t>
  </si>
  <si>
    <t>omg四国联军打过来了（）听感好舒适……</t>
  </si>
  <si>
    <t>又陀螺？</t>
  </si>
  <si>
    <t>音头拉猛了（）</t>
  </si>
  <si>
    <t>？尼玛啊啊啊啊啊还挺上头…………</t>
  </si>
  <si>
    <t>上扬音听感不是很好</t>
  </si>
  <si>
    <t>😱听跪了吓哭了……</t>
  </si>
  <si>
    <t>特马这串给我听得一会哭一会笑的……</t>
  </si>
  <si>
    <t>好好好特别好特别舒适特别喜欢 尘和山的咬字好干脆好喜欢（其他歌手不是不喜欢是不熟orz）</t>
  </si>
  <si>
    <t>？我的眼睛，咋唱得还有口音，</t>
  </si>
  <si>
    <t>上扬音听感不是很好 句尾重复da的那几句咬字重了</t>
  </si>
  <si>
    <t>？尼玛东北穿山甲……</t>
  </si>
  <si>
    <t>？哪来的蚊子 混音也不太可（）</t>
  </si>
  <si>
    <t>混响回声大了</t>
  </si>
  <si>
    <t>合唱混音怪怪</t>
  </si>
  <si>
    <t>咋把尘调成这样…主歌念快那里初听感觉节奏不对，“每天”的上挑尾音不对劲，很多高音没上去，很多pit太抖有跑调感，疑似没混音</t>
  </si>
  <si>
    <t>？好一个声嘶力竭的boki……</t>
  </si>
  <si>
    <t>居然碰到直播了</t>
  </si>
  <si>
    <t>卧槽</t>
  </si>
  <si>
    <t>？咋把洛调成这样，鼻音大得像是快哭了……有时候感觉还挺有感情但下一秒又觉得用力过猛快要跑调（）</t>
  </si>
  <si>
    <t>Harlequin Contraption (丑角诡械)</t>
  </si>
  <si>
    <t>如此声嘶力竭（）</t>
  </si>
  <si>
    <t>小歌手咬字听感很舒服</t>
  </si>
  <si>
    <t>颤音怪怪（）</t>
  </si>
  <si>
    <t>轻飘飘 听感好舒适</t>
  </si>
  <si>
    <t>听了一堆怪东西到这里简直如听仙乐……颤音有点抖</t>
  </si>
  <si>
    <t>好喜欢这种可以一边听一边跟着在路上蹦跶(?)的节奏感……</t>
  </si>
  <si>
    <t>咬字不太正的粤语</t>
  </si>
  <si>
    <t>？听得我像那个 拿下棒棒糖拉上拉链敬礼.gif（听感其实挺舒适的（乐）</t>
  </si>
  <si>
    <t>温柔摩柯好好好 卧槽后面越听越神……</t>
  </si>
  <si>
    <t>好美丽的假声切换</t>
  </si>
  <si>
    <t>卧槽非常好言……</t>
  </si>
  <si>
    <t>元气言言 声线可以再硬点？一库哟那句语调太虚了（）</t>
  </si>
  <si>
    <t>亚撒西言言</t>
  </si>
  <si>
    <t>仙乐</t>
  </si>
  <si>
    <t>前面还算流畅 副歌高音开始虚了（）</t>
  </si>
  <si>
    <t>亚撒西 副歌第一个转音有点电 颤音频率高了听着好抖</t>
  </si>
  <si>
    <t>“撤退”的转音处理得不太好（）其他都挺神，“没睡”的口型真的像没睡醒一样好有意思（乐）</t>
  </si>
  <si>
    <t>？给我干哪儿来了 我好像听到二胡在笑……</t>
  </si>
  <si>
    <t>歌手声线好适合 副歌好听 喜欢</t>
  </si>
  <si>
    <t>辛苦力…………</t>
  </si>
  <si>
    <t>啊啊啊啊</t>
  </si>
  <si>
    <t>？开场啥动静 啥子全损音质 混音八成责任.jpg</t>
  </si>
  <si>
    <t>还在过20s</t>
  </si>
  <si>
    <t>颤有点大的洛 跑调感（）有些地方最后一个字和下句第一个字要断开</t>
  </si>
  <si>
    <t>平平的 高音虚了 混音不太对劲（）</t>
  </si>
  <si>
    <t>听了全曲再写长一点</t>
  </si>
  <si>
    <t>AF2（5+27）</t>
  </si>
  <si>
    <t>听累了af随缘评了orz</t>
  </si>
  <si>
    <t>？卧槽我眼睛，？还有耳朵，，听即死之歌，</t>
  </si>
  <si>
    <t>不敢想象ac有多折磨（）</t>
  </si>
  <si>
    <t>这首对ACE来说好像是有点勉强了（）音色整体都偏虚 高音会很抖 咬字也不太清楚</t>
  </si>
  <si>
    <t>晋级的听完了 顺便听完剩下的好了（）</t>
  </si>
  <si>
    <t>？啥动静 开局就千军万马冲过来把我创飞.jpg</t>
  </si>
  <si>
    <t>可爱 但是平</t>
  </si>
  <si>
    <t>味儿好正</t>
  </si>
  <si>
    <t>moke吗 平平的像念经（）</t>
  </si>
  <si>
    <t>人声没融进伴奏</t>
  </si>
  <si>
    <t>配色好看（？）流畅动听好好好</t>
  </si>
  <si>
    <t>副歌唱腔好好好（好像音量整体比其他曲子小了一截（）</t>
  </si>
  <si>
    <t>太帅了好喜欢……</t>
  </si>
  <si>
    <t>好对味的英语唱腔</t>
  </si>
  <si>
    <t>爽……</t>
  </si>
  <si>
    <t>20s咋跟上一首无缝衔接了草（）</t>
  </si>
  <si>
    <t>对味的teto</t>
  </si>
  <si>
    <t>最后那段两道声音听着像不在一个次元（是刻意混的效果嘛（还是俺耳机太烂了orz）</t>
  </si>
  <si>
    <t>亚撒西 气泡音也很舒服</t>
  </si>
  <si>
    <t>音量比其他的小了一截（）高音太用力听着不太舒适（）</t>
  </si>
  <si>
    <t>嚯言洛吗</t>
  </si>
  <si>
    <t>高音好尖（）伴奏声音有点小？</t>
  </si>
  <si>
    <t>绮萱吗卡哇伊 艾玛没听够！</t>
  </si>
  <si>
    <t>泥棒二连.jpg</t>
  </si>
  <si>
    <t>配色好看（？）（对抒情慢歌不感冒所以不会评私密马赛orz）</t>
  </si>
  <si>
    <t>咋下半场这么多山路十八弯转音（意思是好牛逼）</t>
  </si>
  <si>
    <t>喜欢……</t>
  </si>
  <si>
    <t>人声有点闷 整体音量有点小 pit可以更富有变化点 只在副歌加嘶吼不太够（）</t>
  </si>
  <si>
    <t>混音不太可 高音不太稳 上扬尾音听感不好（）</t>
  </si>
  <si>
    <t>好明媚的歌听得哈特暖暖……混音不太对劲（）</t>
  </si>
  <si>
    <t>转到高音的时候突然虚了 混音不太对劲（）</t>
  </si>
  <si>
    <t>混音不太对劲 音量整体偏小 伴奏糊到快听不清了（）</t>
  </si>
  <si>
    <t>帅</t>
  </si>
  <si>
    <t>超大混响.wav</t>
  </si>
  <si>
    <t>平平的 不过歌手声音挺好听（？）</t>
  </si>
  <si>
    <t>歌手声音好听 混音不太对劲（）</t>
  </si>
  <si>
    <t>人声混得不太贴伴奏（）</t>
  </si>
  <si>
    <t>teto好听 嘶吼音(?)不太自然 混音不太对劲（）</t>
  </si>
  <si>
    <t>主歌是刻意把pit拉得比较平吗x</t>
  </si>
  <si>
    <t>卧槽好爽的咬字节奏和pit……</t>
  </si>
  <si>
    <t>？给我干到哪个国家来了，但是又调得挺对味，但是这个番茄炒蛋配色，？？（好怪 再听一下 好怪.jpg）</t>
  </si>
  <si>
    <t>伴奏动次打次有点大声（）</t>
  </si>
  <si>
    <t>吼得好凶.jpg</t>
  </si>
  <si>
    <t>对我耳朵很好的调混 lrc在做pv吗23333</t>
  </si>
  <si>
    <t>平 混音怪怪</t>
  </si>
  <si>
    <t>啊朋友再见.wav</t>
  </si>
  <si>
    <t>好伤眼的配色,</t>
  </si>
  <si>
    <t>如此活力卡瓦 语调有点不够自然（还是说原曲就是这样的x）</t>
  </si>
  <si>
    <t>std般的（）</t>
  </si>
  <si>
    <t>唉这个是teto还是啥，，（）</t>
  </si>
  <si>
    <t>？20s那声哼哼给我听出了江南结尾的感觉，，，，</t>
  </si>
  <si>
    <t>高音有点勉强惹 偶尔pit有点抖？（）</t>
  </si>
  <si>
    <t>？哪来的猛男卖萌</t>
  </si>
  <si>
    <t>可爱</t>
  </si>
  <si>
    <t>咬字听出了粤语的韵味（）</t>
  </si>
  <si>
    <t>啥歌名.jpg 还是中日双语 pit不稳</t>
  </si>
  <si>
    <t>卧槽太爽了…没听够……</t>
  </si>
  <si>
    <t>喜欢（甩头）混音没混出原曲那种爽感x</t>
  </si>
  <si>
    <t>咋感觉颤音不太对劲（）</t>
  </si>
  <si>
    <t>好雄厚的声线草（）人声好像小了（？</t>
  </si>
  <si>
    <t>混音不太对劲 副歌高音不稳 又一个half不淡出的（）</t>
  </si>
  <si>
    <t>SC1（2+12）</t>
  </si>
  <si>
    <t>好有韵味</t>
  </si>
  <si>
    <t>？开幕雷击，但还tmd挺带感，，好怪，再听一遍，好怪.jpg</t>
  </si>
  <si>
    <t>曲子喜欢</t>
  </si>
  <si>
    <t>？二连雷击，同时听出了V绫和跨语种的感觉，，长音的pit有点平了</t>
  </si>
  <si>
    <t>✋😭✋</t>
  </si>
  <si>
    <t>前奏好长（）歌手可爱</t>
  </si>
  <si>
    <t>哇靠这个赤羽的气声，是大佬的气息.jpg（后面怎么有段哨子精</t>
  </si>
  <si>
    <t>卧槽听回十年前vc的感觉莫名感动T T 副歌高音略掐嗓子惹 咬字可以拆音修修（不修也行 就当保留V3洛咬字特色（？</t>
  </si>
  <si>
    <t>原唱放送 就是额挺屌的 对👍</t>
  </si>
  <si>
    <t>围，围观.jpg</t>
  </si>
  <si>
    <t>混音不太对劲（）</t>
  </si>
  <si>
    <t>冷冷清清的V5洛好对味 放轻的地方没有sv自然但是都V了还是牛逼的👍</t>
  </si>
  <si>
    <t>（是utau嘛不太会评orz）</t>
  </si>
  <si>
    <t>如此对味V5洛(´；ω；`)</t>
  </si>
  <si>
    <t>幻晓伊😱 pit不清楚怎么精进惹，加点真假声切换可能神来一笔（？</t>
  </si>
  <si>
    <t>sk怎么调假声嘛我请问！</t>
  </si>
  <si>
    <t>四首卧槽</t>
  </si>
  <si>
    <t>？卧槽这std？？卧槽这气息怎么做的(இДஇ )</t>
  </si>
  <si>
    <t>晓伊厨过年力.jpg</t>
  </si>
  <si>
    <t>？文明人开创者表示强烈谴责.jpg 虽然但是调得比俺当年好多了(இДஇ )（俺好菜啊.jpg</t>
  </si>
  <si>
    <t>😱</t>
  </si>
  <si>
    <t>啥澡堂混响（）pit好平</t>
  </si>
  <si>
    <t>有力的赤羽💪不过在sv里还是差了点味儿？或许加点内样的气声和张力变化会更大佬💪（？）</t>
  </si>
  <si>
    <t>我靠好久没听到这种味道的V言了我哭</t>
  </si>
  <si>
    <t>好美丽</t>
  </si>
  <si>
    <t>这跨语种似的utau是啥动静（）卧槽无生物吗，不太懂是咋捣鼓的只是感觉pit平惹</t>
  </si>
  <si>
    <t>好华丽……</t>
  </si>
  <si>
    <t xml:space="preserve">？唱的啥.jpg </t>
  </si>
  <si>
    <t>卧槽好牛逼的弹舌</t>
  </si>
  <si>
    <t>口音好重的日跨中.jpg 转音缺了 补点.jpg 有些地方句尾应该跟下一句断开一点</t>
  </si>
  <si>
    <t>Wake Up, Get Up, Get Out There</t>
  </si>
  <si>
    <t>？怎么还有人翻这个啊？！甚至是remix啊？！！</t>
  </si>
  <si>
    <t>好扫我喜欢（何</t>
  </si>
  <si>
    <t>？唱的啥.jpg 感觉还是调得不多 调一下音素占比别让长音结尾闭嘴那么快.jpg</t>
  </si>
  <si>
    <t>别为难洛佬了.jpg 神秘混响</t>
  </si>
  <si>
    <t>华华！然而去年有个更屌的华造卫星于是瑕疵也很明显（）主歌还不错副歌反而不太够力惹</t>
  </si>
  <si>
    <t>亚撒西原创曲</t>
  </si>
  <si>
    <t>幻晓伊😱😱这个假声切换是真实存在的吗卧槽sk大佬…… 非要挑刺就是人声有点闷惹被伴奏吞掉一点细节 以及颤音有点点不和谐x</t>
  </si>
  <si>
    <t>卧槽怎么两个幻晓伊下面都接了一个神</t>
  </si>
  <si>
    <t>卧槽这个气泡音好屌这个口型变化真的是std吗卧槽</t>
  </si>
  <si>
    <t>卧槽真的 吓死人了</t>
  </si>
  <si>
    <t>调得挺对味 混音不太对劲（）</t>
  </si>
  <si>
    <t>华华！pit跟力度配合真不戳…就是可能是受限曲风感觉平平的（俺不会评这种私密马赛orz）</t>
  </si>
  <si>
    <t>已经…无所谓了.jpg</t>
  </si>
  <si>
    <t>怎么每年都有人来修文物卧槽</t>
  </si>
  <si>
    <t>票已经选完了在补评语（）</t>
  </si>
  <si>
    <t>我喜欢这首.jpg pit和真假声切换调得太好了 混音沙沙的（）</t>
  </si>
  <si>
    <t>华华你在唱啥啊啊啊！.jpg</t>
  </si>
  <si>
    <t>😱不要肘窝.jpg</t>
  </si>
  <si>
    <t>轻飘飘</t>
  </si>
  <si>
    <t>（）起码节奏和音准都是对的（标准这么低吗kuso）静音连风评被害.jpg</t>
  </si>
  <si>
    <t>动次打次动次打次（甩头）</t>
  </si>
  <si>
    <t>我靠副歌的假声 哪个大佬的牧心来乱杀了.jpg</t>
  </si>
  <si>
    <t>？歌词啥玩意.jpg</t>
  </si>
  <si>
    <t>太平了（真的调了吗）可以从基本的转音颤音和音头音尾开始学</t>
  </si>
  <si>
    <t>太平了，pit学习同上，以及洛V3的咬字最好拆音修修不然无参味儿太重</t>
  </si>
  <si>
    <t>绫唱歌言洛配色是什么操作.jpg 不过还是嚎听👍</t>
  </si>
  <si>
    <t>评语暂停，开始滑铲.jpg</t>
  </si>
  <si>
    <t>喜欢</t>
  </si>
  <si>
    <t>我操这么屌的V尘听得偶好感动，，，</t>
  </si>
  <si>
    <t>卧槽不要过来肘窝啊.jpg</t>
  </si>
  <si>
    <t>V5绫绫 感觉有些颤音颤得不太对（）</t>
  </si>
  <si>
    <t>调太屎了 没铲上（丑猫落泪）</t>
  </si>
  <si>
    <t>啥配色.jpg 平平的山（变成平原惹（？）</t>
  </si>
  <si>
    <t>抚摸。。。</t>
  </si>
  <si>
    <t>我去V4C 感觉人声偏小惹（）</t>
  </si>
  <si>
    <t>好有年味的配色草 流畅的绫绫就是少了点亮眼处理（）</t>
  </si>
  <si>
    <t>转音好动听</t>
  </si>
  <si>
    <t>非常对味V5洛使我博歌乐旋转</t>
  </si>
  <si>
    <t>配色好圣诞（乐）气泡音爽</t>
  </si>
  <si>
    <t>卧槽更加对味V5洛使我博歌乐飞升</t>
  </si>
  <si>
    <t>副歌那三声love平得有点出戏x</t>
  </si>
  <si>
    <t>嘿嘿 捕捉</t>
  </si>
  <si>
    <t>啥歌名.jpg 主歌还觉得怪怪的副歌越听越牛逼 大概是比起平淡的前摇更擅长燃起来的高潮部分（x</t>
  </si>
  <si>
    <t>雄厚的雨（）混音不对劲 上扬音略出戏</t>
  </si>
  <si>
    <t>SF1（3+14）</t>
  </si>
  <si>
    <t>相比之下sf的画风太正常了，，</t>
  </si>
  <si>
    <t>不爱我，就去死吧
（Умри， если меня не любишь）</t>
  </si>
  <si>
    <t>俄语吐字爽 人声和伴奏融合不是很好（）</t>
  </si>
  <si>
    <t>哽咽感太对味…喉塞音也好美丽…听感非常舒适……</t>
  </si>
  <si>
    <t>整体很可爱，但也没有很亮眼的处理（）</t>
  </si>
  <si>
    <t>中文占比过半了怎么在F组（）混音好闷</t>
  </si>
  <si>
    <t>配色好夏天（重点错）混音没处理好？两道声音各唱各的</t>
  </si>
  <si>
    <t>平 尾音拖了</t>
  </si>
  <si>
    <t>404还有英文版卧槽</t>
  </si>
  <si>
    <t>“許せない”低音采样好糊好大声吓我一跳（）降点音量或者力度</t>
  </si>
  <si>
    <t>比较平但是听感意外舒适！歌手声音带感</t>
  </si>
  <si>
    <t>好虚的洛 咋感觉两边耳机传出来的声音不一样（）</t>
  </si>
  <si>
    <t>歌手和选曲很适配</t>
  </si>
  <si>
    <t>还不戳的尘 高音有点虚</t>
  </si>
  <si>
    <t>本来就觉得人声闷，拉大声音一听伴奏更闷（）</t>
  </si>
  <si>
    <t>莫名有那种非专业的小歌手努力唱歌的感觉(?) 可爱捏</t>
  </si>
  <si>
    <t>可爱的miku，可以再加点亮眼处理？</t>
  </si>
  <si>
    <t>有些地方莫名不稳</t>
  </si>
  <si>
    <t>恋のディスコクイーン（恋爱的迪斯科女王）</t>
  </si>
  <si>
    <t>配色和歌手音色带感（甩头）但是没调出动次打次的感觉（停止甩头）</t>
  </si>
  <si>
    <t>？一开口啥玩意🆘 唱的部分倒是很稳很动听，非要突发恶疾一下是吗.jpg</t>
  </si>
  <si>
    <t>唱得有点棒读，高音的转假声不太自然，有些转音比如“もったいない”感觉画了个方波（）</t>
  </si>
  <si>
    <t>SC2（3+14）</t>
  </si>
  <si>
    <t>配色好美味（？）是山山吗那跨得好流畅</t>
  </si>
  <si>
    <t>不 不是</t>
  </si>
  <si>
    <t>遗憾离场.jpg</t>
  </si>
  <si>
    <t>我去颤音和弹舌好爽</t>
  </si>
  <si>
    <t>其实调得还挺带感 但是20s那连着两声“忘记了”的咬字总感觉有点鬼畜 或许两遍不要唱得一模一样会好点（）</t>
  </si>
  <si>
    <t>20s开口吓我一跳（）烫嘴的miku 还有点扎耳 孩子高音要上不去了 咋跟没混音似的</t>
  </si>
  <si>
    <t>pit还挺带感，就是上扬音太多配上洛佬的鼻音总感觉快哭了（）“I need you”调得咋回事草（）</t>
  </si>
  <si>
    <t>整体挺流畅，副歌高音或许有点勉强歌基了（）</t>
  </si>
  <si>
    <t>我一听到这么牛逼的V尘就会五体投地并开始哭.jpg</t>
  </si>
  <si>
    <t>😱幻晓伊？！咬字还是太中文哩，翘舌音修修（？</t>
  </si>
  <si>
    <t>好得劲的山山戏腔</t>
  </si>
  <si>
    <t>😱幻晓伊？！跟上面的问题一样（马萨卡同一个人投的</t>
  </si>
  <si>
    <t>咋这么闷</t>
  </si>
  <si>
    <t>日语有点塑料也是跨的吗，听感比上两首好一点。结尾做个淡出罢！</t>
  </si>
  <si>
    <t>话说老师知道这个歌手是谁吗我真的很好奇（）</t>
  </si>
  <si>
    <t>俺听不出来orz</t>
  </si>
  <si>
    <t>卧槽好对味的洛卧槽好喜欢这才是中术（落泪）</t>
  </si>
  <si>
    <t>さよならプリンセス（再见公主）</t>
  </si>
  <si>
    <t>活泼可爱的，开头那一声hey有点出戏（）</t>
  </si>
  <si>
    <t>卧槽如此动听的华华卧槽没听够😱😭</t>
  </si>
  <si>
    <t>好爽的调好爽的混好牛逼的弹舌我直接桂霞😱</t>
  </si>
  <si>
    <t>流畅的牙牙</t>
  </si>
  <si>
    <t>前半还感觉有点瑕疵 后半越听越流畅 好好好</t>
  </si>
  <si>
    <t>调的部分好像不多 莫名听出了十多年前古早vc的味儿2333 混音能再精进点</t>
  </si>
  <si>
    <t>夢と葉桜（梦与叶樱）</t>
  </si>
  <si>
    <t>卧槽是这首，平平的miku，主歌白嗓感格外明显</t>
  </si>
  <si>
    <t>平平的miku</t>
  </si>
  <si>
    <t>绫视角的三月雨吗 调好牛逼</t>
  </si>
  <si>
    <t>莫名喜欢这种电波般的声音，此乃std之精髓.jpg</t>
  </si>
  <si>
    <t>好像听出来了点技术力但是注意力全被歌手的咬字夺走了（）</t>
  </si>
  <si>
    <t>配色好看（？）男声假声切换非常之好听</t>
  </si>
  <si>
    <t>最后好像快唱哭了的穹（）</t>
  </si>
  <si>
    <t>如此细腻又自然的处理……神……</t>
  </si>
  <si>
    <t>卧槽喜欢</t>
  </si>
  <si>
    <t>气泡音和假声切换甚好，转音好流畅如此婉转动听，好喜欢这种风味好好好好好</t>
  </si>
  <si>
    <t>曲子挺好调也挺好 混音有点闷？后面咋空了一大截（）</t>
  </si>
  <si>
    <t>卧槽是这首，歌手音色很对味，人声是不是大了点没融进伴奏（？</t>
  </si>
  <si>
    <t>气息好牛逼 卧槽其他也好牛逼</t>
  </si>
  <si>
    <t>大佬来打人了😱</t>
  </si>
  <si>
    <t>能听出技术力相当不错，就是俺对慢歌不太感冒orz（土下座</t>
  </si>
  <si>
    <t>神秘大混响（）转音不要滥加</t>
  </si>
  <si>
    <t>好鬼的山山好适合，不太懂韩语但感觉发音略塑料（）</t>
  </si>
  <si>
    <t>好爽的绫好好好好哇后面还有牙牙（怎么嘎然而止了草）</t>
  </si>
  <si>
    <t>フィクション(Fiction)</t>
  </si>
  <si>
    <t>没啥问题，也没啥出彩的地方（）</t>
  </si>
  <si>
    <t>好有韧性的咬字好喜欢，有些颤音怪怪不过影响不大(?)，最后高音都唱得孩子龇牙咧嘴惹（x</t>
  </si>
  <si>
    <t>整体很流畅，或许再做点力度变化比如在尾音（？）</t>
  </si>
  <si>
    <t>平平 但有些单字颤音又太抖了 还有给孩子留个气口罢.jpg</t>
  </si>
  <si>
    <t>アヤノの幸福理論.</t>
  </si>
  <si>
    <t>卧槽低音听感太恐怖（）副歌终于正常了，低音采样就这样吗降点音量或者力度罢（）</t>
  </si>
  <si>
    <t>粤语华华 大开口咬字略出戏（）拆轨的痕迹有点重（）</t>
  </si>
  <si>
    <t>混音不太对劲.jpg 孩子唱得好努力</t>
  </si>
  <si>
    <t>感觉下了很多功夫调的绫绫 第一段主歌快进入副歌的时候可以再放轻一点 不然两段的声线有点割裂（只是个人偏好x）</t>
  </si>
  <si>
    <t>唱得叮叮当当的miku（？）疑似调得不多有点平了</t>
  </si>
  <si>
    <t>（对Sweet言不感冒不会评orz）（咋又一个结尾不淡出的）</t>
  </si>
  <si>
    <t>流畅可爱的 像葡萄QQ糖……</t>
  </si>
  <si>
    <t>动次打次绫绫 颤音好像有点鬼畜但是被动次打次的伴奏掩盖住了一点（）</t>
  </si>
  <si>
    <t>这么牛逼的miku😱 没听够！</t>
  </si>
  <si>
    <t>颤音好像有点抖 其他部分相当对味了（我草还是演唱会live版啊）（这是观众互动环节还是调不完了.jpg）</t>
  </si>
  <si>
    <t>洛洛和miku合唱可爱捏，感觉调得不多平平的，也没拆音修修咬字</t>
  </si>
  <si>
    <t>调得不多的尘 伴奏好像盖住人声了</t>
  </si>
  <si>
    <t>声库音质影响了我的判断.jpg</t>
  </si>
  <si>
    <t>我超佬</t>
  </si>
  <si>
    <t>如此流畅如此牛逼……</t>
  </si>
  <si>
    <t>调得很有力💪 但感觉有些地方用力过猛影响听感惹x 比如一些音头＆嘶吼＆高音的力度</t>
  </si>
  <si>
    <t>技术力似乎挺高的然而气声好尖锐（）</t>
  </si>
  <si>
    <t>好平的尘</t>
  </si>
  <si>
    <t>感觉还是调了挺多的 开头还不错 中间嘶吼有点过了像卡痰＆颤音使用不当</t>
  </si>
  <si>
    <t>围观.jpg</t>
  </si>
  <si>
    <t>好平的绫，</t>
  </si>
  <si>
    <t>轻盈宁静的小曲儿（飘走）调法跟曲风很适配 好好好</t>
  </si>
  <si>
    <t>隔壁家哥哥除夕夜还在听假人唱歌</t>
  </si>
  <si>
    <t>假声和动态感觉下了挺多功夫，“欺负我了”的颤音似乎不太对劲(?)</t>
  </si>
  <si>
    <t>你可不能像他那样.jpg</t>
  </si>
  <si>
    <t>尾音补药拖太长 留够气口，副歌一些颤音太抖</t>
  </si>
  <si>
    <t>整体挺流畅但好像没啥能亮眼的地方</t>
  </si>
  <si>
    <t>我去V5言V3洛吗，pit调整得似乎不多，以及混音还是啥没处理好吗感觉言有点点扎耳朵（）</t>
  </si>
  <si>
    <t>？还是没逃过这一劫。混音了吗.jpg</t>
  </si>
  <si>
    <t>一开口就是bri拉满那种扎耳朵的高音吓我一跳（）额其实全曲都经常有这种感觉（）</t>
  </si>
  <si>
    <t>，，我的眼睛（对比度都大到掉码率了啊kuso）但是调得好好好特别爽洛洛绫绫这才是中文术力口.jpg</t>
  </si>
  <si>
    <t>人民艺术家赤习习.wav 口型好牛逼，颤音感觉还能再处理得细腻一些（？</t>
  </si>
  <si>
    <t>V5洛洛绫绫，前半有部分转音有点陡，有些发音口型变得好突然 是不是拆轨没处理好（）</t>
  </si>
  <si>
    <t>，，我的眼睛×2。调得还不戳，人声有点闷＆有点小声导致被伴奏压住惹</t>
  </si>
  <si>
    <t>亚撒西穹穹，动态可以配合pit再细腻一点（？）</t>
  </si>
  <si>
    <t>调得挺得劲但是混了个啥咋这么炸（）含泪降一档.jpg</t>
  </si>
  <si>
    <t>pit很带感的言言</t>
  </si>
  <si>
    <t>前面跟山山的声线还算适配就听着还行，第二段该燃起来的地方就暴露出pit其实动得不多（）有些地方和声轨跟主人声轨搞反了吗咋听着不对劲（）</t>
  </si>
  <si>
    <t>？让山山唱啥玩意呢.jpg</t>
  </si>
  <si>
    <t>以妈结尾 好一个孝敬爹和妈.jpg</t>
  </si>
  <si>
    <t>SF2（3+14）</t>
  </si>
  <si>
    <t>咬字好可爱 叮叮咚咚的好可爱</t>
  </si>
  <si>
    <t>咬字好爽混音好爽</t>
  </si>
  <si>
    <t>一开口好正统的sf味儿（乐）pit和动态的处理好熟练 是大佬.jpg</t>
  </si>
  <si>
    <t>语息好爽</t>
  </si>
  <si>
    <t>这是什么语言 给我干哪个星球来了.jpg 但是调好牛逼.jpg</t>
  </si>
  <si>
    <t>pit似乎动得不多的洛 中式咬字略出戏（）</t>
  </si>
  <si>
    <t>多次元宇宙融合論</t>
  </si>
  <si>
    <t>帅啊</t>
  </si>
  <si>
    <t>似乎比较平但是听感很流畅</t>
  </si>
  <si>
    <t>技术力好高的miku 有些字与字之间过度得太突然了x</t>
  </si>
  <si>
    <t>好有韧性的咬字 好像听到了弹舌卧槽 咋感觉人声和伴奏没融到一块儿（？）</t>
  </si>
  <si>
    <t>啥动静（）</t>
  </si>
  <si>
    <t>音头有点突兀</t>
  </si>
  <si>
    <t>什么喜庆马桶配色.jpg</t>
  </si>
  <si>
    <t>电 赤羽跨语种吗咬字有点塑料（）混音没做好 副歌人声有点尖</t>
  </si>
  <si>
    <t>得劲啊</t>
  </si>
  <si>
    <t>气息太爽了我跪下</t>
  </si>
  <si>
    <t>机关枪miku（）</t>
  </si>
  <si>
    <t>嚯还有日文版啊 咬字莫名听出了粤语的韵味（）感觉有点太柔了不过也可以算风格 吟唱段的箭头歌词草</t>
  </si>
  <si>
    <t>技术力挺高 声库不太得劲（）</t>
  </si>
  <si>
    <t>歌手咬字可爱</t>
  </si>
  <si>
    <t>？还以为是我耳机坏了，原来是人声全在左声道啊.jpg</t>
  </si>
  <si>
    <t>技术力好高</t>
  </si>
  <si>
    <t>🐎</t>
  </si>
  <si>
    <t>（自己很菜所以不具体评，只是打出来想说的话，虽然评得很慢，但可能就一两个字</t>
  </si>
  <si>
    <t>好想得到这种漂亮的质感...</t>
  </si>
  <si>
    <t>有一点点平淡</t>
  </si>
  <si>
    <t>作为Killkiss来说还有点不够表现力，可以更爽</t>
  </si>
  <si>
    <t>好强，不过感觉副歌比主歌弱了</t>
  </si>
  <si>
    <t>已严肃学习副歌</t>
  </si>
  <si>
    <t>好用力的teto</t>
  </si>
  <si>
    <t>也许可以多一些色彩变化</t>
  </si>
  <si>
    <t>不知道别人觉得怎么样但是我特别喜欢这种调教风格，神</t>
  </si>
  <si>
    <t>强大的转音</t>
  </si>
  <si>
    <t>长长的前奏，开口才发现居然是少歌，好听</t>
  </si>
  <si>
    <t>无敌</t>
  </si>
  <si>
    <t>特别有味道，神级的存在，要严肃学习一辈子</t>
  </si>
  <si>
    <t>这首听起来更适合std音源，pit有更自然更稳定的空间，不过好听</t>
  </si>
  <si>
    <t>甜</t>
  </si>
  <si>
    <t>空之箱是对我来说第一次听很震撼的曲子，好听，但意料之中</t>
  </si>
  <si>
    <t>好听，高音有点没唱出来（</t>
  </si>
  <si>
    <t>可以多丰富些细节</t>
  </si>
  <si>
    <t>如何呢？又能怎！如何呢？又能怎！如何呢？又能怎！好听的</t>
  </si>
  <si>
    <t>特别喜欢这个风格的miku...如果声音再清晰些就更喜欢了</t>
  </si>
  <si>
    <t>渐入佳境</t>
  </si>
  <si>
    <t>好强</t>
  </si>
  <si>
    <t>aaaaaa是这首，可以再唱得准一点</t>
  </si>
  <si>
    <t>很好听</t>
  </si>
  <si>
    <t>听哭了，怎么会这么厉害...</t>
  </si>
  <si>
    <t>电的很奇怪，但是怎么做出好的电音效果我也不会（</t>
  </si>
  <si>
    <t>好听，可以更稳</t>
  </si>
  <si>
    <t>黑兔子好</t>
  </si>
  <si>
    <t>miyake好听，这么短</t>
  </si>
  <si>
    <t>问号真来啊</t>
  </si>
  <si>
    <t>我认为可行</t>
  </si>
  <si>
    <t>←那很敢吃了</t>
  </si>
  <si>
    <t>好像真是一样的</t>
  </si>
  <si>
    <t>????</t>
  </si>
  <si>
    <t>←我觉得真应该在等级里加个问号（</t>
  </si>
  <si>
    <t>支持↑</t>
  </si>
  <si>
    <t>不错，但缺少一点爆发</t>
  </si>
  <si>
    <t>本人水平有限，之前几乎没上过主榜，瞎评的评分评语仅供参考</t>
  </si>
  <si>
    <t>下半场没认真听可能有些并不准确，仅供参考</t>
  </si>
  <si>
    <t>评级标准与前面不同，评级仅代表大致组内排名，不代表水平评价</t>
  </si>
  <si>
    <t>投票</t>
  </si>
  <si>
    <t>转音都快成颤音了（</t>
  </si>
  <si>
    <t>咬字有点难受，但是听说是sv2那很强大了（</t>
  </si>
  <si>
    <t>有的地方突然拉跨（）但是整体挺强大的（</t>
  </si>
  <si>
    <t>感觉两句之间太密了喘不上气</t>
  </si>
  <si>
    <t>有点内味</t>
  </si>
  <si>
    <t>细节差点，有的地方动态变化没做出来</t>
  </si>
  <si>
    <t>好会调</t>
  </si>
  <si>
    <t>实在不喜欢这个歌，相信别人会给（</t>
  </si>
  <si>
    <t>对不起根本挑不出问题</t>
  </si>
  <si>
    <t>c47传人 还没对上轨</t>
  </si>
  <si>
    <t>3&amp;草</t>
  </si>
  <si>
    <t>整体效果抓的很好，但是感觉细节问题，虽然我也不会ace（</t>
  </si>
  <si>
    <t>pit不干净啊，该有劲的地方没劲啊</t>
  </si>
  <si>
    <t>也是做整体效果的，就感觉很会声线动态结果咬字没做（</t>
  </si>
  <si>
    <t>这是歌吗.jpg</t>
  </si>
  <si>
    <t>1&amp;草</t>
  </si>
  <si>
    <t>坏了越听越好听（）细节很多（</t>
  </si>
  <si>
    <t>虽然pit很大胆了但是还是感觉平，动态上的（</t>
  </si>
  <si>
    <t>音头拉了个什么神秘玩意出来</t>
  </si>
  <si>
    <t>没啥问题但是好平，假声动态什么都没有（</t>
  </si>
  <si>
    <t>意外，竟然调的还行</t>
  </si>
  <si>
    <t>怎么感觉跑了一个半音</t>
  </si>
  <si>
    <t>复制粘贴复制粘贴  就每段唱法都一模一样啊</t>
  </si>
  <si>
    <t>好平</t>
  </si>
  <si>
    <t>唱着多捏安，nian不是ni+an</t>
  </si>
  <si>
    <t>可能是颤音太多了（？</t>
  </si>
  <si>
    <t>好</t>
  </si>
  <si>
    <t>感觉有点电（？哦可能是sv2音质问题（</t>
  </si>
  <si>
    <t>对不起3倍不够了</t>
  </si>
  <si>
    <t>神秘音头</t>
  </si>
  <si>
    <t>语感很好，就是感觉衔接的地方比较突变，听着有点伪人</t>
  </si>
  <si>
    <t>没什么大问题，但是有点平（</t>
  </si>
  <si>
    <t>好听 那个诶诶诶感觉转太硬了（</t>
  </si>
  <si>
    <t>敲九九儿（</t>
  </si>
  <si>
    <t>首先张力拉爆了电（）其次感觉做的有点糙（</t>
  </si>
  <si>
    <t>做的很多很有意思，但是细节问题有点多了（首先上拉问题，感觉很多地方有点拿上拉当万能公式的感觉（</t>
  </si>
  <si>
    <t>缺动态，太死板了（</t>
  </si>
  <si>
    <t>对轨错误</t>
  </si>
  <si>
    <t>细节有点少，有些细节上的咬字和动态可以再做一做（</t>
  </si>
  <si>
    <t>直上直下转的有点太多，有点电（</t>
  </si>
  <si>
    <t>何异味何异味何异味何异味</t>
  </si>
  <si>
    <t>中间有点平，结尾感觉像咬字修不出来（</t>
  </si>
  <si>
    <t>感觉缺动态（</t>
  </si>
  <si>
    <t>很熟练的调，但是有点缺乏感情（细节）</t>
  </si>
  <si>
    <t>还是之前说的，调的有点粗，咬字和动态还可以再修修（</t>
  </si>
  <si>
    <t>神秘韩式咬字</t>
  </si>
  <si>
    <t>rap拉了，副歌有点点平（</t>
  </si>
  <si>
    <t>pit有瑕疵，节奏感不好，咬字没修，（副歌有点东西（</t>
  </si>
  <si>
    <t>人声太小</t>
  </si>
  <si>
    <t>你在干嘛.jpg</t>
  </si>
  <si>
    <t>吓哭了3333333</t>
  </si>
  <si>
    <t>主歌太强了后面感觉没有做强的空间，另外感觉有点过于强调装饰音忽略节奏感了（</t>
  </si>
  <si>
    <t>好多c47传人</t>
  </si>
  <si>
    <t>我怀疑你只动了pit（虽然这声库确实也是这样一直硬硬的顶人但是你好歹救一下吧，修修咬字什么的（</t>
  </si>
  <si>
    <t>最后一段咬字怎么回事</t>
  </si>
  <si>
    <t>注意节奏感（副歌强起来是对的但是你加嘶吼是何意啊（</t>
  </si>
  <si>
    <t>有技术但是听感不好，感觉变化太急（）哦有pit小问题</t>
  </si>
  <si>
    <t>咬字很有意思，但是有点cl太多了有点卡，而且还是感觉有点缺动态（</t>
  </si>
  <si>
    <t>吓哭了AF打过来了</t>
  </si>
  <si>
    <t>咬字问题 重（か[さ]）唱そ，其他咬字也可以考虑做一做，另外还是pit细节上的问题（</t>
  </si>
  <si>
    <t>还有全损音质</t>
  </si>
  <si>
    <t>可以诶，动态脱离原唱重新设计了加分（其实我还是感觉有点卡（真有问题吧，节奏没对上？</t>
  </si>
  <si>
    <t>需要多做点动态变化</t>
  </si>
  <si>
    <t>整体还不错，一些小细节很有意思，问题可能，一个rap拉了，还有一个我感觉唱的有点太规整了，都giga了唱夸张一点啊（</t>
  </si>
  <si>
    <t>好的地方好但是</t>
  </si>
  <si>
    <t>为啥一直喷麦，吓我一跳</t>
  </si>
  <si>
    <t>换个声库吧.jpg</t>
  </si>
  <si>
    <t>感觉副歌有点弱了（</t>
  </si>
  <si>
    <t>强大</t>
  </si>
  <si>
    <t>吓哭了</t>
  </si>
  <si>
    <t>感觉主歌缺细节（</t>
  </si>
  <si>
    <t>自动音高？</t>
  </si>
  <si>
    <t>高速神言有点机械，然后高音有点夹着硬上（</t>
  </si>
  <si>
    <t>186?</t>
  </si>
  <si>
    <t>你看又造谣我</t>
  </si>
  <si>
    <t>😭</t>
  </si>
  <si>
    <t>咬字，第一句就wear了，后面连读弱化的也没出来（</t>
  </si>
  <si>
    <t>除了pit啥都没画</t>
  </si>
  <si>
    <t>整体上还不错，pit和节奏感可以再夸张一点（感觉最后一段有点乱？</t>
  </si>
  <si>
    <t>混音 打架</t>
  </si>
  <si>
    <t>仔细听了一遍，调的细节很丰富。问题在声库上（这声库做的真的是全是气燥（而且跟原唱同声线不是复制人，很强（</t>
  </si>
  <si>
    <t>pi t</t>
  </si>
  <si>
    <t>咬字这一块，尤其是元音长度感觉可以再更极端一点（而且节奏感有点公式化感觉（</t>
  </si>
  <si>
    <t>感觉可能是偷懒了没画声线自动化，没啥大问题（</t>
  </si>
  <si>
    <t>开头有些小上拉听着感觉是多余的（感觉一进男声一下舒服了（</t>
  </si>
  <si>
    <t>求midi（</t>
  </si>
  <si>
    <t>对不起挑不出问题</t>
  </si>
  <si>
    <t>为什么要用言和</t>
  </si>
  <si>
    <t>声库选的好，节奏感不是很好</t>
  </si>
  <si>
    <t>下拉太多了（？感觉有点一字一顿</t>
  </si>
  <si>
    <t>调的没啥问题，就是一个问题是感觉有些上拉比较没必要，还有就是这个咬字我个人感觉不是很适合这首歌（</t>
  </si>
  <si>
    <t>其实大体那个味出来了，就是细节很差，对不上拍，咬字做的也不够，力度也不太对，听着难受（</t>
  </si>
  <si>
    <t>大概那个味出来了。pit有瑕疵，咬字有欠缺，导致整个一个咬牙切齿的感觉就是情绪卡住了（少下拉，口型大点（</t>
  </si>
  <si>
    <t>给我唱死了</t>
  </si>
  <si>
    <t>有些pit下拉比较莫名其妙，然后听不懂没法说咬字，然后还是副歌没起来的问题（就也不是副歌不能弱，但你不能比主歌还弱吧（</t>
  </si>
  <si>
    <t>对不上拍，送走</t>
  </si>
  <si>
    <t>这是评委111</t>
  </si>
  <si>
    <t>你跟原唱不是一个声线不要硬学pit，学出来有些很奇怪的东西（有的部分调的挺好的（</t>
  </si>
  <si>
    <t>还行，但是节奏感不是很好，而且有的地方原唱弱拍唱的很强，听着很难受（</t>
  </si>
  <si>
    <t>其实我也调了一首9lana，但是也被原唱打死了没敢投来着（</t>
  </si>
  <si>
    <t>人声有点小，语速快的地方太糊（</t>
  </si>
  <si>
    <t>强弱做有点意思，但是pit的瑕疵真的很难忽视（</t>
  </si>
  <si>
    <t>动态很丰富很好听，但是有的地方感觉做的有点过了，可以再细节一点（</t>
  </si>
  <si>
    <t>缺点细节，咬字可以再稍微修一下（？比如那个them感觉可以口型再小一点？</t>
  </si>
  <si>
    <t>找不到原唱。很稳，动态可以再大点（找到原唱了，可以细节做的挺好的，想给3倍了（</t>
  </si>
  <si>
    <t>不会评</t>
  </si>
  <si>
    <t>感觉可能是上拉太多了（</t>
  </si>
  <si>
    <t>动态做了但是感觉做的有点不对，有些pit细节感觉做的不对，有点粗糙（</t>
  </si>
  <si>
    <t>缺动态变化（</t>
  </si>
  <si>
    <t>电</t>
  </si>
  <si>
    <t>好的地方挺好，但是感觉有点糙，感觉有点东西</t>
  </si>
  <si>
    <t>pit</t>
  </si>
  <si>
    <t>塞太多cl了</t>
  </si>
  <si>
    <t>原唱的节奏感给你调没了</t>
  </si>
  <si>
    <t>上拉做太过了电死了</t>
  </si>
  <si>
    <t>太无参了</t>
  </si>
  <si>
    <t>经典跨语种拆碎了对不上节奏（</t>
  </si>
  <si>
    <t>调的很好，但是你的混音到底怎么回事，混音把分拉没了</t>
  </si>
  <si>
    <t>感觉有点死板</t>
  </si>
  <si>
    <t>开头电音给人全吓跑了（</t>
  </si>
  <si>
    <t>语调好强，比我去年强（）什么竟然跟我去年一样是手搓的？也是una？天哪这也能有续集？</t>
  </si>
  <si>
    <t>太短了</t>
  </si>
  <si>
    <t>sharpkey大神</t>
  </si>
  <si>
    <t>语调语调语调</t>
  </si>
  <si>
    <t>1 不知道但是想投，反正票多（</t>
  </si>
  <si>
    <t>一堆直上直下的东西电得很</t>
  </si>
  <si>
    <t>我支持end夺冠</t>
  </si>
  <si>
    <t>喜欢，给你3倍</t>
  </si>
  <si>
    <t>原来你才是utau大神，那怪不得一股utau吞音头感（</t>
  </si>
  <si>
    <t>感觉跟上面那个是一个人的，然后同上</t>
  </si>
  <si>
    <t>有的地方感觉没对上拍很怪（</t>
  </si>
  <si>
    <t>术力口大神</t>
  </si>
  <si>
    <t>唱商太强大了，感觉不能容许我不给3倍</t>
  </si>
  <si>
    <t>好努力（</t>
  </si>
  <si>
    <t>一开口不看歌词还以为唱的韩语（</t>
  </si>
  <si>
    <t>有的地方转音颤音什么的有点怪（</t>
  </si>
  <si>
    <t>咬字乱飞（</t>
  </si>
  <si>
    <t>颤音滑音都做的很舒服，但是感觉std有点吞音头（</t>
  </si>
  <si>
    <t>还可以，，但是よう咋回事，还有副歌没强上去啊</t>
  </si>
  <si>
    <t>感觉转音有点糙</t>
  </si>
  <si>
    <t xml:space="preserve">不要在调声赛跨语种（ </t>
  </si>
  <si>
    <t>味正</t>
  </si>
  <si>
    <t>谁在抄袭186，调的比186差远了（</t>
  </si>
  <si>
    <t>五套大神 | 什么什么不是utau是sharpkey吗（（</t>
  </si>
  <si>
    <t>三倍不够用了对不起</t>
  </si>
  <si>
    <t>不是怎么调的能不能教我</t>
  </si>
  <si>
    <t>好的地方很好，但是感觉断断续续的，而且有的咬字不太舒服（</t>
  </si>
  <si>
    <t>186？</t>
  </si>
  <si>
    <t>副歌爆发了</t>
  </si>
  <si>
    <t>如何呢又能怎如何呢又能怎如何呢又能怎</t>
  </si>
  <si>
    <t>好歌但是扒谱没对上节奏</t>
  </si>
  <si>
    <t>v的原因还是有点断，有的咬字拆的很诡异（</t>
  </si>
  <si>
    <t>《未成年人谨慎观看，请勿模仿》</t>
  </si>
  <si>
    <t>不是为啥开头那么好的后面那么拉啊（</t>
  </si>
  <si>
    <t>神秘咬字</t>
  </si>
  <si>
    <t>怎么到处都是颤音</t>
  </si>
  <si>
    <t>为啥这么吵的（</t>
  </si>
  <si>
    <t>啊哈</t>
  </si>
  <si>
    <t>有点平，就是那种不紧不慢不快不慢的（</t>
  </si>
  <si>
    <t>感觉声库不支持啊，采样差异感很重</t>
  </si>
  <si>
    <t>拆的没对上拍子</t>
  </si>
  <si>
    <t>好选曲</t>
  </si>
  <si>
    <t>感觉快冻死了唱的，但是听感还行（</t>
  </si>
  <si>
    <t>草 真的爆电平了（</t>
  </si>
  <si>
    <t>动态跟律动都差一点</t>
  </si>
  <si>
    <t>感觉不如去年的（</t>
  </si>
  <si>
    <t>高音处理的挺好听的，但是咬字拆的不太好（</t>
  </si>
  <si>
    <t>瞎了.jpg</t>
  </si>
  <si>
    <t>很会做动态，但是拆音有点明显，（</t>
  </si>
  <si>
    <t>天星问在哪呢？曲名诈骗啊</t>
  </si>
  <si>
    <t>别归嘿嘿嘿了，拆的太糙了（）律动还可以（</t>
  </si>
  <si>
    <t>为啥好多元音莫名奇妙发成a？注意填词</t>
  </si>
  <si>
    <t>（见AC005评论区）另外，解析没给到S
是因为虽然模仿很像，但还是在别的地方有个别明显瑕疵</t>
  </si>
  <si>
    <t xml:space="preserve">                               很努力但有点板正，加油</t>
  </si>
  <si>
    <t>女声rap腔调更像是在摆龙门阵，飞叉叉嘞</t>
  </si>
  <si>
    <t>不太会评，单依纯唱得好</t>
  </si>
  <si>
    <t>花腔女抖音</t>
  </si>
  <si>
    <t>故意版</t>
  </si>
  <si>
    <t>好听爱听，缺点是言和声线太薄了没撑起来大歌</t>
  </si>
  <si>
    <t>就这个绫儿豁亮。强弱对比可以出来些，太猛了</t>
  </si>
  <si>
    <t>好听爱听，细腻</t>
  </si>
  <si>
    <t>好听爱听</t>
  </si>
  <si>
    <t>人家尾音是滑上去的↑</t>
  </si>
  <si>
    <t>献得好，继续努力</t>
  </si>
  <si>
    <t>是好的，规整的，但是哭腔实在太用力了</t>
  </si>
  <si>
    <t>弱的地方需要把听感打扫整洁，强的地方遗漏了太多细节一马平川了</t>
  </si>
  <si>
    <t>好听爱听，pit和强弱动态再多磨磨</t>
  </si>
  <si>
    <t>厉害</t>
  </si>
  <si>
    <t>很唬人，处理和控制还是欠点火候。一部分哭腔画得怪怪的。</t>
  </si>
  <si>
    <t>怎么哪都挺好的，副歌却把那些小转音削了个干净？作为转音爱好者，会给你很多不太好的评价。</t>
  </si>
  <si>
    <t>高音就别太多喉塞音了，对嗓子不好。以及，混音不太好，影响听感了</t>
  </si>
  <si>
    <t>可以再控制一下颤音的数量和幅度（虽然这一点也有点像周菲戈本人走出来）；一些发力点的劲没使出来，pit还能进步</t>
  </si>
  <si>
    <t>⚡</t>
  </si>
  <si>
    <t>牛，蹲一个全曲</t>
  </si>
  <si>
    <t>盲猜一个水母</t>
  </si>
  <si>
    <t>我认为是心虚的表现</t>
  </si>
  <si>
    <t>好吧我觉得这个更像水母</t>
  </si>
  <si>
    <t>可以临摹得更细致，一些地方还是粗糙了</t>
  </si>
  <si>
    <t>可以听到内容是丰富的，但控制的精度继续加油</t>
  </si>
  <si>
    <t>好听爱听喜欢听</t>
  </si>
  <si>
    <t>无情的打分机器</t>
  </si>
  <si>
    <t>别打乌蒙了，做个文明不乱批发音头的人</t>
  </si>
  <si>
    <t>啊哈啊哈，flag大甩卖了</t>
  </si>
  <si>
    <t>良好的技巧和乐感，但听感控制力请加油</t>
  </si>
  <si>
    <t>音色有点刺激</t>
  </si>
  <si>
    <t>听君一首歌，如听歌十年。</t>
  </si>
  <si>
    <t>母母好松啊（指打分）</t>
  </si>
  <si>
    <t>跨语种辛苦了，听感也确实辛苦了点</t>
  </si>
  <si>
    <t>这歌写得我喜欢，
怎么不拿去参加歌影回战，噢参加了啊</t>
  </si>
  <si>
    <t>最适合C47的一首可惜了（</t>
  </si>
  <si>
    <t>术力口世代标准的好调教（通常容易过于依赖音头爆发力）律动意识有但有点刻意，听感有点断。去齿音插件是个好东西，希望你也有</t>
  </si>
  <si>
    <t>我喜欢这个</t>
  </si>
  <si>
    <t>谢谢水母老师TvT</t>
  </si>
  <si>
    <t>美则美矣声线有点养胃。处理也可以更有推进感、变化更丰富。喔，最后一段想推了，但听感有点控制不住。</t>
  </si>
  <si>
    <t>太难调了</t>
  </si>
  <si>
    <t>去齿音插件应该送给全世界所有心华std。
bridge的pit怎么突然崩坏。</t>
  </si>
  <si>
    <t>初音也想要去齿音插件🥺</t>
  </si>
  <si>
    <t>藏腔加油。副歌pit和动态不够劲道，还能临摹得更好。</t>
  </si>
  <si>
    <t>性冷淡我喜欢
（sm：思考，（坐标那样调主歌（性冷淡伪无参）
是）可以的（但作为翻调无聊了点）（但毕竟已经是临摹了，哎不太会评））
（加注：所以抄作业的直接降一档 恶魔.jpg）</t>
  </si>
  <si>
    <t>你可以把你的去齿音插件推荐给她们。
感觉你是186。</t>
  </si>
  <si>
    <t>还有callback的哦（感觉留言一栏不够）
186说他没这么菜</t>
  </si>
  <si>
    <t>天天造谣我</t>
  </si>
  <si>
    <t>186对不起。</t>
  </si>
  <si>
    <t>作为对你赛事故的callback，不是神调可惜了。</t>
  </si>
  <si>
    <t>想喝怡泉 C+了</t>
  </si>
  <si>
    <t>不错👍🏻控制得更细致就好了</t>
  </si>
  <si>
    <t>怎么有错音。很严重，副歌的调性都不对了，
因为错的是特征音三级大。我“双眼”的转音呢？</t>
  </si>
  <si>
    <t>真是难为迈讷斯小姐了（水母真的好松啊）</t>
  </si>
  <si>
    <t>就是关掉引擎的 pit 自动过渡</t>
  </si>
  <si>
    <t>有……什么区别吗</t>
  </si>
  <si>
    <t>有点无参但听感莫名好。音高捕捉模式吗。</t>
  </si>
  <si>
    <t>音高捕捉模式是什么（？）</t>
  </si>
  <si>
    <t>你他妈不知道？</t>
  </si>
  <si>
    <t>那不是P键吗？</t>
  </si>
  <si>
    <t>P键不就是单纯的显示音高吗？</t>
  </si>
  <si>
    <t>主歌偏B，副歌偏A。</t>
  </si>
  <si>
    <t>罚你使用传统 vocaloid</t>
  </si>
  <si>
    <t>挺好。pit软塌了点，有点像某个时期的瑞安</t>
  </si>
  <si>
    <t>所以这是谁下场打人了水母猜得出来吗</t>
  </si>
  <si>
    <t>水母猜不出来</t>
  </si>
  <si>
    <t>我没有手伸给你。投错组一位</t>
  </si>
  <si>
    <t>为什么不直接删了（</t>
  </si>
  <si>
    <t>删了，只是编号跳过了</t>
  </si>
  <si>
    <t>我也认为</t>
  </si>
  <si>
    <t>有种语感挺好的感觉，但整体水平又没到。怪事</t>
  </si>
  <si>
    <t>他都调V4C了有这个毅力干什么都会成功的</t>
  </si>
  <si>
    <t>好有趣的评论区</t>
  </si>
  <si>
    <t>好多人啊</t>
  </si>
  <si>
    <t>有些地方想法不错，很多地方听感控制不行特别是pit</t>
  </si>
  <si>
    <t>std的大家都喜欢美着美着突然给pit加点小料。</t>
  </si>
  <si>
    <t>免得不给你加点东西你想不起这是STD</t>
  </si>
  <si>
    <t>没有说ai组就不爱的意思。只是std加小料加得都有点像，都是那种奇怪音头忍不住要生出来了</t>
  </si>
  <si>
    <t>好听一下难听一下的。好难听。歌名何意味。</t>
  </si>
  <si>
    <t>红红的蔷薇柏柏的玫瑰~</t>
  </si>
  <si>
    <t>好热闹啊</t>
  </si>
  <si>
    <t>空诩，入坑一年半新人，听华语欧美流行多一点，术曲和日文听的少，评英语之外语种全凭第一感觉，会抠一些奇怪的点，不认可就把我当条区以你为准！</t>
  </si>
  <si>
    <t>20s印象（B以下我直接不听了）</t>
  </si>
  <si>
    <t>主歌好无聊，这首歌挺吃律动的，可以把字内动态做的再大胆一点，副歌好好听，有点像周深</t>
  </si>
  <si>
    <t>动不动出来一个字到了最后口型会不稳定，转音设计还是抄原唱吧！你自己设计的有点像踩了电闸</t>
  </si>
  <si>
    <t> </t>
  </si>
  <si>
    <t>我的妈呀邓紫棋人柱力，字尾弱化可以稍微做一做，邓紫棋的一些cl放在虚拟歌手的处理中会有点突兀可以收收</t>
  </si>
  <si>
    <t>真假声断层可以再明显，桥段pit的设计有点油有点垮，虽然这首歌是纯子的，但是不是给你炫技的地方；疑似赶工，有很多地方有再加斟酌的空间</t>
  </si>
  <si>
    <t>换个声库，言和癫不起来，换个真假声断层大点的；但是能用和子做成这样真的很吊。律动啥的都有做出来很爽的。咬字可以处理的更聪明一点而不是把辅音直接吃了</t>
  </si>
  <si>
    <t>我广东朋友说发音不准确，但总体动态和细节设计啥的都很好听很舒服</t>
  </si>
  <si>
    <t>语调起手，我好像知道是谁了，后面的展开也符合我的猜测，第二段扑鼻香处理有点油了</t>
  </si>
  <si>
    <t>无如聊，有点没营养</t>
  </si>
  <si>
    <t>字尾动态可以研究研究飞哥的发力长啥样，后半段明显是赶工放弃了太多东西</t>
  </si>
  <si>
    <t>语感真好</t>
  </si>
  <si>
    <t>混音有点浮在上面不够沉浸</t>
  </si>
  <si>
    <t>vocal flip断层可以再大一点，弱段可以把气逼出来一点点</t>
  </si>
  <si>
    <t>有很浓重的学习原唱卡师傅的痕迹……不过对这首歌是合适的，短促有力的可以多用点颤音，不那么有力的地方可以做一点假声气声</t>
  </si>
  <si>
    <t>挺摇的，我喜欢</t>
  </si>
  <si>
    <t>首</t>
  </si>
  <si>
    <t>？吓哭了。甚至backup都打的很舒服，pit把握的好准，也没有吞音，拿着冠军给我滚吧</t>
  </si>
  <si>
    <t>主歌咬字有点拖沓，老人味很足（）第二段副歌有点单调了</t>
  </si>
  <si>
    <t>很喜欢动态设计，还有美味的小转音，很喜欢</t>
  </si>
  <si>
    <t>copy纯子的痕迹有点过于明显的</t>
  </si>
  <si>
    <t>港味不够，你去学一下牢镜去年怎么做的动态</t>
  </si>
  <si>
    <t>混音素在？不如干声挂个破烂混响，然后谁去想是怎么出来liao这个音的？？高潮段落的音色有点灾难，最后一段咬字全崩了一看就是赶工的</t>
  </si>
  <si>
    <t>可以斟酌一下气泡音怎么调不那么扎耳朵,</t>
  </si>
  <si>
    <t>主歌语感很好，副歌唱法太白，缺乏动态，有点无聊，一些咬字的细节处理有提升空间</t>
  </si>
  <si>
    <t>感觉pit的把握不太准确，动态可以再做起来一点</t>
  </si>
  <si>
    <t>你洛低音音色好难受，升升调吧你洛是大概只能在C5~E5这段能发出一些亮堂的动静，但是调校思路很不错升升调会得到更多很好的评价</t>
  </si>
  <si>
    <t>动态和律动都不错，很有袁娟味道，音色也我喜欢</t>
  </si>
  <si>
    <t>好会玩言和音色的一个……玩的真好……最后一些转音感觉有点花里胡哨了，但是最后一段酸楚的泪的那个泪字真给我听湿了……</t>
  </si>
  <si>
    <t>pit有点抖，不稳，甚至没有李常超本人唱的稳</t>
  </si>
  <si>
    <t>主歌咬字有点死板，副歌唱的有点白而没动态</t>
  </si>
  <si>
    <t>气口在哪里？</t>
  </si>
  <si>
    <t>欢乐水牛~春区蠕动~</t>
  </si>
  <si>
    <t>你参赛要是为了这个赶紧给我滚</t>
  </si>
  <si>
    <t>和声抢戏听感不好，pit不错动态可以再大胆点</t>
  </si>
  <si>
    <t>为什么要投short这么好的语感复制粘贴我都不会嫌无聊的我刚听爽就没了</t>
  </si>
  <si>
    <t>辅音处理的很舒服，音头辣的也很合适，中规中矩的作品</t>
  </si>
  <si>
    <t>谁家张韶涵，怎么是short啊啊啊啊啊啊啊非常非常多的细节都可以再斟酌得更自然一些</t>
  </si>
  <si>
    <t>一些该弱的点有点不够弱，最弱的那些点反而应该强点（）但是语感很好很耐听</t>
  </si>
  <si>
    <t>韵味很足！而且在保持韵味的同时律动也做的很不错！</t>
  </si>
  <si>
    <t>莫名其妙炸出来的齿音让我真的没有听下去的欲望</t>
  </si>
  <si>
    <t>rose声线意外有点袁娟味，pit自动参味有点重，不够东北也不够袁娟有点尴尬。弱段音色可以斟酌。本可能拿我一张一倍的</t>
  </si>
  <si>
    <t>很美的气声和动态，最弱的段直接被吞进伴奏了这不好，副歌最起码稍微清晰点吧……</t>
  </si>
  <si>
    <t>挺有劲的，起礼做成这样不容易，混音尽力了</t>
  </si>
  <si>
    <t>人声快贴到我脸上了……Pit有点飘（不过王子健的歌好像也只能这么干）然后男女对唱割裂感太强，拷打混音</t>
  </si>
  <si>
    <t>唱法思路都很纯子，咬字音头等等细节也很有纯味，借我借我段落咬字嚼劲不太够，最后一段大地之母的空间和厚重感没做出来，拷打混音</t>
  </si>
  <si>
    <t>pit把握很准确，好美味小转音，流行RnB就是这个美味</t>
  </si>
  <si>
    <t>咬字和动态比pit出彩，pit一直在试图摆脱控制……</t>
  </si>
  <si>
    <t>有点虚</t>
  </si>
  <si>
    <t>音色不够稳定，一会老一会年轻的，不过这也是调柯子不得不品的一环，这个定调对柯子还是太低了</t>
  </si>
  <si>
    <t>和声存在感有点强了，动态线条有点太粗了，音色处理可以再多样化一点</t>
  </si>
  <si>
    <t>人声有点突我脸，低频扎到我了，喜欢真假声</t>
  </si>
  <si>
    <t>给我鸡皮疙瘩听起来了。选曲真牛逼，颤音处理的不太自然</t>
  </si>
  <si>
    <t>转音处理的还不错，小律动处理很好，颤音加的点特别出彩</t>
  </si>
  <si>
    <t>动态不错，pit太平淡了，音色处理太粗线条了</t>
  </si>
  <si>
    <t>在五组的高度你可以拉拉声线做出来点咽音音色；层次感做的太好了，你和牢菲同步顿悟吗</t>
  </si>
  <si>
    <t>不喜欢音色，喜欢做动态的思路，副歌的辅音可以再斟酌</t>
  </si>
  <si>
    <t>转音交代的很舒服，音色设计很合理，细节处理也出彩</t>
  </si>
  <si>
    <t>能把一首歌调的让我摇起来不容易的，恭喜你成功了</t>
  </si>
  <si>
    <t>ACE很难兼顾音色和咬字，尽力了只能说，音色很好但是咬字有点难受</t>
  </si>
  <si>
    <t>思路是很好的，但是做的有点太猛烈了……气有点多，混音混的有点太贴我脸了</t>
  </si>
  <si>
    <t>混音有点浮，pit可以再把味道搞得戏一点，参数别太敢拉，咬字好多变形有点严重</t>
  </si>
  <si>
    <t>只动了pit，咬字动态都糊糊的</t>
  </si>
  <si>
    <t>音色很不错！美丽的花腔音色很亮堂，动态设计也很老艺术家的从容，颤音的设计也是合理的，不考虑特化声库整体也很好</t>
  </si>
  <si>
    <t>我太喜欢预副歌这四句的递进感了……妈妈呀……女神来的……</t>
  </si>
  <si>
    <t>小律动不错！副歌pit我很喜欢，主歌音色可以再多样化，可以加点颤音撩骚一点</t>
  </si>
  <si>
    <t>又听了一遍，处理是缺乏的，而且音色也没有下面也没有芯很空，送走</t>
  </si>
  <si>
    <t>气泡音还可以，语感不错</t>
  </si>
  <si>
    <t>人味不太够，适当加点倚音会好很多，咬字也处理一下</t>
  </si>
  <si>
    <t>声线捏的有问题，不够从容有点病恹恹的，pit不够连贯</t>
  </si>
  <si>
    <t>有思考的，和声处理的不错，但有些细节不太好听，然后为什么要用起礼呢？</t>
  </si>
  <si>
    <t>这个咬字油到我了，有一种很尽力在假装自己是民族的感觉，但不得不承认一些地方的处理可能是碰巧出来味挺对的</t>
  </si>
  <si>
    <t>人声有点大。好舒服的咬字。吞了好多转音和细节，对不起我严格因为这歌我自己比赛唱过。但横向还是一个秒了的存在。</t>
  </si>
  <si>
    <t>很美的小转音，但是一些pit的失误弥补了这一部分</t>
  </si>
  <si>
    <t>这我天呐尧十三……我打死也没想到我会在调音赛碰到他。他歌很难调，一定不要在刚塑造好的凄清氛围里面突然唱出一个特别让人难以忽视的跳戏细节（尤其是咬字……）</t>
  </si>
  <si>
    <t>听感有点浑浊，喜欢细节的处理，动态的线条还是有点粗了，作为滑铲稿子这个质量已经远超我预期了，最后一段情感可以再起来点，有些地方还是能听出来赶工痕迹</t>
  </si>
  <si>
    <t>好帅一歌omg好多变一言和omg好强好美味omg这是我们言和吗omg妈呀设我一脸</t>
  </si>
  <si>
    <t>一般，各方面的一般</t>
  </si>
  <si>
    <t>这个popy和这么深情的一个歌手放在一起就真的会特别出戏啊</t>
  </si>
  <si>
    <t>人声慢了一小截破坏律动了，pit在干嘛？</t>
  </si>
  <si>
    <t>画Pit的胆子挺大,但效果不太好，副歌咬字有点闷</t>
  </si>
  <si>
    <t>动态和语感喜欢，副歌pit太狂野了，上拉不是这么频繁地拉，听感有点炸裂</t>
  </si>
  <si>
    <t>人声可以大点，可以适当加点依字行腔，现在主歌Pit有点死板</t>
  </si>
  <si>
    <t>老人味溢出了</t>
  </si>
  <si>
    <t>音色可以处理的再大胆一些</t>
  </si>
  <si>
    <t>语感好秒了很多东西！pit把握的很准确</t>
  </si>
  <si>
    <t>混音在？</t>
  </si>
  <si>
    <t>omg好美味一群男人感觉他们的肌肉很大我好想撕烂他们的裤衩好美味的互相backup好美味的音色混音师更吊混音母带请联系</t>
  </si>
  <si>
    <t>音色可以处理的再大胆一些，语感和律动有很大的进步空间，这种律动歌掉拍是致命的</t>
  </si>
  <si>
    <t>是很传统的港味！好听</t>
  </si>
  <si>
    <t>动态可以再大胆一些，大颤音有点不舒服，气泡音的滥用特别破坏连贯的表达</t>
  </si>
  <si>
    <t>开头有点平淡，转音很帅但是突兀，但是语感好秒了很多东西</t>
  </si>
  <si>
    <t>力量感不够，动态有点无聊</t>
  </si>
  <si>
    <t>动态可以再大胆一些</t>
  </si>
  <si>
    <t>你咬字的斟酌痕迹直接把你的身份证扔在我面前了……但是这个高音没有办法的</t>
  </si>
  <si>
    <t>为什么要电呢？明明有那么美丽的语感那么细的细节，就因为几个点的电把成品全毁了</t>
  </si>
  <si>
    <t>喜欢动态和语感，pit的配合也非常灵动~</t>
  </si>
  <si>
    <t>语感还算不错，但没有好到让我想把歌听完</t>
  </si>
  <si>
    <t>pit很大一部分是抽了修的……咬字可以配合的再好点，强声音色可以再大胆一点</t>
  </si>
  <si>
    <t>卧槽这音色玩的有点像吴莫愁女士本人进来打人了，尖叫那一声可以把响度降降，有点炸耳朵</t>
  </si>
  <si>
    <t>太美味了我的妈呀</t>
  </si>
  <si>
    <t>好像原唱，善于复制也是善</t>
  </si>
  <si>
    <t>语感不错，律动没出来</t>
  </si>
  <si>
    <t>气泡音加的不错，副歌音色有点太轻拿轻放了</t>
  </si>
  <si>
    <t>上来一个爆破音直接把我抓死了。好从容好slay女王妈妈</t>
  </si>
  <si>
    <t>炸电平了，但是动态我喜欢，颤音我不喜欢……</t>
  </si>
  <si>
    <t>大慢颤不太好听，可以斟酌一下幅度和频率,pit细节做的不错，声音灵活度也足够</t>
  </si>
  <si>
    <t>怎么把ai调出了std般的不连贯感的，副歌好很多</t>
  </si>
  <si>
    <t>我靠好刀郎的味道，但是齿音好大</t>
  </si>
  <si>
    <t>各种语言语感听感都不错，语气感的一些细节很好，英语段落还挺native的</t>
  </si>
  <si>
    <t>咬字native程度不太够，pit有点像自动的感觉人味不太够</t>
  </si>
  <si>
    <t>女鬼来了我感觉我猜到是谁干的了果然上班使人变成鬼</t>
  </si>
  <si>
    <t>混音有点干……给我的感觉还挺俏皮的</t>
  </si>
  <si>
    <t>能听出来斟酌的痕迹。但感觉调校和混音没商量好出来的东西有点割裂，副歌的咬字辅音在哪里？可以和隔壁ac美味男团取取经</t>
  </si>
  <si>
    <t>动态不错pit也有意思，但没亮点</t>
  </si>
  <si>
    <t>你调了甚么？</t>
  </si>
  <si>
    <t>有一些音头音尾拉的很难听</t>
  </si>
  <si>
    <t>pit有点乱，别的东西处理的胆子没有Pit大</t>
  </si>
  <si>
    <t>唱法有黄家驹的影子，我喜欢</t>
  </si>
  <si>
    <t>被开头吓哭了。你不是老太太中岛美雪，你也不是中太太张芯，你是蚂蚁声库就不要唱大象的歌，但后面处理的很好，很有日本老太太的味道，很喜欢</t>
  </si>
  <si>
    <t>我喜欢这个叙事感，混音怪怪的，这个咬字的风格我还挺吃的</t>
  </si>
  <si>
    <t>美味小雷鬼，很聪明的选歌，摇起来就什么都不用管了。不过人声的律动也不错！发挥很稳健但没有很美味的亮点</t>
  </si>
  <si>
    <t>各方面都不错，很舒服，副歌力度也不错</t>
  </si>
  <si>
    <t>有点像酷路泽野生徒弟，总体是很入耳的</t>
  </si>
  <si>
    <t>咬字有点不太native但原唱本来也不是native speaker可以接受，调的好烧好高级，动态特别美……思路也很美味，换在哪年都是一张三倍的</t>
  </si>
  <si>
    <t>人声有点浮，动态不错，但是咬字被ace言限制了没有姚贝那么漂亮</t>
  </si>
  <si>
    <t>音头音尾拉的还挺美味的，但细节和风格特色不足</t>
  </si>
  <si>
    <t>副歌有点太明媚了，而且段落之间层次没出来</t>
  </si>
  <si>
    <t>动态设计很美味，颤音的点很好但具体怎么颤可以多样化一点</t>
  </si>
  <si>
    <t>有很好的动态意识，细节处理也足够出彩，句尾颤音的自然感可以再修理一下</t>
  </si>
  <si>
    <t>小气泡很美味的，vocal flip有点像教科书，一些咬字欠斟酌，总体还是很美味的，打到我了三倍给了</t>
  </si>
  <si>
    <t>齿音有点炸，我喜欢你的处理思路</t>
  </si>
  <si>
    <t>过~年~啦~</t>
  </si>
  <si>
    <t>pit的设计很有特色，挺美味的，情绪释放的很好，收没收回来</t>
  </si>
  <si>
    <t>选这个歌我感觉上限在这了，但确实很平成的感觉，律动也好suki</t>
  </si>
  <si>
    <t>混音不知道是不是故意的，ace洛正确使用例，一些细节情感出来的很好，但是pit不稳而且声库本身太拖累了</t>
  </si>
  <si>
    <t>你让我怎么评，我不希望你进决赛</t>
  </si>
  <si>
    <t>老艺术家的从容，把声库当臭狗一样玩耍……太短降档没听爽</t>
  </si>
  <si>
    <t>我喜欢你，虽然是电子但是人声的律动也很足</t>
  </si>
  <si>
    <t>pit很飘，副歌太虚了感觉不会做音色，动态思路是对的但实现的很糟糕</t>
  </si>
  <si>
    <t>动态我很喜欢，但是太短了，也没那个语感，抓不住我</t>
  </si>
  <si>
    <t>咬字只能说和native搭一点点边……律动严重不足，不过我好喜欢这个混音质感</t>
  </si>
  <si>
    <t>很聪明的选曲，小swing跟着摇就够了，不过调校本身律动也很好，小转音加的很出彩suki，这个气泡音想法很好但和整体配合的不是很好</t>
  </si>
  <si>
    <t>挺帅，感觉调校本身没有值得一提的亮点，副歌Pit有点乱</t>
  </si>
  <si>
    <t>感觉人声不是重点……你来错比赛了……</t>
  </si>
  <si>
    <t>动态不错。气泡音的思维很好，实现的有点糟糕，有点太泛滥了，而且气泡音不能接很足的胸声不然歌手容易yue</t>
  </si>
  <si>
    <t>我超，有牛！</t>
  </si>
  <si>
    <t>喜欢音色设计，律动和动态也很好</t>
  </si>
  <si>
    <t>情绪在哪里？无聊的调声</t>
  </si>
  <si>
    <t>猜到谁干的了，感觉不如上半的那个。我会期待强声更有穿透力作为抓人的亮点，句间层次感可以再做做</t>
  </si>
  <si>
    <t>Is this ACE？An international participant?Teach me after the match plz i luv it especially on the operation of some details</t>
  </si>
  <si>
    <t>音色有设计，但是作为音游曲副歌我会期待更实一些</t>
  </si>
  <si>
    <t>pit还是不错的，动态很无聊</t>
  </si>
  <si>
    <t>很好的语感，是非常合理的处理，动态设计很舒服</t>
  </si>
  <si>
    <t>有设计，但光滑地从我脑子溜过去了没抓住我</t>
  </si>
  <si>
    <t>声线不错，此外没了</t>
  </si>
  <si>
    <t>不太喜欢这么频繁地画尾音……技术力是在的，咬字不错，感觉音色可以再设计设计</t>
  </si>
  <si>
    <t>细节很出彩，单词的拼读可以再斟酌（是were不是wear），动态不错，层次感非常好，咬字和律动配合的挺差的</t>
  </si>
  <si>
    <t>Apple U，歌曲像凉皮一样拉开，心情像馕一样发胀，这个歌开餐厅在我脑袋里面！</t>
  </si>
  <si>
    <t>动态可以再做做，咬字可以再斟酌，总体层次感不错，pit倚音有点多（怀疑自动参）</t>
  </si>
  <si>
    <t>律动动态很美味，咬字很舒服</t>
  </si>
  <si>
    <t>喜欢动态，层次感特别好，pit也很自然，是很完整的调声作品</t>
  </si>
  <si>
    <t>有思路，有细节，但自然程度可以再斟酌</t>
  </si>
  <si>
    <t>没有给票的理由</t>
  </si>
  <si>
    <t>齿音在哪里？去齿音不是高切啊混音大哥……动态很好，齿音变成这个样子我竟然仍有听下去的欲望，语感也不错</t>
  </si>
  <si>
    <t>你有一个不错的混音进入调音赛，pit也有说法，但是选国民度这么高的歌就要做好被严格对待的准备</t>
  </si>
  <si>
    <t>哥们，爆电平了</t>
  </si>
  <si>
    <t>副歌区分度有，但此外动态不足，pit挺舒服的，但这个库配这个编曲我感觉有点割裂</t>
  </si>
  <si>
    <t>动态不错，pit自然，音色也很好，副歌最后高音之前的情绪铺垫不够，低音对这个歌手也有点太低了全是气</t>
  </si>
  <si>
    <t>很牛姐本牛的处理思路，真的玩得很开心的一个作品啊！</t>
  </si>
  <si>
    <t>很好的细节处理，稳健的跳绳</t>
  </si>
  <si>
    <t>韩雅子我来助你三冠</t>
  </si>
  <si>
    <t>颤音不错，弹舌感觉味道对的，但原唱应该没这么多弹舌？听着有点疲劳。细节和动态很好，咬字和律动的配合可以再斟酌</t>
  </si>
  <si>
    <t>被大喘气吓晕……除了这个之外都是很美味的</t>
  </si>
  <si>
    <t>pit有点狂野了，不太自然，出来的效果有点像std不过是爽的</t>
  </si>
  <si>
    <t>有点无聊，细节处理也没咋斟酌</t>
  </si>
  <si>
    <t>细节处理爆出来的情绪很足，但有点过了，这么唱很伤嗓子但日本这么唱歌的人倒也不少</t>
  </si>
  <si>
    <t>我好喜欢你的音色设计，和ac的四爱坐一桌，怎么是short！啊啊啊啊没听爽</t>
  </si>
  <si>
    <t>后期有点太现代了，和人声很老式的唱腔和pit有点割裂，人声处理我很喜欢，库的强声音色有点硬扯</t>
  </si>
  <si>
    <t>我非常喜欢你的动态和音色设计，咬字可以再有嚼劲一些</t>
  </si>
  <si>
    <t>歌难度不大，调校也没什么值得一提的点，但选歌很聪明的扬长了，成品听感很好</t>
  </si>
  <si>
    <t>pit有点寡淡不过也没啥错误，动态稍微有点无聊，我会期待强声更有穿透力一些</t>
  </si>
  <si>
    <t>库和曲挺搭，但你调了甚么？一坤分的前奏等完就给我听这？</t>
  </si>
  <si>
    <t>有语感的，细节处理也可以的，估计去ac会是一把好手。但是都来打比赛了就别用信仰库了……语感全被库本身拖回去了</t>
  </si>
  <si>
    <t>好虚，而且没啥变化</t>
  </si>
  <si>
    <t>盲压一个水母，他肯定会来认领的</t>
  </si>
  <si>
    <t>你也没啥变化</t>
  </si>
  <si>
    <t>开头一个字一个字往外蹦的时候可以多做点动态要不然太无聊</t>
  </si>
  <si>
    <t>动态pit各种细节处理都很不错，很稳健的调声。喜欢音色的设计思路，但是感觉音色本身不太自然，是混音问题吗？</t>
  </si>
  <si>
    <t>感觉还不错，注意一下西语中的s是要发成短z的，西语歌Pit可以再花哨一点的，动态也可以再细节化一点</t>
  </si>
  <si>
    <t>连贯性可以加强，字间动态可以做的再大胆一点，副歌力度不太足</t>
  </si>
  <si>
    <t>律动很不错，各方面设计也很出彩，感觉有些细节对Pit控制不很好，怀疑滑铲</t>
  </si>
  <si>
    <t>黄河怨作者进来学习处理意识和动态，花腔音色就该有这样美丽的高频！最后炸麦了！轰到我的耳朵了很可惜降档</t>
  </si>
  <si>
    <t>毫无语感可言，咬字和pit都是灾难，作者你知道我有多期待这首歌吗……对这首歌的热爱硬撑着我听完了</t>
  </si>
  <si>
    <t>动态思路不错，我会期待副歌再有穿透力一些</t>
  </si>
  <si>
    <t>思路很漂亮，呈现效果有进步空间，可以注意转音和vocal flip细节的呈现效果</t>
  </si>
  <si>
    <t>开口抓人，细节很出彩，动态很爽，情绪传递也很好，但这两个库整体基调不搭，那个女声很帅但煊宇动静一出来我养胃了</t>
  </si>
  <si>
    <t>主歌如做，预副歌和副歌动态很大胆，混音在干嘛</t>
  </si>
  <si>
    <t>好爽的pit和音色递进，身份证拍我脸上得了那还说啥了</t>
  </si>
  <si>
    <t>处理手法有点太稚嫩了</t>
  </si>
  <si>
    <t>气质是很帅的，整体的设计是很美味的，混音也上分</t>
  </si>
  <si>
    <t>你都跨语种了我就让让你吧……动态有设计的，但是真的不忍卒听</t>
  </si>
  <si>
    <t>邓紫棋写的真好，没怎么调都好听</t>
  </si>
  <si>
    <t>一直保持一个这么硬喊的音色听着有点累，可以多考虑考虑怎么去设计音色</t>
  </si>
  <si>
    <t>很摇，喜欢这种小清新的，而且咬字和动态的配合也很对味绿绿豆豆的感觉很爽，有这水平来调sv只会更吊</t>
  </si>
  <si>
    <t>又看一集</t>
  </si>
  <si>
    <t>都调std了处理可以更大胆，连贯性可以再多一点，靠cl提高连贯性有点不自然，语气感很好，结尾段处理我好喜欢</t>
  </si>
  <si>
    <t>喜欢pit，混音上大分，感觉味道总体还不错</t>
  </si>
  <si>
    <t>pit抄的很好，动态和音色有斟酌空间，没有原唱那么亮那么磅礴，照霜天应该是凌驾的霸气的，现在更像是泼妇骂街，感觉是混音的问题</t>
  </si>
  <si>
    <t>没意思，各方面</t>
  </si>
  <si>
    <t>感觉你把这个歌调成抒情了，人声没摇起来，混音也不够带劲</t>
  </si>
  <si>
    <t>喜欢这个，戏剧性张力好强！</t>
  </si>
  <si>
    <t>动态不错的，听感很舒服，就是感觉定调有点低</t>
  </si>
  <si>
    <t>不错的，音色处理可以再大胆一些</t>
  </si>
  <si>
    <t>语感很不错，但是开大段落应该是belt的轰鸣感，而不是有点撕裂的逼动静</t>
  </si>
  <si>
    <t>调的有点没营养，这首歌能进一步挖掘的点挺多都没做出来</t>
  </si>
  <si>
    <t>歌本身没啥难度，喜欢混音，人声欧美路边小偶像水平</t>
  </si>
  <si>
    <t>哪来的李佳薇复制人，顾令来了？</t>
  </si>
  <si>
    <t>pit不太自然，怀疑自动参，音色设计有点说法但怀疑为声库轮椅和这歌八字比较合</t>
  </si>
  <si>
    <t>我喜欢这个，人声和后期都做的很老日本人</t>
  </si>
  <si>
    <t>律动很好，情感传递很好，各方面都很完整</t>
  </si>
  <si>
    <t>你的调声思路还可以，但你选用的声库弥补了这一部分，你学习上有这个毅力都考上清华了</t>
  </si>
  <si>
    <t>气声音色处理的不太好，声线转换有点太突然了</t>
  </si>
  <si>
    <t>这首歌调成这样太笨重了……！</t>
  </si>
  <si>
    <t>这个咬字……这个动态……谔谔……pit上的瑕疵挺多挺致命的</t>
  </si>
  <si>
    <t>细节还行，但是整体动态太平了没啥出彩的地方</t>
  </si>
  <si>
    <t>思路很好，能在v里面把这样的语感表达出来不错的，细节可以斟酌的点有点太多了</t>
  </si>
  <si>
    <t>不要瞎几把起名，挺好一歌这个逼名字让我没有听的欲望，主歌的一些pit画的好糟糕，后面整体都好了很多，但第一段让我没有听下去的欲望</t>
  </si>
  <si>
    <t>pit喜欢，音色和动态都有点太小心了</t>
  </si>
  <si>
    <t>句内字内动态可以做一做，英语调的特别日本人……</t>
  </si>
  <si>
    <t>几把李白在这啊？好帅，混音也很舒服，一倍给了</t>
  </si>
  <si>
    <t>主歌音色可以再虚一点，喜欢动态和气声质感，戏腔音色没对比出来，咬字随律动区分度有点没出来</t>
  </si>
  <si>
    <t>不如上半ac，各方面。首段动态可以再大点；pit可以做的再自然点，咬字可以再有嚼劲一些</t>
  </si>
  <si>
    <t>喜欢咬字和声线捏造，律律动动不错，强声也够强，但是还是觉得ac那个扒的谱更好听点</t>
  </si>
  <si>
    <t>动态可以再大胆些，音色没变化很无趣</t>
  </si>
  <si>
    <t>主歌平，可以拆拆音，转音可以滑一点不用这么规整，好多后十六转音被处理成了八分，这不合适，我会期待多一些颤音</t>
  </si>
  <si>
    <t>字间连贯性再做做，主歌音色可以再柔一些</t>
  </si>
  <si>
    <t>比ilem唱的有意思，但有的奇怪的pit有点像ilem本人走出来，动态我喜欢，但能不能不要一句内音色变化那么突然</t>
  </si>
  <si>
    <t>律动很好，主歌音色变化可以再大胆点，喜欢副歌，几把赤羽花腔味真对啊</t>
  </si>
  <si>
    <t>挺帅的，喜欢很多的细节处理，副歌音色可以再亮一点，pit的抖动可以收收</t>
  </si>
  <si>
    <t>喜欢动态和音色，气怎么这么多有点影响听感，副歌人声音量再大点呗……</t>
  </si>
  <si>
    <t>听完知道莫米兔有多牛逼了，能听出来很努力但出来也就那样</t>
  </si>
  <si>
    <t>喜欢细节，把std当ai库调语气感很厉害，喜欢字内动态的设计，有一些地方音色感觉可以斟酌，高音好挤……</t>
  </si>
  <si>
    <t>副歌扒错谱了，动态不错，pit和咬字有点死板</t>
  </si>
  <si>
    <t>pit有细节但是……动态和混音在干嘛</t>
  </si>
  <si>
    <t>我实在没有给你好评的理由</t>
  </si>
  <si>
    <t>有点炸……颤音有点频繁了，动态对这首歌有点过于大了，思路是好的</t>
  </si>
  <si>
    <t>经典复制人，复制的还算不错，副歌可以再亮一点</t>
  </si>
  <si>
    <t>气泡音像海来阿木，副歌高音前情绪铺垫不足把我吓死了</t>
  </si>
  <si>
    <t>字内动态做一做啊，咬字修过我觉得还行，喜欢第一段副歌，后面的动态呢……？把你调20s的胆子用到全曲啊啊啊啊</t>
  </si>
  <si>
    <t>喜欢咬字，喜欢动态，情绪传递很好，混响在哪……</t>
  </si>
  <si>
    <t>很从容，喜欢咬字，很有良调教原创曲本家质感</t>
  </si>
  <si>
    <t>什么东西在sc打我，这个情绪传递能力去ac也是横向吊打……</t>
  </si>
  <si>
    <t>动态可以再密集一些，细节和整体配合不够好，但思路不错</t>
  </si>
  <si>
    <t>神秘歌名，你调了一首不问天，那天星问在哪呢？pit很灵巧我挺喜欢，有的转音设计落实到实操不太美，上拉音头有点太明显了和歌整体基调有点不搭，但瑕不掩瑜</t>
  </si>
  <si>
    <t>弱段被伴奏直接盖住听不出旋律，副歌好了很多；动态不凑</t>
  </si>
  <si>
    <t>我爱死你的音色设计了，发力感很好</t>
  </si>
  <si>
    <t>热知识：ian应该拆成ie en而不是i an；动态也没什么亮点</t>
  </si>
  <si>
    <t>阿妹那么多倚音被你吃了吗，诗岸这个库病娇味还不错，调校我实在给不出很好的评价，副歌能听出来尽力在调实了，冲着原创性的和声和伴唱设计提拔给你一票</t>
  </si>
  <si>
    <t>本人很菜，一般来说【一倍-】是【感觉比本人强】</t>
  </si>
  <si>
    <t>二轮</t>
  </si>
  <si>
    <t>评价</t>
  </si>
  <si>
    <t>20s</t>
  </si>
  <si>
    <t>一轮</t>
  </si>
  <si>
    <t>tier</t>
  </si>
  <si>
    <t>打分</t>
  </si>
  <si>
    <t>序次</t>
  </si>
  <si>
    <t>补充评价</t>
  </si>
  <si>
    <t>这是谁……？不太能get到处理方法</t>
  </si>
  <si>
    <t>冲草榜的吗</t>
  </si>
  <si>
    <t>一倍-</t>
  </si>
  <si>
    <t>主歌闷闷的，副歌不错，总的来说还不错但也不在个人口味喜欢的范围</t>
  </si>
  <si>
    <t>一倍+</t>
  </si>
  <si>
    <t>我喜欢这种感觉的男声。挺会调的。</t>
  </si>
  <si>
    <t>有点稚嫩的洛，打比赛还是有点难（？）</t>
  </si>
  <si>
    <t>不能说差，但是调校亮点不够，混音也有点奇怪</t>
  </si>
  <si>
    <t>草票只想给眼前一亮的而不是眼前一黑的所以没有草票x</t>
  </si>
  <si>
    <t>喜欢选曲。听感比较基础的洛。</t>
  </si>
  <si>
    <t>相比前面的确实眼前一亮了。没有那种特别特别亮的点先给的保守一点</t>
  </si>
  <si>
    <t>好抖（？）感觉是有很不错的方面的但是减调到这个程度先质疑</t>
  </si>
  <si>
    <t>牛的。我不配指点这个</t>
  </si>
  <si>
    <t>感觉很不错（叠甲我这里不负责发音</t>
  </si>
  <si>
    <t>有基本的可听度但是提升空间很大，混音也不太舒服（？）</t>
  </si>
  <si>
    <t>歌是能打比赛的歌但是完成度不够高</t>
  </si>
  <si>
    <t>前面有的地方挺有意思的，观望</t>
  </si>
  <si>
    <t>skip</t>
  </si>
  <si>
    <t>能让我在听的过程中换换口味的东西，可以</t>
  </si>
  <si>
    <t>草榜一倍-</t>
  </si>
  <si>
    <t>大方向很好，动态可以再大点（？）</t>
  </si>
  <si>
    <t>温柔的歌。能感受到律动感但调校痕迹略薄（？）</t>
  </si>
  <si>
    <t>如果是原创pit感觉是有想法的，但是在克服洛本身局限性方面没什么作为</t>
  </si>
  <si>
    <t>有水平但是本人很菜不知道咋评</t>
  </si>
  <si>
    <t>好听。薄薄的但是符合歌</t>
  </si>
  <si>
    <t>选曲非常好评，调的有瑕有瑜，我觉得我调不出来这种。</t>
  </si>
  <si>
    <t>这首歌是有不追草榜的参法的。不放进正常评价序列了但是调的还可以 ……等等我的耳朵</t>
  </si>
  <si>
    <t>在这首歌最有可能拿分的地方没怎么拿到分啊</t>
  </si>
  <si>
    <t>一倍++,草</t>
  </si>
  <si>
    <t>一倍++</t>
  </si>
  <si>
    <t>好活，两边票都拿的正确打开方式。尽管有让我无感的要素但还是给高高的</t>
  </si>
  <si>
    <t>不对味</t>
  </si>
  <si>
    <t>想不出说什么总之言和好</t>
  </si>
  <si>
    <t>好听。这是plus？</t>
  </si>
  <si>
    <t>开口跪，说不上来但就是足够舒服</t>
  </si>
  <si>
    <t>没有什么新意的草）</t>
  </si>
  <si>
    <t>不知道怎么评，不等于觉得我比这个强</t>
  </si>
  <si>
    <t>不错，但是略逊于上面那个</t>
  </si>
  <si>
    <t>闷但草</t>
  </si>
  <si>
    <t>好听但是太short了！</t>
  </si>
  <si>
    <t>有点想法但是部分细节粗糙得有点难以接受了（？）</t>
  </si>
  <si>
    <t>家里该请高人了</t>
  </si>
  <si>
    <t>如流水一样从我脑子里滑走了</t>
  </si>
  <si>
    <t>在你赛听到的比较美味的洛了</t>
  </si>
  <si>
    <t>不知道想表达什么</t>
  </si>
  <si>
    <t>是不是故意有向江南那个方向努力（？）</t>
  </si>
  <si>
    <t>好像评到一个令人昏昏欲睡的阶段了</t>
  </si>
  <si>
    <t>非常成功的调，有点说不上来距离三倍差在哪了</t>
  </si>
  <si>
    <t>想努力的get里面不错的部分但是整体还是……</t>
  </si>
  <si>
    <t>一倍+,草</t>
  </si>
  <si>
    <t>？？？？？？？？？</t>
  </si>
  <si>
    <t>对的对的。强大。一款小天亮了（？）像熟人调的（？）</t>
  </si>
  <si>
    <t>我喜欢这个，好美味。可以说除我自己的以外这是我第一个收藏的吗？</t>
  </si>
  <si>
    <t>有稚嫩的地方但是真的很对啊……</t>
  </si>
  <si>
    <t>有东西的啊</t>
  </si>
  <si>
    <t>恕我本人没有评价方言用的知识包x</t>
  </si>
  <si>
    <t>调好了有草票，否则什么都没有了</t>
  </si>
  <si>
    <t>比我强</t>
  </si>
  <si>
    <t>整体稍微有一点太沉甸甸的</t>
  </si>
  <si>
    <t>是我调不出来的东西了</t>
  </si>
  <si>
    <t>准确有感情，好听</t>
  </si>
  <si>
    <t>男声独唱的部分真的太吊诡了（aaa</t>
  </si>
  <si>
    <t>好闷</t>
  </si>
  <si>
    <t>很强劲。听得我嗓子有点难受x</t>
  </si>
  <si>
    <t>草票是给lrc的</t>
  </si>
  <si>
    <t>太好听了，超级超级喜欢</t>
  </si>
  <si>
    <t>只创新选曲确实没法让我给出票）</t>
  </si>
  <si>
    <t>有不够好的地方但是情绪好真挚</t>
  </si>
  <si>
    <t>想法挺好的，稍微质疑一下歌姬/声线选取</t>
  </si>
  <si>
    <t>瑕不掩瑜</t>
  </si>
  <si>
    <t>大手子或者大手子的野生徒弟（？）</t>
  </si>
  <si>
    <t>草曲+满足一定质量=给草票</t>
  </si>
  <si>
    <t>一倍,草</t>
  </si>
  <si>
    <t>开幕雷击x 有点东西啊</t>
  </si>
  <si>
    <t>感觉这个跟我水平差不多dbq</t>
  </si>
  <si>
    <t>调的不错的洛</t>
  </si>
  <si>
    <t>20s很不显山露水但是感觉可以再听听 / 一倍观望</t>
  </si>
  <si>
    <t>很有执行力哇！</t>
  </si>
  <si>
    <t>副歌有明显瑕疵但是合我胃口我宠爱一下</t>
  </si>
  <si>
    <t>boring</t>
  </si>
  <si>
    <t>不太自然，这可是减啊</t>
  </si>
  <si>
    <t>好听+听感有点奇怪 / 最眼前一亮的是开头</t>
  </si>
  <si>
    <t>舒服</t>
  </si>
  <si>
    <t>好听+听感有点奇怪</t>
  </si>
  <si>
    <t>挺美味的，能摸到一倍++</t>
  </si>
  <si>
    <t>表扬选曲 / 其实还不错，有点平</t>
  </si>
  <si>
    <t>没什么瑕疵但是没有期待的鲜亮的感觉</t>
  </si>
  <si>
    <t>好听，体感在0.75🦋（？）</t>
  </si>
  <si>
    <t>咬字是故意的（？）副歌神了，羡慕这种想表现就能表现出来的感觉</t>
  </si>
  <si>
    <t>调的一般，颜文字可爱给个草票吧</t>
  </si>
  <si>
    <t>挺nice的</t>
  </si>
  <si>
    <t>挺不错的</t>
  </si>
  <si>
    <t>冲草榜就应该像这样在调校上动点心思，对吧？</t>
  </si>
  <si>
    <t>听到后面是我做的超级正确的事情，太会了</t>
  </si>
  <si>
    <t>在我不给任何票的稿里算听着还可以的</t>
  </si>
  <si>
    <t>这是外国友人调的那个吗……？不能说不能听但是听不懂……</t>
  </si>
  <si>
    <t>很喜欢的歌但是听过更喜欢的版本，这版听着有点在神了和我的耳朵不能接受之间反复横跳，但是不管怎么说肯定远比我强</t>
  </si>
  <si>
    <t>这首歌正常应该怎么唱来着</t>
  </si>
  <si>
    <t>根本不知道该怎么写评价了只能说有的地方听着挺强的</t>
  </si>
  <si>
    <t>这是不是草曲</t>
  </si>
  <si>
    <t>连续4个过于有特色不知道该怎么评的调我可能该休息一下耳朵了</t>
  </si>
  <si>
    <t>一倍-,草</t>
  </si>
  <si>
    <t>老歌，还可以</t>
  </si>
  <si>
    <t>好不悦耳的男声（致歉）</t>
  </si>
  <si>
    <t>表扬选曲</t>
  </si>
  <si>
    <t>青涩但说实话听着挺舒服的</t>
  </si>
  <si>
    <t>好调，好调</t>
  </si>
  <si>
    <t>教我调校 #申请查看工程#</t>
  </si>
  <si>
    <t>sv使用还不那么熟练的感觉 / 感谢安利原曲</t>
  </si>
  <si>
    <t>牛大了，你就是为了比赛而生的</t>
  </si>
  <si>
    <t>调nb圈外歌但是调的不突出的是最不知道该怎么写评价的，继续加油</t>
  </si>
  <si>
    <t>用户超时未评价，已默认五星好评</t>
  </si>
  <si>
    <t>好听，副歌再带劲一点然后加长就能一倍++了</t>
  </si>
  <si>
    <t>如果syxm参了比赛的话我还是觉得这个概率最大x</t>
  </si>
  <si>
    <t>用户超时未评价</t>
  </si>
  <si>
    <t>好听 / 赶工痕迹有点重了，没有好的直接学习对象的选曲的额外难度（？）</t>
  </si>
  <si>
    <t>清清淡淡的曲调，感觉有点不太流畅？</t>
  </si>
  <si>
    <t>挺好的，一倍范本</t>
  </si>
  <si>
    <t>跟欢乐水牛是同一个人吗</t>
  </si>
  <si>
    <t>挺好的，一倍上范本</t>
  </si>
  <si>
    <t>配色有意思 但是我的耳朵！</t>
  </si>
  <si>
    <t>调的可以但是不想给这种稿票致歉</t>
  </si>
  <si>
    <t>好听，可能还想再往上给一点</t>
  </si>
  <si>
    <t>有点耳熟的儿歌</t>
  </si>
  <si>
    <t>滴，好人卡</t>
  </si>
  <si>
    <t>开口跪，不给三倍是因为不吃这对</t>
  </si>
  <si>
    <t>原来是这样的歌……？</t>
  </si>
  <si>
    <t>冲草榜？</t>
  </si>
  <si>
    <t>挺好听的</t>
  </si>
  <si>
    <t>泛跨语种可能还是要多花一些心思在抵消debuff上，除此之外还不错</t>
  </si>
  <si>
    <t>我收回我之前对你的一切诋毁，我喜欢这个。</t>
  </si>
  <si>
    <t>对不起对男声慢歌实在有点没耐心了，，，</t>
  </si>
  <si>
    <t>混音怪怪的</t>
  </si>
  <si>
    <t>比前一个强</t>
  </si>
  <si>
    <t>原创曲鼓励一下，但是确实不太像是在参调校赛</t>
  </si>
  <si>
    <t>本来一秒也不想听的但是看到一点正面评价所以最后听了几秒（致歉，单纯对原曲有意见</t>
  </si>
  <si>
    <t>稍微有点哑哑的但是感情好好</t>
  </si>
  <si>
    <t>在沙漠中有口水喝了，虽然不多但也总是好的</t>
  </si>
  <si>
    <t>挺不错的，当时怎么漏了，可能20s有点奇怪</t>
  </si>
  <si>
    <t>豪庭，摸到这档了，可口的</t>
  </si>
  <si>
    <t>这么短也可以过审x</t>
  </si>
  <si>
    <t>你，速速登基 / 想法和执行力都很好，未来可期</t>
  </si>
  <si>
    <t>还不错，声线有点（？）</t>
  </si>
  <si>
    <t>还不错</t>
  </si>
  <si>
    <t>本人没有方言技能包，但听着是不错的</t>
  </si>
  <si>
    <t>何意味</t>
  </si>
  <si>
    <t>你会的东西应该挺多的，但是结果听起来有点奇怪</t>
  </si>
  <si>
    <t>nice的</t>
  </si>
  <si>
    <t>挺稳定的非常合格的</t>
  </si>
  <si>
    <t>出无理味来，挺好的 / 当然老生常谈的泛跨语种修复问题还能提高</t>
  </si>
  <si>
    <t>明显不如原唱但又还不错</t>
  </si>
  <si>
    <t>好抖，抖得我自己都抖起来了</t>
  </si>
  <si>
    <t>小洛唱得好卖力</t>
  </si>
  <si>
    <t>你有点天才的</t>
  </si>
  <si>
    <t>欣赏不来但是承认有强度所以给一下票</t>
  </si>
  <si>
    <t>亮点足以让我愿意给出票</t>
  </si>
  <si>
    <t>为什么要这么唱歌</t>
  </si>
  <si>
    <t>get不到唱法致歉</t>
  </si>
  <si>
    <t>喜欢，我要听full ver.！</t>
  </si>
  <si>
    <t>比我强，但是略低于我现在对于约稿的期待，感觉声音稍微有点不实</t>
  </si>
  <si>
    <t>……？</t>
  </si>
  <si>
    <t>……？x2</t>
  </si>
  <si>
    <t>挺炫酷的</t>
  </si>
  <si>
    <t>一开始听的时候只选了普通一倍，但是看评价普遍很好于是又多听了几遍也去对比了其他版本，确实相当好</t>
  </si>
  <si>
    <t>是我传统上特别容易接受的类型而且我不反对临摹，总之我觉得very good了</t>
  </si>
  <si>
    <t>完成度太高了，挑不出任何问题</t>
  </si>
  <si>
    <t>这什么混音</t>
  </si>
  <si>
    <t>全体起立</t>
  </si>
  <si>
    <t>？？</t>
  </si>
  <si>
    <t>还挺好但是我一倍票不够了。我喜欢你这么用诗岸。</t>
  </si>
  <si>
    <t>你到底投了多少个。</t>
  </si>
  <si>
    <t>似乎有一些想法但是整体听感次了点</t>
  </si>
  <si>
    <t>继续加油</t>
  </si>
  <si>
    <t>不错，在这个位置属于是排序黑利吃满了</t>
  </si>
  <si>
    <t>好听！怀疑出自故人之手（？）</t>
  </si>
  <si>
    <t>高音有一点糊</t>
  </si>
  <si>
    <t>挺好</t>
  </si>
  <si>
    <t>比上半的更舒服</t>
  </si>
  <si>
    <t>感情出来了，咬字还能更好</t>
  </si>
  <si>
    <t>不太会评价方言，听着可以</t>
  </si>
  <si>
    <t>对的对的对的对的对的对的对的不行了</t>
  </si>
  <si>
    <t>能听但是不够动听（？）</t>
  </si>
  <si>
    <t>能听出来不是原曲，但还是很好</t>
  </si>
  <si>
    <t>比上面的差点</t>
  </si>
  <si>
    <t>utau？还可以啊</t>
  </si>
  <si>
    <t>有感情表达但是感觉很多字糙糙的</t>
  </si>
  <si>
    <t>整体听感挺可以的</t>
  </si>
  <si>
    <t>这个很好啊</t>
  </si>
  <si>
    <t>听感一般</t>
  </si>
  <si>
    <t>后面好棒</t>
  </si>
  <si>
    <t>传达到了，听感还能提</t>
  </si>
  <si>
    <t>跟比赛可能不那么对口但是继续加油</t>
  </si>
  <si>
    <t>有点东西，继续加油</t>
  </si>
  <si>
    <t>sc草东西真不少</t>
  </si>
  <si>
    <t>挺好的，混音有点怪怪的（？），如果是我猜到的老师的话感觉没有超常发挥</t>
  </si>
  <si>
    <t>声库有点听不惯但是调的确实相当好</t>
  </si>
  <si>
    <t>调的很好就是我耳朵不太开心</t>
  </si>
  <si>
    <t>这个有点C47继承人的感觉了</t>
  </si>
  <si>
    <t>能听出来不是原曲，但依然是我远远求之不得的调</t>
  </si>
  <si>
    <t>？有点意思</t>
  </si>
  <si>
    <t>乐了，草票一张，听到丁真唱歌了</t>
  </si>
  <si>
    <t>强的</t>
  </si>
  <si>
    <t>pit不太美味，有点像2023的我（但还是比我强） / 题外话：真的很想知道std减的调校技巧</t>
  </si>
  <si>
    <t>能听但是不够动听+1</t>
  </si>
  <si>
    <t>good!</t>
  </si>
  <si>
    <t>第二张三倍给你吧</t>
  </si>
  <si>
    <t>这个我也想知道是怎么调出来的，就是声音本身让我很舒服</t>
  </si>
  <si>
    <t>从我脑子里滑过去了</t>
  </si>
  <si>
    <t>good</t>
  </si>
  <si>
    <t>个别细节差点整体不错</t>
  </si>
  <si>
    <t>没什么特别的印象但是批发一下一倍+</t>
  </si>
  <si>
    <t>继续批发一倍+，这个亮点更亮瑕疵更多</t>
  </si>
  <si>
    <t>听得我口渴，草也不够草……？ / 后面还行提一档吧</t>
  </si>
  <si>
    <t>观众留言（括号是本人）</t>
  </si>
  <si>
    <t>下半场</t>
  </si>
  <si>
    <t>这怎么评。。。</t>
  </si>
  <si>
    <t>一倍待观察</t>
  </si>
  <si>
    <t>齿音有点出来了混音的时候记得挂个ds，也没出错，能再有些细节就好了，比如高音那里设计一下</t>
  </si>
  <si>
    <t>一倍起步</t>
  </si>
  <si>
    <t>决赛止步一倍</t>
  </si>
  <si>
    <t>挺稳当的一倍票，没什么错误，但这首歌感觉没有冲三倍的基础，另外可能是因为声库的原因，活人感还蛮好的，这个点加分很多</t>
  </si>
  <si>
    <t>思路上没问题，但音高有瑕疵，动态有着一倍票以上的设计水平和接近一倍票的实现能力，咬字感觉修得不太细，可以仔细想想人怎么唱歌说话的，一倍票充裕可以给</t>
  </si>
  <si>
    <t>听起来像是从铮或者维娜，总之带点口音，这带来了一点劣势，有强弱变化值得肯定，音高有瑕疵，比较短和平淡</t>
  </si>
  <si>
    <t>音高有一些瑕疵，但又确实做了一些细节，有种没做到抓大放小的感觉</t>
  </si>
  <si>
    <t>音高有一些瑕疵，为什么有的听着像std？</t>
  </si>
  <si>
    <t>止步一倍</t>
  </si>
  <si>
    <t>挺稳当的一倍票，没什么错误，但这首歌感觉没有冲三倍的基础，另外气泡音想法是对的但没实现得足够完美</t>
  </si>
  <si>
    <t>果然你也这么觉得</t>
  </si>
  <si>
    <t>（因为别的都挺正常的那个打嗝一样的气泡音有点太明显了）</t>
  </si>
  <si>
    <t>听的我都想喝可乐了</t>
  </si>
  <si>
    <t>基本没跑调</t>
  </si>
  <si>
    <t>决赛一倍待观察</t>
  </si>
  <si>
    <t>没什么错误，强弱设计很不错，落实也没问题，但不是特别细，此外细节上的设计比较少，在止步一倍里算是比较好的，但再往上的冲劲也很明显不够强，大部分动态处理词到短语的级别</t>
  </si>
  <si>
    <t>这个我想学的，看看工程是起码的</t>
  </si>
  <si>
    <t>（这个感觉思路和操作还挺清晰明确的不看工程都能脑补出来工程样子的那种）</t>
  </si>
  <si>
    <t>看了工程更方便，空想太累了（）</t>
  </si>
  <si>
    <t>我也想看！</t>
  </si>
  <si>
    <t>基本没跑调（不过童声的话，就算有点跑其实也可以算没跑）</t>
  </si>
  <si>
    <t>怀疑也是上半场那位拿natalie唱大歌选手的手笔，首先可以参考上半场的评论（这确实是个难两全的问题，很难在使用natalie的爽滑音色的同时规避发声方式的局限性），然后这首音高偶尔有瑕疵，整体思路清晰、落实比较扎实，很多地方可以听得出来是跟着原唱歌手的pit+声库原始思路的轮椅动态在走，一倍票这样做没问题但想要精进还是得增加自己想法（除非你选的歌足够合适她），下一步可以再进一步精确一下 pit（我知道有的地方是琴缝音，这个挺好的，但有的确实是没精准对准。不要被声库自带的强大动态管理迷惑了，动态再美丽也无法弥补 pit 没对准的听感损失），另外可以增强下自己的逐字设计想法，对于发声部位和发声方式（比如鼻腔里的那个音是不是真的是你想要的）的脑补也需要增强，尤其是高音部分，这是 natalie 的弱项，所以调音师这种时候就更得负起责任来做微调和把控了
小建议：natalie 在用力比较大的音区需要在2k附近扫一下频然后针对性压一下，可以分段压缩也可以用 eq 的 dynamic，用soothe2应该也行（甚至可能更方便），总之那块不稳定的哨子的声效需要去除一下，可以提高听感</t>
  </si>
  <si>
    <t>拍子有没踩准的地方，音高存在有瑕疵的地方</t>
  </si>
  <si>
    <t>pit大方向没问题，在不跑调的基础上开始有一些模糊的设计意识了，下一步可以开始学习怎么更细微调pit，然后开始学习其他参数融入进去以增强强弱变化</t>
  </si>
  <si>
    <t>有的地方转音有点不够果断，导致仿佛跑调</t>
  </si>
  <si>
    <t>pit需要细化，目前的处理还没充分到不跑调的程度</t>
  </si>
  <si>
    <t>pit需要细化得更精准且更丰富，动态还有进步空间</t>
  </si>
  <si>
    <t>这首一点也不重女，扣分！</t>
  </si>
  <si>
    <t>（这首应该唱成硬核摇滚吗？）</t>
  </si>
  <si>
    <t>没有感情！感情缺失，干巴巴的不觉得吗？别的曲子听起来痛苦的要死的感觉要是给到这首歌上就能加大分了</t>
  </si>
  <si>
    <t>（没听过原唱，反正他也没出什么大错，如果有多的一倍票给一个算是可以的）</t>
  </si>
  <si>
    <t>动态和pit都需要再详细设计一下</t>
  </si>
  <si>
    <t>pit需要细化，混音也还需要进步</t>
  </si>
  <si>
    <t>pit整体没有大问题，咬字有点局促，需要考虑下人的说话唱歌口型听感，以及对非轮椅声库来说手动调动态是必要的，怒音处理不是太老练，混音可以再好点，没太融合进去</t>
  </si>
  <si>
    <t>决赛一倍起步</t>
  </si>
  <si>
    <t>尾音设计很有意思，能略微微越过止步一倍来到一倍起步的级别，在常规唱段里可以再融入些变化，不能光靠尾音的特色当亮点，完成度还是要提高，目前除了尾音以外的动态设计大部分还是在词语粒度以上的，活人的感觉还有提升空间</t>
  </si>
  <si>
    <t>这首好啊，本来我想调的，跟我完全是两个思路</t>
  </si>
  <si>
    <t>（我还以为原唱就是这种尾音一阵操作的风格，所以不是吗）</t>
  </si>
  <si>
    <t>整体挺稳定的，pit合理，强弱设计也正确，除了怒音没有足够精美以外没有超出思路范围的，有些单词的音素没选对，比如 were 发成了 where，wanted 的 t 发成 d 了，应该是 dx 或者 t，诸如此类的问题还有好些，这个声库的英文口音挺好的，选对音素应该就能更正过来了（熟练调英文歌曲首先要熟练说英语 ✍️ ✍️ ✍️）</t>
  </si>
  <si>
    <t>思路正确，落实基本到位，音高有时有一点点瑕疵，可以再设计点动态，怒音好像不是太自然，和所在单词唱法好像没对上（那个嗓子的状态真的发的出来怒音吗）</t>
  </si>
  <si>
    <t>超强压来了</t>
  </si>
  <si>
    <t>（没还开始听，害怕）</t>
  </si>
  <si>
    <t>动态设计和pit都合适的，落实到位，挺成熟的，能越过止步一倍来到一倍起步的级别，冲三倍最好再有些亮点，完成度很高，一些动态虽然感觉是轮椅声库带来的效果但不阻碍听感是好的，有的地方细节的质量要明显更高一些，如果全曲的细节都能扣满的话应该能更好</t>
  </si>
  <si>
    <t>这首我好喜欢</t>
  </si>
  <si>
    <t>呃啊  这首只做半首真的完全没道理</t>
  </si>
  <si>
    <t>语调不错诶（等等真是语调吗），不过不懂日语，其中有个声库的语调突然拉了不知道为什么，不过真的有点不知道该怎么给评价</t>
  </si>
  <si>
    <t>齿音不太清晰（或者说整个混音这一块都需要改进一下），调音方面挺稳定的，稳当的一倍票，爱seed~</t>
  </si>
  <si>
    <t>音头音尾有的时候有明显偏差会影响听感，不然应该能拿一倍票的，也需要抓大放小地练练总体pit把握，细节其实有一些但其实目前还没到关注那个的时候</t>
  </si>
  <si>
    <t>高频有点嗞（可能跟声库的声线配置以及混音都有关系，混音还蛮需要精进的），声库的声音风格好像不是很合适，pit没什么明显问题，声库自带的动态够一倍票，在声库和歌曲的适配方面可以再考虑考虑</t>
  </si>
  <si>
    <t>没有听到有明显问题，高音比较挤但不算太致命，声库还挺自动化的，可能自己也有一些调整，总之听感不错，偶尔有可以改进的pit，和声的混音需要更进一步</t>
  </si>
  <si>
    <t>pit和咬字的把握都挺准确的，动态有意识，选曲比较合适导致能带来更多展现空间，但少数一些地方气声和动态的配合的熟练度还是需要提升（或者是混音？没想好该从哪个角度解决），来达到更自然的听感，活人感比较强</t>
  </si>
  <si>
    <t>pit大方向没问题，但中等程度的细节就开始有些不足了，这首歌应该有的方向是表现出来了的，能听出来是能感觉到细节调整方向的，但落实没完全到位</t>
  </si>
  <si>
    <t>pit没有问题，强弱有设计的，完成度也很成熟。不知道为什么咬字的强弱没有太区分、并且有些音头出了些非自然的声音（这两点的不自然是冲三倍的两个最大阻碍），理解成一种风格好像也行。另外eq的中频是不是太多了？电话音好像有点重。不过就当个特色好像也不影响听感就是了。</t>
  </si>
  <si>
    <t>草，请</t>
  </si>
  <si>
    <t>pit需要细化，目前的处理还没充分到不跑调的程度，转音的位置和角度离不犯错还稍有些距离</t>
  </si>
  <si>
    <t>在无票里算是较好的，偶尔的处理还没充分到不跑调的程度，动态处理还不太熟练，对参数的边界也把握也有点欠妥，高音的张力和音区偏移有点超出声库可以承受的区域了，总体来说，hayden 其实比较吃选曲，在目前这首的情况下比较难发挥自动性能的优势（因为他不是一个全方位的轮椅而是一个半自动轮椅，而且即使在合适的风格下也仍然需要一些人工介入），和声声库由于是非英文原生所以也有一些口音问题，一定程度上会略微对听感有些影响</t>
  </si>
  <si>
    <t>除了有的音头处各个参数跃变有点没控制好了（这个蛮影响听感的），别的都挺成熟的，只有半首不过倒也不是什么大问题，可能是巨佬滑铲</t>
  </si>
  <si>
    <t>感觉是在专注于还原原唱，一听有点奇怪但慢慢听效果还挺好的，不过还是希望给一倍，技术应该其实在这之上一些的</t>
  </si>
  <si>
    <t>吓哭了这么多一倍（</t>
  </si>
  <si>
    <t>（如果是真要投票的话其实一般除了压给票线的以外，所有超出的都会给一倍起步，然后听第二轮来微调）</t>
  </si>
  <si>
    <t>（因此其实绝大部分一倍起步最后都是一倍，绝大部分一倍待观察最后都是没票……不过我下半场没票所以会跳过这个微调的步骤）</t>
  </si>
  <si>
    <t>（而且至少截至目前这一首，以上的歌的给票比例应该是低于总票数/总投稿数的吧）</t>
  </si>
  <si>
    <t>pit稳定发挥，动态稳定表现，有设计思路而且完成度很高又很成熟的作品，处理上也体现了歌或者是各首或者调音者自己的特色，较高质量的一倍，真的要说好像咬字和滑音还可以略提升一下（不确定听错没），虽然感觉没有太强劲冲三倍的发挥空间但这个分区有更多这样的作品是极好的</t>
  </si>
  <si>
    <t>混音还有改进空间，pit细节还需要改进，需要有更明确果断的pit调整，在此之后精进一下动态设计思路，并通过参数调整来落实动态构思</t>
  </si>
  <si>
    <t>pit略微有些设计但不足，实现也没完全到位，目前还没到考虑动态设计和落实的阶段，先解决pit方面吧，9z/saros声音偏扁，直出效果欠佳，在混合声线以及后期混音的时候都可能需要对应有些补足</t>
  </si>
  <si>
    <t>pit设计很简单，倒是也没犯错，需要学习有哪些pit细节要加，然后学习怎么实现这些pit细节，如果是初学者的话应该是那种音感基础比较好但思路和技术还没跟上的（因为一般这种粗糙的操作细节会对应着不少低级错误比如转音不够果断/嗞出去或者跑调和但这首歌没有），如果是这种的话那之后应该进步起来很快的</t>
  </si>
  <si>
    <t>pit略微有些设计但不足，实现也没完全到位，目前还没到考虑动态设计和落实的阶段，先解决pit方面吧</t>
  </si>
  <si>
    <t>pit的方向都是正确的，但实现上有些瑕疵，咬字因为是中文声库所以有弱势，ace不熟悉不知道有没有可能修更好，还是说这已经到头了，以上种种问题将其牢牢限制在了刚过一倍线的程度，但一倍票是基本稳当的</t>
  </si>
  <si>
    <t>感觉没能体现出比较明确的方向，这个声库感觉也还没有轮椅到目前的pit就能直接驮着翻过一倍票线的程度</t>
  </si>
  <si>
    <t>非英文原生声库对快歌的影响还是蛮大的，如果一定要用非原生声库的话就得自己仔细修，但这个要求应该已经有点多地超出这个作品所呈现出来的水平了，此外还有音素错误，混音还有明显进步空间，pit也有些明显的瑕疵</t>
  </si>
  <si>
    <t>pit设计暂时还没玩明白，实现有些明显的瑕疵，首先可以从精准的音符间pit控制开始学习吧</t>
  </si>
  <si>
    <t>稳定的一倍票，pit完成度不错，动态疑似轮椅带来的但听感很轻松自然，这首歌可能也不需要太多画蛇添足的操作，混音里好像有个镶边什么的东西有点不知道该如何评价，总之不咋影响</t>
  </si>
  <si>
    <t>pit方向没问题，偶尔有瑕疵，说不上犯错，动态设计也是偶尔有一些的，最大的问题是这首歌如果不把pit翻出花来精准实现再配合动态起伏去增强听感的话，感觉就会显得非常不出彩，感觉目前表现出的实力多花时间扣一下可能还能有提升，将整首歌都对标最后一段的水平（最好再高一点）</t>
  </si>
  <si>
    <t>这首歌我感觉还行但是难评，不知道说什么</t>
  </si>
  <si>
    <t>（感觉是选曲风格、声库特性、调音者的手法技能库三者没有很好匹配上，这个声库需要的水准比目前呈现出来的能力要略微高一点）</t>
  </si>
  <si>
    <t>pit有瑕疵，但已经开始逐渐有设计/模仿意识了，先模仿、还原原有的节奏和pit吧</t>
  </si>
  <si>
    <t>pit设计方向大致正确，实现有时有瑕疵，涉及主动操作的时候偶尔会显得不够准确</t>
  </si>
  <si>
    <t>混音混到人脸上了，不知道是不是故意的，pit有明显瑕疵，终止比较突兀疑似滑铲？整体听感还是不错的，就是感觉不到太多人的介入，有点机械。</t>
  </si>
  <si>
    <t>张力有的地方飙超出合理范围了造成高频有很明显的一根不正常的东西，声线设计得不是太好，咬字或者说英文单词发音还需要改进，不过最首要的是需要解决 pit 整体都不够准确的问题</t>
  </si>
  <si>
    <t>节奏有些明显问题，pit 大部分情况下没跑调，这首歌 pit 虽然不需要太设计，但离开跑调线的程度肯定还是不够的（另外不知道是否有抽参），以这个声库听上去的易用程度应该做到这几点以后效果就已经开始有了，然后下一步就是动态需要开始关注如何设计和实现了，和声混音需要提升</t>
  </si>
  <si>
    <t>pit和动态都很稳定，没有明显瑕疵，虽然明显没有非常主动地想要整点大的花活，但是算是非常稳定的一倍票，几乎已经到了冲三倍的起点了（这是哪门子形容？）</t>
  </si>
  <si>
    <t>pit有瑕疵，但已经开始逐渐有设计/模仿意识了，先模仿、还原原有的pit吧，需要更清晰的思路，更准确果断地知道音和音之间怎么衔接怎么转移</t>
  </si>
  <si>
    <t>需要更多人工介入调整中细粒度动态的意识，pit 可以再精确一些，音头音尾偶尔有点瑕疵，混音尽力了</t>
  </si>
  <si>
    <t>混响和delay有点奇妙了哥们……调音方面也还需要进步，大概有方向但对pit理解还比较弱</t>
  </si>
  <si>
    <t>pit偶尔有犯错或者说迟疑不准确的地方，动态应该有相当大的轮椅的成分，即使有人工介入也不多，但听感很好，偶尔有时音素的选取和力度长度控制还需要变化一下（有的元音辅音在时间轴上的位置也没掐准），歌的风格真的挺舒适的，间奏的乐器感觉音色没捏好有点刺</t>
  </si>
  <si>
    <t>有的节奏没踩准（可能音符是准的，咬字的元音辅音没有对应修正带来的听感偏差），pit似乎听不到太多设计</t>
  </si>
  <si>
    <t>很明显有设计意识，偶尔有一些pit上的瑕疵，其他参数和设计的配合还可以更好一点，如果手能更好跟上设计意识的话+混音改进下（目前似乎有点融合不是太好不知道是不是错觉）能突飞猛进</t>
  </si>
  <si>
    <t>有的段落节奏有点没踩准，偶尔有pit瑕疵，声库可能也比较轮椅但听感不错，pit再精准的话就能稳稳越过一倍线了</t>
  </si>
  <si>
    <t>混音好像没太融合好（或许就是这种风格？），pit成熟稳定（极少时候有音头音尾操作走形的时候），有动态设计意识也有的（气声在强弱变化中的配合还是可以再改进一下，偶尔弱唱的时候有点哈气，当然气声问题和sv引擎本身的气声质量毛病也不无关系），思路落实不错</t>
  </si>
  <si>
    <t>主要操作集中在pit上，但是pit准确度也仍然需要提高，声库自带的参数配合使得听感不会像无参一样单调，但还是有较大改进空间</t>
  </si>
  <si>
    <t>pit有明显瑕疵，rap还得更大胆点动参数，设计还需要更多一些（不过这个的优先级还是排在pit准确度之后吧）</t>
  </si>
  <si>
    <t>pit有明显瑕疵，音素长度和音素力度都需要大幅调整，有一些设计，但还是建议优先解决pit，9z唱这歌在仅pit的情况下应该可以已经做到相当成熟的效果了，此外混音有待改进，比如和声</t>
  </si>
  <si>
    <t>pit少数时候还是有瑕疵，最后一段要更多一些，可太有苦劳了给个一倍起步吧，这首歌要做的事情可太多了，感觉这首歌刚好卡在调音者的能力边界，这种学习效率应该挺高的，估计从这首歌里新增了很多技能库工具吧</t>
  </si>
  <si>
    <t>听感很好，瑕疵也在可控范围内</t>
  </si>
  <si>
    <t>pit稳定，可能非常极少个别的时候有不精准的时候，动态有设计也有落实，比较高质量的稳定一倍</t>
  </si>
  <si>
    <t>和前面一首水平差距互相之间不会显著拉开一整个级别，另外怒音的加入不知道是否合理，听上去并没有达到加分的效果，但因为完成度比较高所以也无可厚非毕竟虽然和原唱不一样但也不扣分，低音区操作比前一首似乎熟练一些，而且声音质量听感也要好一些（可能是1.声库质量更好或者2.混音质量更好），再次同样赞美这首选曲的苦劳</t>
  </si>
  <si>
    <t>pit瑕疵较少，在声库舒适区，男声库的咬字显著更优秀，此外女声库的气声配合偶尔没做好，一些地方的失真还是有点影响听感，歌曲本身比较简单，声库应该也比较轮椅，最后过一倍线有混音带来的加分因素</t>
  </si>
  <si>
    <t>pit不够精准和果断，需要加强理解pit变化的逻辑，并且时不时有犯错的时候，这首歌的语速对音素长短/力度的处理也提出了要求，这个也需要改进</t>
  </si>
  <si>
    <t>pit不够精准和果断，需要加强理解pit变化的逻辑，气声占比时有处理欠佳</t>
  </si>
  <si>
    <t>pit成熟，有动态设计意识，能够落实到位，调音水平具备冲击三倍的实力，但歌可以再挑战性一点</t>
  </si>
  <si>
    <t>pit成熟，有动态设计意识，能够落实到位，有一些非自然人声的效果（不知道是气声还是性别造成的），对于听惯了合成声音的应该不介意，但对于外人可能有一定障碍</t>
  </si>
  <si>
    <t>节奏和pit都有瑕疵，处理动态的时候气声也没照顾好，合唱的时候混音有点奇怪，有点像是wider那一类的效果开太大了</t>
  </si>
  <si>
    <t>张力控制大多数时候都有点超出自然感的范畴，pit有思路但仍有出错的地方</t>
  </si>
  <si>
    <t>pit稳定性有待提高，有的时候有点想法，但理解还需要加深，语言不熟导致咬字不太敢评价（虽然感觉咬字可能有更好的做法）</t>
  </si>
  <si>
    <t>（看到提示后三秒猜出歌名容我先装一波；）可以首先玩明白直的pit，然后一个个考虑音符间转换、音头音尾、颤音、音符内的花样，目前有点一把抓了没有把上面每个点理解清楚</t>
  </si>
  <si>
    <t>看了一眼评论区，确实可以请作曲老师来亲自评吧</t>
  </si>
  <si>
    <t>声库音域和曲目音高不太匹配，一直没有到声库高张力区间，pit大方向的大方向是正确的，但要改动的还是挺多的，英文发音不是太native，应该是声库原生语言导致的（但这个问题的重要性和前两个完全不是一个数量级的）</t>
  </si>
  <si>
    <t>pit在这个层次可以说没犯错，可以开始按着类似上面的 音符间转换-音头音尾-颤音-音符内花样 来逐渐上道pit，比如就拿目前这个轮椅库学完以后再开始学其他参数的事</t>
  </si>
  <si>
    <t>混音雷击，至于调音的话从pit开始学习吧，先从向声库开始学起</t>
  </si>
  <si>
    <t>pit存在瑕疵，大方向是有的，音头音尾有不准确的地方，与此同时可以构思一下其他参数怎么配合大幅度的pit变化，目前的pit思路已经构成了一定的动态，但需要各参数配合才能让动态自然地实现出来</t>
  </si>
  <si>
    <t>pit存在瑕疵，但其实有一些思路，但手还没跟上，可以仔细观察一下pit线和听感的关系，耳朵粒度要细下去</t>
  </si>
  <si>
    <t>从音符级别的pit开始研究起吧，稳住是第一件事</t>
  </si>
  <si>
    <t>rap再细一点吧（前面、间奏、尾声都是，如果后两段也算rap的话），才能配得上其余部分的听感，pit有音头音尾瑕疵，还是比较多了是个没法忽略的问题</t>
  </si>
  <si>
    <t>上半场</t>
  </si>
  <si>
    <t>大部分地方其实效果还行，但有少量地方明显瑕疵</t>
  </si>
  <si>
    <t>颤音应该会被人吐槽，滑音也比较夸张，但个人觉得运用得不算错，整体思路其实没什么大错且大部分落实到位，只要别的一倍不超出数量是可以拿到一个一倍票的，不知是因为声库自动参还是有这方面意识，并没有陷入全程张牙舞爪喊到尾的情况，还有真假声切换的，与几首有那种听感疲劳问题的歌形成鲜明对比，bridge有明显水平下降且那块的混音也有点怪怪的</t>
  </si>
  <si>
    <t>节奏有点问题，混音挺好的，要不是混音师来干调音了，要不就是有个强而有力的混音师朋友/乙方</t>
  </si>
  <si>
    <t>有点平，只调了pit，并且即使是pit也没有特别细，有些细节有差错，人声有点小了，部分片段在一倍票以上，部分在以下，但在一倍票线以下的更多一些</t>
  </si>
  <si>
    <t>怎么什么语言都有hh，中规中矩，有宏观强弱意识，下一步要提升的话可以开始广泛找歌临摹细节了，有些上扬的音还是出了些差错，所以冲击三倍还是不太可能了，另外就是混音需要改进，有爆电平情况，三分四十的混响也没弄好</t>
  </si>
  <si>
    <t>差错有点多，本身也比较平</t>
  </si>
  <si>
    <t>在打嗝哦~</t>
  </si>
  <si>
    <t>pit是有音头/音尾/颤音等意识的，但是实现上有动作走形，可以再练习一下准确度，和声也有点偷懒痕迹，高语速的时候需要构思咬字（也就是音素的长度和力度）</t>
  </si>
  <si>
    <t>pit大方向是正确的，但实现存在比较明显的瑕疵，气声太大（而且感觉不止是太大的问题，不过因为不知道干声是什么样子的就不多说了），另外整体混音都需要改进</t>
  </si>
  <si>
    <t>有明显没处理好的风格化地方太扣分了，不过思路正确且落实没问题</t>
  </si>
  <si>
    <t>候补一倍</t>
  </si>
  <si>
    <t>有点平，只调了pit，并且即使是pit也没有特别细，另外缺少强弱变化以及音素力度和长度设计的意识，尤其是歌词密集的地方这个挺要命的，就这么一个点只要改改应该就能给这首歌加分挺多，除此之外实现上偶尔有些瑕疵</t>
  </si>
  <si>
    <t>太尖嘞</t>
  </si>
  <si>
    <t>有点平，只调了pit，合唱的时候混音要好好改进一下了，另外就是小失误比较多</t>
  </si>
  <si>
    <t>请输入文本</t>
  </si>
  <si>
    <t>pit大方向正确的，但处理瑕疵比较多，导致了一些奇怪的效果，但是这个声库对于人工介入的动态有一定要求，所以会有点听感重复的感觉</t>
  </si>
  <si>
    <t>有的地方略微有些操作变形（不知道是不是抽参导致的，但这里主要评价最终效果），但是不构成重大失误，思路正确且落实正确，很成熟的作品，想要冲击三倍的话还需要一些亮点上的构思</t>
  </si>
  <si>
    <t>没有动太多，声库虽然轮椅但是这首歌就这样挺好的，有少量人工介入修改了pit，也没有画蛇添足，建议所有新手从这样的地方开始起步</t>
  </si>
  <si>
    <t>有少量细节差错，但整体完成度不错，思路没问题，落实也到位，语调部分效果其实没太能出来（咬字和pit都需要细调，这位的水平应该是充分知道什么是咬字的这里就不解释了），总体是一个稳定一倍票但稍稍缺少冲三倍的劲头的稿件（但从完成度来说其实感觉是有冲三倍实力的，或许是想遵循原作或者想避免画蛇添足的炫技？如果真的是的话向您致敬）</t>
  </si>
  <si>
    <t>pit大方向是正确的，有一定的音头音尾和颤音意识，但落实不够到位，另外混音时合唱也混到一起去了，分辨效果不明显</t>
  </si>
  <si>
    <t>挺精准的，语气感很好，完成度很高，发声模式的控制很精准，除非三倍竞争很激烈，不然能轻易拿一张的，但话说回来，细节应该还有进步空间，相信这位佬的实力其实可以做到更像人的，不过声库的咬字可能有点限制了英语发音味道的上限</t>
  </si>
  <si>
    <t>有些细小差错</t>
  </si>
  <si>
    <t>可能需要先把整首歌主干把握住再考虑细化细节</t>
  </si>
  <si>
    <t>有些细小差错，尤其是颤至上扬的这种类型的音上，是选到轮椅软件和轮椅声库了吗，因为感觉如果碰到个不那么智能的库的话其实是会把问题狠狠暴露到一倍票线以下的，而现在居然还可以，但就完成度而言不太好意思给到一倍票，可以就用这个库再对照原曲把失误修正一下就能让效果好很多</t>
  </si>
  <si>
    <t>人声有点小，虽然好像这种歌确实是这个风格，毕竟这是调音赛~基本没什么问题不过除了pit以外调整应该比较有限，pit也没有特别需要回味的细节，对轻重缓急缺少一些感知，这水平如果碰上轮椅库+合适的歌曲得分应该其实是能拿一倍票的，当前歌曲+声库话如果不做点什么，很容易太过平淡，从而导致比较难达到一倍票线</t>
  </si>
  <si>
    <t>基本没什么问题不过除了pit以外调整应该比较有限，pit也没有特别需要回味的细节，不知道群里之前吐槽过的前倚音批发的是不是这个，感觉有点像，另外两分十五的混音有问题</t>
  </si>
  <si>
    <t>应该是具备唱准的实力的，但是在加一些修饰比如颤音的时候就有点把握不太住了，接连着失误，意识方向是对的（另外脑子里浮现过几个唱这首应该会更好听的声库哈哈，目前声库给声线和英文发音都带来了劣势），还有就是20s以外的地方也要认真打磨呀</t>
  </si>
  <si>
    <t>有点平，只调了pit，并且即使是pit也没有特别细，不过没明显犯错，但这个声库需要“不犯错”以上的声库才能达到及格线，换个轮椅声库其实就能达到更好听感</t>
  </si>
  <si>
    <t>有点平，只调了pit，并且即使是pit也没有特别细，知道一些大致方向比如颤音音头音尾等，但还需要理解清楚pit如何准确操作（比如上面那三个方向分别的逻辑是什么，分别要怎么设计和实现，设计就是听出来原唱是怎么唱的，捕捉到原唱里面有哪些要素，实现就是线应该长什么样子，两者可以一边听一边实践来理解什么样的线会带来什么样的听感，以及什么样的听感才是符合原唱或者想要达到的那种效果），混音需要改进</t>
  </si>
  <si>
    <t>有点平，只调了pit，并且即使是pit也没有特别细，另外就是只要调整其他参数就能显示出来能力还是有待提升</t>
  </si>
  <si>
    <t>阴的没边了哥们</t>
  </si>
  <si>
    <t>pit其实能听出来大概有思路和方向，但是落实不出来，导致有一些瑕疵在的，可以从一两个细节多实验实验来看看不同pit带来的效果，以后就知道了，高语速的部分应当非常细节地处理咬字，不过可能略高于目前的水平，先知道就好，以后再练</t>
  </si>
  <si>
    <t>想法都落实得很好，语气感很好，只要三倍竞争不是异常激烈能稳一张三倍的</t>
  </si>
  <si>
    <t>有点平，只调了pit，并且即使是pit也没有特别细，发音可以改进</t>
  </si>
  <si>
    <t>有点平，只调了pit，并且即使是pit也没有特别细，有少量瑕疵</t>
  </si>
  <si>
    <t>有一定想法也基本都有落实，思路很清晰，算是比较成熟的作品了，细节还可以多一些，现在大部分还是比较平，不过因为歌曲本身pit比较丰富，能相对弥补一点这一问题，但不意味着这不是一个问题</t>
  </si>
  <si>
    <t>思路正确，落实大致到位，但细节还有提升空间，各类参数可以协同调整一下，另外虽然个人极其喜欢natalie但这种带高音belting的歌真不适合，她高音是在鼻子里的落不到嗓子里或者胸里，有条件尽量上felicia更容易出彩，因为可以做出更多变化，上限也更高，才有冲击三倍的更坚实的基础，不过如果只是调来自己听而不是参赛的话我确实支持natalie，另外比较复杂的一些转音其实是没学明白的，可以再对照原曲研究一下</t>
  </si>
  <si>
    <t>有的地方想做的超过水平了，瘦死的骆驼比马大，能有一倍的，有想法比没想法/错想法值得鼓励，下一步应该是将其他参数配合pit做对应的调整，来带来更多活人感到歌曲里</t>
  </si>
  <si>
    <t>效果挺好，属于悄无声息地秀操作，这种人味的语气感真的上手就知道有多难了，即使没有功劳也有苦劳的那种，抄语气都得抄半天，因为语气里有一万个细节（怎么感觉像是在描述说唱语调歌曲一样。。。不过这种自由拍歌曲确实也类似语调）（话说之前也想过做这个，不过想的是用hayden这样更接近原版，但这一版也好听）目前这个声库想要调出这个效果其实并不容易但最终实现了，不过声库的咬字可能有点限制了英语发音味道的上限</t>
  </si>
  <si>
    <t>有点平，只调了pit，并且即使是pit也没有特别细，谢谢你的怒音</t>
  </si>
  <si>
    <t>有点平，只调了pit，并且即使是pit也没有特别细，有些差错</t>
  </si>
  <si>
    <t>强弱处理非常合适，如果有更细地去想扣一扣人味就更好了，有些细节上有些瑕疵</t>
  </si>
  <si>
    <t>有点平，pit应该没怎么动，不过没明显犯错</t>
  </si>
  <si>
    <t>有点平，只调了pit，并且即使是pit也没有特别细，有些瑕疵，混音需要改进一下，失真效果不太自然</t>
  </si>
  <si>
    <t>有点平，只调了pit，并且即使是pit也没有特别细，有些瑕疵</t>
  </si>
  <si>
    <t>有点平，只调了pit，并且即使是pit也没有特别细，这首歌其实可以推非常高，光是pit的灵动性上就能做很多了，而且这首歌也非常适合很多参数叠起来一起出效果，做到目前这样无功无过吧，另外混音需要改进一下</t>
  </si>
  <si>
    <t>思路正确，落实基本到位，中规中矩的稳定作品，如果要再提升的话重点就是增强活人感，如果三倍票竞争特别不激烈的话可以考虑，希望不是太激烈</t>
  </si>
  <si>
    <t>思路有点稚嫩（其实是有的地方感觉比较认真而有的别的地方有点摆），但落实基本到位，低音部分没有想整些花活然后画蛇添足所以中规中矩，而高音有点奇怪导致扣分比较严重，总体pit也没有特别细</t>
  </si>
  <si>
    <t>混音有改进空间，另外细节也有些瑕疵</t>
  </si>
  <si>
    <t>（疑似混音师来当调音师了，为什么不是有个强而有力的混音师朋友呢，因为这个混音工作量怕是有点大，但也不排除加钱居士hhh）有点平，只调了pit，并且即使是pit也没有特别细，不过没明显犯错，另外即使是想语调，也没有照顾到足够多的细节，确实有出彩的地方，虽然确实很难避免只想调自己喜欢的部分而其他地方开摆，但是只能说这是实现总体完成度的必经之路</t>
  </si>
  <si>
    <t>爆电平了哥们 &amp; 向文明玩家致以敬意</t>
  </si>
  <si>
    <t>思路正确，落实基本到位，非常成熟，稳定性也不错，上乘的一倍票，只是选这样的歌曲来打比赛确实有点吃亏，但说实话，比赛之外，真正的现实世界需要更多您这样的调音师，这才是绝大多数人需要学习的范本</t>
  </si>
  <si>
    <t>（初赛先就都一倍票了，晋级应该都是稳的，你们三个去决赛争吧）</t>
  </si>
  <si>
    <t>全世界都知道您很有想法，也知道您的手能做到，也听到了您的哨音，细节把握很稳定，完成度很高，但这个声线效果融合得真的不太好，张力拉太大了高频滋出来了，尽管如此，至少也是半步三倍的水平，换用felicia会不会好一些（因为不需要那么狠拉张力）</t>
  </si>
  <si>
    <t>思路正确，落实基本到位，强弱变化非常好，活人感不错的，这和歌选得合适也有关，但少数地方不知为什么好像略微有点没操作好，是不该在这首歌的佬手上出现的瑕疵，不论如何，是半步三倍，1062的评论也同样适用于这首歌</t>
  </si>
  <si>
    <t>有点平，pit也没有特别细，一动其他参数就开始不自然了，整体上有些差错</t>
  </si>
  <si>
    <t>有点平，pit也没有特别细，不过这个声库&amp;这首歌相对来说对操作需求没有太多，所以听感还行，有些部分在一倍票线以下有些在以上，如果能有多的一倍票可以给的，有几处显示出混音有待提升</t>
  </si>
  <si>
    <t>思路正确，落实基本到位，整首曲子每个都要同等认真的调才能更有完整性</t>
  </si>
  <si>
    <t>有些明显差错</t>
  </si>
  <si>
    <t>有点平，pit也没有特别细，整体上有些差错</t>
  </si>
  <si>
    <t>虽然难度肉眼可见的低，但思路正确且落实基本到位，也没做任何能力范围外的事，声库选择也很能满足需求，总体来说个人其实挺鼓励新人尝试这种门槛不高的路数的</t>
  </si>
  <si>
    <t>很V的一首，简单胜在没怪动静</t>
  </si>
  <si>
    <t>抄作业</t>
  </si>
  <si>
    <t>挺好就是有点抄作业</t>
  </si>
  <si>
    <t>动态有点刻意</t>
  </si>
  <si>
    <t>SC1007</t>
  </si>
  <si>
    <t>音头挑太狠了，动态有点刻意x2</t>
  </si>
  <si>
    <t>选曲很难猜</t>
  </si>
  <si>
    <t>笑死</t>
  </si>
  <si>
    <t>吓人</t>
  </si>
  <si>
    <t>油点平胜在干净听感舒服</t>
  </si>
  <si>
    <t>咬字捏的不错</t>
  </si>
  <si>
    <t>抄作业哈</t>
  </si>
  <si>
    <t>律动挺好就是有些地方有点拖</t>
  </si>
  <si>
    <t>音头挑太狠了，动态有点刻意听起来油点过山车，gen拉的有点过于偏male</t>
  </si>
  <si>
    <t>颤音好弹簧，很标准的VC良调</t>
  </si>
  <si>
    <t>小顾令</t>
  </si>
  <si>
    <t>油点抄原曲，调的有点公式化</t>
  </si>
  <si>
    <t>低音气噪袭击我的耳朵</t>
  </si>
  <si>
    <t>颤音咬字调的挺细</t>
  </si>
  <si>
    <t>音与音衔接有点生硬，动态有点平</t>
  </si>
  <si>
    <t>这bre用的赶上气噪爆炸</t>
  </si>
  <si>
    <t>气泡音有点突兀</t>
  </si>
  <si>
    <t>很神秘的左右声道。感觉声库限制了你的发挥</t>
  </si>
  <si>
    <t>可以吓哭小孩儿的唱法</t>
  </si>
  <si>
    <t>开头好平，起来的时候又感觉不够稳。副歌部分声库加成很大</t>
  </si>
  <si>
    <t>很到位的pit和真假声转换，喜欢咬字的处理，音色变化可以更大一点</t>
  </si>
  <si>
    <t>啊啊啊啊啊啊啊啊啊啊啊啊啊啊你不要过来啊</t>
  </si>
  <si>
    <t>好牛好还原，就是有的地方感觉有一点点用力过猛</t>
  </si>
  <si>
    <t>氛围和音色很好，有点不稳</t>
  </si>
  <si>
    <t>好帅，咬字和力度对比绝了</t>
  </si>
  <si>
    <t>氛围挺好，有点不稳</t>
  </si>
  <si>
    <t>复刻术力口</t>
  </si>
  <si>
    <t>支持</t>
  </si>
  <si>
    <t>忙活了很久，最后听起来像无参的那种</t>
  </si>
  <si>
    <t>萌，但是像无参</t>
  </si>
  <si>
    <t>上流。适合拿红酒杯装珍珠奶茶</t>
  </si>
  <si>
    <t>有的地方语气处理很好，但是很多地方pit和音区有明显问题啊，怀疑在学某个具体参考但是没学到位，反而破坏了歌曲表达的整体性</t>
  </si>
  <si>
    <t>美丽</t>
  </si>
  <si>
    <t>这么帅，好丝滑</t>
  </si>
  <si>
    <t>很强很强，表现力很足</t>
  </si>
  <si>
    <t>开张了</t>
  </si>
  <si>
    <t>游刃有余啊</t>
  </si>
  <si>
    <t>老艺术家的从容感</t>
  </si>
  <si>
    <t>高音的地方有时候音色不是很稳</t>
  </si>
  <si>
    <t>想说丝滑，但是有的地方又会被卡一下。音色很好，但是不太稳</t>
  </si>
  <si>
    <t>真变鱼了</t>
  </si>
  <si>
    <t>伴奏有点太大声。感觉有自己的想法，可惜太短了</t>
  </si>
  <si>
    <t>小男生有的是手段和力气</t>
  </si>
  <si>
    <t>笑死了，这也能调</t>
  </si>
  <si>
    <t>有点硬</t>
  </si>
  <si>
    <t>想不到下半场还能有比肩蟑螂姐的大作</t>
  </si>
  <si>
    <t>喘这大粗气儿，一边搬砖一边唱呢</t>
  </si>
  <si>
    <t>温温柔柔的很好听</t>
  </si>
  <si>
    <t>好美</t>
  </si>
  <si>
    <t>咬字的强弱感觉处理得很好，美丽。稍微缺点力度。</t>
  </si>
  <si>
    <t>怎么这么电</t>
  </si>
  <si>
    <t>挺到位的，就是歌的调调从头到尾太一致了</t>
  </si>
  <si>
    <t>唱得很周正的绫</t>
  </si>
  <si>
    <t>梆硬</t>
  </si>
  <si>
    <t>LRC歌词技术满分</t>
  </si>
  <si>
    <t>音色和歌很贴，但是处理方式不够细腻</t>
  </si>
  <si>
    <t>还算到位，歌有点平</t>
  </si>
  <si>
    <t>又一个唱得很周正的绫</t>
  </si>
  <si>
    <t>好绝望的言和</t>
  </si>
  <si>
    <t>有劲的地方很有劲，弱的地方太干巴</t>
  </si>
  <si>
    <t>这么炫吗</t>
  </si>
  <si>
    <t>淡淡的，扒谱很准（</t>
  </si>
  <si>
    <t>咬字节奏不是很准</t>
  </si>
  <si>
    <t>很有水平</t>
  </si>
  <si>
    <t>小东北</t>
  </si>
  <si>
    <t>很有劲儿，这么唱的话晚上确实睡不着</t>
  </si>
  <si>
    <t>对mochen有点不礼貌了</t>
  </si>
  <si>
    <t>好吃好吃</t>
  </si>
  <si>
    <t>好像午餐</t>
  </si>
  <si>
    <t>很符合这首歌的刻板印象</t>
  </si>
  <si>
    <t>天依老师唱得好辛苦</t>
  </si>
  <si>
    <t>有点想法，但是用力过猛</t>
  </si>
  <si>
    <t>好神秘，初印象很一般，但是细听起来又很有手法</t>
  </si>
  <si>
    <t>很柔但是很稳，美美的</t>
  </si>
  <si>
    <t>高音有点憋住了</t>
  </si>
  <si>
    <t>有点平平的</t>
  </si>
  <si>
    <t>有点太软了，可以更干脆一点</t>
  </si>
  <si>
    <t>感觉有在做动态，但是怎么弱下来还是刺刺的</t>
  </si>
  <si>
    <t>很有氛围感</t>
  </si>
  <si>
    <t>不确定是咬字拖沓还是整体对轨人声慢了</t>
  </si>
  <si>
    <t>好美的转音，就是音色有点down</t>
  </si>
  <si>
    <t>人声和伴奏感觉不在一个频道啊</t>
  </si>
  <si>
    <t>这大颤音</t>
  </si>
  <si>
    <t>好震撼的哭，充满了感情</t>
  </si>
  <si>
    <t>好炫技</t>
  </si>
  <si>
    <t>平平的</t>
  </si>
  <si>
    <t>调出了差一点就唱不上去的感觉</t>
  </si>
  <si>
    <t>是小黑屋的门没锁吗</t>
  </si>
  <si>
    <t>rap很酷，唱得不行</t>
  </si>
  <si>
    <t>这个大猛子颤音</t>
  </si>
  <si>
    <t>戏腔很惊艳，但是主歌有一种唱得很勉强的感觉，不知道是不是龙牙声库的问题</t>
  </si>
  <si>
    <t>腔调有点味道</t>
  </si>
  <si>
    <t>在干嘛</t>
  </si>
  <si>
    <t>重音女士有点一惊一乍的</t>
  </si>
  <si>
    <t>好有诉说感</t>
  </si>
  <si>
    <t>高音可以更稳一点</t>
  </si>
  <si>
    <t>对不起，感觉歌好土</t>
  </si>
  <si>
    <t>这就是反差萌吗</t>
  </si>
  <si>
    <t>被超声波武器狙杀</t>
  </si>
  <si>
    <t>差点就在调上了</t>
  </si>
  <si>
    <t>唱得好辛苦</t>
  </si>
  <si>
    <t>像午餐</t>
  </si>
  <si>
    <t>有一些想法，但感觉不是很到位</t>
  </si>
  <si>
    <t>好颤抖，有做得好的地方，但是也有非常明显影响听感的问题</t>
  </si>
  <si>
    <t>有范儿</t>
  </si>
  <si>
    <t>好美的音色</t>
  </si>
  <si>
    <t>好使劲儿的转音</t>
  </si>
  <si>
    <t>挺好的，单纯对这首歌不太感冒</t>
  </si>
  <si>
    <t>帅的</t>
  </si>
  <si>
    <t>好有表现力，牛牛子</t>
  </si>
  <si>
    <t>音色很好，不确定是不是引擎问题pit有点硬</t>
  </si>
  <si>
    <t>音色强弱没拉开</t>
  </si>
  <si>
    <t>颤音不好听</t>
  </si>
  <si>
    <t>是对轨问题吗？感觉人声慢了一点点</t>
  </si>
  <si>
    <t>感觉努力了，但是转音节奏不是很准</t>
  </si>
  <si>
    <t>音色很好听很唬人，但是有的音头呲呲的，一些转音的也不够干脆</t>
  </si>
  <si>
    <t>【星空ACSC】为星空在瑞平AC和SC
没用过太多歌手，受歌手性能影响很大</t>
  </si>
  <si>
    <t>猜测的声库</t>
  </si>
  <si>
    <t>能体验到作者在尽力调，但是声库质量不够好，建议清洗数据集</t>
  </si>
  <si>
    <t>ACE</t>
  </si>
  <si>
    <t>调的很自然，似乎没用特殊的技巧</t>
  </si>
  <si>
    <t>SV</t>
  </si>
  <si>
    <t>很可爱的一首，但是没有变化</t>
  </si>
  <si>
    <t>音头拽来拽去（）</t>
  </si>
  <si>
    <t>非常优秀的唱法模仿。尤其是副歌流畅自然。只是开头那段属于SV气声参数受害者（可以用不同声线塑造气声变化，sv的参数除了口型都是传统算法效果）</t>
  </si>
  <si>
    <t>整体很好听，有的地方辅音长度比较怪</t>
  </si>
  <si>
    <t>整体很好听</t>
  </si>
  <si>
    <t>后面高音有点超歌姬的音域了</t>
  </si>
  <si>
    <t>调的很自然</t>
  </si>
  <si>
    <t>中间一段rap稍微有点不自然，非rap特化声库做成这样很不错</t>
  </si>
  <si>
    <t>唱法过度好听</t>
  </si>
  <si>
    <t>想表达一种很有情感的音高</t>
  </si>
  <si>
    <t>吓到我了</t>
  </si>
  <si>
    <t>S级rap表现，男声库调的比女声好很多</t>
  </si>
  <si>
    <t>情感充沛</t>
  </si>
  <si>
    <t>情感的把控很到位，有些卡痰修掉就更好了</t>
  </si>
  <si>
    <t>听起来像抽参</t>
  </si>
  <si>
    <t>情感过度很好</t>
  </si>
  <si>
    <t>稍微有点平</t>
  </si>
  <si>
    <t>总</t>
  </si>
  <si>
    <t>评语</t>
  </si>
  <si>
    <t>有一些动态上的小巧思但是兄弟你这啥音色啊</t>
  </si>
  <si>
    <t>喜欢副歌唱的状态</t>
  </si>
  <si>
    <t>兄弟你开头怎么节奏就这么奇怪，混响不错但平衡vocal也太大了，air的频段有点缺</t>
  </si>
  <si>
    <t>查询精神状态</t>
  </si>
  <si>
    <t>感觉动态没起来，但是有些小巧思，</t>
  </si>
  <si>
    <t>vocal混的好干，找个好混音分会更高</t>
  </si>
  <si>
    <t>注意细节</t>
  </si>
  <si>
    <t>高频里面混音痕迹有点重，调的时候pit注意一点</t>
  </si>
  <si>
    <t>各方面没啥亮点，感觉啥也没做</t>
  </si>
  <si>
    <t>走错赛道了兄弟</t>
  </si>
  <si>
    <t>vocal动态的线条感好美</t>
  </si>
  <si>
    <t>只动pit律动不太够啊</t>
  </si>
  <si>
    <t>开头vocal听感小奇怪，整体完成度很高很喜欢</t>
  </si>
  <si>
    <t>至少比原曲调混有意思</t>
  </si>
  <si>
    <t>没听下去</t>
  </si>
  <si>
    <t>神了兄弟</t>
  </si>
  <si>
    <t>调声很喜欢，混音混响好听</t>
  </si>
  <si>
    <t>我喜欢你，墨厨狂喜</t>
  </si>
  <si>
    <t>兄弟你都调这个了（，混响不合理</t>
  </si>
  <si>
    <t>略平（？</t>
  </si>
  <si>
    <t>调混好像都有点不尽人意，有些如调了，加油</t>
  </si>
  <si>
    <t>高张力导致的，尽力局</t>
  </si>
  <si>
    <t>混响管理一下</t>
  </si>
  <si>
    <t>这啥和声混音</t>
  </si>
  <si>
    <t xml:space="preserve">合着兄弟你第一句就跑调啊 </t>
  </si>
  <si>
    <t xml:space="preserve">Pulse in Flora(花频) </t>
  </si>
  <si>
    <t>中规中矩的感觉，选曲喜欢</t>
  </si>
  <si>
    <t>好听的动态，混响稍微有点大，在有的段落可以小一点</t>
  </si>
  <si>
    <t>齿音在扎我的耳朵</t>
  </si>
  <si>
    <t xml:space="preserve">From Z to Z </t>
  </si>
  <si>
    <t>freshair味过重，略微不合适，vocal也偏大</t>
  </si>
  <si>
    <t>这是葛平吗？牛大了</t>
  </si>
  <si>
    <t>发言不赖但是俺不太懂</t>
  </si>
  <si>
    <t>？干嘛</t>
  </si>
  <si>
    <t>好调好混，short ver可惜了</t>
  </si>
  <si>
    <t>律动出来了至少</t>
  </si>
  <si>
    <t>喜欢混音</t>
  </si>
  <si>
    <t>啥混响兄弟</t>
  </si>
  <si>
    <t>？兄弟你都调这个了，好吧其实哪哪都不对劲</t>
  </si>
  <si>
    <t>走错赛道x2，和10结婚吧</t>
  </si>
  <si>
    <t>完全不混音？</t>
  </si>
  <si>
    <t>混音素素的，还有这个呲呲的和声是怎么个事</t>
  </si>
  <si>
    <t>不差，vocal有的地方被伴奏吞进去了,但是无伤大雅</t>
  </si>
  <si>
    <t>这水平就调这歌？</t>
  </si>
  <si>
    <t>感觉挺有调声意识的，但被上面比了，混音也还有优化空间</t>
  </si>
  <si>
    <t>尽力局</t>
  </si>
  <si>
    <t>气噪在摩擦我的耳朵，选尘低音区air是会这样的，可以再斟酌的</t>
  </si>
  <si>
    <t>有点平淡了，依旧气声颗粒</t>
  </si>
  <si>
    <t>对味，兄弟，音色pit和混音都很对味</t>
  </si>
  <si>
    <t>转音不错</t>
  </si>
  <si>
    <t>啥音色，完全不考虑歌选歌姬啊</t>
  </si>
  <si>
    <t>混音为什么是这样的，eq问题像是，咬字也怪怪的不知道是不是歌姬特色</t>
  </si>
  <si>
    <t>听着比较素，没啥调混的痕迹，这首歌可以很有意思的</t>
  </si>
  <si>
    <t>没啥问题但感觉这歌情绪可以更推起来一点</t>
  </si>
  <si>
    <t>中规中矩的感觉，情绪略微感觉没起来</t>
  </si>
  <si>
    <t>哥们你草可以，这也没劲啊</t>
  </si>
  <si>
    <t>平淡朴素</t>
  </si>
  <si>
    <t>律动可以，咬字有的地方可以再修一下</t>
  </si>
  <si>
    <t>音色选择不错，混音可以再修一修eq</t>
  </si>
  <si>
    <t>挺有趣，但是像来玩的，不像一个调声作品</t>
  </si>
  <si>
    <t>中规中矩，没找到什么特别吸引人的点</t>
  </si>
  <si>
    <t>整体比较平，有地方爆电平了留意一下</t>
  </si>
  <si>
    <t>混音有点黑暗料理，vott味重</t>
  </si>
  <si>
    <t>兄弟你混响和空间处理小巧思屌爆了，但是原版太神了还是差一截，调校感觉可以更生动一点，但也很棒了，尽力局</t>
  </si>
  <si>
    <t>这种曲子打前人不吃香，而且确实没那么容易，有好多标准答案在前了</t>
  </si>
  <si>
    <t>星尘气噪和齿音管理一下，容易让人很不舒服</t>
  </si>
  <si>
    <t>律动好有意思</t>
  </si>
  <si>
    <t>略有小巧思的感觉，但是没有记忆点</t>
  </si>
  <si>
    <t>真神，冠军了</t>
  </si>
  <si>
    <t>选俩歌姬俩都不适合</t>
  </si>
  <si>
    <t>听完全曲小有一些喜欢唱的状态</t>
  </si>
  <si>
    <t>各方面都挺好，live伴奏可能稍微赖了一点，但是remaster过？</t>
  </si>
  <si>
    <t>还行，兄弟，但是被比坏了，有的咬字怎么有点外国人</t>
  </si>
  <si>
    <t>谁家吧中v王绎龙放进来了，音色倒挺像的，兄弟</t>
  </si>
  <si>
    <t>强弱变化好，情绪推动好，混音也不错</t>
  </si>
  <si>
    <t>兄弟你转音神了，混音vocal稍微有点大</t>
  </si>
  <si>
    <t>开头部分可以拆出来混音优化下，能听出一些小巧思</t>
  </si>
  <si>
    <t>芙蓉至（翻自：《天河弈》）</t>
  </si>
  <si>
    <t>周菲戈本人</t>
  </si>
  <si>
    <t>AC 1103</t>
  </si>
  <si>
    <t>AC 1104</t>
  </si>
  <si>
    <t>AC 1105</t>
  </si>
  <si>
    <t>AC 1106</t>
  </si>
  <si>
    <t>AC 1107</t>
  </si>
  <si>
    <t>AC 1108</t>
  </si>
  <si>
    <t>AC 1109</t>
  </si>
  <si>
    <t>AC 1110</t>
  </si>
  <si>
    <t>AC 1111</t>
  </si>
  <si>
    <t>AC 1112</t>
  </si>
  <si>
    <t>AC 1113</t>
  </si>
  <si>
    <t>AC 1114</t>
  </si>
  <si>
    <t>AC 1115</t>
  </si>
  <si>
    <t>AC 1116</t>
  </si>
  <si>
    <t>AC 1117</t>
  </si>
  <si>
    <t>AC 1118</t>
  </si>
  <si>
    <t>AC 1119</t>
  </si>
  <si>
    <t>AC 1120</t>
  </si>
  <si>
    <t>AC 1121</t>
  </si>
  <si>
    <t>AC 1122</t>
  </si>
  <si>
    <t>AC 1123</t>
  </si>
  <si>
    <t>AC 1124</t>
  </si>
  <si>
    <t>AC 1125</t>
  </si>
  <si>
    <t>AC 1126</t>
  </si>
  <si>
    <t>AC 1127</t>
  </si>
  <si>
    <t>AC 1128</t>
  </si>
  <si>
    <t>AC 1129</t>
  </si>
  <si>
    <t>AC 1130</t>
  </si>
  <si>
    <t>AC 1131</t>
  </si>
  <si>
    <t>AC 1132</t>
  </si>
  <si>
    <t>AC 1133</t>
  </si>
  <si>
    <t>AC 1134</t>
  </si>
  <si>
    <t>AC 1135</t>
  </si>
  <si>
    <t>AC 1136</t>
  </si>
  <si>
    <t>AC 1137</t>
  </si>
  <si>
    <t>AC 1138</t>
  </si>
  <si>
    <t>AC 1139</t>
  </si>
  <si>
    <t>AC 1140</t>
  </si>
  <si>
    <t>AC 1141</t>
  </si>
  <si>
    <t>AC 1142</t>
  </si>
  <si>
    <t>AC 1143</t>
  </si>
  <si>
    <t>AC 1144</t>
  </si>
  <si>
    <t>AC 1145</t>
  </si>
  <si>
    <t>AC 1146</t>
  </si>
  <si>
    <t>AC 1147</t>
  </si>
  <si>
    <t>AC 1148</t>
  </si>
  <si>
    <t>AC 1149</t>
  </si>
  <si>
    <t>AC 1150</t>
  </si>
  <si>
    <t>AC 1151</t>
  </si>
  <si>
    <t>AC 1152</t>
  </si>
  <si>
    <t>AC 1153</t>
  </si>
  <si>
    <t>AC 1154</t>
  </si>
  <si>
    <t>AC 1155</t>
  </si>
  <si>
    <t>AC 1156</t>
  </si>
  <si>
    <t>AC 1157</t>
  </si>
  <si>
    <t>AC 1158</t>
  </si>
  <si>
    <t>AC 1159</t>
  </si>
  <si>
    <t>AC 1160</t>
  </si>
  <si>
    <t>AC 1161</t>
  </si>
  <si>
    <t>AC 1162</t>
  </si>
  <si>
    <t>AC 1163</t>
  </si>
  <si>
    <t>AC 1164</t>
  </si>
  <si>
    <t>AC 1165</t>
  </si>
  <si>
    <t>AC 1166</t>
  </si>
  <si>
    <t>AC 1167</t>
  </si>
  <si>
    <t>AC 1168</t>
  </si>
  <si>
    <t>AC 1169</t>
  </si>
  <si>
    <t>AC 1170</t>
  </si>
  <si>
    <t>AC 1171</t>
  </si>
  <si>
    <t>AC 1172</t>
  </si>
  <si>
    <t>AC 1173</t>
  </si>
  <si>
    <t>AC 1174</t>
  </si>
  <si>
    <t>AC 1175</t>
  </si>
  <si>
    <t>AC 1176</t>
  </si>
  <si>
    <t>AC 1177</t>
  </si>
  <si>
    <t>AC 1178</t>
  </si>
  <si>
    <t>AC 1179</t>
  </si>
  <si>
    <t>AC 1180</t>
  </si>
  <si>
    <t>AF上半场</t>
  </si>
  <si>
    <t>AF下半场</t>
  </si>
  <si>
    <t>聊天</t>
  </si>
  <si>
    <t>到了副歌怎么萎了，选曲潜力明明很大。
后段的RAP有点意思</t>
  </si>
  <si>
    <t>围观</t>
  </si>
  <si>
    <t>合唱团？前奏好长（）
虽然感觉氛围塑造的很好，但问题是听不清唱的什么
不是怎么听不完啊？
什么叫这首歌有6分钟？</t>
  </si>
  <si>
    <t>我抄，苍法，我抄，angela
真假声超人老太说是
大颤音有点难蚌，整体效果有点怪怪的
但选曲有点意思，能听出有点自己的主题思想在里面</t>
  </si>
  <si>
    <t>超绝致敬之被现场拿下</t>
  </si>
  <si>
    <t>太平天国喜加一，开头平得要死
后面稍微好点，但最好还是不要过度依靠自动音高比较好</t>
  </si>
  <si>
    <t>超绝电音（不要因为是电音就放松调声标准口牙）
一些辅音和气泡音效果做的还可以
相对的声线处理可以再明显一点，情绪差一口气</t>
  </si>
  <si>
    <t>忠诚！
有点恐怖，老太太音色带点性感，非常稳定
很扎实的基本功了，大颤音也好听
怎么没调完！？</t>
  </si>
  <si>
    <t>开头没有弱起，太硬了，是不是太水了
之后从主歌开始有点意思了
整体氛围很符合原曲柔中有力的感觉，唯一的扣分点就是开头
想调</t>
  </si>
  <si>
    <t>经典超长前奏
开口中规中矩，但为什么到了副歌感觉伴奏被压下去了
完了PIT还飘了，混音也很没劲
感觉想要搞点骚操作但受限于经验没怎么又效果，大概是新手</t>
  </si>
  <si>
    <t>AVER唱这首歌会不会有些太苦大仇深
ギリギリ踩在马上要越界的线上了
可能是为了拉住音源不过于脱缰所以整首歌太刻意安静了，导致差一点情绪
有一说一我不是很吃这种原曲不是多语种刻意做成多语种的
换一个音源说不定能更轻松达到现在的效果</t>
  </si>
  <si>
    <t>开口感觉有些电，虽然好多神调会喜欢这种，但我不太感冒
太多电了！</t>
  </si>
  <si>
    <t>开局僵硬Pit难蚌
太平了，对声线有点理解，但Pit的手法有些稚嫩
后半部分感觉和前面差别不大
增加阅历可能是当前阶段更好的选择</t>
  </si>
  <si>
    <t>混音跟前面的作品比较起来感觉还是差一口气，感觉被压住了
把整体音量拉大点的话观感能稍微好点？
有气泡音怒音，还有弹舌这类的，说明不是新手
完成度其实还可以，选曲也很大胆，但总感觉哪里差一口气</t>
  </si>
  <si>
    <t>感觉其实调的还行但是跟原曲落差有点大（</t>
  </si>
  <si>
    <t>感觉成也选曲败也选曲</t>
  </si>
  <si>
    <t>开头超绝电吉他扫弦，好感拉满
开口跪，把我的好感还给我
太多神金转音和气泡音，有点上古术力口风格了
增加阅历可能是当前阶段更好的选择
阅历啊阅历！多听多想！！</t>
  </si>
  <si>
    <t>AVER开口超绝重女味儿冒出来了口牙！
后面有点意思，但开头有点掉分数
混音加大分
不对，怎么感觉是自动音高占大头了？副歌牛逼的其实是伴奏自带的和声</t>
  </si>
  <si>
    <t>我抄，邦！
我抄，krkrdkdk！
整体还原还是到位的，很元气，但一些唱的快的地方还是太肉了
感觉到中期有点平，情绪和混音啥的</t>
  </si>
  <si>
    <t>这是在干什么</t>
  </si>
  <si>
    <t>我抄，超绝RAP
演唱段落有点很奇怪的平，PIT可以再用用功，不要全丢给自动音高
偏科太严重了</t>
  </si>
  <si>
    <t>开口哈老子一跳，赔钱
那个用同一种方法调的气泡音多得有点过头了，明明别的地方都还行</t>
  </si>
  <si>
    <t>目覚めぬ彼女の痛みが、癒えますように
(愿无法醒来的她的痛苦能够痊愈)</t>
  </si>
  <si>
    <t>这是在干什么，看不懂（）
歌曲不是很对我胃口，所以主观性极强，如果没评好了可以直接忽视</t>
  </si>
  <si>
    <t>这是在干什么
音源选好点吧，别头铁比较好</t>
  </si>
  <si>
    <t>rose超强的压直接开口跪
不要什么都交给自动音高啊！口型什么的至少改一改啊！
声线也稍微动一动啊！</t>
  </si>
  <si>
    <t>开口跪，我要拜师</t>
  </si>
  <si>
    <t>想看工程</t>
  </si>
  <si>
    <t>救命
我想跳过，救我</t>
  </si>
  <si>
    <t>太平天国喜加一，自动音高来的
怎么没有换气口，要憋死几个
太短了</t>
  </si>
  <si>
    <t>曲风耳熟，会是我一朋友喜欢的
是不是抽参的，感觉好多地方有问题，都没有好好修过
好曲子浪费了口牙，有机会我亲自调一下看看
我想跳过，救我</t>
  </si>
  <si>
    <t>妈妈，这里有上帝
上帝是黑大妈</t>
  </si>
  <si>
    <t>草曲是吧
不要再迫害铁头了1551
我想跳过，救我</t>
  </si>
  <si>
    <t>开口哈老子一跳，赔钱
感觉想学老太太风格，但声线有点年轻
后面其实还行？</t>
  </si>
  <si>
    <t>前奏有意思，有让人听下去的欲望
rose味儿还是太重，压得不是很舒服
就我感觉，这首歌应该更注重性感和危险的感觉，但现在好像只是在无脑压
结尾的大颤音应该再用心搞搞</t>
  </si>
  <si>
    <t>哦？有点意思
主歌开始水了，副歌又有点意思了
实话跟我说，是不是自动挡？
后面力量感到位了。感觉有点意思</t>
  </si>
  <si>
    <t>WTF，这开头有点恐怖，跟上一首对比有点太明显了
我抄，苍法，我抄，angela双杀
比上面那首感觉成熟了不少
虽然那首编曲更燃一点，但这首更均衡，效果更棒，完成度也很高了
有些地方特地修的口型感觉也提高了完成度</t>
  </si>
  <si>
    <t>选曲有点意思，但调声……我看不懂
音源选的就有问题，混音更是罪加一等</t>
  </si>
  <si>
    <t>我抄，gank我是吧
有些音尾断的太突然了，相比起来另外一些颤音很有意思
伴唱混音听得我头皮发麻，加分太多了
没在调声方面战胜我，但在另外混音的丰富度上比我牛逼
这首歌拿到比赛上调出彩还是很难的，但能拿出态度出来已经很棒了
值得鼓励</t>
  </si>
  <si>
    <t>混音你罪该万死
快歌的快字也不能不修啊，问题听的很清楚啊</t>
  </si>
  <si>
    <t>很律动的选曲，感觉虽然有自己的表达，但调声的PIT可以再放开张扬点</t>
  </si>
  <si>
    <t>我了个本家唱本家
然而就表现力来说被本家比下去了，本家也不能无脑当轮椅啊
你那股重女味儿呢？你得支棱起来啊
而且怎么只有半首？不管你滑铲这那的，反正得扣分</t>
  </si>
  <si>
    <t>超绝昭和风味的小曲，好早之前就想cover了
音源听起来怪怪的，为了还原昭和味儿有点得不偿失
后面的念白没加到分口牙</t>
  </si>
  <si>
    <t>评价为调的不如我
小伙还得练</t>
  </si>
  <si>
    <t>我配评这个？
太自然了，我说不出话来
不管是调声还是混音都是鼎中鼎，没得比了</t>
  </si>
  <si>
    <t>？这是在？</t>
  </si>
  <si>
    <t>言和跨语种？
开头太硬了，后面太平了
首要改进方法是增加阅历，多体会声线转换这一类的情绪</t>
  </si>
  <si>
    <t>太平天国喜加一，混音扣大分</t>
  </si>
  <si>
    <t>明明看名字就会莫名让人对调声有期待感
开头太硬了，句尾的颤音太自动了
副歌感觉有情感表达，但相对的主歌太水了
颤音要想办法精进下，多投入一些感情在里面吧
很想跳，但要尊重每个作品跳不得
救我</t>
  </si>
  <si>
    <t>怎么把我想调的歌调了？
开头混音吓尿了，但是后面有些小操作有点意思
第二段开头那里有些同质化了，再精进一点就好了
可以投票，但不太行</t>
  </si>
  <si>
    <t>很内敛的感情流露，有点太自然了，神
感觉这首很可能会两极分化，但这种风格我很吃</t>
  </si>
  <si>
    <t>开口就知道A打底了。调声混音都相当舒服</t>
  </si>
  <si>
    <t>开头很喜欢，情绪塑造很到位
但是主歌有点拉胯了，有点平，过于没感情
副歌又拉回来了，经典神鬼二象性
结尾有点意思？</t>
  </si>
  <si>
    <t>我了个ROSE唱MYGO版，但总感觉这首歌不是这么唱的
ROSE的压太强了，跟这首歌八字不合</t>
  </si>
  <si>
    <t>老术力口人狂喜
开头主歌的情绪很对味，但副歌开始调声就水了，不管是声线还是PIT都。
混音莫名怪</t>
  </si>
  <si>
    <t>我了个开头超绝重低音
我了个有点强，这首AVER感觉可以打高分
很痛苦，很重女，用对地方了！！！
有些处理感觉很对味，情绪的递进也很够劲！
这就是八字合了的感觉，仙品！
轮椅也有高低之分口牙</t>
  </si>
  <si>
    <t>轮椅也有高低之分口牙</t>
  </si>
  <si>
    <t>选英文歌很有挑战，但成品莫名一股无参感
有些地方有点PIT亮点，但整体不够稳定
歌曲过于苦大仇深，音源好像并不适合
瞎说一把，让aver来可能会更好</t>
  </si>
  <si>
    <t>有点抖过分了
虽然有点意思，但是
我要平等的给一切长音えい、おう，助词は念成ha、へ念成he，变音不看假名，促音强行扒出来的扣分
而且怎么唱一半没了，罪加一等</t>
  </si>
  <si>
    <t>这个唱一半罪加一等加少了，
原曲就是只录了一半...
后半段都是拿前半的录音拼起来的，
你懒得调直接复制其实更对啊...
这首我自己调过所以真的忍不了（</t>
  </si>
  <si>
    <t>开口跪，不过感觉更多的是音源选的好
歌曲完成度有点高，但功劳更多是音源的
怎么能把ありがとう的う念成u的，我怒了
我甚至怀疑刻本来应该念とき</t>
  </si>
  <si>
    <t>没正经听过这首歌，它开头原来是这样的吗？
好多rap，这效果真的行吗</t>
  </si>
  <si>
    <t>开口跪
后面有点平了，没有跟前面做足差异化</t>
  </si>
  <si>
    <t>不难听，但是难评
音源有点特色，肯定不难听，混音可能差点味道
但现阶段绝对不难听就是了
一些地方的转音有些诡异，还有声线状态等地方，都有进步空间</t>
  </si>
  <si>
    <t>经典mai，经典开头是自动AI
怎么后面也都是自动音高
你是来干嘛的
无论调声技术如何，都要拿出点态度来
不然就跟上了跑道但躺下不跑一样，对比赛是一大亵渎</t>
  </si>
  <si>
    <t>调声有点意思？但混音差点意思
后面调声也有点飘了，小问题小问题，混音给到位了可以再升一个档次</t>
  </si>
  <si>
    <t>呱，我的眼睛
呱，开头我的耳朵
开头是整活没错吧？没错吧！
不是怎么就唱一半了？
wtf？全是这个？？？</t>
  </si>
  <si>
    <t>开口太平天国，这个音源大概率不适合这首歌
战略性失误</t>
  </si>
  <si>
    <t>休息了！</t>
  </si>
  <si>
    <t>アンノウン・マザーグース
（不为人知的鹅妈妈童谣）</t>
  </si>
  <si>
    <t>开口跪，开头相当少有的舒服
鼓点加速那里调得好神
后面的woooooooo也相当舒服
这真的是一个级别吗，太有表达了</t>
  </si>
  <si>
    <t>开口观感还不错
辅音声音有点太重了，不会也是AVER吧，选音源最好还是要多斟酌下
明明是很温柔的歌为什么唱出了咒怨和欠我钱三千的感觉……</t>
  </si>
  <si>
    <t>开口跪，甚至有气泡音，听高潮了
不对，怎么是半首，扣分</t>
  </si>
  <si>
    <t>妈妈，这里有上帝
上帝变成白大妈了
转音和动态成熟得太不像话了</t>
  </si>
  <si>
    <t>这个音源选择是在？
不是纯真歌曲就无脑用纯真音源就行的
混音怪，调声感觉也是无参</t>
  </si>
  <si>
    <t>怪，开口感觉音源跟歌曲不合拍，混音也很迷
伴奏起来以后好像好点了？有些音抖得太过分了</t>
  </si>
  <si>
    <t>跪了
不对，没那么跪，后面平了</t>
  </si>
  <si>
    <t>混音怪怪的，但调声还行
有点东西，但感觉有些转音太死板，没流动起来，有些情绪没宣泄到位</t>
  </si>
  <si>
    <t>有点意思
有几个地方转音得太死板了，可以稍微流动一点
致敬传奇英V调声抹蜜图指导</t>
  </si>
  <si>
    <t>？
最离谱的是调声貌似没有什么错</t>
  </si>
  <si>
    <t>开口跪，rose能调成这样是不是有点无敌了
这首我想调</t>
  </si>
  <si>
    <t>真想看吗 没调多少东西</t>
  </si>
  <si>
    <t>怪</t>
  </si>
  <si>
    <t>致敬史诗炮灰KATIKA，当初比赛用花響琴调这首歌直接被炮轰致死
什么叫原来我不是炮灰，什么叫这首歌只是音源选的好
什么叫从physical这个单词开始变怪了
完了，开始觉得怪之后真的变怪了
什么叫高潮那个you babe高音还真没我调的好听
什么叫最后向下的转音居然变肉了</t>
  </si>
  <si>
    <t>我了个超绝电音beauty，开口差点笑死
我很讨厌这种电音感，实话实说
感觉是想做出点操作来的，但还需要练</t>
  </si>
  <si>
    <t>调声比赛调电音是吧，你小子
不开玩笑的说，单论调声感觉还是稍显稚嫩</t>
  </si>
  <si>
    <t>厉害，动态神了
如果真是AVER的话，没有那种苦大仇深的重女感是真的强了
我要拜师，想调</t>
  </si>
  <si>
    <t>是萨克斯
开头的吟唱是怎么回事，有点恐怖
难道是传说中的 黑大妈
第二段是什么恐怖怪物
这个力量和支撑是不是有点变态了</t>
  </si>
  <si>
    <t>没有轻音的调音一律视为新手
什么高音战士，对不起听累了</t>
  </si>
  <si>
    <t>k-on（不是</t>
  </si>
  <si>
    <t>音源耳熟，感觉是自动音高大户
PIT下功夫太多了，给别的动态和声线混音什么的多分一点就好了</t>
  </si>
  <si>
    <t>开口跪
有些处理怪怪的
后面情绪有点跟不上了，声音变软，咬字也变软了</t>
  </si>
  <si>
    <t>有点意思
混音有点意思，但调声有点干巴巴的</t>
  </si>
  <si>
    <t>什么高音战士，请选男的去啊！
不是说调的技术不好，而是选男的肯定比现在得分高
叠甲，过</t>
  </si>
  <si>
    <t>黑大爷出来了，但还是怪</t>
  </si>
  <si>
    <t>？这是怎么做到同一段旋律翻来覆去唱但是没有重复感的</t>
  </si>
  <si>
    <t>我了个一听前奏就知道是fripside
一开口一股自动音高味儿，但感觉还行？？？
总感觉音源限制了发挥，换一个类似ROSE的或者力道再加点可能更好
准确点说应该是动态没推到位，不要被原唱骗了口牙
想调</t>
  </si>
  <si>
    <t>？对不起，对比太明显了</t>
  </si>
  <si>
    <t>什么叫前奏两分钟，你是来干嘛的（）
结果是个无参，还我时间
什么叫这首歌也是6分钟
你是说让我在调声赛里面浪费6分钟听伴奏和无参吗
这不是酷刑什么才是？
是可忍孰不可忍！叔可忍婶不可忍！！！</t>
  </si>
  <si>
    <t>开口跪，怎么这么水
怒音不是这么用的，虽然我不会用但我知道大概不是这么用的
效果真的怪怪的</t>
  </si>
  <si>
    <t>妈妈，出来看上帝
开头的咬字节奏听得我要高潮了</t>
  </si>
  <si>
    <t>前奏很劲，开口很无参</t>
  </si>
  <si>
    <t>有点没看懂</t>
  </si>
  <si>
    <t>开头的吟唱有点超神了
歌词第一句的性别参数是不是有点太老了
我错了，原来安静的歌也能参赛，是我太故步自封了</t>
  </si>
  <si>
    <t>开口无参，混音灾难
怎么结尾节奏都能没卡准的</t>
  </si>
  <si>
    <t>混音？
其他的感觉无功无过
主歌相对太水了</t>
  </si>
  <si>
    <t>太平天国喜加一</t>
  </si>
  <si>
    <t>前奏有意思
混音还行，但是调音我看不懂在干什么
主歌有好多地方都没卡准节拍</t>
  </si>
  <si>
    <t>有点神了，状态很对味</t>
  </si>
  <si>
    <t>谁教你这么调声的？多增加阅历会是个好选择
怪，居然还有点好听
选曲是我会感兴趣的歌</t>
  </si>
  <si>
    <t>有点不好评</t>
  </si>
  <si>
    <t>休息了</t>
  </si>
  <si>
    <t>我了个，不会是rose唱的吧，有点太不搭了
副歌混音炸了说是，感觉跟伴奏是两个图层</t>
  </si>
  <si>
    <t>有点飘，感觉是第一次正经调英文，稍显稚嫩
混音有问题</t>
  </si>
  <si>
    <t>前奏狂喜，段子王说是
这首歌不是男的唱的吗？？？
谁让你做成电音的？</t>
  </si>
  <si>
    <t>开口有点意思，果然是那首REMIX版，光开头就感觉到了有些处理稍显稚嫩
后面更是有些地方有跑音，注意这里应该是基本中的基本才是
有些地方有点自己的小设计，不确定是不是原曲就有的，因为remix版没怎么听过
有些地方还有很高的提高空间，但已经可以给票了
想调</t>
  </si>
  <si>
    <t>我了个维语神歌啊
开口吓到我了，调声感觉还行，但是和声是怎么回事？怎么全是不协和
而且感觉相当平
感觉是想整个好活，但只论结果</t>
  </si>
  <si>
    <t>wtf，混音四罪难逃
有些转音实在有些神金
怎么调一半没了？</t>
  </si>
  <si>
    <t>开口男声吓到我了，赔钱
开口跪，这种调声感觉好久没见到了，术力口时代余晖说是
怎么只有半首，扣分</t>
  </si>
  <si>
    <t>无参？动态多给点啊
rap不调真的很失望
后面该顶上去的简直软趴趴，救命</t>
  </si>
  <si>
    <t>僕らの記憶を掠わないで
（不要掠夺我们的记忆)</t>
  </si>
  <si>
    <t>开口有点意思？
有点自己的表达，在一首电音风格里面能做到这样已经很厉害了
但是后面有些轻声没做到，扣分挺多的
歌曲结束了怎么还有后记的，选曲用心了</t>
  </si>
  <si>
    <t>这是什么神人音色……
这个调声我听不懂</t>
  </si>
  <si>
    <t>平 太平天国
副歌神人混音</t>
  </si>
  <si>
    <t>开口AVER重女味儿难蚌，难说是不是轮椅用法
我要平等的给一切长音えい、おう，助词は念成ha、へ念成he，变音不看假名，促音强行扒出来的扣分
后面经典太平天国
虽然但是，想调</t>
  </si>
  <si>
    <t>神人发音，我感觉原曲肯定不是这个口型
感觉有点技术，但是科技树点歪了！</t>
  </si>
  <si>
    <t>有点强，稳定得过头了
男声音色有点难蚌，但调的没问题
想调</t>
  </si>
  <si>
    <t>这难道是那首传说中的ice cream？love live？ll人狂喜！
你，过关！</t>
  </si>
  <si>
    <t>这个风格？混音很对口味
好厉害</t>
  </si>
  <si>
    <t>混音好奇怪，调声再努力也请打回重做</t>
  </si>
  <si>
    <t>选曲比较大胆但是技术只能说稍显稚嫩</t>
  </si>
  <si>
    <t>乍一听感觉好听，但仔细品味却感觉更像是自动</t>
  </si>
  <si>
    <t>恐怖，但rap有些字可以再修修</t>
  </si>
  <si>
    <t>好萌的萌新调声法</t>
  </si>
  <si>
    <t>什么超级死亡大混响，声线状态也很奇怪，应该有的状态没有
相当不适合这首歌，听感像是在KTV，而且还只有半首
你是来干嘛的</t>
  </si>
  <si>
    <t>aver好重的唱，是否有些不合适（）
后面感觉又有些合适了，有点难评</t>
  </si>
  <si>
    <t>难评，开口中规中矩，后面就是经典太平天国</t>
  </si>
  <si>
    <t>救命</t>
  </si>
  <si>
    <t>aver特质，超重吸气声没绷住
感觉是个高手</t>
  </si>
  <si>
    <t>调声有点强，混音扣分</t>
  </si>
  <si>
    <t>音源跟歌不适配，虽然很帅但比较撕裂</t>
  </si>
  <si>
    <t>你这羊没有羊膻味儿啊，比去年的差不少了</t>
  </si>
  <si>
    <t>好听（词穷）</t>
  </si>
  <si>
    <t>开口氛围感不错，但说实话跟歌曲氛围不搭</t>
  </si>
  <si>
    <t>好劲，怒音细节有点意思</t>
  </si>
  <si>
    <t>一般，怀疑真的是这么唱的吗，感觉像无参</t>
  </si>
  <si>
    <t>怎么唐突中文
？这调声我看不懂</t>
  </si>
  <si>
    <t>难评，莫名太平天国</t>
  </si>
  <si>
    <t>炫技是吧，你小子
调得很有动感，神韵抓得很到位</t>
  </si>
  <si>
    <t>音源发音难蚌
救我</t>
  </si>
  <si>
    <t>在干什么，听不懂
太正义了，太平了</t>
  </si>
  <si>
    <t>开口跪，光开头的混音就牛逼到一定程度了
到后面感觉没支撑起来</t>
  </si>
  <si>
    <t>丸ノ内サディスティック
(丸之内虐待狂)</t>
  </si>
  <si>
    <t>混音在干什么
调声的基本功太浅薄了</t>
  </si>
  <si>
    <t xml:space="preserve">辛苦力！！💪 </t>
  </si>
  <si>
    <t>原调女唱男？感觉会很难唱出感觉</t>
  </si>
  <si>
    <t>AVER开口超绝重女味儿冒出来了口牙！
可以在声线转换上多下点功夫，不要一个声线用到底</t>
  </si>
  <si>
    <t>开口跪，光开头的混音就牛逼到一定程度了，薄纱上面那首
妈妈，出来看上帝，上帝是黑大妈</t>
  </si>
  <si>
    <t>中规中矩，但姑且不至于太平天国</t>
  </si>
  <si>
    <t>太平天国，声线和动态多动动</t>
  </si>
  <si>
    <t>观感还不错？但怀疑是自动。音源选的很聪明</t>
  </si>
  <si>
    <t>经典日本老太
真假音转换或者说破音太多太刻意了，以至于丢了三倍票
想调</t>
  </si>
  <si>
    <t>混音混响可以提高一下，后面的快速音符可以稍微修修节奏
有点想调又有点没那么想，因为感觉让我来达到相同效果我会累死难受死</t>
  </si>
  <si>
    <t>气声不适合堆起整首歌吧，感觉原唱肯定不是这么唱的
后面换声线也感觉太硬了，缺失太多细节了</t>
  </si>
  <si>
    <t>开口给我硬回姥姥家了
混音在干什么
一些奇怪的破音我看不懂</t>
  </si>
  <si>
    <t>还有威猛
开口跪，太平天国</t>
  </si>
  <si>
    <t>怎么是中文
混音跪了</t>
  </si>
  <si>
    <t>神人混音
不要头铁用信仰音源</t>
  </si>
  <si>
    <t>不器用的结尾不是u啊，扣分
我要平等的给一切长音えい、おう，助词は念成ha、へ念成he，变音不看假名，促音强行扒出来的扣分
感觉调声还行，但动态可以再给多点</t>
  </si>
  <si>
    <t>音源跟歌产生了奇妙的化学反应
但声线不是这么简单的用法的！
想调</t>
  </si>
  <si>
    <t>怪怪的，没有气口要憋死了
后面就是经典太平天国喜加一
什么叫这首歌有7分钟，后面稍微有了点波动，但还是不够多
歌曲时间拉太长了，情绪波动被稀释太严重了</t>
  </si>
  <si>
    <t>？什么叫如何呢又能怎
有点东西倒是，语调倒是挺厉害
副歌都是一个音倒是有点观感问题</t>
  </si>
  <si>
    <t>未听原曲，不看技术，第一印象，纯主观，请勿参考</t>
  </si>
  <si>
    <t>二筛投票（听不完了，写个python抽奖脚本QAQ）</t>
  </si>
  <si>
    <t>听不惯音色</t>
  </si>
  <si>
    <t>不知道说啥</t>
  </si>
  <si>
    <t>平平的调</t>
  </si>
  <si>
    <t>听不来</t>
  </si>
  <si>
    <t>好听的，但三倍太少了，你候选</t>
  </si>
  <si>
    <t>没混音吧</t>
  </si>
  <si>
    <t>建议再调pit，像挂了电</t>
  </si>
  <si>
    <t>副歌留点气口吧</t>
  </si>
  <si>
    <t>声库选不对</t>
  </si>
  <si>
    <t>选曲不是很合胃口</t>
  </si>
  <si>
    <t>曾毅那部分创到我了</t>
  </si>
  <si>
    <t>平平的调，有几处颤音太过了</t>
  </si>
  <si>
    <t>跑调了</t>
  </si>
  <si>
    <t>跨语种好强</t>
  </si>
  <si>
    <t>有些字都跑了，不过结合填词感觉能接受</t>
  </si>
  <si>
    <t>全曲厕混听不来，声库再琢磨一下</t>
  </si>
  <si>
    <t>给你lrc投一张</t>
  </si>
  <si>
    <t>我动不起来</t>
  </si>
  <si>
    <t>超绝美声</t>
  </si>
  <si>
    <t>不适合低音</t>
  </si>
  <si>
    <t>颤音太过了</t>
  </si>
  <si>
    <t>仿天堂？</t>
  </si>
  <si>
    <t>好听的</t>
  </si>
  <si>
    <t>主歌有点轻</t>
  </si>
  <si>
    <t>很温暖的声音</t>
  </si>
  <si>
    <t>气声溢出来了</t>
  </si>
  <si>
    <t>伴奏略小声，没混音吗</t>
  </si>
  <si>
    <t>跨语种再调吧</t>
  </si>
  <si>
    <t>好听的，但24年印象太深了</t>
  </si>
  <si>
    <t>满电了</t>
  </si>
  <si>
    <t>好有年代感</t>
  </si>
  <si>
    <t>齿音压太过了</t>
  </si>
  <si>
    <t>AAA喉塞音批发</t>
  </si>
  <si>
    <t>很温柔</t>
  </si>
  <si>
    <t>颤音过了</t>
  </si>
  <si>
    <t>建议换个声库</t>
  </si>
  <si>
    <t>AAA颤音批发</t>
  </si>
  <si>
    <t>歌声处理的很好👍但是不是很稳的感觉</t>
  </si>
  <si>
    <t>可爱😍但是音高平平的</t>
  </si>
  <si>
    <t>混音师变滚木了</t>
  </si>
  <si>
    <t>还行，我感觉没啥可以喷的</t>
  </si>
  <si>
    <t>烫嘴烫烫烫😭🙏是日跨韩的话当我说了滚木💦</t>
  </si>
  <si>
    <t>⚡️ 拼 凑 的 断 音 ⚡️</t>
  </si>
  <si>
    <t>混音怪怪的，dyn处理的不是很好</t>
  </si>
  <si>
    <t>选曲很元气！但是歌声的pit是不是有点和选曲分手了</t>
  </si>
  <si>
    <t>感觉好老的歌…但是调的整个歌姬有种老艺术家的感觉</t>
  </si>
  <si>
    <t>颤颤颤……我要被颤死了……</t>
  </si>
  <si>
    <t>声库是啥求告知🙏</t>
  </si>
  <si>
    <t>你是谁请支持依希</t>
  </si>
  <si>
    <t>滚木</t>
  </si>
  <si>
    <t>比较好的调嗯对</t>
  </si>
  <si>
    <t>换个音源会更好</t>
  </si>
  <si>
    <t>补兑你和1015不会都是中跨日吧？舌头很大了</t>
  </si>
  <si>
    <t>1014、1015、1016你们仨不会是同一个人的吧？
处理不好就不要中跨日</t>
  </si>
  <si>
    <t>好可爱😍</t>
  </si>
  <si>
    <t>我去看到这个给我吓一跳😱好帅好帅😭papa级别的😭</t>
  </si>
  <si>
    <t>没啥可以喷的</t>
  </si>
  <si>
    <t>没有很空灵轻巧的感觉🤔️</t>
  </si>
  <si>
    <t>没啥可喷，中间有点痰音</t>
  </si>
  <si>
    <t>没啥可喷👌</t>
  </si>
  <si>
    <t>我心目中的本场最佳，毫无疑问</t>
  </si>
  <si>
    <t>中气不足的样子还是这首歌就该这样…？</t>
  </si>
  <si>
    <t>难评</t>
  </si>
  <si>
    <t>技术很好</t>
  </si>
  <si>
    <t>더和골아很好辨认啊……但是真的很神😭</t>
  </si>
  <si>
    <t>好萌😘</t>
  </si>
  <si>
    <t>这是很正常的。</t>
  </si>
  <si>
    <t>低沉</t>
  </si>
  <si>
    <t>可爱😍</t>
  </si>
  <si>
    <t>😭好清新的米库</t>
  </si>
  <si>
    <t>补充</t>
  </si>
  <si>
    <t>九十九能调成这样真的教科书级的…
（二编）戴上耳机居然发现声音在我脑袋里横行霸道诶！混音老师加鸡腿</t>
  </si>
  <si>
    <t>图例：</t>
  </si>
  <si>
    <t>给票</t>
  </si>
  <si>
    <t>我还想说啥来着</t>
  </si>
  <si>
    <t>太顶级了，首先是戳穿我xp的声线，其次是各种技巧细节都很到位很妥帖，本届月光之王</t>
  </si>
  <si>
    <t>卧槽评错了，这个才是你，对不起两位月光老师</t>
  </si>
  <si>
    <t>再多调一些参数吧</t>
  </si>
  <si>
    <t>很喜欢。这个唱法完全是我的菜，虽然主歌一两个字略失力，以及最后爆发有一点
不足，但瑕不掩瑜，调教风格很贴合歌曲想要表达的注重细节、反复推敲的那种感觉…</t>
  </si>
  <si>
    <t>粤语，要谨慎地评。我反复听了几遍，高音略有一点电，但发音很好，后面没多少粤语歌能打过你。
要是那些在猜歌环节一眼吸住我的知名粤语歌曲都是这个水准该多好……</t>
  </si>
  <si>
    <t>雅。高山流水的调教。吸气声音很好听，但是有一丢丢优等生朗读课文的用力过度感，略显可惜
语调又非常加分，所以我在A+和A之间纠结了很久，我可能还会改</t>
  </si>
  <si>
    <t>老师您的技术真的非常好，不要被我个人的偏见所影响……</t>
  </si>
  <si>
    <t>音色和咬字让我想到可不了……但是可不是比较8bit颗粒感的，你这个是一种高清丝滑的糊，
像把24帧手绘动画插帧到60帧会出现的那种诡异润滑感</t>
  </si>
  <si>
    <t>有一种忽大忽小的感觉，听着怪怪的，但你的副歌细节又很对我胃口？
瑕疵和特意设计的小巧思有时仅仅一步之遥</t>
  </si>
  <si>
    <t>水平起伏有点大，我反反复复调高调低评分，来一倍票生死战</t>
  </si>
  <si>
    <t>游刃有余的优雅感，喜欢到不能再喜欢
唱法设计，强弱对比和视频的配色确实有一种让人闭着眼屏蔽一切杂念纯粹享受的感觉
很丝滑，令我感受不到时间的流逝，选取这个改编的版本也很适合你的发挥
第一张技术型三倍票（1/3）给到你！</t>
  </si>
  <si>
    <t>这个声线调的也是深得我心！</t>
  </si>
  <si>
    <t>大巧不工无需炫技，歌选的很好，律动咬字情绪递进都很妥帖，爱你</t>
  </si>
  <si>
    <t>感谢推歌！这个乐团也很有意思</t>
  </si>
  <si>
    <t>声线有一种飘逸感，像在大漠上策马奔腾的感觉，挺美的但高音有一点点太尖细了？</t>
  </si>
  <si>
    <t>很喜欢这首歌，对我有特殊意义。所以会比较抠细节去听，好在十分经得起检验。
要挑刺的话就是唱腔整体有些偏“宏大”了，像感动中国十大人物…如果更体贴细腻一些会更好</t>
  </si>
  <si>
    <t>还是有很多想要纠结商榷的地方，真的能感受到这首歌技术很成熟，老师您很会调
但是就我个人的审美和情感体验而言，有点难以认同这个唱法，有些太官腔庄重了</t>
  </si>
  <si>
    <t>感觉你在用来自于其他语种、风格的调教经验去调一首经典粤语歌
用心倒是蛮用心的，但是方向选择上比较值得商榷</t>
  </si>
  <si>
    <t>也有可能是歌姬选的不搭，看得出来你真的很爱这个歌姬，下次选一首更合适她的歌吧</t>
  </si>
  <si>
    <t>有技巧但不够惊艳，怎么说呢，感觉缺一点亲身经历、发自肺腑的感觉，但表达能力不赖的</t>
  </si>
  <si>
    <t>可惜撞车了，总体上还是很有竞争力的歌，送你上去</t>
  </si>
  <si>
    <t>很有技巧性的调教，但是和歌词内容一对照，会感觉有一些回旋镖打过来
我很支持空诩老师对这首歌的看法：“难唱”不是技巧上的难，而是灵魂表达上的难
所以太执着于刻画它技巧上的“难”，对这个主题而言，恐怕反而，稍微会有一点讽刺</t>
  </si>
  <si>
    <t>不过调的真的很好，尤其是最后一句很美丽，还是给高点分
唱这种歌要避免过度自嬷，嬷的恰到好处方显其“难”</t>
  </si>
  <si>
    <t>我对这个引擎的经验较少，感觉你已经尽力把它调的很不错了，要是有更细致的混音就更好了
第一段副歌“你却未看过一眼”这句的感情郁积是亮点！</t>
  </si>
  <si>
    <t>准备上调你的评级，来参加我的一倍票生死战吧！
由于是完整版的全曲，有起承转合，以及两段副歌的情绪区分，你得到我的票了</t>
  </si>
  <si>
    <t>Pro来的，滴水不漏，挑不出毛病，第一次听就会爱上，我爱死你了
这首歌有很多音高和情绪递进的段落，每一次递进都处理的很好
我想学习你副歌的力度收放处理，有一种老艺术家的醇厚美
叙事型三倍票（1/3）一张</t>
  </si>
  <si>
    <t>用很华丽的声音在做很草的事情，很喜欢这种反差感
尤其是用女歌姬唱这种非常传统男性视角的歌曲，有点后现代荒谬味道了
好想拽一堆文科概念来表达我的看法，但我怕被误认为deepseek有谁懂这种感觉
混音疑似有一点点听不清，要是人声再靠前一点就更有感觉了</t>
  </si>
  <si>
    <t>其实关键还是唱法，如果是还原或者幽默整活的唱法，会得不到我的后现代抽象分
还有，这竟然是精简版？
这个剂量，即使是精简过后，对我来说也有点超量了</t>
  </si>
  <si>
    <t>谁说耳听为虚，我这不就听到〇了吗</t>
  </si>
  <si>
    <t>动态忽大忽小的有点影响欣赏，和声用心了，两句“谁去明天……别让今天……”都很好听</t>
  </si>
  <si>
    <t>配色里塞了个绿色是想表达“玉”的质感吗，有点画质受损感，其实紫白就很好</t>
  </si>
  <si>
    <t>感谢推歌</t>
  </si>
  <si>
    <t>歌姬选的明明很适合，下次多调一调</t>
  </si>
  <si>
    <t>配色也挺适合的</t>
  </si>
  <si>
    <t>有的字被压了有的字又突出来了，特别是”假条“”发条“那几处，要重点优化</t>
  </si>
  <si>
    <t>好响，是不是在有意还原老式收音机那种全损音质感？</t>
  </si>
  <si>
    <t>喜欢，这个版本像阅历丰富心底有很多故事的成熟大姐姐，声音好醇厚，对唱和声设计也好</t>
  </si>
  <si>
    <t>三倍票决赛圈选手之一
因为两首雨爱我都非常喜欢，不愿意偏心，最后决定都给你们一倍……</t>
  </si>
  <si>
    <t>不熟悉的方言，不敢评</t>
  </si>
  <si>
    <t xml:space="preserve"> 战斗爽！战斗爽！机关枪一般迸发的咬字，细节也处理的不错，很王道劲曲的感觉
这几天不知不觉听了好几遍决定上调到A+，真的太爽了行云流水一气呵成，可惜三倍票不够了……</t>
  </si>
  <si>
    <t>慢热型选手，越唱越进入状态，慢慢从故事的讲述者变成了代入者，后面完全浑然天成了，太爽了
但是我去听了一下原曲，感觉可能要收回三倍了，对不起，竞争太激烈了……</t>
  </si>
  <si>
    <t>高光段落来的较晚也有一定的原因，多数我给三倍的歌曲都是一上来就特别抓我的</t>
  </si>
  <si>
    <t>原唱的声线并不是全程都萌妹感软软的，尤其是“别怕”处明显有变化，作为还原向仍需努力啊</t>
  </si>
  <si>
    <t>叠甲：我不是泠鸢粉丝，我只是路人，原曲是现搜来听的……</t>
  </si>
  <si>
    <t>我是Rose嬷嬷，我听不得这个。）其实是有办法调好了让我笑出来的，目前的质感还是太粗糙了</t>
  </si>
  <si>
    <t>能不能让我们Rose唱一点正常的东西😭不说了我要去AF看看有无Rose神调</t>
  </si>
  <si>
    <t>细节不错不错！让我想到了几位喜欢的唱见，很有活人感，喜欢“赐我替你”的咬字！</t>
  </si>
  <si>
    <t>前面中规中矩，后面娘出来的部分对轨咬字都有一点拉后腿了</t>
  </si>
  <si>
    <t>男生高音有一点点虚了，对唱不太融洽，女声不错，偶有一两句挺轻松写意的好听</t>
  </si>
  <si>
    <t>配色很雅</t>
  </si>
  <si>
    <t>收放自如的感觉很爽，如同歌词一般，既有“曲折”也有“骨骼”，都表达的很到位！</t>
  </si>
  <si>
    <t>依旧感谢推歌！</t>
  </si>
  <si>
    <t>一开始听着声音太干燥粗糙，太过颗粒感，后面渐入佳境了就感觉很适合，孤芳自赏的感觉（褒义）</t>
  </si>
  <si>
    <t>到后面又给我一种太颗粒太干燥的感觉了，减回来一点</t>
  </si>
  <si>
    <t>声线拿捏得不错，给点xp分，调的唱法很贴合词曲氛围那种文青感</t>
  </si>
  <si>
    <t>这个版本咬字和音色有一种少女的明丽感，虽然是略带苦涩的歌，但听过以后心情会变好！</t>
  </si>
  <si>
    <t>两个雨爱真的不相上下，这种同台竞技的感觉太好了，我有点磕你们了</t>
  </si>
  <si>
    <t>听着很可靠很有安心感的声音，最后的英文咬字略出戏，不得不减一点分</t>
  </si>
  <si>
    <t>家里有在医院工作的人，对这个主题很有共情……</t>
  </si>
  <si>
    <t>副歌假声不赖。但是前面有些地方发音有一点模糊不清，也可能是混音的问题？唱的更清晰会好些
中后段有些乏力，有一点留不住我。</t>
  </si>
  <si>
    <t>好听好听！不过对于牧心的性能来说呢，前半段还是预期之内的表现，后面有惊喜
我反复回味了一下，这个风格唱法其实感觉不到任何刻意感就是非常顶级的调校了，爱你</t>
  </si>
  <si>
    <t>我要把你作为评价牧心的一个标杆</t>
  </si>
  <si>
    <t>前面中规中矩，副歌“轻拂过”出来的时候音色音高有点出戏，像不小心暴露了你是电子歌姬</t>
  </si>
  <si>
    <t>唱法对于这个内容主题来说太轻了，隔靴搔痒的感觉，忽略掉歌词的话没啥缺点倒是</t>
  </si>
  <si>
    <t>整体上有一种镜花水月的听感，气息可以做的更细腻一些</t>
  </si>
  <si>
    <t>女声部分非常抓耳，出彩的点很多，男生四平八稳，律动也比较无懈可击，我一直在等女声出来</t>
  </si>
  <si>
    <t>不是乱世害了你，是sv的电子气噪害了你啊！下次来个15-18k左右的高切试试</t>
  </si>
  <si>
    <t>上半场调的还不错的歌，在下半场出现这个，就像喜欢的动画片续作烂尾一样难受…</t>
  </si>
  <si>
    <t>一两个假声蛮抓耳的！可惜这条赛道卷的厉害，整体还得做的更生动</t>
  </si>
  <si>
    <t>唱的僵硬了，尤其rose，十足入机感，可以多点抑扬顿挫的动态和点缀，粤语勉强能听吧勉强</t>
  </si>
  <si>
    <t>作为邦邦人还是要尽量在外面给大家留下好印象</t>
  </si>
  <si>
    <t>声线选的好！咬字是蜻蜓点水的听感，很文艺，是我偏爱的风格，可惜短了短了</t>
  </si>
  <si>
    <t>老师你调的真的很好，有一种欲说还休的叙事感！好期待你用完整版歌曲参赛</t>
  </si>
  <si>
    <t>倒数计时的部分很温柔</t>
  </si>
  <si>
    <t>你也是走文艺路线的，很细腻很舒服，而且很难能可贵的是副歌并不抢戏、没有匠气感
很多人会觉得“这是比赛，我应该用尽全力去调”，但你做的这么内敛，实在正中我下怀</t>
  </si>
  <si>
    <t>选曲非常有品，不得不严加要求。虽然你的发音、和声、各种后期效果都用心做了，但原曲里处
理得很惊艳的几个点没有相应的感觉…我好像认得你，你全力发挥肯定不止这水平，下次加油</t>
  </si>
  <si>
    <t>居然是正经调教，声线选的好清新，还行？有几个语调pit迈太大扯到裆了</t>
  </si>
  <si>
    <t>你有点Pro，我的水平不敢妄评，真的Pro</t>
  </si>
  <si>
    <t>对不起我认不太全声库，第一个出来的低音炮的人有一点油，还好我听到了后面
后面两位的声线还是很有吸引力很sexy的！我的分主要是打给后两位的…</t>
  </si>
  <si>
    <t>英语部分很稳！没有出现那种一唱到英语就出戏的感觉真是太好了</t>
  </si>
  <si>
    <t>要是我的一倍票够多我就送你上去，太好笑了，听到后面已投降，沉浸在你的艺术里了</t>
  </si>
  <si>
    <t>给你一个B如+</t>
  </si>
  <si>
    <t>调的很美丽，咬字超舒服，和声美味可口，但你的混响总是在我的世界回荡…而且你好短！
换了个设备听混响好像好一些了，遂调高评分。</t>
  </si>
  <si>
    <t>调长一点我就给你A了你知道吗，好可惜！</t>
  </si>
  <si>
    <t>文学少女感很足，前面情绪一直在积蓄，最后一段副歌终于释放出来了，我愿意为你听到最后</t>
  </si>
  <si>
    <t>声线气质上捏的蛮对味的，但是口音和咬字没到位，就没有原唱的那种登味、说教炫耀感了。</t>
  </si>
  <si>
    <t>而且还不是完整版，这首歌不完整的话文学性真的会下降到很低，纯景观凝视了</t>
  </si>
  <si>
    <t>声线是非常非常对我xp的，但调教的人工痕迹有点重，反而失去了“三份拙劲破天下”该有的利落感</t>
  </si>
  <si>
    <t>高品位，纯粹的艺术，你把许多跨越历史和时代最深沉凝重的情感带到了我面前…
学生时代起就一直很喜欢词牌改编音乐，我始终认为朗诵不足以展现词的艺术性，一定要唱出来
只有唱出来才是它在历史文脉里，在都市教坊或山野边关中真实存在过的姿态…
叙事型三倍票（2/3）一张。</t>
  </si>
  <si>
    <t>配色也好看</t>
  </si>
  <si>
    <t>各种换气，气息的细节，好真实细腻，特别加分！但前面混响开太大了注意一下</t>
  </si>
  <si>
    <t>从你这里开始我忍痛把所有混响开太大的降低一级</t>
  </si>
  <si>
    <t>人声和伴奏有点各干各的</t>
  </si>
  <si>
    <t>各种小颤音的思路是对的，但有些地方颤得不太自然，还需加油</t>
  </si>
  <si>
    <t>从小留守儿童 听着还是比较有共情加分的……</t>
  </si>
  <si>
    <t>声线好，但Pit抖，需要一定的耐心才能听到有高光的部分，前期容易被遗漏的一首作品，为你加油</t>
  </si>
  <si>
    <t>pit操作痕迹略有点重</t>
  </si>
  <si>
    <t>挑不出毛病，哪里都很好的作品，词句间有一种藕断丝连之意，好细腻好喜欢</t>
  </si>
  <si>
    <t>蛮精致的声音，非常喜欢“敌过风沙漫天与她相携”这一句</t>
  </si>
  <si>
    <t>“鬓间一点傲梅香”这句可能略显仓促了</t>
  </si>
  <si>
    <t>最后一句能品出一点情感，但你好短</t>
  </si>
  <si>
    <t>配色有意思</t>
  </si>
  <si>
    <t>选曲有品，味道超级对，听得我好爽！几处“迷了路/在迷雾”的高音可以放得再空灵一点</t>
  </si>
  <si>
    <t>aver口音稍有点出戏，在你让人意识到这首歌是用aver调的那一刻起，整体评价标准都不得不
再提高一些了，好在你的唱法设计有不少巧思，能让人感觉到不是仅仅在依赖声库性能</t>
  </si>
  <si>
    <t>想到要加气泡音和颤音已经不错了，各种方面优化一下会更自然
副歌的咬字太平均了，感觉像打字机一样一个个打出来过去了，有点僵硬</t>
  </si>
  <si>
    <t>喜欢你的卸力处理！虽然爆发不够，但可以理解，毕竟这个声库想调出大力不容易，我也在学习中
我们一起进步吧……</t>
  </si>
  <si>
    <t>虽然歌名写错了但还是感谢推歌</t>
  </si>
  <si>
    <t>比较古法（褒义）的pit，像这样的调法来A组，我会给你很多偏爱
但同样缺一点爆发力，都古法了，不如大胆一点！将我的繁文缛节弃置于此！战斗爽！</t>
  </si>
  <si>
    <t>感谢推歌+1</t>
  </si>
  <si>
    <t>看得出修掉了很多aver会犯的瑕疵，但是在此之上还有很大的更进一步的空间
aver是一位唱法设计潜力巨大的歌姬，还是希望能听到多多发挥创造力的调教</t>
  </si>
  <si>
    <t>细节是有一些很好的想法的，但是调子被和声带跑了</t>
  </si>
  <si>
    <t>刚起床，耳朵有点不灵敏，听不太出调子是自己跑的还是和声带跑的，总之有点可惜</t>
  </si>
  <si>
    <t>混音完成度有点低，主歌咬字像嘴里含了东西，是不是声库性能受限了？有点可惜
“青竹早凋”句很美，但我为了听到它等待了太久。</t>
  </si>
  <si>
    <t>你的声线也是能拿我xp分的，有几句唱的色色的，张力和咬字真的要加油</t>
  </si>
  <si>
    <t>我很喜欢你的咬字和pit，细节有很多我可以学习的地方，将反复回味聆听（回味完上调到A了）</t>
  </si>
  <si>
    <t>调的既让我觉得很强、又让我觉得踮起脚摸一摸就能学到，天下岂有这种美事？！</t>
  </si>
  <si>
    <t>主歌唱在我的xp上了卧槽，老公……副歌差一点点意思，不过卸力好美味
我其实分辨不出来是牧心在我xp上还是你在我xp上，整体给分保守一点吧</t>
  </si>
  <si>
    <t>从这里开始忍痛回去把很多B+改成B，因为我觉得老公你比他们厉害</t>
  </si>
  <si>
    <t>选曲触发严标准。不是把声线调到我xp区上就能拿到我的票的，还得调一调咬字动态张力之类的东西
福禄寿的歌，在单字内部的参数变化学问很多，你得逐字推敲才有那种感觉</t>
  </si>
  <si>
    <t>这集神了，Pro，把声库玩弄于股掌之间，仿佛在展示自己的赛博声带，我将严肃学习每一个细节
以后这首歌在我这里大概会成为某种剑谱一样的存在吧，我请教起发声技巧的时候就会说
“就像爱爱爱爱这首歌几分几秒那里的处理”这样的话……真的是教科书级的，跪求教程掉落
技术型三倍票（2/3）一张。</t>
  </si>
  <si>
    <t>谁家小孩？你成功引起了我的注意，今天听第二遍感觉后面一般，略降低一点点</t>
  </si>
  <si>
    <t>忍痛再调低一点，来打一倍票生死战吧</t>
  </si>
  <si>
    <t>人声离我有点远，aver有一些咬字不太中国人，解决这些以后应该是个漂亮的作品，加油
其实细节是有的，可惜混音拖后腿了</t>
  </si>
  <si>
    <t>选曲触发严标准。主歌很有感觉（但气泡音有点打嗝），副歌缺点力气，真假声转换也该更鲜明些
调校细节以及对歌姬的了解程度还有很大上升空间，我希望你明年再来挑战这个风格</t>
  </si>
  <si>
    <t>语感太真实了，能让我脑补出舌头在歌姬口腔里跳动的感觉，上面有赛博声带，你这个是赛博舌头
从前对这种风格的歌不太感冒，但是你的调校让我对它产生了很多兴趣，这大概就是歌唱的力量吧
技术型三倍票（3/3）一张。</t>
  </si>
  <si>
    <t>对不起想投3倍的太多了我再考虑考虑
无需考虑了你直接拿走我的票！</t>
  </si>
  <si>
    <t>转音很舒服，最后“天光大亮”那里微微松了一下深得我心</t>
  </si>
  <si>
    <t>参赛前复习了很多往届高排名优秀作品，你真的有他们的影子，可惜这届神仙太多
借用一句歌词：我觉得我应该换种方式与你相遇…</t>
  </si>
  <si>
    <t>作为一个滔搏粉丝，我对这首歌的评价恐怕也要很严格（草）如果你调的不够还原，
或者不够独具匠心，还有明显瑕疵，那我就会觉得，你只是在蹭这个梗而已，我会给的低一些</t>
  </si>
  <si>
    <t>被上半场的陀螺完爆了，陀螺之间亦有差距</t>
  </si>
  <si>
    <t>很温厚有生活感的声线 或许并不出挑抢眼，但平平淡淡才是真</t>
  </si>
  <si>
    <t>三倍？十倍！无敌的选题和诠释，立意和技巧都是顶级，视频icon和配色传递的概念又使它
更加无懈可击。再无话说。我想让你拿冠军。叙事型三倍票（3/3）一张。
声线和原唱的微妙差异也很好品。原唱更有成熟感，像是诉说发生在自己身上一生的故事，而
这个版本的声线更加年轻，就设定而言，有一种年纪轻轻就离世又反复转世，于是化作了无数
女性曲折命运的集合体，以鬼魂的姿态冷眼旁观着这个世界的感觉，两种都很棒！</t>
  </si>
  <si>
    <t>能和这样的作品参加同一场比赛并给它投票是我莫大的荣幸
都在说你是“女鬼”，其实我觉得这样有点消解主题的严肃性了。
请别再叹息什么红颜薄命！</t>
  </si>
  <si>
    <t>你比那个rose的版本调的更有人味一点，但还是不够东北味</t>
  </si>
  <si>
    <t>这个风格不了解诶……评不了</t>
  </si>
  <si>
    <t>声线对于选曲而言略显单薄，高音听着有些挣扎感，咬字可以做的更清晰铿锵一些</t>
  </si>
  <si>
    <t>KTV感</t>
  </si>
  <si>
    <t>声线和咬字都蛮清脆的，同样是可以更铿锵有力一些，和声很舒服。</t>
  </si>
  <si>
    <t>三倍为何不够用！为何不够用！这天命要害我口牙……
广东人来了，真的很有本土感非常亲切的粤语发音，情绪递进唱法处理都特别好</t>
  </si>
  <si>
    <t>“谁言冷漠是天生”这句调的太好了。整首歌总体上是一种自带深沉故事感的唱法，很有魅力
有一些细节上的小瑕疵？但我真的很爱你的叙事性，平等的爱每首努力讲好一个故事的作品。</t>
  </si>
  <si>
    <t>全错。我很少用这两个字形容一个东西，可能是猜歌环节期待太高了。
你的声库选择，你的节奏律动，唱法，粤语咬字，唉你真的……你真是……
歌词里的逃避、逃命只是情绪郁结下的言不由衷，不是那种废柴自暴自弃的逃避啊。
这首歌要高一些才有那种孤高破碎感，不要降八度，试一下-2key用男声翻唱看看</t>
  </si>
  <si>
    <t>稍微多说一点吧。这首歌的情感矛盾点来自于“我”对爱情具有
精神洁癖一样的高要求，却在现实的关系中一再失望
但是失望并不影响“我”继续坚持自己这种孤高的原则……
所以无论唱成什么样，丧气认命的摆烂感是绝对不允许有的。加油！</t>
  </si>
  <si>
    <t>超对我xp的声线，xp分首先给到满。古风赛道熙熙攘攘，很多时候见面就是声线一剑封喉定高下
原曲的副歌高音略轻拿轻放，配合喜庆的伴奏，总有一种张灯结彩去庆祝平淡日常生活的感觉，其实我更喜欢你的处理，一方面是更有辨识度，另一方面这个声线就是要唱的有身段曼妙的感觉才sexy…
xp型三倍票（1/1）一张。</t>
  </si>
  <si>
    <t>有没有人统计一下我提了多少次xp，对不起我真的很爱暴露自己对这种声线的癖好</t>
  </si>
  <si>
    <t>8次</t>
  </si>
  <si>
    <t>很手法向的调教，注重pit的变化，在比赛里会很吸引人，其他参数再多动一动就更好了，声线！</t>
  </si>
  <si>
    <t>细节蛮多的要夸一下，但好像用力用错方向了，因为这些细节的塑造奔着悲伤感而不是幸福感去了
要多研究原唱的发声腔体位置，并且克制使用下沉音头和颤音……</t>
  </si>
  <si>
    <t>声线变化可以画的更丰富一些！人声在伴奏面前略显单薄，可以多咨询擅长混音的老师的建议
除了画张力响度，还有增加垫音，和声，以及后期的压缩和伴奏闪避等一系列操作都能帮上忙</t>
  </si>
  <si>
    <t>好温柔的倾诉感，气息和颤音都在我心坎上，如果你来的早一些，就是我给抒情曲打A的守门员了</t>
  </si>
  <si>
    <t>第一秒开始就抓耳！唱法设计跟细节也非常到位，该不该给你三倍呢……</t>
  </si>
  <si>
    <t>这声线唱法设计，xp分也要猛猛给，可惜混音完成度略低一些，想争得我xp三倍票还略有点难
“我问君亦如是，熙攘里无声”给我听哭了…浑身的鸡皮都起来了，我爱你。</t>
  </si>
  <si>
    <t>把你和《看山看水》都送进去吧！好像是同一个人，毕竟技术上确实Pro的不分伯仲啊</t>
  </si>
  <si>
    <t>下面这个区域质量太高真的是一种幸福的烦恼，分票分的我好头疼！</t>
  </si>
  <si>
    <t>喜爱古法调教的不可错过，整体上是调教水平拽着声库和混音往前狂奔的一首歌。
喜欢你“人海”的转音。</t>
  </si>
  <si>
    <t>我外文很菜！基本上只是凭着听歌的经验在评，遇到平常听得多或调过/唱过的曲子就会稍微严一些……这届没有参加AF，投票也就偏随意了，总之是鼓励向钝评！</t>
  </si>
  <si>
    <t>不会韩语）总体上律动和混音的氛围感都很不错！声音很真实，没有出戏到被发现是调出来的地方</t>
  </si>
  <si>
    <t>音色好听，整首歌的变化跃动感很强，可惜气泡音处理的略显粗糙</t>
  </si>
  <si>
    <t>选了我很喜欢的歌，需要高标准严要求。调教的方向和声库性能有点打架了
pit线有很多突兀的地方，咬字和气音的处理可以再多打磨一下
个别句子的处理是非常好的，很接近原曲，原曲唱法和声库特点存在冲突的地方则应该主动求变</t>
  </si>
  <si>
    <t>你选择了一个下限很高，但是容易出小差错扣分的声库，想把她调好其实主要看两点
一是有没有耐心去一个个修正发音咬字，气声齿音方面明显听感不对的细节
另一个就是声线不能太单调，要多做设计，这两点缺一不可</t>
  </si>
  <si>
    <t>很深情的一首歌，听得出来调了很多的细节！气泡音可以再优化一下</t>
  </si>
  <si>
    <t>声库先天问题导致气声有点重，不过瑕不掩瑜，调教水平真的很高，感情充沛律动鲜明
声线画的很美丽，目前在这个声库所有参赛作品里面最喜欢你的声线设计</t>
  </si>
  <si>
    <t>神了，浑然天成的感觉，这谁能想到是调出来的…难道今年AF又是英文的王朝了吗</t>
  </si>
  <si>
    <t>喜欢你的律动和张力，但人声在副歌段总体显得有些单薄，被伴奏小压一头了</t>
  </si>
  <si>
    <t>稳稳的很安心，挑不出什么问题，声线设计可以更富有变化一些</t>
  </si>
  <si>
    <t>快歌更需要通过音色设计、张力上的强弱区别和个别装饰音来减少单调感</t>
  </si>
  <si>
    <t>有个别高音、长转音听起来像唱不上去或跑调，混音要好好处理一下高频气噪和齿音，加油</t>
  </si>
  <si>
    <t>唱法设计不错！咬字语感微妙的不太对，可以多研究一下日语英语发音，总的来说挺好听的
Kill的发音有些不统一，有的是英语有的是日式英文，不知道是否刻意为之，使用同一种念法会比较好</t>
  </si>
  <si>
    <t>如果要用不完整版参赛的话，也尽量剪一下前奏，让大家尽快听到你调教的部分
邦邦人加油</t>
  </si>
  <si>
    <t>很元气的声线，喜欢，混的有点不太清晰糊糊的</t>
  </si>
  <si>
    <t>声线很对xp！气息的细节和动态设计也都很抓耳，涩涩的（？）</t>
  </si>
  <si>
    <t>整体不错诶，wanted等词语的发音咬字需要修正
有些地方pit明显不自然，还能再修一修</t>
  </si>
  <si>
    <t>中规中矩的rose作品，需要更多精细化的动态和声线设计，怒音想法挺好，但是用的有点奇怪</t>
  </si>
  <si>
    <t>请全体rose参赛选手速速学习AF2029弱段动态和唱法处理…</t>
  </si>
  <si>
    <t>装饰音和一些小气泡音用的很灵动，难能可贵的是没有满足于声库自带的各种细节处理
而是在此之上更进一步，调教技术和声库性能非常相得益彰的一集，爱你</t>
  </si>
  <si>
    <t>选曲有品，触发我史上最严评价标准了，晓之车是我16年来每年都听的最多的几首日语歌之一
除了去齿音开过头了以外，调的其实是没什么问题的，音色选的很对！唱腔和EQ都有种复古感）
副歌的连续高音可以略放空一些，口型也不要太大，否则很容易有用力过度硬顶的感觉。
3分钟起“想い出を…”的桥段，其实是在连续高音之间用来调整气息休息放松的一个地方，听感上
同样松弛些为好，咬字不能太重太急，颤音也可以减少一些，处理成一种低语而不是如泣如诉感</t>
  </si>
  <si>
    <t>总体上说，这首歌的理解和唱法设计都很对我胃口
怀旧的声线和唱法，确实给了我一种站在旧时代，面向夕阳挥手告别的感觉
需要更好的后期工作，才能完美传达出你的想法…</t>
  </si>
  <si>
    <t>对声库要有非常深刻的理解才能调出这种效果，主歌弱段的处理深得我心
所有rose选手都应该来这里学一下画线，要知道她有收放自如的能力，要有好好打磨主歌的意识
副歌还是有点收敛了，因此难以竞逐更高排名，但你让我看到了用rose挑战很多新晋声库的可能性，
期待下一届继续用rose参赛，我将全力支持你……</t>
  </si>
  <si>
    <t>多说两句。曾经看到b站有一个用ykn的ai换声这首歌的视频，播放量莫名其妙的很高
当时我在想，什么时候才能有人用rose调出一个不同于原唱的好听的版本呢？
虽然还有一些遗憾，但这种调教和混音的风格大体就是最适合rose的解法了</t>
  </si>
  <si>
    <t>声线调的我很喜欢！有些地方力度突然放轻了略影响听感，似乎还有一些地方微微跑调？
混音需要加强，目前在人声伴奏平衡和高频处理方面略显粗糙</t>
  </si>
  <si>
    <t>另外感谢推歌~</t>
  </si>
  <si>
    <t>好深情的一首歌！pit上可以再多做一些设计，声库自带的气噪和齿音也需要更加积极的去抑制</t>
  </si>
  <si>
    <t>02:25好像有一点小瑕疵，略微扣分</t>
  </si>
  <si>
    <t>久仰大名，AF有许多歌是原曲我已经听过很多很多遍的，但这首不太一样
这首是我听了你调教的版本以后连夜去补了很多很多遍原曲……
各种转音和小的装饰音调的都很好，和声的配合也很到位，调教跟混音都得了MVP的一个作品</t>
  </si>
  <si>
    <t>喜欢你的唱法，收放自如，需要张力的地方也给的很足，弹舌、气泡音和卸力的细节超有感觉！</t>
  </si>
  <si>
    <t>神金，害我笑了一下</t>
  </si>
  <si>
    <t>起锚！战斗爽！这首歌也是不间断听了14年 所以我的要求会高一些
前面非常惊艳，张力超级足，单字的pit处理特别有顿挫感和爆发力，跟鼓点配合的很好
虽然这个手法听到后面会有一点点审美疲劳，总体上依旧是超级惊喜的作品</t>
  </si>
  <si>
    <t>调教手法偏速战速决，和歌曲长度配合的比较好，如果是完整版这么调反而不适合
失真感这么强的音色可以试一下配roselia版的伴奏的，前奏会更燥，长度也正好</t>
  </si>
  <si>
    <t>这个复古的声线和唱法捏的很有意思，部分转音有一点点不够果断</t>
  </si>
  <si>
    <t>很深情的一个作品…好充沛的情感，强弱对比做得很好，细节处理也很足，爱你</t>
  </si>
  <si>
    <t>这歌力气足！喜欢你的尾音卸力，高频稍微有一点点刺混音可以再优化下</t>
  </si>
  <si>
    <t>稳稳的听着很舒服，有些音头咬字可以轻一点点？</t>
  </si>
  <si>
    <t>声线捏的好，唱的也很流畅自然，喜欢你的丝滑感。强段可以唱得更激昂一些</t>
  </si>
  <si>
    <t>有点太轻了，对这首歌的期待比较高，希望能听到感情更充沛张力更强的处理</t>
  </si>
  <si>
    <t>唱的好温柔，有一种乱花渐欲迷人眼的感觉……咬字语感对于这个声库而言已经做得很好了
你离冲击更高成绩只差一个更合适英文调教的声库了</t>
  </si>
  <si>
    <t>难道是评委下场，但故意用跨语种限制自身实力……？
印象里英文调的这么好的人，一般是很难忍受跨语种带来的中式发音的）</t>
  </si>
  <si>
    <t>选歌十分有品。空灵细腻的声线，气息里连带着一种微微的痛感，真美丽啊……
不仅很有蓝月的味道，还有一点Empty old city的感觉，我爱你</t>
  </si>
  <si>
    <t>能感受到你有一些律动张力的思路，但是英文发音和后期混音有很多可以改进的地方</t>
  </si>
  <si>
    <t>声线美丽，调的也不错，就是缺一些明显的记忆锚点
最后一段副歌的长转音有点机械了，如果调得空灵一些不要那么实会更好！</t>
  </si>
  <si>
    <t>很温柔，很对我xp的声音，调的也很稳！我爱你</t>
  </si>
  <si>
    <t>另外感谢推歌</t>
  </si>
  <si>
    <t>声库选的不错，但没有完全发挥出她的性能，整体声线捏的有一点偏细偏夹了
装饰音和气音的处理也需要加强</t>
  </si>
  <si>
    <t>还有一点是，虽然你标的是LIVE版，但混音的处理太干净了，反而像是录音室版</t>
  </si>
  <si>
    <t>在声库的选择和使用上，你的情况和上一位是比较类似的，还需加油！</t>
  </si>
  <si>
    <t>很周正的一个作品，味很对，喜欢这种咬字清晰分明的感觉
不知道是不是音域的问题，声音好像稍微有一些粗颗粒感</t>
  </si>
  <si>
    <t>音色还是比较有粗颗粒的摇滚感的，英文发音很需要加强……</t>
  </si>
  <si>
    <t>选的声库很适合这首歌，有品。主歌一上来略显僵硬，力度控制，咬字连贯性和细节都要加强，
副歌的感情表达有点依赖声库本身性能了，多加进来一些自己的想法吧</t>
  </si>
  <si>
    <t>到了熟悉的选曲就会忍不住变得非常严格……</t>
  </si>
  <si>
    <t>开口跪，咬字动态很抓耳很舒服，调教非常好，就是男声的声线可能选得略粗了一些</t>
  </si>
  <si>
    <t>就好这一口疯感！超级战斗爽的一首歌，调教和混音都很完美
律动和咬字掷地有声一个个砸在我天灵盖上实在是太爽了
副歌里歌词重复、递进的部分能感受到微妙的区别，步步紧逼的感觉</t>
  </si>
  <si>
    <t>帅帅的，后期混音的处理和调教思路结合的非常好</t>
  </si>
  <si>
    <t>高手来了，主邦和草榜都非常有竞争力的选手，声库选的也很有品，给到你A+</t>
  </si>
  <si>
    <t>扒谱大王来了，这个有点强</t>
  </si>
  <si>
    <t>还有高手？！这首的味道太对了，整体氛围和细节处理都无可挑剔
声线有一种肆无忌惮蔑视一切俗世规则的不羁感，各种小装饰音，弹舌，气泡音更是在危险边缘游刃有余地舞动的感觉，技巧和感情都超级到位，我爱你</t>
  </si>
  <si>
    <t>听起来轻轻的。感觉有点占了热度带来的“大家都知道这首歌在讲什么”的便宜
如果它是一首默默无闻的歌，那这个调教的唱法，是不足以把背后的叙事和情感传达到位的。
但是句间一些小的气息和颤音处理又挺抓人，总体上像是遮遮掩掩，尚未鼓起勇气直面往事的状态。</t>
  </si>
  <si>
    <t>邦邦人加油</t>
  </si>
  <si>
    <t>律动不错！我很喜欢这种相对克制，不刻意炫耀的调教和混音风格
有一种所有波澜迭起的故事，都发生在狭窄的空间中的感觉</t>
  </si>
  <si>
    <t>感谢推歌，配色也很好</t>
  </si>
  <si>
    <t>选择的音色和唱法确实美丽，可是有点单一，这么长的曲子还是要多加一些变化才有起承转合感</t>
  </si>
  <si>
    <t>原来是这首whiplash！有一些字落拍慢了，不了解韩语就不评韩语部分了，英语还蛮不错
切换语言的时候没有明显出戏的感觉，尾音略僵硬，可以再多画一些pit和性别变化，凸显妖艳危险感</t>
  </si>
  <si>
    <t>有点扎耳朵</t>
  </si>
  <si>
    <t>视频也有点扎眼睛</t>
  </si>
  <si>
    <t>从pit能感受到你学习优秀作品的决心，期待你继续进步，这条赛道还是有点卷的</t>
  </si>
  <si>
    <t>音色超级抓耳，有一种循循善诱的感觉让我忍不住往下听，假声转换好美丽，感谢款待
没听够。我们下届比赛一定要再见！</t>
  </si>
  <si>
    <t>原曲其实我听的有点腻了，但你调的很好听让我对它又有了兴趣，谢谢你</t>
  </si>
  <si>
    <t>调教手法和声库性能比较相得益彰的一集，完成度好，听感不错，要是能多一些小惊喜就好了
声线可以画的更富有变化一些…</t>
  </si>
  <si>
    <t>相比撞车对手，pit自然多了，完成度不错，但尚有一些肉耳可辨的瑕疵。我就说这条赛道太卷了…</t>
  </si>
  <si>
    <t>配色好看</t>
  </si>
  <si>
    <t>很平稳的一个作品，基本功足，正所谓善战者无赫赫之功</t>
  </si>
  <si>
    <t>我比较偏爱你选择的这个声线所以会给的高一些，rap段也不错。
这首曲子有许多很优秀的版本，可以选择一些比较有特色的，学习下他们的唱法，让自己更有辨识度</t>
  </si>
  <si>
    <t>名曲的翻调翻唱太多了会拉高听者的心理门槛，下次可以选择压力没这么大的作品</t>
  </si>
  <si>
    <t>很有飘逸感的造语歌曲，声线蛮可爱的，装饰音可以做的更大胆一点，混音也稍显朴素了</t>
  </si>
  <si>
    <t>非常优美的第一印象，唱腔很复古，勾起了很多美好的回忆…全局和细节都很美的作品</t>
  </si>
  <si>
    <t>调教水平是很高的，声线选的对，各种细节非常有感觉，可惜和晓之车一样被后期给害了</t>
  </si>
  <si>
    <t>耳语感蛮有意思的！但是气声忽大忽小，略微有点影响听感</t>
  </si>
  <si>
    <t>一倍票争夺激烈的情况下，减少影响听感的地方就很重要了……</t>
  </si>
  <si>
    <t>声线选的很对味！</t>
  </si>
  <si>
    <t>不懂俄语不敢评，声线似乎有点虚虚的，动态变化可以更多一些</t>
  </si>
  <si>
    <t>声线捏的好，动态跟转音做的也挺有意思的！假声也好听，但发音咬字略感违和，有点跨语种感</t>
  </si>
  <si>
    <t>还没仔细听，我很喜欢你的歌词，考虑参加原创曲比赛吗
……听完发现不仅应该参加原创曲比赛 还应该去中文组，这中文明显比外文多啊！不评了</t>
  </si>
  <si>
    <t>听说你本来就是在AC组，是被移下来的？感觉还是在原位比较好哦
更不用说被移组之后影响了表格对齐还有扰乱大家猜歌方向这个事））</t>
  </si>
  <si>
    <t>英文填词勇气可嘉，可惜一方面声库的声线音域不太适配，另一方面发音咬字也很多瑕疵</t>
  </si>
  <si>
    <t>词本身槽点也蛮多的，不过因为是调教赛就不细说了……</t>
  </si>
  <si>
    <t>动态强弱变化和真假声转换很有设计感，潜力很强！我喜欢你，期待你今后更进一步的作品
声线可以多做一些变化</t>
  </si>
  <si>
    <t>很喜欢逐渐递进紧张起来的情绪，张力诠释的太好了！咬字还是有点略显稚嫩，但瑕不掩瑜</t>
  </si>
  <si>
    <t>空灵感拿捏得很好！就是音色动态等方面还是有一些平淡，加油</t>
  </si>
  <si>
    <t>慕名而来……开头的李白太好笑了，有想过这届比赛会不会有人调这个，没想到在AF组
调的帅帅的，后期配合的也很好，又是一位主榜草榜兼具竞争力的高手，你来压阵真是太爽了
但最后的.h音素听着好像有一点点卡痰，尚可优化</t>
  </si>
  <si>
    <t>最后一首是你这对我的耳朵非常好</t>
  </si>
  <si>
    <t>钝评评语</t>
  </si>
  <si>
    <t>我很菜
我很菜
我很菜
我很菜
我很菜
我很菜
我很菜
我很菜
我很菜
我很菜
我很菜
我很菜
我很菜
我很菜
我很菜
我很菜
钝评</t>
  </si>
  <si>
    <t>节奏，对轨有点问题，但很有想法，敢于探索</t>
  </si>
  <si>
    <t>部分技巧运用不恰当，但很有想法，敢于探索</t>
  </si>
  <si>
    <t>部分地方有点炸炸的，air还是exciter拉多了的感觉，总体如仙乐耳暂鸣</t>
  </si>
  <si>
    <t>部分地方模拟假声会更棒噢，动态有点小，总体很可爱</t>
  </si>
  <si>
    <t>这首要调好很难，勇气可嘉</t>
  </si>
  <si>
    <t>律动很强，技术不错</t>
  </si>
  <si>
    <t>神，但是有点短</t>
  </si>
  <si>
    <t>细节有点缺失，但总体没什么错误</t>
  </si>
  <si>
    <t>副歌吵吵的听不清，选歌有品位</t>
  </si>
  <si>
    <t>情绪差点意思，主歌咬字有点粘，总体还是能体现技术力的</t>
  </si>
  <si>
    <t>适当做点加法和减法应该会更棒，调得好听</t>
  </si>
  <si>
    <t>咬字有点意思</t>
  </si>
  <si>
    <t>技术力很强，但听着听着柜子动了</t>
  </si>
  <si>
    <t>老师好，能不能发网易云</t>
  </si>
  <si>
    <t>好爽的上拉，副歌可以再爽一点</t>
  </si>
  <si>
    <t>我上班的时候也是这样的，你的调校直达灵魂</t>
  </si>
  <si>
    <t>很温柔，选曲很喜欢，音色塑造可以再甜一点</t>
  </si>
  <si>
    <t>加油，你就是大家从前的样子</t>
  </si>
  <si>
    <t>细节再多一点会更好听，听着像是某个大佬的随手一调</t>
  </si>
  <si>
    <t>强!</t>
  </si>
  <si>
    <t>我先想想怎么夸你</t>
  </si>
  <si>
    <t>尊重所有跨语种，这就已经是技术力的体现了，别的问题基本都是声库的局限</t>
  </si>
  <si>
    <t>低音底噪有点大，降低点bri可能会更好，总体很好听</t>
  </si>
  <si>
    <t>可爱捏</t>
  </si>
  <si>
    <t>不在评价范围内</t>
  </si>
  <si>
    <t>嚯嚯嚯还有合唱环节夸张噢，混音稍微有点低级错误（我混音belike）</t>
  </si>
  <si>
    <t>人声有点糊，有种古法调声的感觉</t>
  </si>
  <si>
    <t>技术力很强，部分小结差点情感。如果原曲不是赤羽唱的我会给你A+</t>
  </si>
  <si>
    <t>总体还是很棒的。不知道是哪个声库，喉塞音部分可以拉低点关系中高频的参数。有些地方炸炸的是调的咆哮音还是声库问题？</t>
  </si>
  <si>
    <t>加油，不要辜负你的热爱</t>
  </si>
  <si>
    <t>注意强弱变化和音色塑造，加油</t>
  </si>
  <si>
    <t>颤音有点过度，细节再多多处理，加油！</t>
  </si>
  <si>
    <t>选曲不错</t>
  </si>
  <si>
    <t>很强的技术力</t>
  </si>
  <si>
    <t>强得嘛不谈了，爽！！一点点小小的建议，加点growl可能会更好，但只是建议，我的技术力远不及你</t>
  </si>
  <si>
    <t>很喜欢你的选曲和调校</t>
  </si>
  <si>
    <t>动态有点弱</t>
  </si>
  <si>
    <t>细节处理很舒服</t>
  </si>
  <si>
    <t>好听，没了</t>
  </si>
  <si>
    <t>人声听不见，填词有意思</t>
  </si>
  <si>
    <t>听得出是会调的，好像是混音有点问题</t>
  </si>
  <si>
    <t>很强</t>
  </si>
  <si>
    <t>部分小节有点听不清，完整性很好，你就是血魔流</t>
  </si>
  <si>
    <t>修饰音有点过度，加油！！</t>
  </si>
  <si>
    <t>上</t>
  </si>
  <si>
    <t>下</t>
  </si>
  <si>
    <t>work_id</t>
  </si>
  <si>
    <t>song_name</t>
  </si>
  <si>
    <t>三</t>
  </si>
  <si>
    <t>普</t>
  </si>
  <si>
    <t>软件技巧</t>
  </si>
  <si>
    <t>主观听感</t>
  </si>
  <si>
    <t>乱品评语</t>
  </si>
  <si>
    <t>AC1001</t>
  </si>
  <si>
    <t>AC1002</t>
  </si>
  <si>
    <t>AC1003</t>
  </si>
  <si>
    <t>前半首歌rose不修咬字,歌姬之间响度不统一</t>
  </si>
  <si>
    <t>AC1004</t>
  </si>
  <si>
    <t>太软了</t>
  </si>
  <si>
    <t>气躁多了点QAQ</t>
  </si>
  <si>
    <t>语感还差了点，3分08秒的“淡”字有点出戏（</t>
  </si>
  <si>
    <t>AC1007</t>
  </si>
  <si>
    <t>AC1008</t>
  </si>
  <si>
    <t>没感觉orz</t>
  </si>
  <si>
    <t>AC1009</t>
  </si>
  <si>
    <t>AC1010</t>
  </si>
  <si>
    <t>结尾炫技失败</t>
  </si>
  <si>
    <t>AC1012</t>
  </si>
  <si>
    <t>AC1015</t>
  </si>
  <si>
    <t>yousa尽力了</t>
  </si>
  <si>
    <t>AC1019</t>
  </si>
  <si>
    <t>AC1020</t>
  </si>
  <si>
    <t>感觉有点夹？</t>
  </si>
  <si>
    <t>AC1021</t>
  </si>
  <si>
    <t>短</t>
  </si>
  <si>
    <t>AC1022</t>
  </si>
  <si>
    <t>AC1023</t>
  </si>
  <si>
    <t>2分47秒转音太出戏了</t>
  </si>
  <si>
    <t>AC1024</t>
  </si>
  <si>
    <t>AC1025</t>
  </si>
  <si>
    <t>AC1026</t>
  </si>
  <si>
    <t>AC1028</t>
  </si>
  <si>
    <t>AC1030</t>
  </si>
  <si>
    <t>AC1032</t>
  </si>
  <si>
    <t>AC1033</t>
  </si>
  <si>
    <t>AC1036</t>
  </si>
  <si>
    <t>AC1037</t>
  </si>
  <si>
    <t>AC1038</t>
  </si>
  <si>
    <t>AC1039</t>
  </si>
  <si>
    <t>AC1042</t>
  </si>
  <si>
    <t>AC1043</t>
  </si>
  <si>
    <t>AC1044</t>
  </si>
  <si>
    <t>AC1045</t>
  </si>
  <si>
    <t>AC1046</t>
  </si>
  <si>
    <t>AC1049</t>
  </si>
  <si>
    <t>AC1050</t>
  </si>
  <si>
    <t>AC1051</t>
  </si>
  <si>
    <t>AC1053</t>
  </si>
  <si>
    <t>AC1055</t>
  </si>
  <si>
    <t>AC1056</t>
  </si>
  <si>
    <t>Peach Pit and Cyanide(桃核与氰化物)</t>
  </si>
  <si>
    <t>AC1058</t>
  </si>
  <si>
    <t>AC1059</t>
  </si>
  <si>
    <t>AC1060</t>
  </si>
  <si>
    <t>AC1061</t>
  </si>
  <si>
    <t>AC1062</t>
  </si>
  <si>
    <t>AC1064</t>
  </si>
  <si>
    <t>AC1065</t>
  </si>
  <si>
    <t>AC1067</t>
  </si>
  <si>
    <t>AC1069</t>
  </si>
  <si>
    <t>AC1070</t>
  </si>
  <si>
    <t>AC1074</t>
  </si>
  <si>
    <t>AC1076</t>
  </si>
  <si>
    <t>AC1077</t>
  </si>
  <si>
    <t>AC1079</t>
  </si>
  <si>
    <t>AC1080</t>
  </si>
  <si>
    <t>AC1081</t>
  </si>
  <si>
    <t>AC1082</t>
  </si>
  <si>
    <t>AC1083</t>
  </si>
  <si>
    <t>AC1085</t>
  </si>
  <si>
    <t>AC1088</t>
  </si>
  <si>
    <t>AC1089</t>
  </si>
  <si>
    <t>AC1090</t>
  </si>
  <si>
    <t>AC1093</t>
  </si>
  <si>
    <t>AC1095</t>
  </si>
  <si>
    <t>AC1096</t>
  </si>
  <si>
    <t>AC1097</t>
  </si>
  <si>
    <t>AC1098</t>
  </si>
  <si>
    <t>AC1099</t>
  </si>
  <si>
    <t>AC1100</t>
  </si>
  <si>
    <t>AF1002</t>
  </si>
  <si>
    <t>AF1003</t>
  </si>
  <si>
    <t>AF1004</t>
  </si>
  <si>
    <t>AF1006</t>
  </si>
  <si>
    <t>Would've，Could've，Should've</t>
  </si>
  <si>
    <t>AF1007</t>
  </si>
  <si>
    <t>AF1008</t>
  </si>
  <si>
    <t>AF1010</t>
  </si>
  <si>
    <t>AF1011</t>
  </si>
  <si>
    <t>AF1012</t>
  </si>
  <si>
    <t>AF1013</t>
  </si>
  <si>
    <t>AF1014</t>
  </si>
  <si>
    <t>勃◯しちゃいました（立起来了）</t>
  </si>
  <si>
    <t>AF1015</t>
  </si>
  <si>
    <t>AF1019</t>
  </si>
  <si>
    <t>AF1021</t>
  </si>
  <si>
    <t>AF1023</t>
  </si>
  <si>
    <t>우리의 푸른 봄에게(致我們青翠的春天)</t>
  </si>
  <si>
    <t>AF1024</t>
  </si>
  <si>
    <t>AF1025</t>
  </si>
  <si>
    <t>AF1026</t>
  </si>
  <si>
    <t>AF1027</t>
  </si>
  <si>
    <t>AF1028</t>
  </si>
  <si>
    <t>AF1029</t>
  </si>
  <si>
    <t>AF1030</t>
  </si>
  <si>
    <t>AF1033</t>
  </si>
  <si>
    <t>AF1034</t>
  </si>
  <si>
    <t>AF1035</t>
  </si>
  <si>
    <t>AF1038</t>
  </si>
  <si>
    <t>AF1040</t>
  </si>
  <si>
    <t>AF1041</t>
  </si>
  <si>
    <t>날 떠난 이유(离开我的理由)</t>
  </si>
  <si>
    <t>AF1042</t>
  </si>
  <si>
    <t>AF1044</t>
  </si>
  <si>
    <t>AF1045</t>
  </si>
  <si>
    <t>AF1046</t>
  </si>
  <si>
    <t>AF1048</t>
  </si>
  <si>
    <t>AF1049</t>
  </si>
  <si>
    <t>AF1050</t>
  </si>
  <si>
    <t>AF1051</t>
  </si>
  <si>
    <t>AF1052</t>
  </si>
  <si>
    <t>AF1053</t>
  </si>
  <si>
    <t>AF1056</t>
  </si>
  <si>
    <t>AF1057</t>
  </si>
  <si>
    <t>AF1059</t>
  </si>
  <si>
    <t>AF1060</t>
  </si>
  <si>
    <t>AF1061</t>
  </si>
  <si>
    <t>AF1066</t>
  </si>
  <si>
    <t>AF1068</t>
  </si>
  <si>
    <t>AF1069</t>
  </si>
  <si>
    <t>AF1071</t>
  </si>
  <si>
    <t>SC1001</t>
  </si>
  <si>
    <t>SC1002</t>
  </si>
  <si>
    <t>SC1004</t>
  </si>
  <si>
    <t>SC1006</t>
  </si>
  <si>
    <t>SC1011</t>
  </si>
  <si>
    <t>SC1012</t>
  </si>
  <si>
    <t>Зоопарк（动物园）</t>
  </si>
  <si>
    <t>SC1014</t>
  </si>
  <si>
    <t>SC1015</t>
  </si>
  <si>
    <t>SC1016</t>
  </si>
  <si>
    <t>SC1017</t>
  </si>
  <si>
    <t>SC1018</t>
  </si>
  <si>
    <t>SC1019</t>
  </si>
  <si>
    <t>SC1020</t>
  </si>
  <si>
    <t>SC1023</t>
  </si>
  <si>
    <t>SC1026</t>
  </si>
  <si>
    <t>SC1028</t>
  </si>
  <si>
    <t>SC1029</t>
  </si>
  <si>
    <t>SC1033</t>
  </si>
  <si>
    <t>SC1034</t>
  </si>
  <si>
    <t>SC1035</t>
  </si>
  <si>
    <t>SC1036</t>
  </si>
  <si>
    <t>SC1037</t>
  </si>
  <si>
    <t>SC1038</t>
  </si>
  <si>
    <t>SC1039</t>
  </si>
  <si>
    <t>SF1002</t>
  </si>
  <si>
    <t>SF1003</t>
  </si>
  <si>
    <t>SF1004</t>
  </si>
  <si>
    <t>SF1005</t>
  </si>
  <si>
    <t>SF1006</t>
  </si>
  <si>
    <t>SF1007</t>
  </si>
  <si>
    <t>SF1008</t>
  </si>
  <si>
    <t>GOOD DAY。</t>
  </si>
  <si>
    <t>SF1009</t>
  </si>
  <si>
    <t>SF1010</t>
  </si>
  <si>
    <t>SF1013</t>
  </si>
  <si>
    <t>SF1014</t>
  </si>
  <si>
    <t>SF1015</t>
  </si>
  <si>
    <t>SF1016</t>
  </si>
  <si>
    <t>SF1017</t>
  </si>
  <si>
    <t>SF1018</t>
  </si>
  <si>
    <t>さよならプリンセス(再见公主)</t>
  </si>
  <si>
    <t>SF1020</t>
  </si>
  <si>
    <t>SF1021</t>
  </si>
  <si>
    <t>SF1022</t>
  </si>
  <si>
    <t>SF1029</t>
  </si>
  <si>
    <t>SF1030</t>
  </si>
  <si>
    <t>SF1031</t>
  </si>
  <si>
    <t>SF1033</t>
  </si>
  <si>
    <t>SF1034</t>
  </si>
  <si>
    <t>SF1035</t>
  </si>
  <si>
    <t>SF1038</t>
  </si>
  <si>
    <t>SF1039</t>
  </si>
  <si>
    <t>SF1042</t>
  </si>
  <si>
    <t>SF1045</t>
  </si>
  <si>
    <t>纯主观品鉴中……已品鉴完毕</t>
  </si>
  <si>
    <t>调声A</t>
  </si>
  <si>
    <t>调声B</t>
  </si>
  <si>
    <t>混音</t>
  </si>
  <si>
    <t>总评转分</t>
  </si>
  <si>
    <t>等级</t>
  </si>
  <si>
    <t>转音一点点生硬 PIT曲度可以大些</t>
  </si>
  <si>
    <t>音量平衡没做好</t>
  </si>
  <si>
    <t>挑不出什么问题的作品 声音十分流畅 动态也做得很舒服</t>
  </si>
  <si>
    <t>PIT太抖了</t>
  </si>
  <si>
    <t>跪了 这个完成度太高 全曲居然有语调 质量很不错</t>
  </si>
  <si>
    <t>主歌十分动人 副歌相比主歌有点亮点不足</t>
  </si>
  <si>
    <t>电平炸了</t>
  </si>
  <si>
    <t>印象 作品听感的流畅程度</t>
  </si>
  <si>
    <t>技巧 作品的动态、咬字、选角适配度</t>
  </si>
  <si>
    <t>顶级</t>
  </si>
  <si>
    <t>包含混音的作品完成度</t>
  </si>
  <si>
    <t>转音一点点生硬</t>
  </si>
  <si>
    <t>20s印象*0.1+调声A*0.4+调声B*0.3+混音*0.2</t>
  </si>
  <si>
    <t>红歌不评</t>
  </si>
  <si>
    <t>选角有点太大气了 和声有一点抢戏</t>
  </si>
  <si>
    <t>PIT平平的</t>
  </si>
  <si>
    <t>我喜欢这个假声 副歌如果动态再细抠抠就更完美了</t>
  </si>
  <si>
    <t>调声很好但是混音有点问题 人声和伴奏打架 听不太清在唱什么</t>
  </si>
  <si>
    <t>这个天依好有感情 很难得没有大白嗓 选曲也很合适 喜欢
不过人声有点嗡嗡的 EQ可以再调调</t>
  </si>
  <si>
    <t>无参  顺便升4key更好</t>
  </si>
  <si>
    <t>其实没什么特别可以说的 有点公式化的调声 混音也没翻车</t>
  </si>
  <si>
    <t>💃黑黑的脚后跟💃一片大黑皴💃
虽然是草曲但是技术力很强 不知道在燃什么但是燃起来了</t>
  </si>
  <si>
    <t>表现还可以再细腻些</t>
  </si>
  <si>
    <t>PIT太抖了 这个key太低了歌手唱不下去</t>
  </si>
  <si>
    <t xml:space="preserve">无参 </t>
  </si>
  <si>
    <t>气声给太多 哑哑的</t>
  </si>
  <si>
    <t>语调挺不错的 歌唱部分不太经得起细听</t>
  </si>
  <si>
    <t>选角音色有点太厚了 感觉跟歌曲不太搭
最大的问题是和声太抢存在感了</t>
  </si>
  <si>
    <t>这个PIT听感太差了 20s听起来还行 但是全曲给我手机电听满了
还有电平中间炸了一段</t>
  </si>
  <si>
    <t>rap不感冒 力度太轻</t>
  </si>
  <si>
    <t>和声不协和</t>
  </si>
  <si>
    <t>咬字稍微有点糊了 其他听感都不错</t>
  </si>
  <si>
    <t>混音的问题吗为什么听起来电电的</t>
  </si>
  <si>
    <t>偶尔会有很尖锐的音突然出现我不是很喜欢 偏好问题</t>
  </si>
  <si>
    <t>弱唱处理得特别特别好</t>
  </si>
  <si>
    <t>单纯对选曲不感冒</t>
  </si>
  <si>
    <t>疑似有一些20s诈骗 主歌调得比较敷衍</t>
  </si>
  <si>
    <t>没内味</t>
  </si>
  <si>
    <t>副歌情绪没起来 再多些大大大张力
以及副歌伴奏太大声压住人声了</t>
  </si>
  <si>
    <t>喜欢女声部分 男声感觉选得不好 咬字也有点咬不清楚</t>
  </si>
  <si>
    <t>选曲不戳我</t>
  </si>
  <si>
    <t>全曲一开口吓我一跳以为我开错了
副歌很好听 主歌还需要再打磨打磨 太粗糙</t>
  </si>
  <si>
    <t>咬字太一板一眼了 调声也平平的</t>
  </si>
  <si>
    <t>更喜欢这一版 PIT和细节处理都很到位
但是和上面那位一样和声太大声了</t>
  </si>
  <si>
    <t>主歌干巴巴的 咬字也有点太硬了 伴奏有一点压人声</t>
  </si>
  <si>
    <t>整首歌都干巴巴的 key定太低了 假声不错 混音方面电平炸掉了</t>
  </si>
  <si>
    <t>基本功很硬 但是听起来像赶工 好多细节没有处理到
转音有好多都转出电来了</t>
  </si>
  <si>
    <t>好多处理都很平 “轻拂过”这个地方跑调了</t>
  </si>
  <si>
    <t>咬字太一板一眼了 调声也平平的 没有动态</t>
  </si>
  <si>
    <t>感觉是有想法的 但是听感很怪 转音比较拖沓
一些字的处理太平了 有些地方有点抢拍了</t>
  </si>
  <si>
    <t>律动感还可以再增强 男声部分稍显逊色</t>
  </si>
  <si>
    <t>动态太夸张 听着有点难受</t>
  </si>
  <si>
    <t>知道在玩梗但是不知是什么梗</t>
  </si>
  <si>
    <t>咬字平平的 PIT抖抖的</t>
  </si>
  <si>
    <t>听感蛮不错的 有点点张不开嘴的感觉 不知是不是歌手问题
后半段歌词快的地方咬字有点崩了 伴奏声音大的地方盖过人声了</t>
  </si>
  <si>
    <t>原曲的戏腔没有体现出来 其他都挺不错的</t>
  </si>
  <si>
    <t>rap不感冒</t>
  </si>
  <si>
    <t>声音质感把握得很好 美中不足的是前后两段听感有些重复</t>
  </si>
  <si>
    <t>我喜欢这首 但是好短不够听</t>
  </si>
  <si>
    <t>混音太炸了</t>
  </si>
  <si>
    <t>和魂萦旧梦应该是同一个作者 需要再打磨下细节</t>
  </si>
  <si>
    <t>调了很多 但没有这首歌需要的利落感
咬字、PIT、动态都抖抖的 语调不够自然</t>
  </si>
  <si>
    <t>PIT太抖了 混音也不融合</t>
  </si>
  <si>
    <t>律动感差了点</t>
  </si>
  <si>
    <t>咋这么平 小朋友也可以唱出一些层次的</t>
  </si>
  <si>
    <t>教我做动态</t>
  </si>
  <si>
    <t>感觉是牧心的正常水平 无功无过 以及好大的混响</t>
  </si>
  <si>
    <t>大部分时间伴奏压过人声了 EQ需要再做调整</t>
  </si>
  <si>
    <t>20s咋没伴奏 听起来像是很悲伤的歌
但有的地方咬字一跳一跳的有有种很活泼的听感</t>
  </si>
  <si>
    <t>一张口节奏就有点不对 副歌开始音准也飘了 混音上人声太突出</t>
  </si>
  <si>
    <t>人声听起来闷闷的 可以再亮点</t>
  </si>
  <si>
    <t>选角很对 听感非常好 咬字和PIT再打磨打磨会更出彩</t>
  </si>
  <si>
    <t>情绪的掌控很对 技巧也到位
不过大部分时间伴奏压过人声了 很难听清在唱什么</t>
  </si>
  <si>
    <t>副歌的转音非常对味 电平略炸</t>
  </si>
  <si>
    <t>混音的痕迹很不明显</t>
  </si>
  <si>
    <t>转音太对了 咬字也很舒服</t>
  </si>
  <si>
    <t>咬字不太行 哨音没做出来 该虚的地方也没有给很足的气声和张力</t>
  </si>
  <si>
    <t>好大的颤音 整体的唱法都偏油腻</t>
  </si>
  <si>
    <t>选角很对 听感特别好 没有什么特别可以指摘的点</t>
  </si>
  <si>
    <t>跑调了姐</t>
  </si>
  <si>
    <t>子音怎么消失了 动态也特别混乱</t>
  </si>
  <si>
    <t>只有半首太可惜了 听感十分对味</t>
  </si>
  <si>
    <t>牧心正常水平 四平八稳的选曲</t>
  </si>
  <si>
    <t>这是我能评的吗？</t>
  </si>
  <si>
    <t>想知道是什么歌手</t>
  </si>
  <si>
    <t>感觉歌手或者key选得不合适</t>
  </si>
  <si>
    <t>AF黑大妈来袭</t>
  </si>
  <si>
    <t>歌手有点限制发挥 力度不够 不过戏腔加分</t>
  </si>
  <si>
    <t>不是很听这个类型的歌 齿音有点重可以再去一下齿音</t>
  </si>
  <si>
    <t>细节太少了 PIT有时太平又有时太抖</t>
  </si>
  <si>
    <t>调声完美 混音上音量平衡有小小问题</t>
  </si>
  <si>
    <t>听得我有一点似了</t>
  </si>
  <si>
    <t>转音设计太平了</t>
  </si>
  <si>
    <t>听了上面两首同赛道的有点审美疲劳了</t>
  </si>
  <si>
    <t>20s诈骗啊啊啊啊 只有副歌还可以 大意了</t>
  </si>
  <si>
    <t>动态好难受 感觉歌手有一点似了</t>
  </si>
  <si>
    <t>PIT细节可以多做些</t>
  </si>
  <si>
    <t>主歌不知为啥有点腾格尔的味道 再轻一些柔一些会更合适</t>
  </si>
  <si>
    <t>是摩柯吗 感情很到位 咬字也很清晰</t>
  </si>
  <si>
    <t>各方面都很到位</t>
  </si>
  <si>
    <t>有点用力过猛 整体的方向是对的</t>
  </si>
  <si>
    <t>听不清歌手在唱啥</t>
  </si>
  <si>
    <t>无功无过</t>
  </si>
  <si>
    <t>rnb味道很对</t>
  </si>
  <si>
    <t>牧心正常水平 无功无过</t>
  </si>
  <si>
    <t>一开口抢拍了 颤音听起来抖抖的 力度可以小点</t>
  </si>
  <si>
    <t>没用过合唱声库 但是整体听起来还不错 电影配乐的既视感</t>
  </si>
  <si>
    <t>还是STD库唱起来更有感觉些
律动感缺乏 PIT有点平像自动参和无参混搭</t>
  </si>
  <si>
    <t>语尾的处理特别有感觉 全曲完成度很高</t>
  </si>
  <si>
    <t>感觉依靠歌手的机能比较多 调声发挥太少 频繁出现略微的走调</t>
  </si>
  <si>
    <t>选角不错 咬字可以再修修</t>
  </si>
  <si>
    <t>主歌开口有点不在状态 从第一段副歌开始有很多小处理做得很抓耳</t>
  </si>
  <si>
    <t>前半段的高音处理得不好 多加点力度进去 可能是选角问题
咬字有点糊 语感可以再多听听原曲加强下</t>
  </si>
  <si>
    <t>相比下来STD部分反而更出彩些 混音上音量平衡还需要改进</t>
  </si>
  <si>
    <t>动态设计非常动人 只是冰山老师的口音再修修会更好</t>
  </si>
  <si>
    <t>主歌每句都句尾漏气稍微有点听感疲劳 其他都特别好</t>
  </si>
  <si>
    <t>不太懂英文但是这个好听 完成度很高</t>
  </si>
  <si>
    <t>对轨偏后了</t>
  </si>
  <si>
    <t>两分钟的歌一分钟的前奏 选角问题副歌爆发稍微弱了些 有点发虚</t>
  </si>
  <si>
    <t>选角很对 歌曲原因欠缺一些可操作空间</t>
  </si>
  <si>
    <t>小细节抓得特别到位 张力调整也很优秀 混音融合度不太好</t>
  </si>
  <si>
    <t>副歌爆发非常对味 怒音的呈现形式可以试试VD 只有半首不够听啊啊啊</t>
  </si>
  <si>
    <t>语感稍微差一点 听感上大部分依靠歌手机能</t>
  </si>
  <si>
    <t>语调其实不错</t>
  </si>
  <si>
    <t>调声太平庸了 这首应该秀更多技术的 伴奏稍微有点压人声了</t>
  </si>
  <si>
    <t>歌手有点用不上力</t>
  </si>
  <si>
    <t>伴奏压人声了 听不太清歌手在唱什么
歌手的发音有点日式韩语</t>
  </si>
  <si>
    <t>好大的气声 有点20s诈骗</t>
  </si>
  <si>
    <t>选角很对 动态有些不足</t>
  </si>
  <si>
    <t>和上面AF2022像是同一个人做的 风格好像
细节处理很相似 但是这首混音要好些</t>
  </si>
  <si>
    <t>开口好强的压 动态特别优秀 小处理很多 能不能赛后给我看看工程</t>
  </si>
  <si>
    <t>整体都很对的处理</t>
  </si>
  <si>
    <t>调声技巧性很强 但似乎不是一首适合炫太多技巧的选曲
伴奏和人声不融合</t>
  </si>
  <si>
    <t>选角不太对 有点难为我们90叔了 张力控制不是很好
选一个更大嗓更柔的男声会好很多</t>
  </si>
  <si>
    <t>选角很对 不过感觉没怎么调 自动参居多 混音上伴奏盖人声了</t>
  </si>
  <si>
    <t>没听出太多技巧上的东西 听感一般 除了最后一段之外伴奏都有点盖人声</t>
  </si>
  <si>
    <t>口型再修修应该会更好</t>
  </si>
  <si>
    <t>整体气声大了点 伴奏有点盖人声</t>
  </si>
  <si>
    <t>整体的调声都太平了 动态上可以再加强</t>
  </si>
  <si>
    <t>可能是歌手问题导致部分咬字不准 混音闷闷的 可能是母带的问题</t>
  </si>
  <si>
    <t>这首的调声可以发挥得再夸张些 炫技一些 现在这样听起来太平淡了</t>
  </si>
  <si>
    <t>第二段主歌开始进入状态后特别好 混音无可挑剔</t>
  </si>
  <si>
    <t>怎么调出这种感觉的 混音也闷闷的</t>
  </si>
  <si>
    <t>主歌干巴巴的 全程都是一个力度在唱 PIT也很平 有点念经感</t>
  </si>
  <si>
    <t>感情非常充沛 选角也好 强弱控制在线</t>
  </si>
  <si>
    <t>调得没问题 但是不是很同意选角 女声应该更轻盈一些
部分颤音有点太夸张 动态调整很顶级</t>
  </si>
  <si>
    <t>谁把原唱投上来了</t>
  </si>
  <si>
    <t>感觉像自动参</t>
  </si>
  <si>
    <t>选曲限制发挥了 调过这首所以知道现在这个效果有多好
口音能再修一下的话就更好了</t>
  </si>
  <si>
    <t>对着村头大喇叭唱的吗</t>
  </si>
  <si>
    <t>很好的原创曲 应该去隔壁歌影的
曲子稍微有些限制调声的发挥了 听感太平淡</t>
  </si>
  <si>
    <t>语尾的一些小处理特别抓耳 整体的感觉也很对</t>
  </si>
  <si>
    <t>伴奏压人声了 听不太清歌手在唱什么</t>
  </si>
  <si>
    <t>rap稍微有点拉了 稍微拉一下音区偏移可以</t>
  </si>
  <si>
    <t>把和声当主声唱了</t>
  </si>
  <si>
    <t>选角音色不够大气</t>
  </si>
  <si>
    <t>很标准的一个发挥 能感受到很真挚感情的调声</t>
  </si>
  <si>
    <t>顶级调声 吓哭了</t>
  </si>
  <si>
    <t>混音加分 男声部分发挥不错</t>
  </si>
  <si>
    <t>自动参的感觉比较重 PIT可以再修修</t>
  </si>
  <si>
    <t>主人 听袅了 让我看看你的工程吧我什么都会做的</t>
  </si>
  <si>
    <t>调声很好 伴奏压人声的情况比较严重 母带也可以再修修 整体都刺刺的</t>
  </si>
  <si>
    <t>偶有跑调</t>
  </si>
  <si>
    <t>自动参风味很重 动态做做会更好</t>
  </si>
  <si>
    <t>这不是中文吗 投错区了吧</t>
  </si>
  <si>
    <t>好诡异的双声道 颤音幅度也特别大 口音很重 还是要修一下的</t>
  </si>
  <si>
    <t>能听出调声有些小想法 可能是歌手有点限制发挥了</t>
  </si>
  <si>
    <t>很平淡的选曲 不过调声能听出一些小巧思
整体方向是对的但是还要再修修动态设计</t>
  </si>
  <si>
    <t>这个如何呢又能怎太难绷了 除此之外基本听感还不错</t>
  </si>
  <si>
    <t>SC没怎么调过，跳了</t>
  </si>
  <si>
    <t>动态比较丰富 整体听感还不错 混音也不差</t>
  </si>
  <si>
    <t>Vocaloid的英语很难得 副歌情绪起来了 情绪递进很优秀</t>
  </si>
  <si>
    <t>选曲听不太出来什么技术上的东西 但是听感很好</t>
  </si>
  <si>
    <t>这什么歌词 口音再修修的话应该会更好 后半段换人的地方调得太平了</t>
  </si>
  <si>
    <t>偶有掉拍没修 但胜在唱商不错 建议再好好修一下人声伴奏的融合度</t>
  </si>
  <si>
    <t>电平有点炸 到最后一段有点听不清人声了 和伴奏EQ打架
电音评不出什么技术点 动态不太明显 有点像无参直电</t>
  </si>
  <si>
    <t>唱商在线 一些小处理非常到位</t>
  </si>
  <si>
    <t>PIT处理不错 听感有些无聊 适当加些动态可以 混音要加强融合度</t>
  </si>
  <si>
    <t>副歌感情没爆发出来 可以再带劲一点 主歌小动态做得很好</t>
  </si>
  <si>
    <t>微妙的走调</t>
  </si>
  <si>
    <t>有几处wa读成ha了 咬字处理不错 断音有点严重 可以着重修一修</t>
  </si>
  <si>
    <t>动态 PIT做得都十分动人 不过声库原因口型很奇怪</t>
  </si>
  <si>
    <t>很抓耳的调声 混音完成度也比较高</t>
  </si>
  <si>
    <t>能听出来调声很努力 但是呈现效果比较一般</t>
  </si>
  <si>
    <t>听感很好 动态还可以再大开大合一些</t>
  </si>
  <si>
    <t>顶级 AF在逃作品 硬要说就是有点滥用怒音的嫌疑 但其实听感也不差</t>
  </si>
  <si>
    <t>很和谐的作品 选角到调声都很自然</t>
  </si>
  <si>
    <t>人声为什么是单声道</t>
  </si>
  <si>
    <t>颤音幅度有点太大 喉塞音用得有点太过了有点影响听感
一些转音后有点小跑调的可以修修</t>
  </si>
  <si>
    <t>有点抖得太过了 但是动态处理很好
有点听不清在唱什么 压限可以再大点</t>
  </si>
  <si>
    <t>感情十分细腻 动态抓得十分准确</t>
  </si>
  <si>
    <t>说明：因为没啥时间，极速版锐评，是在车上评的，不一定能评完，听哪评哪，很主观的评价。评价等级C+～S</t>
  </si>
  <si>
    <t>很狂气的调，不过略显生硬？或许可以参考一下lizz那版</t>
  </si>
  <si>
    <t>我喜欢这个，调英语很大胆，也没啥明显合成噪音，混音不错，但给我感觉就是偏平的感觉？</t>
  </si>
  <si>
    <t>我喜欢你。可以看出来气息掌握很不错，但我会期待你能够调一下gender参来营造声线强弱虚实的感觉。可以参考一下去年镜的いかないで</t>
  </si>
  <si>
    <t>又一个英语，相比而言递进感会比上一个强一点。但是给我感觉是有点从头硬到尾，期待在一些地方把声线捏弱捏虚</t>
  </si>
  <si>
    <t>好感选曲和音源，很温柔的调，混音也不错。不过我总感觉vel没细调，会偏有点断续感。另外就是这首歌词重复很多，太重复的调声会给我审美疲劳感，希望有变化和递进</t>
  </si>
  <si>
    <t>很甜的感觉，但感觉偏平，没有递进。</t>
  </si>
  <si>
    <t>很牛逼的架空语言调声。但是给我感觉混音没撑起来的感觉？而且腔体捏得不够味，弱段气声也没调好的感觉</t>
  </si>
  <si>
    <t>有自己想法的调声，我挺喜欢这种风味的，但是不是有错拍，以及可以考虑让喉塞音更自然点</t>
  </si>
  <si>
    <t>很元气很可爱。但是感觉合成噪音偏重……而且断续感有点强，给我有一点无生物的感觉（？如果是无生物的话我会给高分一点</t>
  </si>
  <si>
    <t>我喜欢这个，古早感很棒，电电的dark声库很讨喜。但偏平，缺乏情感变化的感觉……可以试试看几个声库混用，可以学学伞村老师的抒情</t>
  </si>
  <si>
    <t>很明媚的感觉。但平，建议多抄抄人声学学（？</t>
  </si>
  <si>
    <t>喜欢选曲，喜欢最后一段的爆发，但给我有点太硬的感觉</t>
  </si>
  <si>
    <t>很酷的剧药……但是前后段是不是复用参数了。爆发不够强的感觉。偏平</t>
  </si>
  <si>
    <t>是我很熟的选曲所以我严评（干嘛）。首先没啥大瑕疵，但给我感觉哽咽感和沙哑感表达没有到位？或许可以试试后期调调粗糙度、嘶吼之类的。另外动态也是高潮部分那个“daring”的关键。前面应该是压抑着情绪的感觉，直至那个daring突然爆发，所以前面响度应该偏低爆发部分拉大…</t>
  </si>
  <si>
    <t>爆发力不错，但是颤音乱调，你回去严格反省（）混音不错，很有想法，喜欢</t>
  </si>
  <si>
    <t>很清亮空灵，但是偏平。后面混音声场可以拉更开一点</t>
  </si>
  <si>
    <t>断续感偏强，但是似乎是刻意的？喜欢这个，古早味很重，很温柔的调</t>
  </si>
  <si>
    <t>很酷的剧药，但是也给我有点尖锐粗鲁的感觉…？或许可以试着混用一下声库，高音有点刺</t>
  </si>
  <si>
    <t>音源声线挺温柔的，但是断续感偏强，也偏平。除了pit以外的参是不是有偷懒</t>
  </si>
  <si>
    <t>我喜欢你。我喜欢选音源和选曲品味，调得很有自己想法，调声赛结束速速和我扩列（？），唯一问题就是我觉得爆发不够戳我（但是音源我也没用过我也不知道咋调更好）另外和声是不是偷懒了，主歌和声可以更柔和一点</t>
  </si>
  <si>
    <t>我超，熊🐻。cho轨没对准。太尖锐了，另外合成噪音偏重，可以削一下</t>
  </si>
  <si>
    <t>喜欢选曲，很温柔优雅的味儿，但是给我感觉气声和性别参没细调，该虚的地方可以大胆一些再虚点</t>
  </si>
  <si>
    <t>没对准轨——！而且有点断断续续的。pit画得有点乱！加油！</t>
  </si>
  <si>
    <t>我喜欢这个，很温柔，很空灵的感觉。假声调得很好。</t>
  </si>
  <si>
    <t>很大胆的剧药韩语，但是偏硬偏平，调韩语可以去参考参考mimisan</t>
  </si>
  <si>
    <t>电音感有了，不错，但是参数偏平，混音声场也没拉开拉出感觉。虽然说原曲pit确实偏平，但是是不是可以在此基础上进行更多艺术加工呢</t>
  </si>
  <si>
    <t>人声太亮了，而且太硬了，可以善用弱音源。既然调片段了一定要细捏</t>
  </si>
  <si>
    <t>声线切换不错，但怎么没用上whisper声线，气息感偏少。气声参是不是偷懒了，按理来说这首应该有很多很阴暗地耳语那种感觉…！</t>
  </si>
  <si>
    <t>喜欢这个miku，但爆发力不太够</t>
  </si>
  <si>
    <t>支持一下utau单独音，递进感和律动都还不错，不过咬字还可以捏得更细，另外最后一段有点被和声压住的感觉</t>
  </si>
  <si>
    <t>挺有自己的想法的调混，但爆发力不够……副歌部分降调了或许应该找其他加强表现力的方法。</t>
  </si>
  <si>
    <t>语调suki，气声和咬字可以更细捏一下</t>
  </si>
  <si>
    <t>有层次有递进，但是颤音还有待加强，且男声的低音部分有点太厚重了并不是很好听，可以削一下低频</t>
  </si>
  <si>
    <t>没听懂（对不起</t>
  </si>
  <si>
    <t>喜欢选曲，但太断续太硬。没调出那种“全都是梦”的无力感和茫然感。另外这个低音低频也太厚了，也建议削</t>
  </si>
  <si>
    <t>很元气，但是片段太短了，也没有特别突出的地方</t>
  </si>
  <si>
    <t>不错的抒情，但爆发不够，主歌也不够柔和</t>
  </si>
  <si>
    <t>喜欢选曲，左右声道跑来跑去好萌。不过气息感可以更强一点</t>
  </si>
  <si>
    <t>我去，车万，这个音源萌。但平，爆发不够，另外咋是单声道</t>
  </si>
  <si>
    <t>喜欢选曲和调声方式……但是感觉声线捏得不够细致。一些地方抖得有点严重</t>
  </si>
  <si>
    <t>爆发倒是有了，但是严查pit，乱画了一堆上拉下拉，罚你去拉平</t>
  </si>
  <si>
    <t>吓哭了，很厉害，但是我反复听了几遍觉得“あなたは白馬のよう、自由に駆けて”这两句不是很符合我审美，最终从S改成了A+，可能因为是填词翻唱为了还原原曲意义，あなた的节奏？律动？不太对我口味，另外“自由に”的yu为啥像卡了一样，是啥个人风格吧...因为很喜欢最终还是会给三倍票</t>
  </si>
  <si>
    <t>喜欢这个经典术味，很明亮活力的感觉！但是好像全曲给人中规中矩的感觉</t>
  </si>
  <si>
    <t>伴奏是不是因为音质的问题有点炸？
别颤了我求了（（</t>
  </si>
  <si>
    <t>英语发音怪怪的？
混音水平还是在的</t>
  </si>
  <si>
    <t>咱就是说这首歌能换个歌姬吗。。。</t>
  </si>
  <si>
    <t>有点太平了（？
混音难评</t>
  </si>
  <si>
    <t>男声意外地还不错？！（印象里男声唱这种歌都不太好
教我混音（</t>
  </si>
  <si>
    <t>转音好怪。。。不知道是不是歌姬的问题好多乱七八糟的动静</t>
  </si>
  <si>
    <t>女高音劲啊！！！！</t>
  </si>
  <si>
    <t>混音好怪。。。</t>
  </si>
  <si>
    <t>混音是在？</t>
  </si>
  <si>
    <t>我超好温柔</t>
  </si>
  <si>
    <t>为什么要演奏春日影？？？？？！！！！！！！！
感觉有几个音不太准。。。</t>
  </si>
  <si>
    <t>强强？！！</t>
  </si>
  <si>
    <t>难评。。。</t>
  </si>
  <si>
    <t>人声听得我好闷。。。</t>
  </si>
  <si>
    <t>我超这首！！！
转音和pit上是有巧思的</t>
  </si>
  <si>
    <t>这真的除了颤音以外还调了什么东西吗</t>
  </si>
  <si>
    <t>很好的初音</t>
  </si>
  <si>
    <t>怒音好爽</t>
  </si>
  <si>
    <t>好平。。。</t>
  </si>
  <si>
    <t>情感表达真的很到位！！
pit很到位</t>
  </si>
  <si>
    <t>怎么pit敢动又不敢动。。。
上混音课去！！！（怒</t>
  </si>
  <si>
    <t>其实都还行？感觉是自动参（？</t>
  </si>
  <si>
    <t>？不理解在颤什么。。。
这个混音真的。。。。</t>
  </si>
  <si>
    <t>美哭了</t>
  </si>
  <si>
    <t>不是很理解pit怎么调的。。。</t>
  </si>
  <si>
    <t>我混音呢？
给孩子电成啥了</t>
  </si>
  <si>
    <t>不是很理解在怒什么</t>
  </si>
  <si>
    <t>我草这个声线切换
神！！！！！！！！！！！！！！！！！！！！！！！！！</t>
  </si>
  <si>
    <t>混音咋混的。。。人声和伴奏感觉完全不在一个图层</t>
  </si>
  <si>
    <t>不是很懂</t>
  </si>
  <si>
    <t>好帅。。。好神。。。</t>
  </si>
  <si>
    <t>人声低音好奇怪。。。</t>
  </si>
  <si>
    <t>高音炸了。。。。</t>
  </si>
  <si>
    <t>人声和伴奏感觉完全不在一个图层。。。感觉pit也好怪</t>
  </si>
  <si>
    <t>混音在干嘛</t>
  </si>
  <si>
    <t>居然还可以？</t>
  </si>
  <si>
    <t>选曲有品！
混音甚至有双声道我草，教我混音（被打</t>
  </si>
  <si>
    <t>不是很理解这个混音</t>
  </si>
  <si>
    <t>选曲不错，调法不错，感觉是因为歌姬特质就很怪（？</t>
  </si>
  <si>
    <t>动态在？给孩子换口气吧。。。</t>
  </si>
  <si>
    <t>知道我评到最后听到这个有多难绷吗。。。</t>
  </si>
  <si>
    <t>在仅扒谱的水平上稍调整了一些pit，说不上跑调但是细节要改进的不少，歌是个人喜欢的类型，感谢推荐，去听了一下原曲，这首歌可太吃混音了，谨慎尝试噢</t>
  </si>
  <si>
    <t>操作其实很有限也不太熟练，但声库下限很高所以得到了一些加成（话说这是信乐团那首海阔天空的调子吧哈哈还有外语版）</t>
  </si>
  <si>
    <t>偶尔有pit调整，但总体来说还是没有太多操作意识</t>
  </si>
  <si>
    <t>没有明显犯错，但还是需要试着人力介入操作一下</t>
  </si>
  <si>
    <t>这么夸张的大混响要不得的老师😨</t>
  </si>
  <si>
    <t>有点平，pit应该没怎么动（）</t>
  </si>
  <si>
    <r>
      <rPr>
        <sz val="11"/>
        <color rgb="FF000000"/>
        <rFont val="Microsoft YaHei"/>
        <family val="2"/>
        <charset val="134"/>
      </rPr>
      <t xml:space="preserve">请于此页复制模板，新开Sheet工作表使用，例如【719.ACSC】为719在瑞平AC和SC
</t>
    </r>
    <r>
      <rPr>
        <sz val="14"/>
        <color rgb="FF000000"/>
        <rFont val="Microsoft YaHei"/>
        <family val="2"/>
        <charset val="134"/>
      </rPr>
      <t>请勿在此处打分</t>
    </r>
  </si>
  <si>
    <r>
      <rPr>
        <sz val="11"/>
        <color rgb="FF000000"/>
        <rFont val="Arial"/>
        <family val="2"/>
      </rPr>
      <t>Would've</t>
    </r>
    <r>
      <rPr>
        <sz val="11"/>
        <color rgb="FF000000"/>
        <rFont val="宋体"/>
        <family val="3"/>
        <charset val="134"/>
      </rPr>
      <t>，</t>
    </r>
    <r>
      <rPr>
        <sz val="11"/>
        <color rgb="FF000000"/>
        <rFont val="Arial"/>
        <family val="2"/>
      </rPr>
      <t>Could've</t>
    </r>
    <r>
      <rPr>
        <sz val="11"/>
        <color rgb="FF000000"/>
        <rFont val="宋体"/>
        <family val="3"/>
        <charset val="134"/>
      </rPr>
      <t>，</t>
    </r>
    <r>
      <rPr>
        <sz val="11"/>
        <color rgb="FF000000"/>
        <rFont val="Arial"/>
        <family val="2"/>
      </rPr>
      <t>Should've</t>
    </r>
  </si>
  <si>
    <r>
      <rPr>
        <sz val="11"/>
        <color rgb="FF000000"/>
        <rFont val="Microsoft YaHei"/>
        <family val="2"/>
        <charset val="134"/>
      </rPr>
      <t xml:space="preserve">“纪念”的ji好像卡在嗓子里了 全程有点太收着了 该释放的时候释放出来比较好 </t>
    </r>
    <r>
      <rPr>
        <strike/>
        <sz val="11"/>
        <color rgb="FF000000"/>
        <rFont val="Microsoft YaHei"/>
        <family val="2"/>
        <charset val="134"/>
      </rPr>
      <t>憋坏孩子了不好</t>
    </r>
  </si>
  <si>
    <r>
      <rPr>
        <sz val="11"/>
        <color rgb="FF000000"/>
        <rFont val="等线"/>
        <family val="4"/>
        <charset val="134"/>
      </rPr>
      <t>萌，有点像老术曲Korean ver，喜欢中间那个很有跳跃感的</t>
    </r>
    <r>
      <rPr>
        <sz val="11"/>
        <color rgb="FF000000"/>
        <rFont val="Malgun Gothic"/>
        <family val="2"/>
        <charset val="129"/>
      </rPr>
      <t>네네</t>
    </r>
  </si>
  <si>
    <r>
      <rPr>
        <sz val="11"/>
        <color rgb="FF000000"/>
        <rFont val="等线"/>
        <family val="4"/>
        <charset val="134"/>
      </rPr>
      <t>美味gumi</t>
    </r>
    <r>
      <rPr>
        <sz val="11"/>
        <color rgb="FF000000"/>
        <rFont val="Segoe UI Emoji"/>
      </rPr>
      <t>😋</t>
    </r>
    <r>
      <rPr>
        <sz val="11"/>
        <color rgb="FF000000"/>
        <rFont val="等线"/>
        <family val="4"/>
        <charset val="134"/>
      </rPr>
      <t>像空灵的叙事诗</t>
    </r>
  </si>
  <si>
    <r>
      <rPr>
        <sz val="11"/>
        <color rgb="FF000000"/>
        <rFont val="等线"/>
        <family val="4"/>
        <charset val="134"/>
      </rPr>
      <t>毛达克</t>
    </r>
    <r>
      <rPr>
        <sz val="11"/>
        <color rgb="FF000000"/>
        <rFont val="Segoe UI Emoji"/>
      </rPr>
      <t>😱</t>
    </r>
  </si>
  <si>
    <r>
      <rPr>
        <sz val="11"/>
        <color rgb="FF000000"/>
        <rFont val="等线"/>
        <family val="4"/>
        <charset val="134"/>
      </rPr>
      <t>管人</t>
    </r>
    <r>
      <rPr>
        <sz val="11"/>
        <color rgb="FF000000"/>
        <rFont val="Segoe UI Emoji"/>
      </rPr>
      <t>😱</t>
    </r>
    <r>
      <rPr>
        <sz val="11"/>
        <color rgb="FF000000"/>
        <rFont val="等线"/>
        <family val="4"/>
        <charset val="134"/>
      </rPr>
      <t>选曲喜欢，唱出了跟本家不一样的感觉</t>
    </r>
  </si>
  <si>
    <r>
      <rPr>
        <sz val="11"/>
        <color rgb="FF000000"/>
        <rFont val="等线"/>
        <family val="4"/>
        <charset val="134"/>
      </rPr>
      <t>原唱</t>
    </r>
    <r>
      <rPr>
        <sz val="11"/>
        <color rgb="FF000000"/>
        <rFont val="Segoe UI Emoji"/>
      </rPr>
      <t>😱</t>
    </r>
  </si>
  <si>
    <r>
      <rPr>
        <sz val="11"/>
        <color rgb="FF000000"/>
        <rFont val="等线"/>
        <family val="4"/>
        <charset val="134"/>
      </rPr>
      <t>听车万导致我右耳龙了</t>
    </r>
    <r>
      <rPr>
        <sz val="11"/>
        <color rgb="FF000000"/>
        <rFont val="Segoe UI Emoji"/>
      </rPr>
      <t>😱</t>
    </r>
    <r>
      <rPr>
        <sz val="11"/>
        <color rgb="FF000000"/>
        <rFont val="等线"/>
        <family val="4"/>
        <charset val="134"/>
      </rPr>
      <t>外放听还蛮好的</t>
    </r>
  </si>
  <si>
    <r>
      <rPr>
        <sz val="11"/>
        <color rgb="FF000000"/>
        <rFont val="等线"/>
        <family val="4"/>
        <charset val="134"/>
      </rPr>
      <t>哇还有米库版，感觉是另一种风味，像古早</t>
    </r>
    <r>
      <rPr>
        <sz val="11"/>
        <color rgb="FF000000"/>
        <rFont val="微软雅黑"/>
        <family val="2"/>
        <charset val="134"/>
      </rPr>
      <t>テーマ</t>
    </r>
    <r>
      <rPr>
        <sz val="11"/>
        <color rgb="FF000000"/>
        <rFont val="等线"/>
        <family val="4"/>
        <charset val="134"/>
      </rPr>
      <t>型术曲</t>
    </r>
  </si>
  <si>
    <r>
      <rPr>
        <sz val="11"/>
        <color rgb="FF000000"/>
        <rFont val="等线"/>
        <family val="4"/>
        <charset val="134"/>
      </rPr>
      <t>洛天依</t>
    </r>
    <r>
      <rPr>
        <sz val="11"/>
        <color rgb="FF000000"/>
        <rFont val="Segoe UI Emoji"/>
      </rPr>
      <t>😱</t>
    </r>
    <r>
      <rPr>
        <sz val="11"/>
        <color rgb="FF000000"/>
        <rFont val="等线"/>
        <family val="4"/>
        <charset val="134"/>
      </rPr>
      <t>好新的唱法，原来还能这样.jpg</t>
    </r>
  </si>
  <si>
    <r>
      <rPr>
        <sz val="11"/>
        <color rgb="FF000000"/>
        <rFont val="等线"/>
        <family val="4"/>
        <charset val="134"/>
      </rPr>
      <t>洛言</t>
    </r>
    <r>
      <rPr>
        <sz val="11"/>
        <color rgb="FF000000"/>
        <rFont val="Segoe UI Emoji"/>
      </rPr>
      <t>😱</t>
    </r>
    <r>
      <rPr>
        <sz val="11"/>
        <color rgb="FF000000"/>
        <rFont val="等线"/>
        <family val="4"/>
        <charset val="134"/>
      </rPr>
      <t>唱词不一样的部分喜欢</t>
    </r>
  </si>
  <si>
    <r>
      <rPr>
        <sz val="11"/>
        <color rgb="FF000000"/>
        <rFont val="等线"/>
        <family val="4"/>
        <charset val="134"/>
      </rPr>
      <t>这歌小时候也抱过我</t>
    </r>
    <r>
      <rPr>
        <sz val="11"/>
        <color rgb="FF000000"/>
        <rFont val="Segoe UI Emoji"/>
      </rPr>
      <t>😭</t>
    </r>
    <r>
      <rPr>
        <sz val="11"/>
        <color rgb="FF000000"/>
        <rFont val="等线"/>
        <family val="4"/>
        <charset val="134"/>
      </rPr>
      <t>当年还没有阿绫声库，这版很美！</t>
    </r>
  </si>
  <si>
    <r>
      <rPr>
        <sz val="11"/>
        <color rgb="FF000000"/>
        <rFont val="等线"/>
        <family val="4"/>
        <charset val="134"/>
      </rPr>
      <t>鸣潮</t>
    </r>
    <r>
      <rPr>
        <sz val="11"/>
        <color rgb="FF000000"/>
        <rFont val="Segoe UI Emoji"/>
      </rPr>
      <t>😱</t>
    </r>
    <r>
      <rPr>
        <sz val="11"/>
        <color rgb="FF000000"/>
        <rFont val="等线"/>
        <family val="4"/>
        <charset val="134"/>
      </rPr>
      <t>首先我不是酷狗，其次咋这么好听</t>
    </r>
  </si>
  <si>
    <r>
      <rPr>
        <sz val="11"/>
        <color rgb="FF000000"/>
        <rFont val="等线"/>
        <family val="4"/>
        <charset val="134"/>
      </rPr>
      <t>一开口就被打了</t>
    </r>
    <r>
      <rPr>
        <sz val="11"/>
        <color rgb="FF000000"/>
        <rFont val="Segoe UI Emoji"/>
      </rPr>
      <t>😭</t>
    </r>
    <r>
      <rPr>
        <sz val="11"/>
        <color rgb="FF000000"/>
        <rFont val="等线"/>
        <family val="4"/>
        <charset val="134"/>
      </rPr>
      <t>好温柔的唱法，细节好多啊！小哭腔特别动人</t>
    </r>
  </si>
  <si>
    <r>
      <rPr>
        <sz val="11"/>
        <color rgb="FF000000"/>
        <rFont val="等线"/>
        <family val="4"/>
        <charset val="134"/>
      </rPr>
      <t>老广</t>
    </r>
    <r>
      <rPr>
        <sz val="11"/>
        <color rgb="FF000000"/>
        <rFont val="Segoe UI Emoji"/>
      </rPr>
      <t>😱</t>
    </r>
    <r>
      <rPr>
        <sz val="11"/>
        <color rgb="FF000000"/>
        <rFont val="等线"/>
        <family val="4"/>
        <charset val="134"/>
      </rPr>
      <t>外地人</t>
    </r>
    <r>
      <rPr>
        <sz val="11"/>
        <color rgb="FF000000"/>
        <rFont val="Segoe UI Emoji"/>
      </rPr>
      <t>😭</t>
    </r>
    <r>
      <rPr>
        <sz val="11"/>
        <color rgb="FF000000"/>
        <rFont val="等线"/>
        <family val="4"/>
        <charset val="134"/>
      </rPr>
      <t>老歌味好</t>
    </r>
  </si>
  <si>
    <r>
      <rPr>
        <sz val="11"/>
        <color rgb="FF000000"/>
        <rFont val="等线"/>
        <family val="4"/>
        <charset val="134"/>
      </rPr>
      <t>那绫</t>
    </r>
    <r>
      <rPr>
        <sz val="11"/>
        <color rgb="FF000000"/>
        <rFont val="Segoe UI Emoji"/>
      </rPr>
      <t>😱</t>
    </r>
    <r>
      <rPr>
        <sz val="11"/>
        <color rgb="FF000000"/>
        <rFont val="等线"/>
        <family val="4"/>
        <charset val="134"/>
      </rPr>
      <t>前面是很静谧的调法，有不一样的味道，后面一下子亮起来很惊喜</t>
    </r>
  </si>
  <si>
    <r>
      <rPr>
        <sz val="11"/>
        <color rgb="FF000000"/>
        <rFont val="等线"/>
        <family val="4"/>
        <charset val="134"/>
      </rPr>
      <t>木芯😱</t>
    </r>
    <r>
      <rPr>
        <sz val="11"/>
        <color rgb="FF000000"/>
        <rFont val="等线"/>
        <family val="4"/>
        <charset val="134"/>
      </rPr>
      <t>我喜欢你</t>
    </r>
  </si>
  <si>
    <r>
      <rPr>
        <sz val="11"/>
        <color rgb="FF000000"/>
        <rFont val="等线"/>
        <family val="4"/>
        <charset val="134"/>
      </rPr>
      <t>李健好像把我耳朵健龙了一边</t>
    </r>
    <r>
      <rPr>
        <sz val="11"/>
        <color rgb="FF000000"/>
        <rFont val="Segoe UI Emoji"/>
      </rPr>
      <t>😱</t>
    </r>
    <r>
      <rPr>
        <sz val="11"/>
        <color rgb="FF000000"/>
        <rFont val="等线"/>
        <family val="4"/>
        <charset val="134"/>
      </rPr>
      <t>调法老歌味浓浓</t>
    </r>
  </si>
  <si>
    <r>
      <rPr>
        <sz val="11"/>
        <color rgb="FF000000"/>
        <rFont val="等线"/>
        <family val="4"/>
        <charset val="134"/>
      </rPr>
      <t>皱皮又来了.jpg 老闽</t>
    </r>
    <r>
      <rPr>
        <sz val="11"/>
        <color rgb="FF000000"/>
        <rFont val="Segoe UI Emoji"/>
      </rPr>
      <t>😱</t>
    </r>
    <r>
      <rPr>
        <sz val="11"/>
        <color rgb="FF000000"/>
        <rFont val="等线"/>
        <family val="4"/>
        <charset val="134"/>
      </rPr>
      <t>副歌有力气！很帅的</t>
    </r>
  </si>
  <si>
    <r>
      <rPr>
        <sz val="12"/>
        <color rgb="FF000000"/>
        <rFont val="Microsoft YaHei"/>
        <family val="2"/>
        <charset val="134"/>
      </rPr>
      <t>非常好初音，第一个让我听到就打出“超大杯”的sf，实至名归。</t>
    </r>
    <r>
      <rPr>
        <sz val="12"/>
        <color rgb="FF000000"/>
        <rFont val="Microsoft YaHei"/>
        <family val="2"/>
        <charset val="134"/>
      </rPr>
      <t>很多在v里很难调的音素时值处理得很好。感觉完全是日v很多普通小甜曲的水准，直接拿去接单没什么问题。</t>
    </r>
  </si>
  <si>
    <r>
      <rPr>
        <b/>
        <sz val="11"/>
        <color rgb="FFDE3C36"/>
        <rFont val="Microsoft YaHei"/>
        <family val="2"/>
        <charset val="134"/>
      </rPr>
      <t>标灰是</t>
    </r>
    <r>
      <rPr>
        <b/>
        <sz val="11"/>
        <color rgb="FFDE3C36"/>
        <rFont val="Microsoft YaHei"/>
        <family val="2"/>
        <charset val="134"/>
      </rPr>
      <t xml:space="preserve">
没进决赛</t>
    </r>
  </si>
  <si>
    <r>
      <rPr>
        <sz val="11"/>
        <color rgb="FF000000"/>
        <rFont val="Microsoft YaHei"/>
        <family val="2"/>
        <charset val="134"/>
      </rPr>
      <t>三倍：AC6，AF4，SC2，SF3</t>
    </r>
    <r>
      <rPr>
        <sz val="11"/>
        <color rgb="FF000000"/>
        <rFont val="Microsoft YaHei"/>
        <family val="2"/>
        <charset val="134"/>
      </rPr>
      <t xml:space="preserve">
普通：AC31，AF22，SC12，SF14</t>
    </r>
  </si>
  <si>
    <r>
      <rPr>
        <sz val="11"/>
        <color rgb="FF000000"/>
        <rFont val="微软雅黑"/>
        <family val="2"/>
        <charset val="134"/>
      </rPr>
      <t>Would've</t>
    </r>
    <r>
      <rPr>
        <sz val="11"/>
        <color rgb="FF000000"/>
        <rFont val="微软雅黑"/>
        <family val="2"/>
        <charset val="134"/>
      </rPr>
      <t>，</t>
    </r>
    <r>
      <rPr>
        <sz val="11"/>
        <color rgb="FF000000"/>
        <rFont val="微软雅黑"/>
        <family val="2"/>
        <charset val="134"/>
      </rPr>
      <t>Could've</t>
    </r>
    <r>
      <rPr>
        <sz val="11"/>
        <color rgb="FF000000"/>
        <rFont val="微软雅黑"/>
        <family val="2"/>
        <charset val="134"/>
      </rPr>
      <t>，</t>
    </r>
    <r>
      <rPr>
        <sz val="11"/>
        <color rgb="FF000000"/>
        <rFont val="微软雅黑"/>
        <family val="2"/>
        <charset val="134"/>
      </rPr>
      <t>Should've</t>
    </r>
  </si>
  <si>
    <r>
      <rPr>
        <b/>
        <sz val="14"/>
        <color rgb="FF000000"/>
        <rFont val="Microsoft YaHei"/>
        <family val="2"/>
        <charset val="134"/>
      </rPr>
      <t>评价：</t>
    </r>
    <r>
      <rPr>
        <b/>
        <sz val="10"/>
        <color rgb="FF000000"/>
        <rFont val="Microsoft YaHei"/>
        <family val="2"/>
        <charset val="134"/>
      </rPr>
      <t>可提名详评/提前评/讨论等：</t>
    </r>
    <r>
      <rPr>
        <u/>
        <sz val="10"/>
        <color rgb="FF000000"/>
        <rFont val="Microsoft YaHei"/>
        <family val="2"/>
        <charset val="134"/>
      </rPr>
      <t>https://forms.office.com/r/FdDCHNdfTK</t>
    </r>
  </si>
  <si>
    <r>
      <rPr>
        <b/>
        <sz val="10"/>
        <color rgb="FF000000"/>
        <rFont val="Hiragino Sans GB"/>
        <charset val="134"/>
      </rPr>
      <t>① 给票的策略是听第一轮来发待定票，听第二到N轮来逐步改成确定票</t>
    </r>
    <r>
      <rPr>
        <b/>
        <sz val="10"/>
        <color rgb="FF000000"/>
        <rFont val="Hiragino Sans GB"/>
        <charset val="134"/>
      </rPr>
      <t xml:space="preserve">
② 一倍票线大致是一个绝对线（直接听完后就能大致估计的，标准大概就是失误不多到致命且至少有一些动态），三倍票线是一个相对线（听完后非常依赖互相比较，因此肯定需要二轮）</t>
    </r>
    <r>
      <rPr>
        <b/>
        <sz val="10"/>
        <color rgb="FF000000"/>
        <rFont val="Hiragino Sans GB"/>
        <charset val="134"/>
      </rPr>
      <t xml:space="preserve">
③ 投票栏选项的设计思路是：充分利用一倍票线的绝对数值作用，比较清晰地先划分出明显不满足的（无票）、明显能过线但很明显不具备三倍票竞争力的（止步一倍）、压线但动态缺乏或者失误多了些的（一倍待观察）和往上至少有一些冲劲的（一倍起步），听后面几轮时再来逐步改三倍票</t>
    </r>
    <r>
      <rPr>
        <b/>
        <sz val="10"/>
        <color rgb="FF000000"/>
        <rFont val="Hiragino Sans GB"/>
        <charset val="134"/>
      </rPr>
      <t xml:space="preserve">
④ 由于自己下半场没有参加因此没有投票资格（“投票”栏并不会真的投票），所以暂时就听一轮了，所以下半场应该不会给出确定的三倍票（以及，上半场听多轮和下半场听一轮的投票栏一定程度上是缺少可比性的，比如下半场的“一倍起步”类内方差应该会非常大）</t>
    </r>
    <r>
      <rPr>
        <b/>
        <sz val="10"/>
        <color rgb="FF000000"/>
        <rFont val="Hiragino Sans GB"/>
        <charset val="134"/>
      </rPr>
      <t xml:space="preserve">
⑤ 有些曲目写的比较简短，选手想看长一些的或者想交流的话可以在上面的匿名问卷里提一下，会再去听然后写长一些（主要是如果个个都写长怕没人看白写了，而且有时连续几首情况类似，也想避免重复，有人看的话完全可以多写一些的）</t>
    </r>
    <r>
      <rPr>
        <b/>
        <sz val="10"/>
        <color rgb="FF000000"/>
        <rFont val="Hiragino Sans GB"/>
        <charset val="134"/>
      </rPr>
      <t xml:space="preserve">
⑥ 欢迎多评评别人的作品（主要我怕万一原作者没看到，其他人又只看自己的话那这条就等于彻底白写了……）</t>
    </r>
    <r>
      <rPr>
        <b/>
        <sz val="10"/>
        <color rgb="FF000000"/>
        <rFont val="Hiragino Sans GB"/>
        <charset val="134"/>
      </rPr>
      <t xml:space="preserve">
⑦ 共享表格是能看到编辑者的，如果涉及透露作品与作者关系的信息一定要小心不要写进去了😢，可以往上面的匿名问卷里放（注明一下只是在发选手留言而不是在申请详评就行），我收到就贴进去</t>
    </r>
    <r>
      <rPr>
        <b/>
        <sz val="10"/>
        <color rgb="FF000000"/>
        <rFont val="Hiragino Sans GB"/>
        <charset val="134"/>
      </rPr>
      <t xml:space="preserve">
⑧ 这张表就不叠甲说乱评瞎评了，虽然时间紧张、知识和技能局限都会导致听得可能不够仔细，但不意味着对写瑞平表这事是随意或者轻视的，从问卷或者其他地方来讨论都行，该变评价也会变，既没必要觉得是在互相找茬也没必要叠甲说一定你对（v8的环境感觉还没到野生互联网那种险恶程度，防御性拉太高有时也有点阻碍交流），既然有沟通渠道，一般多聊两句应该就能发现几乎每个人都是正常人（考虑到阳神的出现，这里加了“几乎”），而且因为今年没参加 AF 所以在讨论这件事情上可以说有一种相当心平气和的佛系 🤠</t>
    </r>
  </si>
  <si>
    <r>
      <rPr>
        <sz val="11"/>
        <color rgb="FF000000"/>
        <rFont val="Microsoft YaHei"/>
        <family val="2"/>
        <charset val="134"/>
      </rPr>
      <t xml:space="preserve">请于此页复制模板，新开Sheet工作表使用，例如【719.ACSC】为719在瑞平AC和SC
</t>
    </r>
    <r>
      <rPr>
        <sz val="14"/>
        <color rgb="FF000000"/>
        <rFont val="Microsoft YaHei"/>
        <family val="2"/>
        <charset val="134"/>
      </rPr>
      <t>请勿在此处打分</t>
    </r>
    <r>
      <rPr>
        <sz val="14"/>
        <color rgb="FF000000"/>
        <rFont val="Microsoft YaHei"/>
        <family val="2"/>
        <charset val="134"/>
      </rPr>
      <t xml:space="preserve">
个人喜好：注重旋律性音高表现（pit高于一切）、音色强弱对比（一直强或者一直弱的歌会觉得无聊）、咬字唱腔处理</t>
    </r>
    <r>
      <rPr>
        <sz val="14"/>
        <color rgb="FF000000"/>
        <rFont val="Microsoft YaHei"/>
        <family val="2"/>
        <charset val="134"/>
      </rPr>
      <t xml:space="preserve">
红色三倍票，黄色普通票，蓝色初筛。C是相当于无参</t>
    </r>
  </si>
  <si>
    <r>
      <rPr>
        <sz val="14"/>
        <color theme="1"/>
        <rFont val="微软雅黑"/>
        <family val="2"/>
        <charset val="134"/>
      </rPr>
      <t>Iron</t>
    </r>
    <r>
      <rPr>
        <sz val="14"/>
        <color theme="1"/>
        <rFont val="微软雅黑"/>
        <family val="2"/>
        <charset val="134"/>
      </rPr>
      <t xml:space="preserve"> Crown</t>
    </r>
  </si>
  <si>
    <r>
      <rPr>
        <sz val="14"/>
        <color theme="1"/>
        <rFont val="微软雅黑"/>
        <family val="2"/>
        <charset val="134"/>
      </rPr>
      <t>大东北我的家乡（D</t>
    </r>
    <r>
      <rPr>
        <sz val="14"/>
        <color theme="1"/>
        <rFont val="微软雅黑"/>
        <family val="2"/>
        <charset val="134"/>
      </rPr>
      <t>J版）</t>
    </r>
  </si>
  <si>
    <r>
      <rPr>
        <sz val="14"/>
        <color theme="1"/>
        <rFont val="微软雅黑"/>
        <family val="2"/>
        <charset val="134"/>
      </rPr>
      <t>Peach</t>
    </r>
    <r>
      <rPr>
        <sz val="14"/>
        <color theme="1"/>
        <rFont val="微软雅黑"/>
        <family val="2"/>
        <charset val="134"/>
      </rPr>
      <t xml:space="preserve"> Pit and Cyanide（核桃与氰化物）</t>
    </r>
  </si>
  <si>
    <r>
      <rPr>
        <b/>
        <sz val="12"/>
        <color rgb="FF000000"/>
        <rFont val="Microsoft YaHei"/>
        <family val="2"/>
        <charset val="134"/>
      </rPr>
      <t>和一些瑞平不太一样</t>
    </r>
    <r>
      <rPr>
        <b/>
        <sz val="12"/>
        <color rgb="FF000000"/>
        <rFont val="Microsoft YaHei"/>
        <family val="2"/>
        <charset val="134"/>
      </rPr>
      <t xml:space="preserve">
我相对的会听完全曲</t>
    </r>
    <r>
      <rPr>
        <b/>
        <sz val="12"/>
        <color rgb="FF000000"/>
        <rFont val="Microsoft YaHei"/>
        <family val="2"/>
        <charset val="134"/>
      </rPr>
      <t xml:space="preserve">
更注重整首歌的情绪表达</t>
    </r>
  </si>
  <si>
    <r>
      <rPr>
        <sz val="11"/>
        <color rgb="FF9E1E1A"/>
        <rFont val="Microsoft YaHei"/>
        <family val="2"/>
        <charset val="134"/>
      </rPr>
      <t xml:space="preserve"> ■ 三倍票！</t>
    </r>
    <r>
      <rPr>
        <sz val="11"/>
        <color rgb="FFFF9C99"/>
        <rFont val="Microsoft YaHei"/>
        <family val="2"/>
        <charset val="134"/>
      </rPr>
      <t xml:space="preserve">
 ■ 一倍票！</t>
    </r>
    <r>
      <rPr>
        <sz val="11"/>
        <color rgb="FF99BEFF"/>
        <rFont val="Microsoft YaHei"/>
        <family val="2"/>
        <charset val="134"/>
      </rPr>
      <t xml:space="preserve">
 ■ 还在斟酌中让我多听几遍...</t>
    </r>
  </si>
  <si>
    <r>
      <rPr>
        <sz val="11"/>
        <color rgb="FF000000"/>
        <rFont val="Microsoft YaHei"/>
        <family val="2"/>
        <charset val="134"/>
      </rPr>
      <t xml:space="preserve"> 叠甲：第一次参赛，很菜菜，B+守门水准，所以先从选曲喜欢的&amp;印象深刻的歌评起，慢慢补。审美上会有一点不喜欢太匠气的作品，但我会尽量不让自己的私人偏好影响到给票（</t>
    </r>
    <r>
      <rPr>
        <sz val="11"/>
        <color rgb="FF277C4F"/>
        <rFont val="Microsoft YaHei"/>
        <family val="2"/>
        <charset val="134"/>
      </rPr>
      <t>←实际上失败了，优秀的作品太多，票数又有限，只能看私心给了…</t>
    </r>
    <r>
      <rPr>
        <sz val="11"/>
        <color rgb="FF000000"/>
        <rFont val="Microsoft YaHei"/>
        <family val="2"/>
        <charset val="134"/>
      </rPr>
      <t xml:space="preserve">
 对我调过/唱过的歌，以及粤语歌，可能会评的稍微严格一些；另外我一直很喜欢概念型选手，如果有引入歌唱以外的表达方式让作品维度更立体，会让我格外偏爱</t>
    </r>
    <r>
      <rPr>
        <sz val="11"/>
        <color rgb="FFA5A5A5"/>
        <rFont val="Microsoft YaHei"/>
        <family val="2"/>
        <charset val="134"/>
      </rPr>
      <t xml:space="preserve">
现在还不是很能把握ABC等级的标准，一倍票会从B+开始投，如果是B+/候补一倍，就说明我票不够了忍痛割爱，如果票够我一定会给你也投一张……</t>
    </r>
  </si>
  <si>
    <r>
      <rPr>
        <b/>
        <sz val="11"/>
        <color rgb="FF000000"/>
        <rFont val="Microsoft YaHei"/>
        <family val="2"/>
        <charset val="134"/>
      </rPr>
      <t>已正式投票！</t>
    </r>
    <r>
      <rPr>
        <sz val="11"/>
        <color rgb="FF000000"/>
        <rFont val="Microsoft YaHei"/>
        <family val="2"/>
        <charset val="134"/>
      </rPr>
      <t>AC三倍票会分为三种类型给出，分别是</t>
    </r>
    <r>
      <rPr>
        <sz val="11"/>
        <color rgb="FF8E0000"/>
        <rFont val="Microsoft YaHei"/>
        <family val="2"/>
        <charset val="134"/>
      </rPr>
      <t>高立意叙事感强的调教（三张）</t>
    </r>
    <r>
      <rPr>
        <sz val="11"/>
        <color rgb="FF000000"/>
        <rFont val="Microsoft YaHei"/>
        <family val="2"/>
        <charset val="134"/>
      </rPr>
      <t>，</t>
    </r>
    <r>
      <rPr>
        <sz val="11"/>
        <color rgb="FF1274A5"/>
        <rFont val="Microsoft YaHei"/>
        <family val="2"/>
        <charset val="134"/>
      </rPr>
      <t>注重歌唱技术流的调教（三张）</t>
    </r>
    <r>
      <rPr>
        <sz val="11"/>
        <color rgb="FF000000"/>
        <rFont val="Microsoft YaHei"/>
        <family val="2"/>
        <charset val="134"/>
      </rPr>
      <t>和</t>
    </r>
    <r>
      <rPr>
        <sz val="11"/>
        <color rgb="FF5E2281"/>
        <rFont val="Microsoft YaHei"/>
        <family val="2"/>
        <charset val="134"/>
      </rPr>
      <t>个人xp私心想送你上榜的调教（一张）</t>
    </r>
    <r>
      <rPr>
        <sz val="11"/>
        <color rgb="FF000000"/>
        <rFont val="Microsoft YaHei"/>
        <family val="2"/>
        <charset val="134"/>
      </rPr>
      <t>，我希望前两者之间的比例尽量均衡……</t>
    </r>
  </si>
  <si>
    <t>很熟练完成度很高的作品，动态设计在落实的时候各参数配合几乎没有错，就是有的地方偶尔在自然度/像人声的地方有点调到分布外了（声线方面的那些怀疑可能和气声参数的操作有关，另外有的是pit的方面的极小瑕疵造成的，属于操作太多难免有那么几处有点粗心为了风格化而忘了原本人声的发声自然度导致的），natalie 在高音高张力区的时候 2khz 附近的气哨子在混音要稳一下照顾一下</t>
    <phoneticPr fontId="89" type="noConversion"/>
  </si>
  <si>
    <t>评价几乎和上首完全一致：很熟练完成度很高的作品，动态设计在落实的时候各参数配合几乎没有错，就是有的地方偶尔在自然度/像人声的地方有点调到分布外了（声线方面的那些怀疑可能和性别参数的操作有关，另外有的是pit的方面的极小瑕疵造成的，属于操作太多难免有那么几处有点粗心为了风格化而忘了原本人声的发声自然度导致的）</t>
    <phoneticPr fontId="8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</si>
</sst>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0.0"/>
  </numFmts>
  <fonts count="90">
    <font>
      <sz val="12"/>
      <name val="Microsoft YaHei"/>
    </font>
    <font>
      <sz val="11"/>
      <name val="Microsoft YaHei"/>
      <family val="2"/>
      <charset val="134"/>
    </font>
    <font>
      <sz val="14"/>
      <name val="Microsoft YaHei"/>
      <family val="2"/>
      <charset val="134"/>
    </font>
    <font>
      <sz val="16"/>
      <name val="Microsoft YaHei"/>
      <family val="2"/>
      <charset val="134"/>
    </font>
    <font>
      <sz val="11"/>
      <name val="Microsoft YaHei"/>
      <family val="2"/>
      <charset val="134"/>
    </font>
    <font>
      <b/>
      <sz val="11"/>
      <name val="Microsoft YaHei"/>
      <family val="2"/>
      <charset val="134"/>
    </font>
    <font>
      <b/>
      <sz val="11"/>
      <name val="Microsoft YaHei"/>
      <family val="2"/>
      <charset val="134"/>
    </font>
    <font>
      <sz val="12"/>
      <name val="Microsoft YaHei"/>
      <family val="2"/>
      <charset val="134"/>
    </font>
    <font>
      <sz val="9"/>
      <name val="Microsoft YaHei"/>
      <family val="2"/>
      <charset val="134"/>
    </font>
    <font>
      <sz val="12"/>
      <name val="Microsoft YaHei"/>
      <family val="2"/>
      <charset val="134"/>
    </font>
    <font>
      <sz val="10"/>
      <name val="Microsoft YaHei"/>
      <family val="2"/>
      <charset val="134"/>
    </font>
    <font>
      <sz val="11"/>
      <name val="Arial"/>
      <family val="2"/>
    </font>
    <font>
      <sz val="12"/>
      <name val="Microsoft YaHei"/>
      <family val="2"/>
      <charset val="134"/>
    </font>
    <font>
      <sz val="12"/>
      <name val="Microsoft YaHei"/>
      <family val="2"/>
      <charset val="134"/>
    </font>
    <font>
      <sz val="11"/>
      <name val="Color Emoji"/>
    </font>
    <font>
      <sz val="12"/>
      <name val="Microsoft YaHei"/>
      <family val="2"/>
      <charset val="134"/>
    </font>
    <font>
      <sz val="12"/>
      <name val="Microsoft YaHei"/>
      <family val="2"/>
      <charset val="134"/>
    </font>
    <font>
      <sz val="12"/>
      <name val="Microsoft YaHei"/>
      <family val="2"/>
      <charset val="134"/>
    </font>
    <font>
      <sz val="10"/>
      <name val="Microsoft YaHei"/>
      <family val="2"/>
      <charset val="134"/>
    </font>
    <font>
      <sz val="12"/>
      <name val="Microsoft YaHei"/>
      <family val="2"/>
      <charset val="134"/>
    </font>
    <font>
      <sz val="12"/>
      <name val="Microsoft YaHei"/>
      <family val="2"/>
      <charset val="134"/>
    </font>
    <font>
      <sz val="11"/>
      <name val="Microsoft YaHei"/>
      <family val="2"/>
      <charset val="134"/>
    </font>
    <font>
      <sz val="12"/>
      <color rgb="FF000000"/>
      <name val="Microsoft YaHei"/>
      <family val="2"/>
      <charset val="134"/>
    </font>
    <font>
      <sz val="11"/>
      <name val="Microsoft YaHei"/>
      <family val="2"/>
      <charset val="134"/>
    </font>
    <font>
      <sz val="11"/>
      <name val="Microsoft YaHei"/>
      <family val="2"/>
      <charset val="134"/>
    </font>
    <font>
      <sz val="11"/>
      <name val="等线"/>
      <family val="4"/>
      <charset val="134"/>
    </font>
    <font>
      <sz val="12"/>
      <color rgb="FF92D050"/>
      <name val="Microsoft YaHei"/>
      <family val="2"/>
      <charset val="134"/>
    </font>
    <font>
      <sz val="12"/>
      <name val="等线"/>
      <family val="4"/>
      <charset val="134"/>
    </font>
    <font>
      <sz val="9"/>
      <name val="Microsoft YaHei"/>
      <family val="2"/>
      <charset val="134"/>
    </font>
    <font>
      <sz val="11"/>
      <color rgb="FFBFBFBF"/>
      <name val="Microsoft YaHei"/>
      <family val="2"/>
      <charset val="134"/>
    </font>
    <font>
      <sz val="11"/>
      <color rgb="FF939393"/>
      <name val="Microsoft YaHei"/>
      <family val="2"/>
      <charset val="134"/>
    </font>
    <font>
      <sz val="11"/>
      <color rgb="FFD8D8D8"/>
      <name val="Microsoft YaHei"/>
      <family val="2"/>
      <charset val="134"/>
    </font>
    <font>
      <sz val="11"/>
      <color rgb="FFFFFFFF"/>
      <name val="Microsoft YaHei"/>
      <family val="2"/>
      <charset val="134"/>
    </font>
    <font>
      <sz val="12"/>
      <name val="Microsoft YaHei"/>
      <family val="2"/>
      <charset val="134"/>
    </font>
    <font>
      <b/>
      <sz val="14"/>
      <name val="Microsoft YaHei"/>
      <family val="2"/>
      <charset val="134"/>
    </font>
    <font>
      <sz val="12"/>
      <color rgb="FFFF0000"/>
      <name val="Microsoft YaHei"/>
      <family val="2"/>
      <charset val="134"/>
    </font>
    <font>
      <sz val="24"/>
      <name val="等线"/>
      <family val="4"/>
      <charset val="134"/>
    </font>
    <font>
      <sz val="12"/>
      <color rgb="FFFF0000"/>
      <name val="等线"/>
      <family val="4"/>
      <charset val="134"/>
    </font>
    <font>
      <sz val="9"/>
      <name val="等线"/>
      <family val="4"/>
      <charset val="134"/>
    </font>
    <font>
      <b/>
      <sz val="11"/>
      <color rgb="FFDE3C36"/>
      <name val="Microsoft YaHei"/>
      <family val="2"/>
      <charset val="134"/>
    </font>
    <font>
      <sz val="11"/>
      <color rgb="FF000000"/>
      <name val="Microsoft YaHei"/>
      <family val="2"/>
      <charset val="134"/>
    </font>
    <font>
      <sz val="11"/>
      <color rgb="FFDE3C36"/>
      <name val="Microsoft YaHei"/>
      <family val="2"/>
      <charset val="134"/>
    </font>
    <font>
      <b/>
      <sz val="11"/>
      <color rgb="FF000000"/>
      <name val="Microsoft YaHei"/>
      <family val="2"/>
      <charset val="134"/>
    </font>
    <font>
      <sz val="11"/>
      <color rgb="FFAE2E19"/>
      <name val="Microsoft YaHei"/>
      <family val="2"/>
      <charset val="134"/>
    </font>
    <font>
      <sz val="11"/>
      <color rgb="FFBFBFBF"/>
      <name val="Microsoft YaHei"/>
      <family val="2"/>
      <charset val="134"/>
    </font>
    <font>
      <sz val="11"/>
      <color rgb="FF58110E"/>
      <name val="Microsoft YaHei"/>
      <family val="2"/>
      <charset val="134"/>
    </font>
    <font>
      <sz val="11"/>
      <name val="Microsoft YaHei"/>
      <family val="2"/>
      <charset val="134"/>
    </font>
    <font>
      <b/>
      <sz val="11"/>
      <name val="Microsoft YaHei"/>
      <family val="2"/>
      <charset val="134"/>
    </font>
    <font>
      <sz val="11"/>
      <name val="Microsoft YaHei"/>
      <family val="2"/>
      <charset val="134"/>
    </font>
    <font>
      <sz val="11"/>
      <color rgb="FFD8D4CF"/>
      <name val="PingFang SC"/>
      <family val="2"/>
      <charset val="134"/>
    </font>
    <font>
      <sz val="16"/>
      <name val="Microsoft YaHei"/>
      <family val="2"/>
      <charset val="134"/>
    </font>
    <font>
      <sz val="12"/>
      <name val="Microsoft YaHei"/>
      <family val="2"/>
      <charset val="134"/>
    </font>
    <font>
      <b/>
      <sz val="12"/>
      <name val="Hiragino Sans GB"/>
      <family val="2"/>
      <charset val="134"/>
    </font>
    <font>
      <sz val="9"/>
      <name val="Hiragino Sans GB"/>
      <charset val="134"/>
    </font>
    <font>
      <b/>
      <sz val="11"/>
      <name val="Hiragino Sans GB"/>
      <charset val="134"/>
    </font>
    <font>
      <b/>
      <sz val="12"/>
      <name val="Microsoft YaHei"/>
      <family val="2"/>
      <charset val="134"/>
    </font>
    <font>
      <sz val="9"/>
      <name val="Microsoft YaHei"/>
      <family val="2"/>
      <charset val="134"/>
    </font>
    <font>
      <b/>
      <sz val="10"/>
      <name val="Microsoft YaHei"/>
      <family val="2"/>
      <charset val="134"/>
    </font>
    <font>
      <sz val="10"/>
      <name val="Microsoft YaHei"/>
      <family val="2"/>
      <charset val="134"/>
    </font>
    <font>
      <sz val="12"/>
      <color theme="1"/>
      <name val="微软雅黑"/>
      <family val="2"/>
      <charset val="134"/>
    </font>
    <font>
      <b/>
      <sz val="14"/>
      <color theme="1"/>
      <name val="微软雅黑"/>
      <family val="2"/>
      <charset val="134"/>
    </font>
    <font>
      <b/>
      <sz val="14"/>
      <color theme="1"/>
      <name val="微软雅黑"/>
      <family val="2"/>
      <charset val="134"/>
    </font>
    <font>
      <b/>
      <sz val="12"/>
      <name val="Microsoft YaHei"/>
      <family val="2"/>
      <charset val="134"/>
    </font>
    <font>
      <sz val="12"/>
      <name val="Microsoft YaHei"/>
      <family val="2"/>
      <charset val="134"/>
    </font>
    <font>
      <sz val="11"/>
      <color rgb="FFFFFFFF"/>
      <name val="Microsoft YaHei"/>
      <family val="2"/>
      <charset val="134"/>
    </font>
    <font>
      <sz val="12"/>
      <name val="Microsoft YaHei"/>
      <family val="2"/>
      <charset val="134"/>
    </font>
    <font>
      <sz val="10"/>
      <name val="Microsoft YaHei"/>
      <family val="2"/>
      <charset val="134"/>
    </font>
    <font>
      <sz val="14"/>
      <color rgb="FF000000"/>
      <name val="Microsoft YaHei"/>
      <family val="2"/>
      <charset val="134"/>
    </font>
    <font>
      <sz val="11"/>
      <color rgb="FF000000"/>
      <name val="Arial"/>
      <family val="2"/>
    </font>
    <font>
      <sz val="11"/>
      <color rgb="FF000000"/>
      <name val="宋体"/>
      <family val="3"/>
      <charset val="134"/>
    </font>
    <font>
      <strike/>
      <sz val="11"/>
      <color rgb="FF000000"/>
      <name val="Microsoft YaHei"/>
      <family val="2"/>
      <charset val="134"/>
    </font>
    <font>
      <sz val="11"/>
      <color rgb="FF000000"/>
      <name val="等线"/>
      <family val="4"/>
      <charset val="134"/>
    </font>
    <font>
      <sz val="11"/>
      <color rgb="FF000000"/>
      <name val="Malgun Gothic"/>
      <family val="2"/>
      <charset val="129"/>
    </font>
    <font>
      <sz val="11"/>
      <color rgb="FF000000"/>
      <name val="Segoe UI Emoji"/>
    </font>
    <font>
      <sz val="11"/>
      <color rgb="FF000000"/>
      <name val="微软雅黑"/>
      <family val="2"/>
      <charset val="134"/>
    </font>
    <font>
      <b/>
      <sz val="14"/>
      <color rgb="FF000000"/>
      <name val="Microsoft YaHei"/>
      <family val="2"/>
      <charset val="134"/>
    </font>
    <font>
      <b/>
      <sz val="10"/>
      <color rgb="FF000000"/>
      <name val="Microsoft YaHei"/>
      <family val="2"/>
      <charset val="134"/>
    </font>
    <font>
      <u/>
      <sz val="10"/>
      <color rgb="FF000000"/>
      <name val="Microsoft YaHei"/>
      <family val="2"/>
      <charset val="134"/>
    </font>
    <font>
      <b/>
      <sz val="10"/>
      <color rgb="FF000000"/>
      <name val="Hiragino Sans GB"/>
      <charset val="134"/>
    </font>
    <font>
      <sz val="14"/>
      <color theme="1"/>
      <name val="微软雅黑"/>
      <family val="2"/>
      <charset val="134"/>
    </font>
    <font>
      <b/>
      <sz val="12"/>
      <color rgb="FF000000"/>
      <name val="Microsoft YaHei"/>
      <family val="2"/>
      <charset val="134"/>
    </font>
    <font>
      <sz val="11"/>
      <color rgb="FF9E1E1A"/>
      <name val="Microsoft YaHei"/>
      <family val="2"/>
      <charset val="134"/>
    </font>
    <font>
      <sz val="11"/>
      <color rgb="FFFF9C99"/>
      <name val="Microsoft YaHei"/>
      <family val="2"/>
      <charset val="134"/>
    </font>
    <font>
      <sz val="11"/>
      <color rgb="FF99BEFF"/>
      <name val="Microsoft YaHei"/>
      <family val="2"/>
      <charset val="134"/>
    </font>
    <font>
      <sz val="11"/>
      <color rgb="FF277C4F"/>
      <name val="Microsoft YaHei"/>
      <family val="2"/>
      <charset val="134"/>
    </font>
    <font>
      <sz val="11"/>
      <color rgb="FFA5A5A5"/>
      <name val="Microsoft YaHei"/>
      <family val="2"/>
      <charset val="134"/>
    </font>
    <font>
      <sz val="11"/>
      <color rgb="FF8E0000"/>
      <name val="Microsoft YaHei"/>
      <family val="2"/>
      <charset val="134"/>
    </font>
    <font>
      <sz val="11"/>
      <color rgb="FF1274A5"/>
      <name val="Microsoft YaHei"/>
      <family val="2"/>
      <charset val="134"/>
    </font>
    <font>
      <sz val="11"/>
      <color rgb="FF5E2281"/>
      <name val="Microsoft YaHei"/>
      <family val="2"/>
      <charset val="134"/>
    </font>
    <font>
      <sz val="9"/>
      <name val="FangSong"/>
      <family val="3"/>
      <charset val="134"/>
    </font>
  </fonts>
  <fills count="93">
    <fill>
      <patternFill patternType="none"/>
    </fill>
    <fill>
      <patternFill patternType="gray125"/>
    </fill>
    <fill>
      <patternFill patternType="solid">
        <fgColor rgb="FFFFC9C7"/>
      </patternFill>
    </fill>
    <fill>
      <patternFill patternType="solid">
        <fgColor rgb="FFFFC9C7"/>
      </patternFill>
    </fill>
    <fill>
      <patternFill patternType="solid">
        <fgColor rgb="FFE5F6FF"/>
      </patternFill>
    </fill>
    <fill>
      <patternFill patternType="solid">
        <fgColor rgb="FFFFE9E8"/>
      </patternFill>
    </fill>
    <fill>
      <patternFill patternType="solid">
        <fgColor rgb="FFFF9C99"/>
      </patternFill>
    </fill>
    <fill>
      <patternFill patternType="solid">
        <fgColor rgb="FFC3EAD5"/>
      </patternFill>
    </fill>
    <fill>
      <patternFill patternType="solid">
        <fgColor rgb="FFC3EAD5"/>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ill>
    <fill>
      <patternFill patternType="none">
        <fgColor rgb="FFE5F6FF"/>
      </patternFill>
    </fill>
    <fill>
      <patternFill patternType="none"/>
    </fill>
    <fill>
      <patternFill patternType="solid">
        <fgColor rgb="FFA1CE63"/>
      </patternFill>
    </fill>
    <fill>
      <patternFill patternType="solid">
        <fgColor rgb="FF92D050"/>
      </patternFill>
    </fill>
    <fill>
      <patternFill patternType="solid">
        <fgColor rgb="FFFFE9E8"/>
      </patternFill>
    </fill>
    <fill>
      <patternFill patternType="solid">
        <fgColor rgb="FFF2C7FF"/>
      </patternFill>
    </fill>
    <fill>
      <patternFill patternType="solid">
        <fgColor rgb="FF99DDFF"/>
      </patternFill>
    </fill>
    <fill>
      <patternFill patternType="solid">
        <fgColor rgb="FF8CDDFA"/>
      </patternFill>
    </fill>
    <fill>
      <patternFill patternType="solid">
        <fgColor rgb="FF99DDFF"/>
      </patternFill>
    </fill>
    <fill>
      <patternFill patternType="solid">
        <fgColor rgb="FFF2C7FF"/>
      </patternFill>
    </fill>
    <fill>
      <patternFill patternType="solid">
        <fgColor rgb="FF99DDFF"/>
      </patternFill>
    </fill>
    <fill>
      <patternFill patternType="solid">
        <fgColor rgb="FF8CDDFA"/>
      </patternFill>
    </fill>
    <fill>
      <patternFill patternType="solid">
        <fgColor rgb="FFF2C7FF"/>
      </patternFill>
    </fill>
    <fill>
      <patternFill patternType="solid">
        <fgColor rgb="FF99DDFF"/>
      </patternFill>
    </fill>
    <fill>
      <patternFill patternType="solid">
        <fgColor rgb="FFE5F6FF"/>
      </patternFill>
    </fill>
    <fill>
      <patternFill patternType="solid">
        <fgColor rgb="FF8CDDFA"/>
      </patternFill>
    </fill>
    <fill>
      <patternFill patternType="solid">
        <fgColor rgb="FFC3EAD5"/>
        <bgColor rgb="FF000000"/>
      </patternFill>
    </fill>
    <fill>
      <patternFill patternType="solid">
        <fgColor rgb="FFC3EAD5"/>
        <bgColor auto="1"/>
      </patternFill>
    </fill>
    <fill>
      <patternFill patternType="solid">
        <fgColor rgb="FFFFC000"/>
      </patternFill>
    </fill>
    <fill>
      <patternFill patternType="solid">
        <fgColor rgb="FFFFFF00"/>
      </patternFill>
    </fill>
    <fill>
      <patternFill patternType="solid">
        <fgColor rgb="FFFFFFFF"/>
      </patternFill>
    </fill>
    <fill>
      <patternFill patternType="solid">
        <fgColor rgb="FFC7ECFF"/>
      </patternFill>
    </fill>
    <fill>
      <patternFill patternType="solid">
        <fgColor rgb="FFF2F2F2"/>
      </patternFill>
    </fill>
    <fill>
      <patternFill patternType="none"/>
    </fill>
    <fill>
      <patternFill patternType="solid">
        <fgColor rgb="FFC7DCFF"/>
      </patternFill>
    </fill>
    <fill>
      <patternFill patternType="solid">
        <fgColor rgb="FFF3F5F7"/>
      </patternFill>
    </fill>
    <fill>
      <patternFill patternType="solid">
        <fgColor rgb="FFF3F5F7"/>
      </patternFill>
    </fill>
    <fill>
      <patternFill patternType="solid">
        <fgColor rgb="FFE5F6FF"/>
      </patternFill>
    </fill>
    <fill>
      <patternFill patternType="solid">
        <fgColor rgb="FFE5F6FF"/>
      </patternFill>
    </fill>
    <fill>
      <patternFill patternType="solid">
        <fgColor rgb="FFBFBFBF"/>
      </patternFill>
    </fill>
    <fill>
      <patternFill patternType="solid">
        <fgColor rgb="FFDE3C36"/>
        <bgColor auto="1"/>
      </patternFill>
    </fill>
    <fill>
      <patternFill patternType="solid">
        <fgColor rgb="FFA38200"/>
        <bgColor auto="1"/>
      </patternFill>
    </fill>
    <fill>
      <patternFill patternType="solid">
        <fgColor rgb="FFFFEEAD"/>
        <bgColor auto="1"/>
      </patternFill>
    </fill>
    <fill>
      <patternFill patternType="solid">
        <fgColor rgb="FFBFBFBF"/>
        <bgColor auto="1"/>
      </patternFill>
    </fill>
    <fill>
      <patternFill patternType="solid">
        <fgColor rgb="FFF2F2F2"/>
        <bgColor auto="1"/>
      </patternFill>
    </fill>
    <fill>
      <patternFill patternType="solid">
        <fgColor rgb="FFFFF9E3"/>
        <bgColor auto="1"/>
      </patternFill>
    </fill>
    <fill>
      <patternFill patternType="solid">
        <fgColor rgb="FFFFBA84"/>
        <bgColor auto="1"/>
      </patternFill>
    </fill>
    <fill>
      <patternFill patternType="solid">
        <fgColor rgb="FFFFDCC4"/>
        <bgColor auto="1"/>
      </patternFill>
    </fill>
    <fill>
      <patternFill patternType="solid">
        <fgColor rgb="FF000000"/>
        <bgColor auto="1"/>
      </patternFill>
    </fill>
    <fill>
      <patternFill patternType="solid">
        <fgColor rgb="FF5C300A"/>
        <bgColor auto="1"/>
      </patternFill>
    </fill>
    <fill>
      <patternFill patternType="solid">
        <fgColor rgb="FF1274A5"/>
        <bgColor auto="1"/>
      </patternFill>
    </fill>
    <fill>
      <patternFill patternType="solid">
        <fgColor rgb="FF3F3F3F"/>
        <bgColor auto="1"/>
      </patternFill>
    </fill>
    <fill>
      <patternFill patternType="solid">
        <fgColor rgb="FFFFF3EB"/>
        <bgColor auto="1"/>
      </patternFill>
    </fill>
    <fill>
      <patternFill patternType="solid">
        <fgColor rgb="FF5E2281"/>
        <bgColor auto="1"/>
      </patternFill>
    </fill>
    <fill>
      <patternFill patternType="solid">
        <fgColor rgb="FF277C4F"/>
        <bgColor auto="1"/>
      </patternFill>
    </fill>
    <fill>
      <patternFill patternType="solid">
        <fgColor rgb="FF0C306E"/>
        <bgColor auto="1"/>
      </patternFill>
    </fill>
    <fill>
      <patternFill patternType="solid">
        <fgColor rgb="FF1450B8"/>
        <bgColor auto="1"/>
      </patternFill>
    </fill>
    <fill>
      <patternFill patternType="solid">
        <fgColor rgb="FF184E32"/>
        <bgColor auto="1"/>
      </patternFill>
    </fill>
    <fill>
      <patternFill patternType="solid">
        <fgColor rgb="FFBFBFBF"/>
      </patternFill>
    </fill>
    <fill>
      <patternFill patternType="solid">
        <fgColor rgb="FFC3EAD5"/>
      </patternFill>
    </fill>
    <fill>
      <patternFill patternType="solid">
        <fgColor rgb="FFFF9C99"/>
      </patternFill>
    </fill>
    <fill>
      <patternFill patternType="solid">
        <fgColor rgb="FFE5F6FF"/>
      </patternFill>
    </fill>
    <fill>
      <gradientFill/>
    </fill>
    <fill>
      <gradientFill/>
    </fill>
    <fill>
      <patternFill patternType="solid">
        <fgColor rgb="FFFFC9C7"/>
      </patternFill>
    </fill>
    <fill>
      <patternFill patternType="solid">
        <fgColor rgb="FFFFC000"/>
      </patternFill>
    </fill>
    <fill>
      <patternFill patternType="solid">
        <fgColor rgb="FFF88825"/>
      </patternFill>
    </fill>
    <fill>
      <patternFill patternType="solid">
        <fgColor rgb="FFFFEEAD"/>
      </patternFill>
    </fill>
    <fill>
      <patternFill patternType="solid">
        <fgColor rgb="FFC7ECFF"/>
      </patternFill>
    </fill>
    <fill>
      <patternFill patternType="solid">
        <fgColor rgb="FFC7ECFF"/>
      </patternFill>
    </fill>
    <fill>
      <patternFill patternType="solid">
        <fgColor rgb="FFC7DDFF"/>
        <bgColor auto="1"/>
      </patternFill>
    </fill>
    <fill>
      <patternFill patternType="solid">
        <fgColor rgb="FFF4C243"/>
      </patternFill>
    </fill>
    <fill>
      <patternFill patternType="solid">
        <fgColor rgb="FFF5C401"/>
        <bgColor auto="1"/>
      </patternFill>
    </fill>
    <fill>
      <patternFill patternType="solid">
        <fgColor rgb="FFDE3D37"/>
        <bgColor auto="1"/>
      </patternFill>
    </fill>
    <fill>
      <patternFill patternType="solid">
        <fgColor rgb="FFDE3C36"/>
      </patternFill>
    </fill>
    <fill>
      <patternFill patternType="solid">
        <fgColor rgb="FFFFFFFF"/>
        <bgColor auto="1"/>
      </patternFill>
    </fill>
    <fill>
      <patternFill patternType="solid">
        <fgColor rgb="FFE74025"/>
      </patternFill>
    </fill>
    <fill>
      <patternFill patternType="solid">
        <fgColor rgb="FFFFFFFF"/>
      </patternFill>
    </fill>
    <fill>
      <patternFill patternType="solid">
        <fgColor rgb="FFFFFF00"/>
        <bgColor auto="1"/>
      </patternFill>
    </fill>
    <fill>
      <patternFill patternType="solid">
        <fgColor rgb="FFFFE9E8"/>
      </patternFill>
    </fill>
    <fill>
      <patternFill patternType="solid">
        <fgColor rgb="FFE6615D"/>
      </patternFill>
    </fill>
    <fill>
      <patternFill patternType="solid">
        <fgColor rgb="FFD58EFF"/>
        <bgColor auto="1"/>
      </patternFill>
    </fill>
    <fill>
      <patternFill patternType="solid">
        <fgColor rgb="FFFFEEAD"/>
        <bgColor auto="1"/>
      </patternFill>
    </fill>
    <fill>
      <patternFill patternType="solid">
        <fgColor rgb="FFD58EFF"/>
        <bgColor auto="1"/>
      </patternFill>
    </fill>
    <fill>
      <patternFill patternType="solid">
        <fgColor rgb="FF00A3F5"/>
        <bgColor auto="1"/>
      </patternFill>
    </fill>
    <fill>
      <patternFill patternType="solid">
        <fgColor rgb="FF2972F4"/>
        <bgColor auto="1"/>
      </patternFill>
    </fill>
    <fill>
      <patternFill patternType="none"/>
    </fill>
    <fill>
      <patternFill patternType="solid">
        <fgColor rgb="FFFFC000"/>
        <bgColor rgb="FF000000"/>
      </patternFill>
    </fill>
    <fill>
      <patternFill patternType="solid">
        <fgColor rgb="FFBDD7EE"/>
        <bgColor rgb="FF000000"/>
      </patternFill>
    </fill>
    <fill>
      <patternFill patternType="none">
        <fgColor rgb="FFC7DCFF"/>
      </patternFill>
    </fill>
  </fills>
  <borders count="36">
    <border>
      <left/>
      <right/>
      <top/>
      <bottom/>
      <diagonal/>
    </border>
    <border>
      <left/>
      <right/>
      <top/>
      <bottom/>
      <diagonal/>
    </border>
    <border>
      <left/>
      <right/>
      <top/>
      <bottom/>
      <diagonal/>
    </border>
    <border>
      <left/>
      <right/>
      <top/>
      <bottom/>
      <diagonal/>
    </border>
    <border>
      <left/>
      <right/>
      <top/>
      <bottom/>
      <diagonal/>
    </border>
    <border diagonalUp="1" diagonalDown="1">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diagonalUp="1" diagonalDown="1">
      <left/>
      <right/>
      <top/>
      <bottom/>
      <diagonal/>
    </border>
    <border diagonalUp="1" diagonalDown="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medium">
        <color rgb="FF000000"/>
      </bottom>
      <diagonal/>
    </border>
    <border diagonalUp="1" diagonalDown="1">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diagonalUp="1" diagonalDown="1">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diagonalUp="1" diagonalDown="1">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alignment vertical="center"/>
    </xf>
  </cellStyleXfs>
  <cellXfs count="638">
    <xf numFmtId="0" fontId="0" fillId="0" borderId="0" xfId="0">
      <alignment vertical="center"/>
    </xf>
    <xf numFmtId="0" fontId="0" fillId="0" borderId="1" xfId="0" applyBorder="1">
      <alignment vertical="center"/>
    </xf>
    <xf numFmtId="0" fontId="2" fillId="4"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8" fillId="0" borderId="4" xfId="0" applyFont="1" applyBorder="1" applyAlignment="1">
      <alignment horizontal="center" vertical="center"/>
    </xf>
    <xf numFmtId="0" fontId="7" fillId="0" borderId="0" xfId="0" applyFont="1" applyAlignment="1">
      <alignment horizontal="center" vertical="center"/>
    </xf>
    <xf numFmtId="0" fontId="9" fillId="9" borderId="5" xfId="0" applyFont="1" applyFill="1" applyBorder="1" applyAlignment="1">
      <alignment horizontal="center" vertical="center"/>
    </xf>
    <xf numFmtId="0" fontId="8" fillId="0" borderId="1" xfId="0" applyFont="1" applyBorder="1" applyAlignment="1">
      <alignment horizontal="center" vertical="center"/>
    </xf>
    <xf numFmtId="0" fontId="2" fillId="0" borderId="1" xfId="0" applyFont="1" applyBorder="1" applyAlignment="1">
      <alignment horizontal="center" vertical="center"/>
    </xf>
    <xf numFmtId="0" fontId="4"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8" fillId="11" borderId="1" xfId="0" applyFont="1" applyFill="1" applyBorder="1" applyAlignment="1">
      <alignment horizontal="center" vertical="center"/>
    </xf>
    <xf numFmtId="0" fontId="8" fillId="0" borderId="0" xfId="0" applyFont="1" applyAlignment="1">
      <alignment horizontal="center" vertical="center"/>
    </xf>
    <xf numFmtId="0" fontId="0" fillId="0" borderId="6" xfId="0" applyBorder="1">
      <alignment vertical="center"/>
    </xf>
    <xf numFmtId="0" fontId="0" fillId="0" borderId="7" xfId="0" applyBorder="1">
      <alignment vertical="center"/>
    </xf>
    <xf numFmtId="0" fontId="0" fillId="0" borderId="9" xfId="0" applyBorder="1">
      <alignment vertical="center"/>
    </xf>
    <xf numFmtId="0" fontId="11" fillId="0" borderId="1" xfId="0" applyFont="1" applyBorder="1" applyAlignment="1">
      <alignment horizontal="center" vertical="center"/>
    </xf>
    <xf numFmtId="0" fontId="1" fillId="0" borderId="0" xfId="0" applyFont="1" applyAlignment="1">
      <alignment horizontal="center" vertical="center"/>
    </xf>
    <xf numFmtId="0" fontId="12" fillId="9" borderId="5" xfId="0" applyFont="1" applyFill="1" applyBorder="1" applyAlignment="1">
      <alignment horizontal="center" vertical="center"/>
    </xf>
    <xf numFmtId="0" fontId="8" fillId="11"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10" fillId="11" borderId="0" xfId="0" applyFont="1" applyFill="1" applyAlignment="1">
      <alignment horizontal="center" vertical="center"/>
    </xf>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13" fillId="9" borderId="5" xfId="0" applyFont="1" applyFill="1" applyBorder="1" applyAlignment="1">
      <alignment horizontal="center" vertical="center"/>
    </xf>
    <xf numFmtId="0" fontId="14" fillId="0" borderId="1" xfId="0" applyFont="1" applyBorder="1" applyAlignment="1">
      <alignment horizontal="center" vertical="center"/>
    </xf>
    <xf numFmtId="0" fontId="15" fillId="9" borderId="5" xfId="0" applyFont="1" applyFill="1" applyBorder="1" applyAlignment="1">
      <alignment horizontal="center" vertical="center"/>
    </xf>
    <xf numFmtId="0" fontId="4" fillId="14" borderId="0" xfId="0" applyFont="1" applyFill="1" applyAlignment="1">
      <alignment horizontal="center" vertical="center"/>
    </xf>
    <xf numFmtId="0" fontId="4" fillId="12" borderId="0" xfId="0" applyFont="1" applyFill="1" applyAlignment="1">
      <alignment horizontal="center" vertical="center"/>
    </xf>
    <xf numFmtId="0" fontId="10" fillId="12" borderId="0" xfId="0" applyFont="1" applyFill="1" applyAlignment="1">
      <alignment horizontal="center" vertical="center"/>
    </xf>
    <xf numFmtId="0" fontId="2" fillId="12" borderId="0" xfId="0" applyFont="1" applyFill="1" applyAlignment="1">
      <alignment horizontal="center" vertical="center"/>
    </xf>
    <xf numFmtId="0" fontId="9" fillId="9" borderId="5" xfId="0" applyFont="1" applyFill="1" applyBorder="1">
      <alignment vertical="center"/>
    </xf>
    <xf numFmtId="0" fontId="1" fillId="10" borderId="0" xfId="0" applyFont="1" applyFill="1" applyAlignment="1">
      <alignment horizontal="center" vertical="center"/>
    </xf>
    <xf numFmtId="0" fontId="16" fillId="9" borderId="5" xfId="0" applyFont="1" applyFill="1" applyBorder="1" applyAlignment="1">
      <alignment horizontal="center" vertical="center"/>
    </xf>
    <xf numFmtId="0" fontId="16" fillId="0" borderId="0" xfId="0" applyFont="1" applyAlignment="1">
      <alignment horizontal="center"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17" fillId="0" borderId="0" xfId="0" applyFont="1" applyAlignment="1">
      <alignment horizontal="left" vertical="center"/>
    </xf>
    <xf numFmtId="0" fontId="7" fillId="0" borderId="0" xfId="0" applyFont="1" applyAlignment="1">
      <alignment horizontal="left" vertical="center" wrapText="1"/>
    </xf>
    <xf numFmtId="0" fontId="18" fillId="4" borderId="1" xfId="0" applyFont="1" applyFill="1" applyBorder="1" applyAlignment="1">
      <alignment horizontal="center" vertical="center" wrapText="1"/>
    </xf>
    <xf numFmtId="0" fontId="1" fillId="15" borderId="1" xfId="0" applyFont="1" applyFill="1" applyBorder="1" applyAlignment="1">
      <alignment horizontal="center" vertical="center"/>
    </xf>
    <xf numFmtId="0" fontId="1" fillId="10" borderId="1" xfId="0" applyFont="1" applyFill="1" applyBorder="1" applyAlignment="1">
      <alignment horizontal="center" vertical="center"/>
    </xf>
    <xf numFmtId="0" fontId="9" fillId="16" borderId="5" xfId="0" applyFont="1" applyFill="1" applyBorder="1" applyAlignment="1">
      <alignment horizontal="center" vertical="center"/>
    </xf>
    <xf numFmtId="0" fontId="9" fillId="10" borderId="5" xfId="0" applyFont="1" applyFill="1" applyBorder="1" applyAlignment="1">
      <alignment horizontal="center" vertical="center"/>
    </xf>
    <xf numFmtId="0" fontId="7" fillId="0" borderId="0" xfId="0" applyFont="1">
      <alignment vertical="center"/>
    </xf>
    <xf numFmtId="0" fontId="19" fillId="0" borderId="1" xfId="0" applyFont="1" applyBorder="1">
      <alignment vertical="center"/>
    </xf>
    <xf numFmtId="0" fontId="1" fillId="9" borderId="5"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0" borderId="6" xfId="0" applyFont="1" applyBorder="1" applyAlignment="1">
      <alignment horizontal="center" vertical="center"/>
    </xf>
    <xf numFmtId="0" fontId="7" fillId="0" borderId="8" xfId="0" applyFont="1" applyBorder="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7" fillId="0" borderId="10" xfId="0" applyFont="1" applyBorder="1" applyAlignment="1">
      <alignment horizontal="left" vertical="center"/>
    </xf>
    <xf numFmtId="0" fontId="19" fillId="10" borderId="1" xfId="0" applyFont="1" applyFill="1" applyBorder="1">
      <alignment vertical="center"/>
    </xf>
    <xf numFmtId="0" fontId="1" fillId="10" borderId="5" xfId="0" applyFont="1" applyFill="1" applyBorder="1" applyAlignment="1">
      <alignment horizontal="center" vertical="center"/>
    </xf>
    <xf numFmtId="0" fontId="20" fillId="9" borderId="5" xfId="0" applyFont="1" applyFill="1" applyBorder="1" applyAlignment="1">
      <alignment horizontal="left" vertical="center"/>
    </xf>
    <xf numFmtId="0" fontId="1" fillId="10" borderId="11" xfId="0" applyFont="1" applyFill="1" applyBorder="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0" xfId="0" applyFont="1">
      <alignment vertical="center"/>
    </xf>
    <xf numFmtId="0" fontId="21" fillId="9" borderId="5" xfId="0" applyFont="1" applyFill="1" applyBorder="1" applyAlignment="1">
      <alignment horizontal="center" vertical="center" wrapText="1"/>
    </xf>
    <xf numFmtId="0" fontId="1" fillId="9" borderId="5" xfId="0" applyFont="1" applyFill="1" applyBorder="1" applyAlignment="1">
      <alignment horizontal="center" vertical="center"/>
    </xf>
    <xf numFmtId="0" fontId="7" fillId="9" borderId="5" xfId="0" applyFont="1" applyFill="1" applyBorder="1" applyAlignment="1">
      <alignment horizontal="left" vertical="center"/>
    </xf>
    <xf numFmtId="0" fontId="2" fillId="4"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18" fillId="19"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18" fillId="21" borderId="1" xfId="0" applyFont="1" applyFill="1" applyBorder="1" applyAlignment="1">
      <alignment vertical="center" wrapText="1"/>
    </xf>
    <xf numFmtId="0" fontId="4" fillId="0" borderId="5" xfId="0" applyFont="1" applyBorder="1" applyAlignment="1">
      <alignment horizontal="center" vertical="center" wrapText="1"/>
    </xf>
    <xf numFmtId="0" fontId="1"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1" fillId="24" borderId="1"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7" fillId="25" borderId="1" xfId="0" applyFont="1" applyFill="1" applyBorder="1" applyAlignment="1">
      <alignment horizontal="center" vertical="center" wrapText="1"/>
    </xf>
    <xf numFmtId="0" fontId="18" fillId="26" borderId="1" xfId="0" applyFont="1" applyFill="1" applyBorder="1" applyAlignment="1">
      <alignment vertical="center" wrapText="1"/>
    </xf>
    <xf numFmtId="0" fontId="7" fillId="18" borderId="0" xfId="0" applyFont="1" applyFill="1" applyAlignment="1">
      <alignment horizontal="center" vertical="center" wrapText="1"/>
    </xf>
    <xf numFmtId="0" fontId="22" fillId="19"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7" fillId="0" borderId="0" xfId="0" applyFont="1" applyAlignment="1">
      <alignment horizontal="center" vertical="center" wrapText="1"/>
    </xf>
    <xf numFmtId="0" fontId="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 fillId="0" borderId="0" xfId="0" applyFont="1" applyAlignment="1">
      <alignment horizontal="center" vertical="center" wrapText="1"/>
    </xf>
    <xf numFmtId="0" fontId="23" fillId="9" borderId="5"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1" fillId="28" borderId="1" xfId="0" applyFont="1" applyFill="1" applyBorder="1" applyAlignment="1">
      <alignment horizontal="center" vertical="center" wrapText="1"/>
    </xf>
    <xf numFmtId="0" fontId="1" fillId="19" borderId="0" xfId="0" applyFont="1" applyFill="1" applyAlignment="1">
      <alignment horizontal="center" vertical="center" wrapText="1"/>
    </xf>
    <xf numFmtId="0" fontId="1" fillId="20" borderId="0" xfId="0" applyFont="1" applyFill="1" applyAlignment="1">
      <alignment horizontal="center" vertical="center" wrapText="1"/>
    </xf>
    <xf numFmtId="0" fontId="14" fillId="0" borderId="1" xfId="0" applyFont="1" applyBorder="1" applyAlignment="1">
      <alignment horizontal="center" vertical="center" wrapText="1"/>
    </xf>
    <xf numFmtId="0" fontId="24" fillId="9" borderId="5" xfId="0" applyFont="1" applyFill="1" applyBorder="1" applyAlignment="1">
      <alignment horizontal="center" vertical="center" wrapText="1"/>
    </xf>
    <xf numFmtId="0" fontId="0" fillId="0" borderId="1" xfId="0" applyBorder="1" applyAlignment="1">
      <alignment horizontal="center" vertical="center" wrapText="1"/>
    </xf>
    <xf numFmtId="0" fontId="1" fillId="10" borderId="0" xfId="0" applyFont="1" applyFill="1" applyAlignment="1">
      <alignment horizontal="center" vertical="center" wrapText="1"/>
    </xf>
    <xf numFmtId="0" fontId="8" fillId="0" borderId="0" xfId="0" applyFont="1" applyAlignment="1">
      <alignment horizontal="center" vertical="center" wrapText="1"/>
    </xf>
    <xf numFmtId="0" fontId="18" fillId="0" borderId="0" xfId="0" applyFont="1" applyAlignment="1">
      <alignment horizontal="center" vertical="center" wrapText="1"/>
    </xf>
    <xf numFmtId="0" fontId="4" fillId="0" borderId="0" xfId="0" applyFont="1" applyAlignment="1">
      <alignment horizontal="center" vertical="center" wrapText="1"/>
    </xf>
    <xf numFmtId="0" fontId="25" fillId="0" borderId="0" xfId="0" applyFont="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8" fillId="16" borderId="0" xfId="0" applyFont="1" applyFill="1" applyAlignment="1">
      <alignment horizontal="center" vertical="center"/>
    </xf>
    <xf numFmtId="0" fontId="29" fillId="14" borderId="0" xfId="0" applyFont="1" applyFill="1">
      <alignment vertical="center"/>
    </xf>
    <xf numFmtId="0" fontId="30" fillId="0" borderId="0" xfId="0" applyFont="1">
      <alignment vertical="center"/>
    </xf>
    <xf numFmtId="0" fontId="31" fillId="0" borderId="0" xfId="0" applyFont="1">
      <alignment vertical="center"/>
    </xf>
    <xf numFmtId="0" fontId="31" fillId="14" borderId="0" xfId="0" applyFont="1" applyFill="1">
      <alignment vertical="center"/>
    </xf>
    <xf numFmtId="0" fontId="32" fillId="0" borderId="0" xfId="0" applyFont="1">
      <alignment vertical="center"/>
    </xf>
    <xf numFmtId="0" fontId="33" fillId="0" borderId="0" xfId="0" applyFont="1" applyAlignment="1">
      <alignment horizontal="center" vertical="center"/>
    </xf>
    <xf numFmtId="0" fontId="29" fillId="0" borderId="0" xfId="0" applyFont="1">
      <alignment vertical="center"/>
    </xf>
    <xf numFmtId="0" fontId="0" fillId="4" borderId="0" xfId="0" applyFill="1">
      <alignment vertical="center"/>
    </xf>
    <xf numFmtId="0" fontId="0" fillId="0" borderId="1" xfId="0" applyBorder="1" applyAlignment="1">
      <alignment horizontal="center" vertical="center"/>
    </xf>
    <xf numFmtId="0" fontId="0" fillId="0" borderId="0" xfId="0" applyAlignment="1">
      <alignment horizontal="center" vertical="center"/>
    </xf>
    <xf numFmtId="0" fontId="34" fillId="8" borderId="1" xfId="0" applyFont="1" applyFill="1" applyBorder="1" applyAlignment="1">
      <alignment horizontal="center" vertical="center"/>
    </xf>
    <xf numFmtId="0" fontId="18" fillId="0" borderId="1" xfId="0" applyFont="1" applyBorder="1" applyAlignment="1">
      <alignment horizontal="left" vertical="center"/>
    </xf>
    <xf numFmtId="0" fontId="1" fillId="0" borderId="4" xfId="0"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1" fillId="6" borderId="1" xfId="0" applyFont="1" applyFill="1" applyBorder="1" applyAlignment="1">
      <alignment horizontal="center" vertical="center"/>
    </xf>
    <xf numFmtId="0" fontId="2" fillId="0" borderId="1" xfId="0" applyFont="1" applyBorder="1" applyAlignment="1">
      <alignment horizontal="center" vertical="center" wrapText="1"/>
    </xf>
    <xf numFmtId="0" fontId="1" fillId="20" borderId="1" xfId="0" applyFont="1" applyFill="1" applyBorder="1" applyAlignment="1">
      <alignment horizontal="center" vertical="center"/>
    </xf>
    <xf numFmtId="0" fontId="11" fillId="20" borderId="1" xfId="0" applyFont="1" applyFill="1" applyBorder="1" applyAlignment="1">
      <alignment horizontal="center" vertical="center"/>
    </xf>
    <xf numFmtId="0" fontId="0" fillId="0" borderId="1" xfId="0" applyBorder="1" applyAlignment="1">
      <alignment vertical="center" wrapText="1"/>
    </xf>
    <xf numFmtId="0" fontId="5" fillId="8" borderId="1" xfId="0" applyFont="1" applyFill="1" applyBorder="1" applyAlignment="1">
      <alignment horizontal="left" vertical="center"/>
    </xf>
    <xf numFmtId="0" fontId="5" fillId="8" borderId="3" xfId="0" applyFont="1" applyFill="1" applyBorder="1">
      <alignment vertical="center"/>
    </xf>
    <xf numFmtId="0" fontId="5" fillId="8" borderId="1" xfId="0" applyFont="1" applyFill="1" applyBorder="1">
      <alignment vertical="center"/>
    </xf>
    <xf numFmtId="0" fontId="0" fillId="7" borderId="0" xfId="0" applyFill="1">
      <alignment vertical="center"/>
    </xf>
    <xf numFmtId="0" fontId="1" fillId="0" borderId="0" xfId="0" applyFont="1" applyAlignment="1">
      <alignment horizontal="left" vertical="center" wrapText="1"/>
    </xf>
    <xf numFmtId="0" fontId="9" fillId="0" borderId="0" xfId="0" applyFont="1" applyAlignment="1">
      <alignment horizontal="left" vertical="center"/>
    </xf>
    <xf numFmtId="0" fontId="1" fillId="0" borderId="0" xfId="0" applyFont="1" applyAlignment="1">
      <alignment horizontal="left" vertical="center"/>
    </xf>
    <xf numFmtId="0" fontId="9" fillId="14" borderId="0" xfId="0" applyFont="1" applyFill="1" applyAlignment="1">
      <alignment horizontal="left" vertical="center"/>
    </xf>
    <xf numFmtId="0" fontId="1" fillId="10" borderId="0" xfId="0" applyFont="1" applyFill="1" applyAlignment="1">
      <alignment horizontal="left" vertical="center"/>
    </xf>
    <xf numFmtId="0" fontId="9" fillId="2" borderId="0" xfId="0" applyFont="1" applyFill="1" applyAlignment="1">
      <alignment horizontal="left" vertical="center"/>
    </xf>
    <xf numFmtId="0" fontId="1" fillId="6" borderId="0" xfId="0" applyFont="1" applyFill="1" applyAlignment="1">
      <alignment horizontal="left" vertical="center"/>
    </xf>
    <xf numFmtId="0" fontId="1" fillId="14" borderId="0" xfId="0" applyFont="1" applyFill="1" applyAlignment="1">
      <alignment horizontal="center" vertical="center"/>
    </xf>
    <xf numFmtId="0" fontId="14" fillId="2" borderId="0" xfId="0" applyFont="1" applyFill="1" applyAlignment="1">
      <alignment horizontal="left" vertical="center"/>
    </xf>
    <xf numFmtId="0" fontId="14" fillId="0" borderId="0" xfId="0" applyFont="1" applyAlignment="1">
      <alignment horizontal="left" vertical="center"/>
    </xf>
    <xf numFmtId="0" fontId="14" fillId="14" borderId="0" xfId="0" applyFont="1" applyFill="1" applyAlignment="1">
      <alignment horizontal="center" vertical="center"/>
    </xf>
    <xf numFmtId="0" fontId="9" fillId="6" borderId="0" xfId="0" applyFont="1" applyFill="1" applyAlignment="1">
      <alignment horizontal="left" vertical="center"/>
    </xf>
    <xf numFmtId="0" fontId="1" fillId="2" borderId="0" xfId="0" applyFont="1" applyFill="1" applyAlignment="1">
      <alignment horizontal="left" vertical="center"/>
    </xf>
    <xf numFmtId="0" fontId="8" fillId="10" borderId="0" xfId="0" applyFont="1" applyFill="1" applyAlignment="1">
      <alignment horizontal="center" vertical="center"/>
    </xf>
    <xf numFmtId="0" fontId="0" fillId="5" borderId="0" xfId="0" applyFill="1" applyAlignment="1">
      <alignment horizontal="left" vertical="center"/>
    </xf>
    <xf numFmtId="0" fontId="9" fillId="5" borderId="0" xfId="0" applyFont="1" applyFill="1" applyAlignment="1">
      <alignment horizontal="left" vertical="center"/>
    </xf>
    <xf numFmtId="0" fontId="1" fillId="33" borderId="0" xfId="0" applyFont="1" applyFill="1" applyAlignment="1">
      <alignment horizontal="left" vertical="center"/>
    </xf>
    <xf numFmtId="0" fontId="0" fillId="0" borderId="0" xfId="0" applyAlignment="1">
      <alignment horizontal="left" vertical="center"/>
    </xf>
    <xf numFmtId="0" fontId="0" fillId="8" borderId="0" xfId="0" applyFill="1">
      <alignment vertical="center"/>
    </xf>
    <xf numFmtId="0" fontId="1" fillId="0" borderId="1" xfId="0" applyFont="1" applyBorder="1">
      <alignment vertical="center"/>
    </xf>
    <xf numFmtId="0" fontId="1" fillId="12" borderId="0" xfId="0" applyFont="1" applyFill="1" applyAlignment="1">
      <alignment horizontal="center" vertical="center"/>
    </xf>
    <xf numFmtId="0" fontId="0" fillId="34" borderId="0" xfId="0" applyFill="1">
      <alignment vertical="center"/>
    </xf>
    <xf numFmtId="0" fontId="14" fillId="12" borderId="0" xfId="0" applyFont="1" applyFill="1" applyAlignment="1">
      <alignment horizontal="center" vertical="center"/>
    </xf>
    <xf numFmtId="0" fontId="19" fillId="11" borderId="0" xfId="0" applyFont="1" applyFill="1">
      <alignment vertical="center"/>
    </xf>
    <xf numFmtId="0" fontId="21" fillId="14" borderId="5" xfId="0" applyFont="1" applyFill="1" applyBorder="1" applyAlignment="1">
      <alignment horizontal="center" vertical="center"/>
    </xf>
    <xf numFmtId="0" fontId="35" fillId="0" borderId="0" xfId="0" applyFont="1" applyAlignment="1">
      <alignment horizontal="center" vertical="center"/>
    </xf>
    <xf numFmtId="0" fontId="17" fillId="0" borderId="0" xfId="0" applyFont="1" applyAlignment="1">
      <alignment horizontal="center" vertical="center"/>
    </xf>
    <xf numFmtId="0" fontId="9" fillId="36" borderId="0" xfId="0" applyFont="1" applyFill="1" applyAlignment="1">
      <alignment horizontal="left" vertical="center"/>
    </xf>
    <xf numFmtId="0" fontId="37" fillId="36" borderId="0" xfId="0" applyFont="1" applyFill="1" applyAlignment="1">
      <alignment horizontal="left" vertical="center"/>
    </xf>
    <xf numFmtId="0" fontId="12" fillId="36" borderId="0" xfId="0" applyFont="1" applyFill="1" applyAlignment="1">
      <alignment horizontal="left" vertical="center"/>
    </xf>
    <xf numFmtId="0" fontId="25" fillId="37" borderId="0" xfId="0" applyFont="1" applyFill="1" applyAlignment="1">
      <alignment horizontal="center" vertical="center"/>
    </xf>
    <xf numFmtId="13" fontId="27" fillId="37" borderId="0" xfId="0" applyNumberFormat="1" applyFont="1" applyFill="1" applyAlignment="1">
      <alignment horizontal="center" vertical="center"/>
    </xf>
    <xf numFmtId="176" fontId="27" fillId="37" borderId="0" xfId="0" applyNumberFormat="1" applyFont="1" applyFill="1" applyAlignment="1">
      <alignment horizontal="center" vertical="center" wrapText="1"/>
    </xf>
    <xf numFmtId="0" fontId="9" fillId="14" borderId="5" xfId="0" applyFont="1" applyFill="1" applyBorder="1">
      <alignment vertical="center"/>
    </xf>
    <xf numFmtId="0" fontId="37" fillId="14" borderId="0" xfId="0" applyFont="1" applyFill="1" applyAlignment="1">
      <alignment horizontal="center" vertical="center"/>
    </xf>
    <xf numFmtId="0" fontId="12" fillId="14" borderId="5" xfId="0" applyFont="1" applyFill="1" applyBorder="1">
      <alignment vertical="center"/>
    </xf>
    <xf numFmtId="0" fontId="9" fillId="9" borderId="0" xfId="0" applyFont="1" applyFill="1" applyAlignment="1">
      <alignment horizontal="center" vertical="center"/>
    </xf>
    <xf numFmtId="0" fontId="0" fillId="38" borderId="0" xfId="0" applyFill="1" applyAlignment="1">
      <alignment vertical="center" wrapText="1"/>
    </xf>
    <xf numFmtId="0" fontId="0" fillId="39" borderId="0" xfId="0" applyFill="1" applyAlignment="1">
      <alignment vertical="center" wrapText="1"/>
    </xf>
    <xf numFmtId="0" fontId="38" fillId="0" borderId="0" xfId="0" applyFont="1" applyAlignment="1">
      <alignment horizontal="center" vertical="center"/>
    </xf>
    <xf numFmtId="0" fontId="38" fillId="39" borderId="0" xfId="0" applyFont="1" applyFill="1" applyAlignment="1">
      <alignment horizontal="center" vertical="center" wrapText="1"/>
    </xf>
    <xf numFmtId="0" fontId="27" fillId="0" borderId="0" xfId="0" applyFont="1">
      <alignment vertical="center"/>
    </xf>
    <xf numFmtId="0" fontId="39" fillId="14" borderId="1" xfId="0" applyFont="1" applyFill="1" applyBorder="1" applyAlignment="1">
      <alignment horizontal="center" vertical="center" wrapText="1"/>
    </xf>
    <xf numFmtId="0" fontId="39" fillId="12" borderId="2" xfId="0" applyFont="1" applyFill="1" applyBorder="1" applyAlignment="1">
      <alignment horizontal="center" vertical="center" wrapText="1"/>
    </xf>
    <xf numFmtId="0" fontId="39" fillId="12" borderId="3" xfId="0" applyFont="1" applyFill="1" applyBorder="1" applyAlignment="1">
      <alignment horizontal="center" vertical="center"/>
    </xf>
    <xf numFmtId="0" fontId="40" fillId="12" borderId="3" xfId="0" applyFont="1" applyFill="1" applyBorder="1" applyAlignment="1">
      <alignment horizontal="left" vertical="center" wrapText="1"/>
    </xf>
    <xf numFmtId="0" fontId="40" fillId="0" borderId="0" xfId="0" applyFont="1" applyAlignment="1">
      <alignment vertical="center" wrapText="1"/>
    </xf>
    <xf numFmtId="0" fontId="39" fillId="40" borderId="1" xfId="0" applyFont="1" applyFill="1" applyBorder="1" applyAlignment="1">
      <alignment horizontal="left" vertical="center" wrapText="1"/>
    </xf>
    <xf numFmtId="0" fontId="39" fillId="0" borderId="1" xfId="0" applyFont="1" applyBorder="1">
      <alignment vertical="center"/>
    </xf>
    <xf numFmtId="0" fontId="8" fillId="0" borderId="1" xfId="0" applyFont="1" applyBorder="1">
      <alignment vertical="center"/>
    </xf>
    <xf numFmtId="0" fontId="40" fillId="0" borderId="0" xfId="0" applyFont="1" applyAlignment="1">
      <alignment horizontal="left" vertical="center" wrapText="1"/>
    </xf>
    <xf numFmtId="0" fontId="40" fillId="12" borderId="1" xfId="0" applyFont="1" applyFill="1" applyBorder="1" applyAlignment="1">
      <alignment horizontal="left" vertical="center" wrapText="1"/>
    </xf>
    <xf numFmtId="0" fontId="41" fillId="4" borderId="1" xfId="0" applyFont="1" applyFill="1" applyBorder="1" applyAlignment="1">
      <alignment horizontal="left" vertical="center" wrapText="1"/>
    </xf>
    <xf numFmtId="0" fontId="41" fillId="0" borderId="1" xfId="0" applyFont="1" applyBorder="1" applyAlignment="1">
      <alignment horizontal="center" vertical="center"/>
    </xf>
    <xf numFmtId="0" fontId="41" fillId="0" borderId="0" xfId="0" applyFont="1">
      <alignment vertical="center"/>
    </xf>
    <xf numFmtId="0" fontId="1" fillId="4" borderId="1" xfId="0" applyFont="1" applyFill="1" applyBorder="1" applyAlignment="1">
      <alignment horizontal="center" vertical="center"/>
    </xf>
    <xf numFmtId="0" fontId="41" fillId="4" borderId="1" xfId="0" applyFont="1" applyFill="1" applyBorder="1" applyAlignment="1">
      <alignment horizontal="center" vertical="center"/>
    </xf>
    <xf numFmtId="0" fontId="41" fillId="7" borderId="1" xfId="0" applyFont="1" applyFill="1" applyBorder="1" applyAlignment="1">
      <alignment horizontal="center" vertical="center"/>
    </xf>
    <xf numFmtId="0" fontId="1" fillId="8" borderId="2" xfId="0" applyFont="1" applyFill="1" applyBorder="1" applyAlignment="1">
      <alignment horizontal="center" vertical="center"/>
    </xf>
    <xf numFmtId="0" fontId="5" fillId="8" borderId="2" xfId="0" applyFont="1" applyFill="1" applyBorder="1">
      <alignment vertical="center"/>
    </xf>
    <xf numFmtId="0" fontId="40" fillId="8" borderId="3" xfId="0" applyFont="1" applyFill="1" applyBorder="1">
      <alignment vertical="center"/>
    </xf>
    <xf numFmtId="0" fontId="1" fillId="41" borderId="1" xfId="0" applyFont="1" applyFill="1" applyBorder="1" applyAlignment="1">
      <alignment horizontal="left" vertical="center"/>
    </xf>
    <xf numFmtId="0" fontId="40" fillId="8" borderId="2" xfId="0" applyFont="1" applyFill="1" applyBorder="1" applyAlignment="1">
      <alignment horizontal="center" vertical="center"/>
    </xf>
    <xf numFmtId="0" fontId="42" fillId="8" borderId="2" xfId="0" applyFont="1" applyFill="1" applyBorder="1">
      <alignment vertical="center"/>
    </xf>
    <xf numFmtId="0" fontId="42" fillId="8" borderId="2" xfId="0" applyFont="1" applyFill="1" applyBorder="1" applyAlignment="1">
      <alignment horizontal="center" vertical="center"/>
    </xf>
    <xf numFmtId="0" fontId="42" fillId="8" borderId="3" xfId="0" applyFont="1" applyFill="1" applyBorder="1">
      <alignment vertical="center"/>
    </xf>
    <xf numFmtId="0" fontId="1" fillId="4" borderId="1" xfId="0" applyFont="1" applyFill="1" applyBorder="1">
      <alignment vertical="center"/>
    </xf>
    <xf numFmtId="0" fontId="1" fillId="14" borderId="1" xfId="0" applyFont="1" applyFill="1" applyBorder="1">
      <alignment vertical="center"/>
    </xf>
    <xf numFmtId="0" fontId="1" fillId="0" borderId="0" xfId="0" applyFont="1">
      <alignment vertical="center"/>
    </xf>
    <xf numFmtId="0" fontId="1" fillId="42" borderId="1" xfId="0" applyFont="1" applyFill="1" applyBorder="1" applyAlignment="1">
      <alignment horizontal="center" vertical="center"/>
    </xf>
    <xf numFmtId="0" fontId="1" fillId="4" borderId="1" xfId="0" applyFont="1" applyFill="1" applyBorder="1" applyAlignment="1">
      <alignment horizontal="left" vertical="center"/>
    </xf>
    <xf numFmtId="0" fontId="4" fillId="9" borderId="5" xfId="0" applyFont="1" applyFill="1" applyBorder="1" applyAlignment="1">
      <alignment horizontal="center" vertical="center"/>
    </xf>
    <xf numFmtId="0" fontId="1" fillId="0" borderId="1" xfId="0" applyFont="1" applyBorder="1" applyAlignment="1">
      <alignment horizontal="left" vertical="center"/>
    </xf>
    <xf numFmtId="0" fontId="1" fillId="43" borderId="0" xfId="0" applyFont="1" applyFill="1">
      <alignment vertical="center"/>
    </xf>
    <xf numFmtId="0" fontId="4" fillId="19" borderId="5" xfId="0" applyFont="1" applyFill="1" applyBorder="1" applyAlignment="1">
      <alignment horizontal="center" vertical="center"/>
    </xf>
    <xf numFmtId="0" fontId="43" fillId="14" borderId="1" xfId="0" applyFont="1" applyFill="1" applyBorder="1">
      <alignment vertical="center"/>
    </xf>
    <xf numFmtId="0" fontId="1" fillId="44" borderId="0" xfId="0" applyFont="1" applyFill="1">
      <alignment vertical="center"/>
    </xf>
    <xf numFmtId="0" fontId="1" fillId="45" borderId="0" xfId="0" applyFont="1" applyFill="1">
      <alignment vertical="center"/>
    </xf>
    <xf numFmtId="0" fontId="1" fillId="44" borderId="1" xfId="0" applyFont="1" applyFill="1" applyBorder="1">
      <alignment vertical="center"/>
    </xf>
    <xf numFmtId="0" fontId="1" fillId="46" borderId="0" xfId="0" applyFont="1" applyFill="1">
      <alignment vertical="center"/>
    </xf>
    <xf numFmtId="0" fontId="1" fillId="19" borderId="1" xfId="0" applyFont="1" applyFill="1" applyBorder="1" applyAlignment="1">
      <alignment horizontal="center" vertical="center"/>
    </xf>
    <xf numFmtId="0" fontId="40" fillId="19" borderId="1" xfId="0" applyFont="1" applyFill="1" applyBorder="1" applyAlignment="1">
      <alignment horizontal="center" vertical="center"/>
    </xf>
    <xf numFmtId="0" fontId="1" fillId="47" borderId="0" xfId="0" applyFont="1" applyFill="1">
      <alignment vertical="center"/>
    </xf>
    <xf numFmtId="0" fontId="5" fillId="6" borderId="1" xfId="0" applyFont="1" applyFill="1" applyBorder="1" applyAlignment="1">
      <alignment horizontal="center" vertical="center"/>
    </xf>
    <xf numFmtId="0" fontId="4" fillId="34" borderId="5" xfId="0" applyFont="1" applyFill="1" applyBorder="1" applyAlignment="1">
      <alignment horizontal="center" vertical="center"/>
    </xf>
    <xf numFmtId="0" fontId="1" fillId="45" borderId="1" xfId="0" applyFont="1" applyFill="1" applyBorder="1">
      <alignment vertical="center"/>
    </xf>
    <xf numFmtId="0" fontId="1" fillId="48" borderId="1" xfId="0" applyFont="1" applyFill="1" applyBorder="1">
      <alignment vertical="center"/>
    </xf>
    <xf numFmtId="0" fontId="1" fillId="48" borderId="0" xfId="0" applyFont="1" applyFill="1">
      <alignment vertical="center"/>
    </xf>
    <xf numFmtId="0" fontId="1" fillId="48" borderId="1" xfId="0" applyFont="1" applyFill="1" applyBorder="1" applyAlignment="1">
      <alignment vertical="center" wrapText="1"/>
    </xf>
    <xf numFmtId="0" fontId="1" fillId="0" borderId="0" xfId="0" applyFont="1" applyAlignment="1">
      <alignment vertical="center" wrapText="1"/>
    </xf>
    <xf numFmtId="0" fontId="1" fillId="47" borderId="0" xfId="0" applyFont="1" applyFill="1" applyAlignment="1">
      <alignment vertical="center" wrapText="1"/>
    </xf>
    <xf numFmtId="0" fontId="1" fillId="14" borderId="1" xfId="0" applyFont="1" applyFill="1" applyBorder="1" applyAlignment="1">
      <alignment horizontal="center" vertical="center"/>
    </xf>
    <xf numFmtId="0" fontId="1" fillId="45" borderId="1" xfId="0" applyFont="1" applyFill="1" applyBorder="1" applyAlignment="1">
      <alignment vertical="center" wrapText="1"/>
    </xf>
    <xf numFmtId="0" fontId="1" fillId="34" borderId="1" xfId="0" applyFont="1" applyFill="1" applyBorder="1" applyAlignment="1">
      <alignment horizontal="center" vertical="center"/>
    </xf>
    <xf numFmtId="0" fontId="8" fillId="7" borderId="4" xfId="0" applyFont="1" applyFill="1" applyBorder="1" applyAlignment="1">
      <alignment horizontal="center" vertical="center"/>
    </xf>
    <xf numFmtId="0" fontId="1" fillId="44" borderId="1" xfId="0" applyFont="1" applyFill="1" applyBorder="1" applyAlignment="1">
      <alignment vertical="center" wrapText="1"/>
    </xf>
    <xf numFmtId="0" fontId="44" fillId="44" borderId="0" xfId="0" applyFont="1" applyFill="1">
      <alignment vertical="center"/>
    </xf>
    <xf numFmtId="0" fontId="44" fillId="46" borderId="0" xfId="0" applyFont="1" applyFill="1">
      <alignment vertical="center"/>
    </xf>
    <xf numFmtId="0" fontId="1" fillId="46" borderId="0" xfId="0" applyFont="1" applyFill="1" applyAlignment="1">
      <alignment vertical="center" wrapText="1"/>
    </xf>
    <xf numFmtId="0" fontId="1" fillId="49" borderId="0" xfId="0" applyFont="1" applyFill="1">
      <alignment vertical="center"/>
    </xf>
    <xf numFmtId="0" fontId="44" fillId="45" borderId="0" xfId="0" applyFont="1" applyFill="1">
      <alignment vertical="center"/>
    </xf>
    <xf numFmtId="0" fontId="6" fillId="6" borderId="5" xfId="0" applyFont="1" applyFill="1" applyBorder="1" applyAlignment="1">
      <alignment horizontal="center" vertical="center"/>
    </xf>
    <xf numFmtId="0" fontId="1" fillId="50" borderId="0" xfId="0" applyFont="1" applyFill="1">
      <alignment vertical="center"/>
    </xf>
    <xf numFmtId="0" fontId="1" fillId="51" borderId="0" xfId="0" applyFont="1" applyFill="1">
      <alignment vertical="center"/>
    </xf>
    <xf numFmtId="0" fontId="45" fillId="52" borderId="1" xfId="0" applyFont="1" applyFill="1" applyBorder="1" applyAlignment="1">
      <alignment vertical="center" wrapText="1"/>
    </xf>
    <xf numFmtId="0" fontId="1" fillId="50" borderId="1" xfId="0" applyFont="1" applyFill="1" applyBorder="1" applyAlignment="1">
      <alignment vertical="center" wrapText="1"/>
    </xf>
    <xf numFmtId="0" fontId="1" fillId="53" borderId="0" xfId="0" applyFont="1" applyFill="1">
      <alignment vertical="center"/>
    </xf>
    <xf numFmtId="0" fontId="1" fillId="52" borderId="0" xfId="0" applyFont="1" applyFill="1">
      <alignment vertical="center"/>
    </xf>
    <xf numFmtId="0" fontId="1" fillId="54" borderId="0" xfId="0" applyFont="1" applyFill="1">
      <alignment vertical="center"/>
    </xf>
    <xf numFmtId="0" fontId="1" fillId="52" borderId="1" xfId="0" applyFont="1" applyFill="1" applyBorder="1" applyAlignment="1">
      <alignment vertical="center" wrapText="1"/>
    </xf>
    <xf numFmtId="0" fontId="1" fillId="55" borderId="0" xfId="0" applyFont="1" applyFill="1">
      <alignment vertical="center"/>
    </xf>
    <xf numFmtId="0" fontId="1" fillId="0" borderId="1" xfId="0" applyFont="1" applyBorder="1" applyAlignment="1">
      <alignment vertical="center" wrapText="1"/>
    </xf>
    <xf numFmtId="0" fontId="1" fillId="56" borderId="0" xfId="0" applyFont="1" applyFill="1">
      <alignment vertical="center"/>
    </xf>
    <xf numFmtId="0" fontId="1" fillId="57" borderId="0" xfId="0" applyFont="1" applyFill="1">
      <alignment vertical="center"/>
    </xf>
    <xf numFmtId="0" fontId="1" fillId="58" borderId="0" xfId="0" applyFont="1" applyFill="1">
      <alignment vertical="center"/>
    </xf>
    <xf numFmtId="0" fontId="8" fillId="7" borderId="1" xfId="0" applyFont="1" applyFill="1" applyBorder="1" applyAlignment="1">
      <alignment horizontal="center" vertical="center"/>
    </xf>
    <xf numFmtId="0" fontId="1" fillId="59" borderId="0" xfId="0" applyFont="1" applyFill="1">
      <alignment vertical="center"/>
    </xf>
    <xf numFmtId="0" fontId="1" fillId="60" borderId="0" xfId="0" applyFont="1" applyFill="1">
      <alignment vertical="center"/>
    </xf>
    <xf numFmtId="0" fontId="4" fillId="14" borderId="5" xfId="0" applyFont="1" applyFill="1" applyBorder="1" applyAlignment="1">
      <alignment horizontal="center" vertical="center"/>
    </xf>
    <xf numFmtId="0" fontId="4" fillId="14" borderId="1" xfId="0" applyFont="1" applyFill="1" applyBorder="1" applyAlignment="1">
      <alignment horizontal="center" vertical="center"/>
    </xf>
    <xf numFmtId="0" fontId="46" fillId="0" borderId="0" xfId="0" applyFont="1">
      <alignment vertical="center"/>
    </xf>
    <xf numFmtId="0" fontId="40" fillId="14" borderId="1" xfId="0" applyFont="1" applyFill="1" applyBorder="1" applyAlignment="1">
      <alignment horizontal="center" vertical="center"/>
    </xf>
    <xf numFmtId="0" fontId="4" fillId="34" borderId="1" xfId="0" applyFont="1" applyFill="1" applyBorder="1" applyAlignment="1">
      <alignment horizontal="center" vertical="center"/>
    </xf>
    <xf numFmtId="0" fontId="40" fillId="42" borderId="1" xfId="0" applyFont="1" applyFill="1" applyBorder="1" applyAlignment="1">
      <alignment horizontal="center" vertical="center"/>
    </xf>
    <xf numFmtId="0" fontId="4" fillId="0" borderId="5" xfId="0" applyFont="1" applyBorder="1" applyAlignment="1">
      <alignment horizontal="center" vertical="center"/>
    </xf>
    <xf numFmtId="0" fontId="8" fillId="14" borderId="1" xfId="0" applyFont="1" applyFill="1" applyBorder="1" applyAlignment="1">
      <alignment horizontal="center" vertical="center"/>
    </xf>
    <xf numFmtId="0" fontId="42" fillId="2" borderId="1" xfId="0" applyFont="1" applyFill="1" applyBorder="1" applyAlignment="1">
      <alignment horizontal="center" vertical="center" wrapText="1"/>
    </xf>
    <xf numFmtId="0" fontId="42" fillId="6" borderId="1" xfId="0" applyFont="1" applyFill="1" applyBorder="1" applyAlignment="1">
      <alignment horizontal="center" vertical="center"/>
    </xf>
    <xf numFmtId="0" fontId="46" fillId="34" borderId="1" xfId="0" applyFont="1" applyFill="1" applyBorder="1" applyAlignment="1">
      <alignment horizontal="center" vertical="center"/>
    </xf>
    <xf numFmtId="0" fontId="46" fillId="0" borderId="1" xfId="0" applyFont="1" applyBorder="1" applyAlignment="1">
      <alignment horizontal="left" vertical="center"/>
    </xf>
    <xf numFmtId="0" fontId="1" fillId="8" borderId="1" xfId="0" applyFont="1" applyFill="1" applyBorder="1" applyAlignment="1">
      <alignment horizontal="center" vertical="center"/>
    </xf>
    <xf numFmtId="0" fontId="1" fillId="8" borderId="1" xfId="0" applyFont="1" applyFill="1" applyBorder="1" applyAlignment="1">
      <alignment horizontal="left" vertical="center"/>
    </xf>
    <xf numFmtId="0" fontId="1" fillId="19" borderId="0" xfId="0" applyFont="1" applyFill="1" applyAlignment="1">
      <alignment horizontal="center" vertical="center"/>
    </xf>
    <xf numFmtId="0" fontId="1" fillId="6" borderId="0" xfId="0" applyFont="1" applyFill="1" applyAlignment="1">
      <alignment horizontal="center" vertical="center"/>
    </xf>
    <xf numFmtId="0" fontId="46" fillId="27" borderId="1" xfId="0" applyFont="1" applyFill="1" applyBorder="1" applyAlignment="1">
      <alignment horizontal="left" vertical="center"/>
    </xf>
    <xf numFmtId="0" fontId="23" fillId="9" borderId="5" xfId="0" applyFont="1" applyFill="1" applyBorder="1" applyAlignment="1">
      <alignment horizontal="center" vertical="center"/>
    </xf>
    <xf numFmtId="0" fontId="1" fillId="42" borderId="0" xfId="0" applyFont="1" applyFill="1" applyAlignment="1">
      <alignment horizontal="center" vertical="center"/>
    </xf>
    <xf numFmtId="0" fontId="23" fillId="14" borderId="5" xfId="0" applyFont="1" applyFill="1" applyBorder="1" applyAlignment="1">
      <alignment horizontal="center" vertical="center"/>
    </xf>
    <xf numFmtId="0" fontId="23" fillId="19" borderId="5" xfId="0" applyFont="1" applyFill="1" applyBorder="1" applyAlignment="1">
      <alignment horizontal="center" vertical="center"/>
    </xf>
    <xf numFmtId="0" fontId="8" fillId="7" borderId="0" xfId="0" applyFont="1" applyFill="1" applyAlignment="1">
      <alignment horizontal="center" vertical="center"/>
    </xf>
    <xf numFmtId="0" fontId="11" fillId="34" borderId="1" xfId="0" applyFont="1" applyFill="1" applyBorder="1" applyAlignment="1">
      <alignment horizontal="center" vertical="center"/>
    </xf>
    <xf numFmtId="0" fontId="1" fillId="27" borderId="1" xfId="0" applyFont="1" applyFill="1" applyBorder="1" applyAlignment="1">
      <alignment horizontal="left" vertical="center"/>
    </xf>
    <xf numFmtId="0" fontId="46" fillId="42" borderId="0" xfId="0" applyFont="1" applyFill="1" applyAlignment="1">
      <alignment horizontal="center" vertical="center"/>
    </xf>
    <xf numFmtId="0" fontId="47" fillId="6" borderId="5" xfId="0" applyFont="1" applyFill="1" applyBorder="1" applyAlignment="1">
      <alignment horizontal="center" vertical="center"/>
    </xf>
    <xf numFmtId="0" fontId="11" fillId="19" borderId="1" xfId="0" applyFont="1" applyFill="1" applyBorder="1" applyAlignment="1">
      <alignment horizontal="center" vertical="center"/>
    </xf>
    <xf numFmtId="0" fontId="47" fillId="2" borderId="5" xfId="0" applyFont="1" applyFill="1" applyBorder="1" applyAlignment="1">
      <alignment horizontal="center" vertical="center"/>
    </xf>
    <xf numFmtId="0" fontId="1" fillId="61" borderId="0" xfId="0" applyFont="1" applyFill="1" applyAlignment="1">
      <alignment horizontal="center" vertical="center"/>
    </xf>
    <xf numFmtId="0" fontId="23" fillId="34" borderId="5" xfId="0" applyFont="1" applyFill="1" applyBorder="1" applyAlignment="1">
      <alignment horizontal="center" vertical="center"/>
    </xf>
    <xf numFmtId="0" fontId="48" fillId="34" borderId="5" xfId="0" applyFont="1" applyFill="1" applyBorder="1" applyAlignment="1">
      <alignment horizontal="center" vertical="center"/>
    </xf>
    <xf numFmtId="0" fontId="11" fillId="14" borderId="1" xfId="0" applyFont="1" applyFill="1" applyBorder="1" applyAlignment="1">
      <alignment horizontal="center" vertical="center"/>
    </xf>
    <xf numFmtId="0" fontId="48" fillId="19" borderId="5" xfId="0" applyFont="1" applyFill="1" applyBorder="1" applyAlignment="1">
      <alignment horizontal="center" vertical="center"/>
    </xf>
    <xf numFmtId="0" fontId="49" fillId="0" borderId="1" xfId="0" applyFont="1" applyBorder="1" applyAlignment="1">
      <alignment horizontal="left" vertical="center"/>
    </xf>
    <xf numFmtId="0" fontId="14" fillId="14" borderId="1" xfId="0" applyFont="1" applyFill="1" applyBorder="1" applyAlignment="1">
      <alignment horizontal="center" vertical="center"/>
    </xf>
    <xf numFmtId="0" fontId="14" fillId="34" borderId="1" xfId="0" applyFont="1" applyFill="1" applyBorder="1" applyAlignment="1">
      <alignment horizontal="center" vertical="center"/>
    </xf>
    <xf numFmtId="0" fontId="24" fillId="34" borderId="5" xfId="0" applyFont="1" applyFill="1" applyBorder="1" applyAlignment="1">
      <alignment horizontal="center" vertical="center"/>
    </xf>
    <xf numFmtId="0" fontId="46" fillId="4" borderId="1" xfId="0" applyFont="1" applyFill="1" applyBorder="1">
      <alignment vertical="center"/>
    </xf>
    <xf numFmtId="0" fontId="41" fillId="62" borderId="4" xfId="0" applyFont="1" applyFill="1" applyBorder="1" applyAlignment="1">
      <alignment horizontal="center" vertical="center"/>
    </xf>
    <xf numFmtId="0" fontId="23" fillId="14" borderId="5" xfId="0" applyFont="1" applyFill="1" applyBorder="1" applyAlignment="1">
      <alignment horizontal="center" vertical="center" wrapText="1"/>
    </xf>
    <xf numFmtId="0" fontId="1" fillId="11" borderId="0" xfId="0" applyFont="1" applyFill="1" applyAlignment="1">
      <alignment horizontal="center" vertical="center"/>
    </xf>
    <xf numFmtId="0" fontId="12" fillId="9" borderId="5" xfId="0" applyFont="1" applyFill="1" applyBorder="1" applyAlignment="1">
      <alignment horizontal="left" vertical="center"/>
    </xf>
    <xf numFmtId="0" fontId="16" fillId="9" borderId="5" xfId="0" applyFont="1" applyFill="1" applyBorder="1" applyAlignment="1">
      <alignment horizontal="left" vertical="center"/>
    </xf>
    <xf numFmtId="0" fontId="16" fillId="0" borderId="0" xfId="0" applyFont="1" applyAlignment="1">
      <alignment horizontal="left" vertical="center"/>
    </xf>
    <xf numFmtId="0" fontId="10" fillId="0" borderId="1" xfId="0" applyFont="1" applyBorder="1" applyAlignment="1">
      <alignment horizontal="center" vertical="center"/>
    </xf>
    <xf numFmtId="0" fontId="2" fillId="0" borderId="0" xfId="0" applyFont="1" applyAlignment="1">
      <alignment horizontal="center" vertical="center"/>
    </xf>
    <xf numFmtId="0" fontId="7" fillId="14" borderId="1" xfId="0" applyFont="1" applyFill="1" applyBorder="1" applyAlignment="1">
      <alignment horizontal="center" vertical="center"/>
    </xf>
    <xf numFmtId="0" fontId="19" fillId="0" borderId="0" xfId="0" applyFont="1">
      <alignment vertical="center"/>
    </xf>
    <xf numFmtId="0" fontId="19" fillId="4" borderId="0" xfId="0" applyFont="1" applyFill="1">
      <alignment vertical="center"/>
    </xf>
    <xf numFmtId="0" fontId="10" fillId="0" borderId="0" xfId="0" applyFont="1" applyAlignment="1">
      <alignment horizontal="center" vertical="center"/>
    </xf>
    <xf numFmtId="0" fontId="46" fillId="0" borderId="0" xfId="0" applyFont="1" applyAlignment="1">
      <alignment horizontal="center" vertical="center"/>
    </xf>
    <xf numFmtId="0" fontId="17" fillId="0" borderId="1" xfId="0" applyFont="1" applyBorder="1" applyAlignment="1">
      <alignment horizontal="center" vertical="center"/>
    </xf>
    <xf numFmtId="0" fontId="12" fillId="0" borderId="1" xfId="0" applyFont="1" applyBorder="1" applyAlignment="1">
      <alignment horizontal="center" vertical="center"/>
    </xf>
    <xf numFmtId="0" fontId="0" fillId="0" borderId="0" xfId="0" applyAlignment="1">
      <alignment vertical="center" wrapText="1"/>
    </xf>
    <xf numFmtId="0" fontId="0" fillId="64" borderId="0" xfId="0" applyFill="1">
      <alignment vertical="center"/>
    </xf>
    <xf numFmtId="0" fontId="0" fillId="27" borderId="1" xfId="0" applyFill="1" applyBorder="1">
      <alignment vertical="center"/>
    </xf>
    <xf numFmtId="0" fontId="0" fillId="65" borderId="0" xfId="0" applyFill="1">
      <alignment vertical="center"/>
    </xf>
    <xf numFmtId="0" fontId="0" fillId="66" borderId="0" xfId="0" applyFill="1">
      <alignment vertical="center"/>
    </xf>
    <xf numFmtId="0" fontId="2" fillId="27" borderId="0" xfId="0" applyFont="1" applyFill="1" applyAlignment="1">
      <alignment horizontal="center" vertical="center"/>
    </xf>
    <xf numFmtId="0" fontId="2" fillId="4" borderId="0" xfId="0" applyFont="1" applyFill="1" applyAlignment="1">
      <alignment horizontal="center" vertical="center"/>
    </xf>
    <xf numFmtId="0" fontId="18" fillId="0" borderId="0" xfId="0" applyFont="1" applyAlignment="1">
      <alignment horizontal="center" vertical="center"/>
    </xf>
    <xf numFmtId="0" fontId="9" fillId="11" borderId="17" xfId="0" applyFont="1" applyFill="1" applyBorder="1" applyAlignment="1">
      <alignment horizontal="center" vertical="center"/>
    </xf>
    <xf numFmtId="0" fontId="0" fillId="27" borderId="0" xfId="0" applyFill="1">
      <alignment vertical="center"/>
    </xf>
    <xf numFmtId="0" fontId="18" fillId="0" borderId="0" xfId="0" applyFont="1" applyAlignment="1">
      <alignment horizontal="center" wrapText="1"/>
    </xf>
    <xf numFmtId="0" fontId="18" fillId="0" borderId="1" xfId="0" applyFont="1" applyBorder="1" applyAlignment="1">
      <alignment horizontal="center" vertical="center"/>
    </xf>
    <xf numFmtId="0" fontId="1" fillId="68" borderId="1" xfId="0" applyFont="1" applyFill="1" applyBorder="1" applyAlignment="1">
      <alignment horizontal="center" vertical="center"/>
    </xf>
    <xf numFmtId="0" fontId="1" fillId="69" borderId="1" xfId="0" applyFont="1" applyFill="1" applyBorder="1" applyAlignment="1">
      <alignment horizontal="center" vertical="center"/>
    </xf>
    <xf numFmtId="0" fontId="51" fillId="0" borderId="0" xfId="0" applyFont="1">
      <alignment vertical="center"/>
    </xf>
    <xf numFmtId="0" fontId="18" fillId="9" borderId="5" xfId="0" applyFont="1" applyFill="1" applyBorder="1" applyAlignment="1">
      <alignment horizontal="center" vertical="center"/>
    </xf>
    <xf numFmtId="0" fontId="18" fillId="9" borderId="18" xfId="0" applyFont="1" applyFill="1" applyBorder="1" applyAlignment="1">
      <alignment horizontal="center" vertical="center"/>
    </xf>
    <xf numFmtId="0" fontId="1" fillId="69" borderId="0" xfId="0" applyFont="1" applyFill="1" applyAlignment="1">
      <alignment horizontal="center" vertical="center"/>
    </xf>
    <xf numFmtId="0" fontId="1" fillId="34" borderId="0" xfId="0" applyFont="1" applyFill="1" applyAlignment="1">
      <alignment horizontal="center" vertical="center"/>
    </xf>
    <xf numFmtId="0" fontId="46" fillId="0" borderId="1" xfId="0" applyFont="1" applyBorder="1" applyAlignment="1">
      <alignment horizontal="center" vertical="center"/>
    </xf>
    <xf numFmtId="0" fontId="34" fillId="7" borderId="0" xfId="0" applyFont="1" applyFill="1" applyAlignment="1">
      <alignment horizontal="center" vertical="center" wrapText="1"/>
    </xf>
    <xf numFmtId="0" fontId="54" fillId="12" borderId="1" xfId="0" applyFont="1" applyFill="1" applyBorder="1">
      <alignment vertical="center"/>
    </xf>
    <xf numFmtId="0" fontId="55" fillId="14" borderId="1" xfId="0" applyFont="1" applyFill="1" applyBorder="1" applyAlignment="1">
      <alignment horizontal="left" vertical="center" wrapText="1"/>
    </xf>
    <xf numFmtId="0" fontId="55" fillId="12" borderId="1" xfId="0" applyFont="1" applyFill="1" applyBorder="1" applyAlignment="1">
      <alignment vertical="center" wrapText="1"/>
    </xf>
    <xf numFmtId="0" fontId="9" fillId="9" borderId="5" xfId="0" applyFont="1" applyFill="1" applyBorder="1" applyAlignment="1">
      <alignment horizontal="center" vertical="center" wrapText="1"/>
    </xf>
    <xf numFmtId="0" fontId="8" fillId="0" borderId="0" xfId="0" applyFont="1" applyAlignment="1">
      <alignment vertical="center" wrapText="1"/>
    </xf>
    <xf numFmtId="0" fontId="8" fillId="0" borderId="0" xfId="0" applyFont="1">
      <alignment vertical="center"/>
    </xf>
    <xf numFmtId="0" fontId="56" fillId="0" borderId="0" xfId="0" applyFont="1">
      <alignment vertical="center"/>
    </xf>
    <xf numFmtId="0" fontId="11" fillId="0" borderId="0" xfId="0" applyFont="1" applyAlignment="1">
      <alignment horizontal="center" vertical="center" wrapText="1"/>
    </xf>
    <xf numFmtId="0" fontId="18" fillId="0" borderId="1" xfId="0" applyFont="1" applyBorder="1" applyAlignment="1">
      <alignment horizontal="left" vertical="center" wrapText="1"/>
    </xf>
    <xf numFmtId="0" fontId="18" fillId="0" borderId="0" xfId="0" applyFont="1" applyAlignment="1">
      <alignment horizontal="left" vertical="center" wrapText="1"/>
    </xf>
    <xf numFmtId="0" fontId="1" fillId="73" borderId="1" xfId="0" applyFont="1" applyFill="1" applyBorder="1" applyAlignment="1">
      <alignment horizontal="center" vertical="center"/>
    </xf>
    <xf numFmtId="0" fontId="9" fillId="74" borderId="5" xfId="0" applyFont="1" applyFill="1" applyBorder="1" applyAlignment="1">
      <alignment horizontal="center" vertical="center"/>
    </xf>
    <xf numFmtId="0" fontId="1" fillId="75" borderId="1" xfId="0" applyFont="1" applyFill="1" applyBorder="1" applyAlignment="1">
      <alignment horizontal="center" vertical="center"/>
    </xf>
    <xf numFmtId="0" fontId="1" fillId="76" borderId="1" xfId="0" applyFont="1" applyFill="1" applyBorder="1" applyAlignment="1">
      <alignment horizontal="center" vertical="center"/>
    </xf>
    <xf numFmtId="0" fontId="9" fillId="73" borderId="5" xfId="0" applyFont="1" applyFill="1" applyBorder="1" applyAlignment="1">
      <alignment horizontal="center" vertical="center"/>
    </xf>
    <xf numFmtId="0" fontId="9" fillId="77" borderId="5" xfId="0" applyFont="1" applyFill="1" applyBorder="1" applyAlignment="1">
      <alignment horizontal="center" vertical="center"/>
    </xf>
    <xf numFmtId="0" fontId="1" fillId="78" borderId="1" xfId="0" applyFont="1" applyFill="1" applyBorder="1" applyAlignment="1">
      <alignment horizontal="center" vertical="center"/>
    </xf>
    <xf numFmtId="0" fontId="1" fillId="73" borderId="1" xfId="0" applyFont="1" applyFill="1" applyBorder="1" applyAlignment="1">
      <alignment horizontal="center" vertical="center" wrapText="1"/>
    </xf>
    <xf numFmtId="0" fontId="9" fillId="78" borderId="5" xfId="0" applyFont="1" applyFill="1" applyBorder="1" applyAlignment="1">
      <alignment horizontal="center" vertical="center"/>
    </xf>
    <xf numFmtId="0" fontId="9" fillId="79" borderId="5" xfId="0" applyFont="1" applyFill="1" applyBorder="1" applyAlignment="1">
      <alignment horizontal="center" vertical="center"/>
    </xf>
    <xf numFmtId="0" fontId="11" fillId="73" borderId="1" xfId="0" applyFont="1" applyFill="1" applyBorder="1" applyAlignment="1">
      <alignment horizontal="center" vertical="center"/>
    </xf>
    <xf numFmtId="0" fontId="21" fillId="0" borderId="1" xfId="0" applyFont="1" applyBorder="1" applyAlignment="1">
      <alignment horizontal="center" vertical="center"/>
    </xf>
    <xf numFmtId="0" fontId="12" fillId="73" borderId="5" xfId="0" applyFont="1" applyFill="1" applyBorder="1" applyAlignment="1">
      <alignment horizontal="center" vertical="center"/>
    </xf>
    <xf numFmtId="0" fontId="56" fillId="0" borderId="1" xfId="0" applyFont="1" applyBorder="1" applyAlignment="1">
      <alignment horizontal="center" vertical="center"/>
    </xf>
    <xf numFmtId="0" fontId="58" fillId="0" borderId="1" xfId="0" applyFont="1" applyBorder="1" applyAlignment="1">
      <alignment horizontal="left" vertical="center" wrapText="1"/>
    </xf>
    <xf numFmtId="0" fontId="21" fillId="0" borderId="0" xfId="0" applyFont="1" applyAlignment="1">
      <alignment horizontal="center" vertical="center"/>
    </xf>
    <xf numFmtId="0" fontId="56" fillId="0" borderId="0" xfId="0" applyFont="1" applyAlignment="1">
      <alignment horizontal="center" vertical="center"/>
    </xf>
    <xf numFmtId="0" fontId="12" fillId="74" borderId="5" xfId="0" applyFont="1" applyFill="1" applyBorder="1" applyAlignment="1">
      <alignment horizontal="center" vertical="center"/>
    </xf>
    <xf numFmtId="0" fontId="14" fillId="37" borderId="1" xfId="0" applyFont="1" applyFill="1" applyBorder="1" applyAlignment="1">
      <alignment horizontal="center" vertical="center"/>
    </xf>
    <xf numFmtId="0" fontId="1" fillId="37" borderId="1" xfId="0" applyFont="1" applyFill="1" applyBorder="1" applyAlignment="1">
      <alignment horizontal="center" vertical="center"/>
    </xf>
    <xf numFmtId="0" fontId="2" fillId="28" borderId="1" xfId="0" applyFont="1" applyFill="1" applyBorder="1" applyAlignment="1">
      <alignment horizontal="center" vertical="center"/>
    </xf>
    <xf numFmtId="0" fontId="2" fillId="20" borderId="1" xfId="0" applyFont="1" applyFill="1" applyBorder="1" applyAlignment="1">
      <alignment horizontal="center" vertical="center"/>
    </xf>
    <xf numFmtId="0" fontId="59" fillId="0" borderId="19" xfId="0" applyFont="1" applyBorder="1" applyAlignment="1">
      <alignment horizontal="center" vertical="center"/>
    </xf>
    <xf numFmtId="0" fontId="59" fillId="0" borderId="19" xfId="0" applyFont="1" applyBorder="1" applyAlignment="1">
      <alignment horizontal="center" vertical="center" wrapText="1"/>
    </xf>
    <xf numFmtId="0" fontId="9" fillId="0" borderId="19" xfId="0" applyFont="1" applyBorder="1" applyAlignment="1">
      <alignment horizontal="center" vertical="center"/>
    </xf>
    <xf numFmtId="0" fontId="9" fillId="0" borderId="19" xfId="0" applyFont="1" applyBorder="1" applyAlignment="1">
      <alignment horizontal="center" vertical="center" wrapText="1"/>
    </xf>
    <xf numFmtId="0" fontId="60" fillId="0" borderId="19" xfId="0" applyFont="1" applyBorder="1" applyAlignment="1">
      <alignment horizontal="center" vertical="center"/>
    </xf>
    <xf numFmtId="0" fontId="61" fillId="12" borderId="20" xfId="0" applyFont="1" applyFill="1" applyBorder="1" applyAlignment="1">
      <alignment horizontal="center" vertical="center"/>
    </xf>
    <xf numFmtId="0" fontId="62" fillId="80" borderId="1" xfId="0" applyFont="1" applyFill="1" applyBorder="1">
      <alignment vertical="center"/>
    </xf>
    <xf numFmtId="0" fontId="55" fillId="0" borderId="0" xfId="0" applyFont="1" applyAlignment="1">
      <alignment horizontal="center" vertical="center" wrapText="1"/>
    </xf>
    <xf numFmtId="0" fontId="7" fillId="0" borderId="0" xfId="0" applyFont="1" applyAlignment="1">
      <alignment vertical="center" wrapText="1"/>
    </xf>
    <xf numFmtId="0" fontId="1" fillId="68" borderId="0" xfId="0" applyFont="1" applyFill="1" applyAlignment="1">
      <alignment horizontal="center" vertical="center"/>
    </xf>
    <xf numFmtId="0" fontId="9" fillId="10" borderId="0" xfId="0" applyFont="1" applyFill="1" applyAlignment="1">
      <alignment horizontal="center" vertical="center"/>
    </xf>
    <xf numFmtId="0" fontId="9" fillId="68" borderId="0" xfId="0" applyFont="1" applyFill="1" applyAlignment="1">
      <alignment horizontal="center" vertical="center"/>
    </xf>
    <xf numFmtId="0" fontId="9" fillId="33" borderId="0" xfId="0" applyFont="1" applyFill="1" applyAlignment="1">
      <alignment horizontal="center" vertical="center"/>
    </xf>
    <xf numFmtId="0" fontId="9" fillId="19" borderId="0" xfId="0" applyFont="1" applyFill="1" applyAlignment="1">
      <alignment horizontal="center" vertical="center"/>
    </xf>
    <xf numFmtId="0" fontId="11" fillId="68" borderId="0" xfId="0" applyFont="1" applyFill="1" applyAlignment="1">
      <alignment horizontal="center" vertical="center"/>
    </xf>
    <xf numFmtId="0" fontId="19" fillId="0" borderId="0" xfId="0" applyFont="1" applyAlignment="1">
      <alignment vertical="center" wrapText="1"/>
    </xf>
    <xf numFmtId="0" fontId="11" fillId="10" borderId="0" xfId="0" applyFont="1" applyFill="1" applyAlignment="1">
      <alignment horizontal="center" vertical="center"/>
    </xf>
    <xf numFmtId="0" fontId="9" fillId="20" borderId="0" xfId="0" applyFont="1" applyFill="1" applyAlignment="1">
      <alignment horizontal="center" vertical="center"/>
    </xf>
    <xf numFmtId="0" fontId="11" fillId="33" borderId="0" xfId="0" applyFont="1" applyFill="1" applyAlignment="1">
      <alignment horizontal="center" vertical="center"/>
    </xf>
    <xf numFmtId="0" fontId="11" fillId="19" borderId="0" xfId="0" applyFont="1" applyFill="1" applyAlignment="1">
      <alignment horizontal="center" vertical="center"/>
    </xf>
    <xf numFmtId="0" fontId="1" fillId="68" borderId="0" xfId="0" applyFont="1" applyFill="1" applyAlignment="1">
      <alignment horizontal="center" vertical="center" wrapText="1"/>
    </xf>
    <xf numFmtId="0" fontId="63" fillId="9" borderId="5" xfId="0" applyFont="1" applyFill="1" applyBorder="1" applyAlignment="1">
      <alignment horizontal="left" vertical="center"/>
    </xf>
    <xf numFmtId="0" fontId="9" fillId="0" borderId="0" xfId="0" applyFont="1" applyAlignment="1">
      <alignment horizontal="center" vertical="center" wrapText="1"/>
    </xf>
    <xf numFmtId="13" fontId="27" fillId="0" borderId="0" xfId="0" applyNumberFormat="1" applyFont="1" applyAlignment="1">
      <alignment horizontal="center" vertical="center"/>
    </xf>
    <xf numFmtId="176" fontId="27" fillId="0" borderId="0" xfId="0" applyNumberFormat="1" applyFont="1" applyAlignment="1">
      <alignment horizontal="center" vertical="center"/>
    </xf>
    <xf numFmtId="0" fontId="37" fillId="81" borderId="0" xfId="0" applyFont="1" applyFill="1" applyAlignment="1">
      <alignment horizontal="center" vertical="center"/>
    </xf>
    <xf numFmtId="0" fontId="1" fillId="39" borderId="1" xfId="0" applyFont="1" applyFill="1" applyBorder="1" applyAlignment="1">
      <alignment horizontal="center" vertical="center" wrapText="1"/>
    </xf>
    <xf numFmtId="0" fontId="7" fillId="38" borderId="2" xfId="0" applyFont="1" applyFill="1" applyBorder="1" applyAlignment="1">
      <alignment vertical="center" wrapText="1"/>
    </xf>
    <xf numFmtId="0" fontId="1" fillId="82" borderId="1" xfId="0" applyFont="1" applyFill="1" applyBorder="1" applyAlignment="1">
      <alignment horizontal="center" vertical="center"/>
    </xf>
    <xf numFmtId="0" fontId="9" fillId="0" borderId="5" xfId="0" applyFont="1" applyBorder="1" applyAlignment="1">
      <alignment horizontal="center" vertical="center"/>
    </xf>
    <xf numFmtId="0" fontId="64" fillId="83" borderId="1" xfId="0" applyFont="1" applyFill="1" applyBorder="1" applyAlignment="1">
      <alignment horizontal="center" vertical="center"/>
    </xf>
    <xf numFmtId="0" fontId="1" fillId="5" borderId="1" xfId="0" applyFont="1" applyFill="1" applyBorder="1" applyAlignment="1">
      <alignment horizontal="center" vertical="center"/>
    </xf>
    <xf numFmtId="0" fontId="9" fillId="14" borderId="5" xfId="0" applyFont="1" applyFill="1" applyBorder="1" applyAlignment="1">
      <alignment horizontal="center" vertical="center"/>
    </xf>
    <xf numFmtId="0" fontId="9" fillId="14" borderId="1" xfId="0" applyFont="1" applyFill="1" applyBorder="1" applyAlignment="1">
      <alignment horizontal="center" vertical="center"/>
    </xf>
    <xf numFmtId="0" fontId="64" fillId="83" borderId="5" xfId="0" applyFont="1" applyFill="1" applyBorder="1" applyAlignment="1">
      <alignment horizontal="center" vertical="center"/>
    </xf>
    <xf numFmtId="0" fontId="64" fillId="83" borderId="21" xfId="0" applyFont="1" applyFill="1" applyBorder="1" applyAlignment="1">
      <alignment horizontal="center" vertical="center"/>
    </xf>
    <xf numFmtId="0" fontId="9" fillId="5" borderId="22" xfId="0" applyFont="1" applyFill="1" applyBorder="1" applyAlignment="1">
      <alignment horizontal="center" vertical="center"/>
    </xf>
    <xf numFmtId="0" fontId="8" fillId="5" borderId="23" xfId="0" applyFont="1" applyFill="1" applyBorder="1" applyAlignment="1">
      <alignment horizontal="center" vertical="center"/>
    </xf>
    <xf numFmtId="0" fontId="8" fillId="5" borderId="23"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5" borderId="24" xfId="0" applyFont="1" applyFill="1" applyBorder="1" applyAlignment="1">
      <alignment horizontal="center" vertical="center"/>
    </xf>
    <xf numFmtId="0" fontId="1" fillId="5" borderId="0" xfId="0" applyFont="1" applyFill="1" applyAlignment="1">
      <alignment horizontal="center" vertical="center"/>
    </xf>
    <xf numFmtId="0" fontId="65" fillId="14" borderId="5" xfId="0" applyFont="1" applyFill="1" applyBorder="1" applyAlignment="1">
      <alignment horizontal="center" vertical="center"/>
    </xf>
    <xf numFmtId="0" fontId="64" fillId="83" borderId="0" xfId="0" applyFont="1" applyFill="1" applyAlignment="1">
      <alignment horizontal="center" vertical="center"/>
    </xf>
    <xf numFmtId="0" fontId="2" fillId="27" borderId="1" xfId="0" applyFont="1" applyFill="1" applyBorder="1" applyAlignment="1">
      <alignment horizontal="center" vertical="center"/>
    </xf>
    <xf numFmtId="0" fontId="19" fillId="11" borderId="1" xfId="0" applyFont="1" applyFill="1" applyBorder="1">
      <alignment vertical="center"/>
    </xf>
    <xf numFmtId="0" fontId="8" fillId="84" borderId="1" xfId="0" applyFont="1" applyFill="1" applyBorder="1">
      <alignment vertical="center"/>
    </xf>
    <xf numFmtId="0" fontId="8" fillId="85" borderId="0" xfId="0" applyFont="1" applyFill="1">
      <alignment vertical="center"/>
    </xf>
    <xf numFmtId="0" fontId="7" fillId="7" borderId="0" xfId="0" applyFont="1" applyFill="1" applyAlignment="1">
      <alignment horizontal="center" vertical="center"/>
    </xf>
    <xf numFmtId="0" fontId="8" fillId="11" borderId="1" xfId="0" applyFont="1" applyFill="1" applyBorder="1">
      <alignment vertical="center"/>
    </xf>
    <xf numFmtId="0" fontId="9" fillId="0" borderId="2" xfId="0" applyFont="1" applyBorder="1" applyAlignment="1">
      <alignment horizontal="center" vertical="center"/>
    </xf>
    <xf numFmtId="0" fontId="8" fillId="0" borderId="2" xfId="0" applyFont="1" applyBorder="1" applyAlignment="1">
      <alignment horizontal="center" vertical="center"/>
    </xf>
    <xf numFmtId="0" fontId="2" fillId="0" borderId="2" xfId="0" applyFont="1" applyBorder="1" applyAlignment="1">
      <alignment horizontal="center" vertical="center"/>
    </xf>
    <xf numFmtId="0" fontId="19" fillId="86" borderId="1" xfId="0" applyFont="1" applyFill="1" applyBorder="1">
      <alignment vertical="center"/>
    </xf>
    <xf numFmtId="0" fontId="19" fillId="45" borderId="1" xfId="0" applyFont="1" applyFill="1" applyBorder="1">
      <alignment vertical="center"/>
    </xf>
    <xf numFmtId="0" fontId="19" fillId="0" borderId="4" xfId="0" applyFont="1" applyBorder="1">
      <alignment vertical="center"/>
    </xf>
    <xf numFmtId="0" fontId="19" fillId="87" borderId="1" xfId="0" applyFont="1" applyFill="1" applyBorder="1">
      <alignment vertical="center"/>
    </xf>
    <xf numFmtId="0" fontId="19" fillId="87" borderId="4" xfId="0" applyFont="1" applyFill="1" applyBorder="1">
      <alignment vertical="center"/>
    </xf>
    <xf numFmtId="0" fontId="8" fillId="87" borderId="1" xfId="0" applyFont="1" applyFill="1" applyBorder="1">
      <alignment vertical="center"/>
    </xf>
    <xf numFmtId="0" fontId="2" fillId="41" borderId="1" xfId="0" applyFont="1" applyFill="1" applyBorder="1" applyAlignment="1">
      <alignment horizontal="center" vertical="center"/>
    </xf>
    <xf numFmtId="0" fontId="19" fillId="84" borderId="1" xfId="0" applyFont="1" applyFill="1" applyBorder="1">
      <alignment vertical="center"/>
    </xf>
    <xf numFmtId="0" fontId="8"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10" xfId="0" applyFont="1" applyBorder="1">
      <alignment vertical="center"/>
    </xf>
    <xf numFmtId="0" fontId="9" fillId="0" borderId="7" xfId="0" applyFont="1" applyBorder="1" applyAlignment="1">
      <alignment horizontal="center" vertical="center"/>
    </xf>
    <xf numFmtId="0" fontId="8" fillId="0" borderId="7" xfId="0" applyFont="1" applyBorder="1" applyAlignment="1">
      <alignment horizontal="center" vertical="center"/>
    </xf>
    <xf numFmtId="0" fontId="19" fillId="0" borderId="7" xfId="0" applyFont="1" applyBorder="1">
      <alignment vertical="center"/>
    </xf>
    <xf numFmtId="0" fontId="19" fillId="88" borderId="1" xfId="0" applyFont="1" applyFill="1" applyBorder="1">
      <alignment vertical="center"/>
    </xf>
    <xf numFmtId="0" fontId="8" fillId="88" borderId="1" xfId="0" applyFont="1" applyFill="1" applyBorder="1">
      <alignment vertical="center"/>
    </xf>
    <xf numFmtId="0" fontId="0" fillId="45" borderId="9" xfId="0" applyFill="1" applyBorder="1">
      <alignment vertical="center"/>
    </xf>
    <xf numFmtId="0" fontId="19" fillId="10" borderId="4" xfId="0" applyFont="1" applyFill="1" applyBorder="1">
      <alignment vertical="center"/>
    </xf>
    <xf numFmtId="0" fontId="0" fillId="0" borderId="1" xfId="0" applyBorder="1" applyAlignment="1"/>
    <xf numFmtId="0" fontId="8" fillId="9" borderId="5" xfId="0" applyFont="1" applyFill="1" applyBorder="1" applyAlignment="1">
      <alignment horizontal="center" vertical="center"/>
    </xf>
    <xf numFmtId="0" fontId="7" fillId="9" borderId="5" xfId="0" applyFont="1" applyFill="1" applyBorder="1" applyAlignment="1">
      <alignment horizontal="center" vertical="center"/>
    </xf>
    <xf numFmtId="0" fontId="18" fillId="4" borderId="1" xfId="0" applyFont="1" applyFill="1" applyBorder="1" applyAlignment="1">
      <alignment horizontal="center" vertical="center"/>
    </xf>
    <xf numFmtId="0" fontId="18" fillId="12" borderId="1" xfId="0" applyFont="1" applyFill="1" applyBorder="1" applyAlignment="1">
      <alignment horizontal="center" vertical="center"/>
    </xf>
    <xf numFmtId="0" fontId="18" fillId="14" borderId="1" xfId="0" applyFont="1" applyFill="1" applyBorder="1" applyAlignment="1">
      <alignment horizontal="center" vertical="center"/>
    </xf>
    <xf numFmtId="0" fontId="57" fillId="0" borderId="26" xfId="0" applyFont="1" applyBorder="1" applyAlignment="1">
      <alignment horizontal="center" vertical="center"/>
    </xf>
    <xf numFmtId="0" fontId="57" fillId="0" borderId="26" xfId="0" applyFont="1" applyBorder="1" applyAlignment="1">
      <alignment horizontal="center" vertical="center" wrapText="1"/>
    </xf>
    <xf numFmtId="0" fontId="18" fillId="12" borderId="25" xfId="0" applyFont="1" applyFill="1" applyBorder="1" applyAlignment="1">
      <alignment horizontal="center" vertical="center"/>
    </xf>
    <xf numFmtId="0" fontId="18" fillId="0" borderId="25" xfId="0" applyFont="1" applyBorder="1" applyAlignment="1">
      <alignment horizontal="center" vertical="center"/>
    </xf>
    <xf numFmtId="0" fontId="10" fillId="9" borderId="27" xfId="0" applyFont="1" applyFill="1" applyBorder="1" applyAlignment="1">
      <alignment horizontal="center" vertical="center"/>
    </xf>
    <xf numFmtId="177" fontId="18" fillId="0" borderId="25" xfId="0" applyNumberFormat="1" applyFont="1" applyBorder="1" applyAlignment="1">
      <alignment horizontal="center" vertical="center"/>
    </xf>
    <xf numFmtId="0" fontId="18" fillId="0" borderId="25" xfId="0" applyFont="1" applyBorder="1" applyAlignment="1">
      <alignment horizontal="left" vertical="center"/>
    </xf>
    <xf numFmtId="0" fontId="18" fillId="12" borderId="26" xfId="0" applyFont="1" applyFill="1" applyBorder="1" applyAlignment="1">
      <alignment horizontal="center" vertical="center"/>
    </xf>
    <xf numFmtId="0" fontId="10" fillId="19" borderId="27" xfId="0" applyFont="1" applyFill="1" applyBorder="1" applyAlignment="1">
      <alignment horizontal="center" vertical="center"/>
    </xf>
    <xf numFmtId="0" fontId="10" fillId="68" borderId="27" xfId="0" applyFont="1" applyFill="1" applyBorder="1" applyAlignment="1">
      <alignment horizontal="center" vertical="center"/>
    </xf>
    <xf numFmtId="0" fontId="18" fillId="31" borderId="25" xfId="0" applyFont="1" applyFill="1" applyBorder="1" applyAlignment="1">
      <alignment horizontal="center" vertical="center"/>
    </xf>
    <xf numFmtId="0" fontId="57" fillId="0" borderId="25" xfId="0" applyFont="1" applyBorder="1" applyAlignment="1">
      <alignment horizontal="center" vertical="center"/>
    </xf>
    <xf numFmtId="0" fontId="18" fillId="21" borderId="25" xfId="0" applyFont="1" applyFill="1" applyBorder="1" applyAlignment="1">
      <alignment horizontal="center" vertical="center"/>
    </xf>
    <xf numFmtId="0" fontId="18" fillId="89" borderId="25" xfId="0" applyFont="1" applyFill="1" applyBorder="1" applyAlignment="1">
      <alignment horizontal="center" vertical="center"/>
    </xf>
    <xf numFmtId="0" fontId="18" fillId="89" borderId="1" xfId="0" applyFont="1" applyFill="1" applyBorder="1" applyAlignment="1">
      <alignment horizontal="center" vertical="center"/>
    </xf>
    <xf numFmtId="0" fontId="18" fillId="89" borderId="1" xfId="0" applyFont="1" applyFill="1" applyBorder="1">
      <alignment vertical="center"/>
    </xf>
    <xf numFmtId="0" fontId="18" fillId="89" borderId="1" xfId="0" applyFont="1" applyFill="1" applyBorder="1" applyAlignment="1">
      <alignment horizontal="left" vertical="center"/>
    </xf>
    <xf numFmtId="0" fontId="18" fillId="0" borderId="25" xfId="0" applyFont="1" applyBorder="1" applyAlignment="1">
      <alignment horizontal="left" vertical="center" wrapText="1"/>
    </xf>
    <xf numFmtId="0" fontId="66" fillId="19" borderId="27" xfId="0" applyFont="1" applyFill="1" applyBorder="1" applyAlignment="1">
      <alignment horizontal="center" vertical="center"/>
    </xf>
    <xf numFmtId="0" fontId="66" fillId="9" borderId="27" xfId="0" applyFont="1" applyFill="1" applyBorder="1" applyAlignment="1">
      <alignment horizontal="center" vertical="center"/>
    </xf>
    <xf numFmtId="0" fontId="18" fillId="0" borderId="28" xfId="0" applyFont="1" applyBorder="1" applyAlignment="1">
      <alignment horizontal="center" vertical="center"/>
    </xf>
    <xf numFmtId="0" fontId="66" fillId="9" borderId="29" xfId="0" applyFont="1" applyFill="1" applyBorder="1" applyAlignment="1">
      <alignment horizontal="center" vertical="center"/>
    </xf>
    <xf numFmtId="0" fontId="18" fillId="0" borderId="28" xfId="0" applyFont="1" applyBorder="1" applyAlignment="1">
      <alignment horizontal="left" vertical="center"/>
    </xf>
    <xf numFmtId="0" fontId="18" fillId="11" borderId="30" xfId="0" applyFont="1" applyFill="1" applyBorder="1" applyAlignment="1">
      <alignment horizontal="center" vertical="center"/>
    </xf>
    <xf numFmtId="0" fontId="10" fillId="11" borderId="31" xfId="0" applyFont="1" applyFill="1" applyBorder="1" applyAlignment="1">
      <alignment horizontal="center" vertical="center"/>
    </xf>
    <xf numFmtId="0" fontId="18" fillId="11" borderId="31" xfId="0" applyFont="1" applyFill="1" applyBorder="1" applyAlignment="1">
      <alignment horizontal="center" vertical="center"/>
    </xf>
    <xf numFmtId="0" fontId="18" fillId="11" borderId="32" xfId="0" applyFont="1" applyFill="1" applyBorder="1">
      <alignment vertical="center"/>
    </xf>
    <xf numFmtId="0" fontId="18" fillId="11" borderId="31" xfId="0" applyFont="1" applyFill="1" applyBorder="1">
      <alignment vertical="center"/>
    </xf>
    <xf numFmtId="0" fontId="18" fillId="4" borderId="0" xfId="0" applyFont="1" applyFill="1">
      <alignment vertical="center"/>
    </xf>
    <xf numFmtId="0" fontId="18" fillId="14" borderId="0" xfId="0" applyFont="1" applyFill="1">
      <alignment vertical="center"/>
    </xf>
    <xf numFmtId="0" fontId="13" fillId="9" borderId="27" xfId="0" applyFont="1" applyFill="1" applyBorder="1" applyAlignment="1">
      <alignment horizontal="center" vertical="center"/>
    </xf>
    <xf numFmtId="0" fontId="18" fillId="0" borderId="25" xfId="0" applyFont="1" applyBorder="1">
      <alignment vertical="center"/>
    </xf>
    <xf numFmtId="0" fontId="13" fillId="9" borderId="34" xfId="0" applyFont="1" applyFill="1" applyBorder="1" applyAlignment="1">
      <alignment horizontal="center" vertical="center"/>
    </xf>
    <xf numFmtId="0" fontId="18" fillId="0" borderId="25" xfId="0" applyFont="1" applyBorder="1" applyAlignment="1">
      <alignment vertical="center" wrapText="1"/>
    </xf>
    <xf numFmtId="0" fontId="18" fillId="12" borderId="35" xfId="0" applyFont="1" applyFill="1" applyBorder="1" applyAlignment="1">
      <alignment horizontal="center" vertical="center"/>
    </xf>
    <xf numFmtId="0" fontId="13" fillId="90" borderId="34" xfId="0" applyFont="1" applyFill="1" applyBorder="1" applyAlignment="1">
      <alignment horizontal="center" vertical="center"/>
    </xf>
    <xf numFmtId="0" fontId="13" fillId="91" borderId="34" xfId="0" applyFont="1" applyFill="1" applyBorder="1" applyAlignment="1">
      <alignment horizontal="center" vertical="center"/>
    </xf>
    <xf numFmtId="0" fontId="13" fillId="90" borderId="27" xfId="0" applyFont="1" applyFill="1" applyBorder="1" applyAlignment="1">
      <alignment horizontal="center" vertical="center"/>
    </xf>
    <xf numFmtId="0" fontId="13" fillId="91" borderId="27" xfId="0" applyFont="1" applyFill="1" applyBorder="1" applyAlignment="1">
      <alignment horizontal="center" vertical="center"/>
    </xf>
    <xf numFmtId="0" fontId="15" fillId="9" borderId="34" xfId="0" applyFont="1" applyFill="1" applyBorder="1" applyAlignment="1">
      <alignment horizontal="center" vertical="center"/>
    </xf>
    <xf numFmtId="0" fontId="9" fillId="91" borderId="34" xfId="0" applyFont="1" applyFill="1" applyBorder="1" applyAlignment="1">
      <alignment horizontal="center" vertical="center"/>
    </xf>
    <xf numFmtId="0" fontId="18" fillId="27" borderId="1" xfId="0" applyFont="1" applyFill="1" applyBorder="1">
      <alignment vertical="center"/>
    </xf>
    <xf numFmtId="0" fontId="18" fillId="11" borderId="1" xfId="0" applyFont="1" applyFill="1" applyBorder="1" applyAlignment="1">
      <alignment horizontal="center" vertical="center"/>
    </xf>
    <xf numFmtId="0" fontId="10" fillId="11" borderId="5" xfId="0" applyFont="1" applyFill="1" applyBorder="1" applyAlignment="1">
      <alignment horizontal="center" vertical="center"/>
    </xf>
    <xf numFmtId="0" fontId="18" fillId="11" borderId="1" xfId="0" applyFont="1" applyFill="1" applyBorder="1">
      <alignment vertical="center"/>
    </xf>
    <xf numFmtId="0" fontId="18" fillId="10" borderId="0" xfId="0" applyFont="1" applyFill="1" applyAlignment="1">
      <alignment horizontal="center" vertical="center"/>
    </xf>
    <xf numFmtId="0" fontId="66" fillId="9" borderId="5" xfId="0" applyFont="1" applyFill="1" applyBorder="1" applyAlignment="1">
      <alignment horizontal="center" vertical="center"/>
    </xf>
    <xf numFmtId="0" fontId="18" fillId="0" borderId="26" xfId="0" applyFont="1" applyBorder="1" applyAlignment="1">
      <alignment horizontal="center" vertical="center"/>
    </xf>
    <xf numFmtId="0" fontId="18" fillId="0" borderId="26" xfId="0" applyFont="1" applyBorder="1" applyAlignment="1">
      <alignment horizontal="center" vertical="center" wrapText="1"/>
    </xf>
    <xf numFmtId="0" fontId="9" fillId="90" borderId="35" xfId="0" applyFont="1" applyFill="1" applyBorder="1" applyAlignment="1">
      <alignment horizontal="center" vertical="center"/>
    </xf>
    <xf numFmtId="0" fontId="9" fillId="0" borderId="35" xfId="0" applyFont="1" applyBorder="1" applyAlignment="1">
      <alignment horizontal="center" vertical="center"/>
    </xf>
    <xf numFmtId="0" fontId="66" fillId="69" borderId="27" xfId="0" applyFont="1" applyFill="1" applyBorder="1" applyAlignment="1">
      <alignment horizontal="center" vertical="center"/>
    </xf>
    <xf numFmtId="0" fontId="66" fillId="77" borderId="27" xfId="0" applyFont="1" applyFill="1" applyBorder="1" applyAlignment="1">
      <alignment horizontal="center" vertical="center"/>
    </xf>
    <xf numFmtId="0" fontId="10" fillId="69" borderId="27" xfId="0" applyFont="1" applyFill="1" applyBorder="1" applyAlignment="1">
      <alignment horizontal="center" vertical="center"/>
    </xf>
    <xf numFmtId="0" fontId="10" fillId="77" borderId="25" xfId="0" applyFont="1" applyFill="1" applyBorder="1" applyAlignment="1">
      <alignment horizontal="center" vertical="center"/>
    </xf>
    <xf numFmtId="0" fontId="10" fillId="69" borderId="25" xfId="0" applyFont="1" applyFill="1" applyBorder="1" applyAlignment="1">
      <alignment horizontal="center" vertical="center"/>
    </xf>
    <xf numFmtId="0" fontId="2" fillId="12" borderId="1" xfId="0" applyFont="1" applyFill="1" applyBorder="1" applyAlignment="1">
      <alignment horizontal="center" vertical="center"/>
    </xf>
    <xf numFmtId="0" fontId="18" fillId="0" borderId="1" xfId="0" applyFont="1" applyBorder="1" applyAlignment="1">
      <alignment vertical="center" wrapText="1"/>
    </xf>
    <xf numFmtId="0" fontId="0" fillId="27" borderId="1" xfId="0" applyFill="1" applyBorder="1" applyAlignment="1">
      <alignment vertical="center" wrapText="1"/>
    </xf>
    <xf numFmtId="0" fontId="0" fillId="25" borderId="1" xfId="0" applyFill="1" applyBorder="1" applyAlignment="1">
      <alignment vertical="center" wrapText="1"/>
    </xf>
    <xf numFmtId="0" fontId="0" fillId="21" borderId="1" xfId="0" applyFill="1" applyBorder="1" applyAlignment="1">
      <alignment vertical="center" wrapText="1"/>
    </xf>
    <xf numFmtId="0" fontId="0" fillId="28" borderId="1" xfId="0" applyFill="1" applyBorder="1" applyAlignment="1">
      <alignment vertical="center" wrapText="1"/>
    </xf>
    <xf numFmtId="0" fontId="0" fillId="92" borderId="0" xfId="0" applyFill="1" applyAlignment="1">
      <alignment horizontal="left" vertical="center"/>
    </xf>
    <xf numFmtId="0" fontId="0" fillId="92" borderId="0" xfId="0" applyFill="1">
      <alignment vertical="center"/>
    </xf>
    <xf numFmtId="0" fontId="1" fillId="27" borderId="1" xfId="0" applyFont="1" applyFill="1" applyBorder="1">
      <alignment vertical="center"/>
    </xf>
    <xf numFmtId="0" fontId="2" fillId="0" borderId="0" xfId="0" applyFont="1">
      <alignment vertical="center"/>
    </xf>
    <xf numFmtId="0" fontId="0" fillId="27" borderId="1" xfId="0" applyFill="1" applyBorder="1" applyAlignment="1">
      <alignment horizontal="center" vertical="center"/>
    </xf>
    <xf numFmtId="0" fontId="18" fillId="0" borderId="1" xfId="0" applyFont="1" applyBorder="1">
      <alignment vertical="center"/>
    </xf>
    <xf numFmtId="0" fontId="0" fillId="28" borderId="0" xfId="0" applyFill="1">
      <alignment vertical="center"/>
    </xf>
    <xf numFmtId="0" fontId="9" fillId="12" borderId="19" xfId="0" applyFont="1" applyFill="1" applyBorder="1" applyAlignment="1">
      <alignment horizontal="center" vertical="center"/>
    </xf>
    <xf numFmtId="0" fontId="9" fillId="12" borderId="19" xfId="0" applyFont="1" applyFill="1" applyBorder="1" applyAlignment="1">
      <alignment horizontal="center" vertical="center" wrapText="1"/>
    </xf>
    <xf numFmtId="0" fontId="60" fillId="12" borderId="19" xfId="0" applyFont="1" applyFill="1" applyBorder="1" applyAlignment="1">
      <alignment horizontal="center" vertical="center"/>
    </xf>
    <xf numFmtId="0" fontId="18" fillId="13" borderId="1" xfId="0" applyFont="1" applyFill="1" applyBorder="1">
      <alignment vertical="center"/>
    </xf>
    <xf numFmtId="0" fontId="18" fillId="12" borderId="1" xfId="0" applyFont="1" applyFill="1" applyBorder="1">
      <alignment vertical="center"/>
    </xf>
    <xf numFmtId="0" fontId="0" fillId="0" borderId="0" xfId="0" applyAlignment="1">
      <alignment vertical="center" wrapText="1"/>
    </xf>
    <xf numFmtId="0" fontId="34" fillId="70" borderId="1" xfId="0" applyFont="1" applyFill="1" applyBorder="1" applyAlignment="1">
      <alignment horizontal="left" vertical="center" wrapText="1"/>
    </xf>
    <xf numFmtId="0" fontId="0" fillId="0" borderId="2" xfId="0" applyBorder="1">
      <alignment vertical="center"/>
    </xf>
    <xf numFmtId="0" fontId="55" fillId="72" borderId="0" xfId="0" applyFont="1" applyFill="1" applyAlignment="1">
      <alignment horizontal="center" vertical="center" wrapText="1"/>
    </xf>
    <xf numFmtId="0" fontId="8" fillId="72" borderId="0" xfId="0" applyFont="1" applyFill="1" applyAlignment="1">
      <alignment horizontal="center" vertical="center"/>
    </xf>
    <xf numFmtId="0" fontId="55" fillId="71" borderId="0" xfId="0" applyFont="1" applyFill="1" applyAlignment="1">
      <alignment horizontal="center" vertical="center" wrapText="1"/>
    </xf>
    <xf numFmtId="0" fontId="52" fillId="17" borderId="1" xfId="0" applyFont="1" applyFill="1" applyBorder="1" applyAlignment="1">
      <alignment horizontal="left" vertical="center" wrapText="1"/>
    </xf>
    <xf numFmtId="0" fontId="53" fillId="17" borderId="1" xfId="0" applyFont="1" applyFill="1" applyBorder="1" applyAlignment="1">
      <alignment horizontal="left" vertical="center"/>
    </xf>
    <xf numFmtId="0" fontId="0" fillId="0" borderId="3" xfId="0" applyBorder="1">
      <alignment vertical="center"/>
    </xf>
    <xf numFmtId="0" fontId="6" fillId="7" borderId="1" xfId="0" applyFont="1" applyFill="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6" fillId="8" borderId="1" xfId="0" applyFont="1" applyFill="1" applyBorder="1" applyAlignment="1">
      <alignment horizontal="center" vertical="center"/>
    </xf>
    <xf numFmtId="0" fontId="4"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0" fillId="0" borderId="6" xfId="0" applyBorder="1">
      <alignment vertical="center"/>
    </xf>
    <xf numFmtId="0" fontId="4" fillId="13" borderId="1" xfId="0" applyFont="1" applyFill="1" applyBorder="1" applyAlignment="1">
      <alignment horizontal="center" vertical="center"/>
    </xf>
    <xf numFmtId="0" fontId="0" fillId="0" borderId="7" xfId="0" applyBorder="1">
      <alignment vertical="center"/>
    </xf>
    <xf numFmtId="0" fontId="2" fillId="12" borderId="1" xfId="0" applyFont="1" applyFill="1" applyBorder="1">
      <alignment vertical="center"/>
    </xf>
    <xf numFmtId="0" fontId="4" fillId="6" borderId="1" xfId="0" applyFont="1" applyFill="1" applyBorder="1" applyAlignment="1">
      <alignment horizontal="center" vertical="center"/>
    </xf>
    <xf numFmtId="0" fontId="5" fillId="7" borderId="4" xfId="0" applyFont="1" applyFill="1"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5" fillId="7" borderId="1" xfId="0" applyFont="1" applyFill="1" applyBorder="1" applyAlignment="1">
      <alignment horizontal="center" vertical="center"/>
    </xf>
    <xf numFmtId="0" fontId="5" fillId="7" borderId="1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lignment vertical="center"/>
    </xf>
    <xf numFmtId="0" fontId="16" fillId="0" borderId="1" xfId="0" applyFont="1" applyBorder="1">
      <alignment vertical="center"/>
    </xf>
    <xf numFmtId="0" fontId="9" fillId="0" borderId="1" xfId="0" applyFont="1" applyBorder="1">
      <alignment vertical="center"/>
    </xf>
    <xf numFmtId="0" fontId="9" fillId="10" borderId="0" xfId="0" applyFont="1" applyFill="1">
      <alignment vertical="center"/>
    </xf>
    <xf numFmtId="0" fontId="12" fillId="9" borderId="5" xfId="0" applyFont="1" applyFill="1" applyBorder="1">
      <alignment vertical="center"/>
    </xf>
    <xf numFmtId="0" fontId="9" fillId="9" borderId="5" xfId="0" applyFont="1" applyFill="1" applyBorder="1">
      <alignment vertical="center"/>
    </xf>
    <xf numFmtId="0" fontId="5" fillId="7" borderId="0" xfId="0" applyFont="1" applyFill="1" applyAlignment="1">
      <alignment horizontal="center" vertical="center"/>
    </xf>
    <xf numFmtId="0" fontId="5" fillId="8"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7" fillId="0" borderId="0" xfId="0" applyFont="1" applyAlignment="1">
      <alignment horizontal="left" vertical="center"/>
    </xf>
    <xf numFmtId="0" fontId="19" fillId="0" borderId="1" xfId="0" applyFont="1" applyBorder="1">
      <alignment vertical="center"/>
    </xf>
    <xf numFmtId="0" fontId="19" fillId="10" borderId="1" xfId="0" applyFont="1" applyFill="1" applyBorder="1">
      <alignment vertical="center"/>
    </xf>
    <xf numFmtId="0" fontId="9" fillId="0" borderId="0" xfId="0" applyFont="1">
      <alignment vertical="center"/>
    </xf>
    <xf numFmtId="0" fontId="13" fillId="9" borderId="5" xfId="0" applyFont="1" applyFill="1" applyBorder="1">
      <alignment vertical="center"/>
    </xf>
    <xf numFmtId="0" fontId="5" fillId="7" borderId="1"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5" fillId="7" borderId="1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8" borderId="0" xfId="0" applyFont="1" applyFill="1" applyAlignment="1">
      <alignment horizontal="center" vertical="center"/>
    </xf>
    <xf numFmtId="0" fontId="0" fillId="25" borderId="1" xfId="0" applyFill="1" applyBorder="1" applyAlignment="1">
      <alignment vertical="center" wrapText="1"/>
    </xf>
    <xf numFmtId="0" fontId="0" fillId="28" borderId="1" xfId="0" applyFill="1" applyBorder="1" applyAlignment="1">
      <alignment vertical="center" wrapText="1"/>
    </xf>
    <xf numFmtId="0" fontId="5" fillId="7" borderId="0" xfId="0" applyFont="1" applyFill="1" applyAlignment="1">
      <alignment horizontal="center" vertical="center" wrapText="1"/>
    </xf>
    <xf numFmtId="0" fontId="6" fillId="29" borderId="0" xfId="0" applyFont="1" applyFill="1" applyAlignment="1">
      <alignment horizontal="center" vertical="center"/>
    </xf>
    <xf numFmtId="0" fontId="0" fillId="0" borderId="0" xfId="0">
      <alignment vertical="center"/>
    </xf>
    <xf numFmtId="0" fontId="25" fillId="0" borderId="0" xfId="0" applyFont="1" applyAlignment="1">
      <alignment horizontal="center" vertical="center"/>
    </xf>
    <xf numFmtId="0" fontId="4" fillId="0" borderId="15" xfId="0" applyFont="1" applyBorder="1" applyAlignment="1">
      <alignment horizontal="center" vertical="center" wrapText="1"/>
    </xf>
    <xf numFmtId="0" fontId="0" fillId="0" borderId="15" xfId="0" applyBorder="1">
      <alignment vertical="center"/>
    </xf>
    <xf numFmtId="0" fontId="4" fillId="0" borderId="11" xfId="0" applyFont="1"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7" fillId="0" borderId="0" xfId="0" applyFont="1" applyAlignment="1">
      <alignment horizontal="center" vertical="center"/>
    </xf>
    <xf numFmtId="0" fontId="0" fillId="0" borderId="1" xfId="0" applyBorder="1" applyAlignment="1">
      <alignment horizontal="center" vertical="center"/>
    </xf>
    <xf numFmtId="0" fontId="34" fillId="7" borderId="1" xfId="0" applyFont="1" applyFill="1" applyBorder="1" applyAlignment="1">
      <alignment horizontal="center" vertical="center"/>
    </xf>
    <xf numFmtId="0" fontId="5" fillId="30" borderId="0" xfId="0" applyFont="1" applyFill="1" applyAlignment="1">
      <alignment horizontal="center" vertical="center"/>
    </xf>
    <xf numFmtId="0" fontId="1" fillId="2" borderId="0" xfId="0" applyFont="1" applyFill="1" applyAlignment="1">
      <alignment horizontal="center" vertical="center" wrapText="1"/>
    </xf>
    <xf numFmtId="0" fontId="5" fillId="31" borderId="0" xfId="0" applyFont="1" applyFill="1" applyAlignment="1">
      <alignment horizontal="center" vertical="center"/>
    </xf>
    <xf numFmtId="0" fontId="5" fillId="32" borderId="0" xfId="0" applyFont="1" applyFill="1" applyAlignment="1">
      <alignment horizontal="center" vertical="center"/>
    </xf>
    <xf numFmtId="0" fontId="2" fillId="0" borderId="1" xfId="0" applyFont="1" applyBorder="1" applyAlignment="1">
      <alignment horizontal="center" vertical="center" wrapText="1"/>
    </xf>
    <xf numFmtId="0" fontId="5" fillId="8" borderId="1" xfId="0" applyFont="1" applyFill="1" applyBorder="1" applyAlignment="1">
      <alignment horizontal="left" vertical="center"/>
    </xf>
    <xf numFmtId="0" fontId="19" fillId="11" borderId="0" xfId="0" applyFont="1" applyFill="1">
      <alignment vertical="center"/>
    </xf>
    <xf numFmtId="0" fontId="36" fillId="35" borderId="0" xfId="0" applyFont="1" applyFill="1" applyAlignment="1">
      <alignment horizontal="left" vertical="center" wrapText="1"/>
    </xf>
    <xf numFmtId="0" fontId="0" fillId="92" borderId="0" xfId="0" applyFill="1" applyAlignment="1">
      <alignment horizontal="left" vertical="center"/>
    </xf>
    <xf numFmtId="0" fontId="46" fillId="27" borderId="1" xfId="0" applyFont="1" applyFill="1" applyBorder="1">
      <alignment vertical="center"/>
    </xf>
    <xf numFmtId="0" fontId="1" fillId="27" borderId="1" xfId="0" applyFont="1" applyFill="1" applyBorder="1">
      <alignment vertical="center"/>
    </xf>
    <xf numFmtId="0" fontId="1" fillId="8" borderId="1" xfId="0" applyFont="1" applyFill="1" applyBorder="1" applyAlignment="1">
      <alignment horizontal="center" vertical="center"/>
    </xf>
    <xf numFmtId="0" fontId="0" fillId="0" borderId="16" xfId="0" applyBorder="1">
      <alignment vertical="center"/>
    </xf>
    <xf numFmtId="0" fontId="41" fillId="7" borderId="1" xfId="0" applyFont="1" applyFill="1" applyBorder="1" applyAlignment="1">
      <alignment horizontal="center" vertical="center"/>
    </xf>
    <xf numFmtId="0" fontId="5" fillId="8" borderId="1" xfId="0" applyFont="1" applyFill="1" applyBorder="1">
      <alignment vertical="center"/>
    </xf>
    <xf numFmtId="0" fontId="7" fillId="0" borderId="1" xfId="0" applyFont="1" applyBorder="1" applyAlignment="1">
      <alignment horizontal="center" vertical="center"/>
    </xf>
    <xf numFmtId="0" fontId="9" fillId="10" borderId="5" xfId="0" applyFont="1" applyFill="1" applyBorder="1">
      <alignment vertical="center"/>
    </xf>
    <xf numFmtId="0" fontId="50" fillId="6" borderId="1" xfId="0" applyFont="1" applyFill="1" applyBorder="1" applyAlignment="1">
      <alignment horizontal="center" vertical="center"/>
    </xf>
    <xf numFmtId="0" fontId="4" fillId="63" borderId="0" xfId="0" applyFont="1" applyFill="1" applyAlignment="1">
      <alignment horizontal="center" vertical="center"/>
    </xf>
    <xf numFmtId="0" fontId="6" fillId="8" borderId="0" xfId="0" applyFont="1" applyFill="1" applyAlignment="1">
      <alignment horizontal="center" vertical="center"/>
    </xf>
    <xf numFmtId="0" fontId="6" fillId="7" borderId="0" xfId="0" applyFont="1" applyFill="1" applyAlignment="1">
      <alignment horizontal="center" vertical="center"/>
    </xf>
    <xf numFmtId="0" fontId="3" fillId="2" borderId="1" xfId="0" applyFont="1" applyFill="1" applyBorder="1" applyAlignment="1">
      <alignment horizontal="center" vertical="center" wrapText="1"/>
    </xf>
    <xf numFmtId="0" fontId="3" fillId="5" borderId="0" xfId="0" applyFont="1" applyFill="1" applyAlignment="1">
      <alignment horizontal="center" vertical="center"/>
    </xf>
    <xf numFmtId="0" fontId="19" fillId="0" borderId="0" xfId="0" applyFont="1">
      <alignment vertical="center"/>
    </xf>
    <xf numFmtId="0" fontId="3" fillId="17" borderId="0" xfId="0" applyFont="1" applyFill="1" applyAlignment="1">
      <alignment horizontal="center" vertical="center"/>
    </xf>
    <xf numFmtId="0" fontId="18" fillId="0" borderId="1" xfId="0" applyFont="1" applyBorder="1" applyAlignment="1">
      <alignment horizontal="center" vertical="center"/>
    </xf>
    <xf numFmtId="0" fontId="5" fillId="8" borderId="17" xfId="0" applyFont="1" applyFill="1" applyBorder="1" applyAlignment="1">
      <alignment horizontal="center" vertical="center"/>
    </xf>
    <xf numFmtId="0" fontId="1" fillId="67" borderId="0" xfId="0" applyFont="1" applyFill="1" applyAlignment="1">
      <alignment horizontal="center" vertical="center" wrapText="1"/>
    </xf>
    <xf numFmtId="0" fontId="5" fillId="62" borderId="0" xfId="0" applyFont="1" applyFill="1" applyAlignment="1">
      <alignment horizontal="center" vertical="center"/>
    </xf>
    <xf numFmtId="0" fontId="18" fillId="0" borderId="1" xfId="0" applyFont="1" applyBorder="1" applyAlignment="1">
      <alignment horizontal="left" vertical="center" wrapText="1"/>
    </xf>
    <xf numFmtId="0" fontId="57" fillId="8"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62" fillId="16" borderId="0" xfId="0" applyFont="1" applyFill="1" applyAlignment="1">
      <alignment horizontal="center" vertical="center"/>
    </xf>
    <xf numFmtId="0" fontId="62" fillId="16" borderId="1" xfId="0" applyFont="1" applyFill="1" applyBorder="1" applyAlignment="1">
      <alignment horizontal="center" vertical="center"/>
    </xf>
    <xf numFmtId="0" fontId="7" fillId="38" borderId="2" xfId="0" applyFont="1" applyFill="1" applyBorder="1" applyAlignment="1">
      <alignment horizontal="left" vertical="center" wrapText="1"/>
    </xf>
    <xf numFmtId="0" fontId="1" fillId="38" borderId="1" xfId="0" applyFont="1" applyFill="1" applyBorder="1" applyAlignment="1">
      <alignment horizontal="center" vertical="center" wrapText="1"/>
    </xf>
    <xf numFmtId="0" fontId="5" fillId="38" borderId="1" xfId="0" applyFont="1" applyFill="1" applyBorder="1" applyAlignment="1">
      <alignment horizontal="center" vertical="center" wrapText="1"/>
    </xf>
    <xf numFmtId="0" fontId="1" fillId="0" borderId="0" xfId="0" applyFont="1" applyAlignment="1">
      <alignment horizontal="center" vertical="center" wrapText="1"/>
    </xf>
    <xf numFmtId="0" fontId="19" fillId="28" borderId="1" xfId="0" applyFont="1" applyFill="1" applyBorder="1" applyAlignment="1">
      <alignment horizontal="center" vertical="center"/>
    </xf>
    <xf numFmtId="0" fontId="1" fillId="0" borderId="1" xfId="0" applyFont="1" applyBorder="1">
      <alignment vertical="center"/>
    </xf>
    <xf numFmtId="0" fontId="9" fillId="10" borderId="1" xfId="0" applyFont="1" applyFill="1" applyBorder="1">
      <alignment vertical="center"/>
    </xf>
    <xf numFmtId="0" fontId="0" fillId="0" borderId="1" xfId="0" applyBorder="1" applyAlignment="1"/>
    <xf numFmtId="0" fontId="3" fillId="28" borderId="1" xfId="0" applyFont="1" applyFill="1" applyBorder="1" applyAlignment="1">
      <alignment horizontal="center" vertical="center"/>
    </xf>
    <xf numFmtId="0" fontId="57" fillId="7" borderId="25" xfId="0" applyFont="1" applyFill="1" applyBorder="1" applyAlignment="1">
      <alignment horizontal="center" vertical="center"/>
    </xf>
    <xf numFmtId="0" fontId="0" fillId="0" borderId="25" xfId="0" applyBorder="1">
      <alignment vertical="center"/>
    </xf>
    <xf numFmtId="0" fontId="57" fillId="8" borderId="25" xfId="0" applyFont="1" applyFill="1" applyBorder="1" applyAlignment="1">
      <alignment horizontal="center" vertical="center"/>
    </xf>
    <xf numFmtId="0" fontId="16" fillId="0" borderId="25" xfId="0" applyFont="1" applyBorder="1">
      <alignment vertical="center"/>
    </xf>
    <xf numFmtId="0" fontId="9" fillId="0" borderId="25" xfId="0" applyFont="1" applyBorder="1">
      <alignment vertical="center"/>
    </xf>
    <xf numFmtId="0" fontId="9" fillId="10" borderId="25" xfId="0" applyFont="1" applyFill="1" applyBorder="1">
      <alignment vertical="center"/>
    </xf>
    <xf numFmtId="0" fontId="12" fillId="9" borderId="27" xfId="0" applyFont="1" applyFill="1" applyBorder="1">
      <alignment vertical="center"/>
    </xf>
    <xf numFmtId="0" fontId="9" fillId="9" borderId="27" xfId="0" applyFont="1" applyFill="1" applyBorder="1">
      <alignment vertical="center"/>
    </xf>
    <xf numFmtId="0" fontId="62" fillId="7" borderId="25" xfId="0" applyFont="1" applyFill="1" applyBorder="1" applyAlignment="1">
      <alignment horizontal="left" vertical="center" wrapText="1"/>
    </xf>
    <xf numFmtId="0" fontId="62" fillId="8" borderId="25" xfId="0" applyFont="1" applyFill="1" applyBorder="1" applyAlignment="1">
      <alignment horizontal="left" vertical="center" wrapText="1"/>
    </xf>
    <xf numFmtId="0" fontId="57" fillId="7" borderId="33" xfId="0" applyFont="1" applyFill="1" applyBorder="1" applyAlignment="1">
      <alignment horizontal="center" vertical="center"/>
    </xf>
    <xf numFmtId="0" fontId="57" fillId="62" borderId="25" xfId="0" applyFont="1" applyFill="1" applyBorder="1" applyAlignment="1">
      <alignment horizontal="center" vertical="center"/>
    </xf>
  </cellXfs>
  <cellStyles count="1">
    <cellStyle name="常规" xfId="0" builtinId="0"/>
  </cellStyles>
  <dxfs count="8">
    <dxf>
      <font>
        <color theme="1"/>
      </font>
      <fill>
        <patternFill patternType="solid">
          <fgColor theme="0"/>
          <bgColor theme="5" tint="-0.24994659260841701"/>
        </patternFill>
      </fill>
    </dxf>
    <dxf>
      <fill>
        <patternFill patternType="solid">
          <bgColor theme="5" tint="0.39991454817346722"/>
        </patternFill>
      </fill>
    </dxf>
    <dxf>
      <fill>
        <patternFill patternType="solid">
          <bgColor theme="0" tint="-0.14990691854609822"/>
        </patternFill>
      </fill>
    </dxf>
    <dxf>
      <fill>
        <patternFill patternType="solid">
          <bgColor theme="9" tint="0.79992065187536243"/>
        </patternFill>
      </fill>
    </dxf>
    <dxf>
      <fill>
        <patternFill patternType="solid">
          <bgColor theme="9" tint="0.39991454817346722"/>
        </patternFill>
      </fill>
    </dxf>
    <dxf>
      <font>
        <color theme="0"/>
      </font>
      <fill>
        <patternFill patternType="solid">
          <bgColor theme="8" tint="0.39991454817346722"/>
        </patternFill>
      </fill>
    </dxf>
    <dxf>
      <font>
        <color theme="0"/>
      </font>
      <fill>
        <patternFill patternType="solid">
          <bgColor theme="8" tint="-0.24994659260841701"/>
        </patternFill>
      </fill>
    </dxf>
    <dxf>
      <font>
        <b/>
        <i val="0"/>
        <strike val="0"/>
        <color theme="7" tint="-0.24994659260841701"/>
      </font>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19</xdr:col>
      <xdr:colOff>428940</xdr:colOff>
      <xdr:row>0</xdr:row>
      <xdr:rowOff>425223</xdr:rowOff>
    </xdr:from>
    <xdr:ext cx="1076325" cy="2886075"/>
    <xdr:pic>
      <xdr:nvPicPr>
        <xdr:cNvPr id="3" name="图片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527873</xdr:colOff>
      <xdr:row>3</xdr:row>
      <xdr:rowOff>163544</xdr:rowOff>
    </xdr:from>
    <xdr:ext cx="1076325" cy="2886075"/>
    <xdr:pic>
      <xdr:nvPicPr>
        <xdr:cNvPr id="4" name="图片 3">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15</xdr:col>
      <xdr:colOff>668242</xdr:colOff>
      <xdr:row>3</xdr:row>
      <xdr:rowOff>206657</xdr:rowOff>
    </xdr:from>
    <xdr:ext cx="1076325" cy="2886075"/>
    <xdr:pic>
      <xdr:nvPicPr>
        <xdr:cNvPr id="5" name="图片 4">
          <a:extLst>
            <a:ext uri="{FF2B5EF4-FFF2-40B4-BE49-F238E27FC236}">
              <a16:creationId xmlns:a16="http://schemas.microsoft.com/office/drawing/2014/main" id="{00000000-0008-0000-0900-000005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915049</xdr:colOff>
      <xdr:row>46</xdr:row>
      <xdr:rowOff>0</xdr:rowOff>
    </xdr:from>
    <xdr:ext cx="1456026" cy="542925"/>
    <xdr:pic>
      <xdr:nvPicPr>
        <xdr:cNvPr id="6" name="6">
          <a:extLst>
            <a:ext uri="{FF2B5EF4-FFF2-40B4-BE49-F238E27FC236}">
              <a16:creationId xmlns:a16="http://schemas.microsoft.com/office/drawing/2014/main" id="{00000000-0008-0000-0B00-000006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7</xdr:col>
      <xdr:colOff>1582642</xdr:colOff>
      <xdr:row>3</xdr:row>
      <xdr:rowOff>159032</xdr:rowOff>
    </xdr:from>
    <xdr:ext cx="1076325" cy="2886075"/>
    <xdr:pic>
      <xdr:nvPicPr>
        <xdr:cNvPr id="8" name="图片 7">
          <a:extLst>
            <a:ext uri="{FF2B5EF4-FFF2-40B4-BE49-F238E27FC236}">
              <a16:creationId xmlns:a16="http://schemas.microsoft.com/office/drawing/2014/main" id="{00000000-0008-0000-1100-000008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8</xdr:col>
      <xdr:colOff>1464987</xdr:colOff>
      <xdr:row>0</xdr:row>
      <xdr:rowOff>535594</xdr:rowOff>
    </xdr:from>
    <xdr:ext cx="1076325" cy="2886075"/>
    <xdr:pic>
      <xdr:nvPicPr>
        <xdr:cNvPr id="9" name="图片 8">
          <a:extLst>
            <a:ext uri="{FF2B5EF4-FFF2-40B4-BE49-F238E27FC236}">
              <a16:creationId xmlns:a16="http://schemas.microsoft.com/office/drawing/2014/main" id="{00000000-0008-0000-1300-000009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20</xdr:col>
      <xdr:colOff>428940</xdr:colOff>
      <xdr:row>0</xdr:row>
      <xdr:rowOff>425223</xdr:rowOff>
    </xdr:from>
    <xdr:ext cx="1076325" cy="2886075"/>
    <xdr:pic>
      <xdr:nvPicPr>
        <xdr:cNvPr id="10" name="图片 9">
          <a:extLst>
            <a:ext uri="{FF2B5EF4-FFF2-40B4-BE49-F238E27FC236}">
              <a16:creationId xmlns:a16="http://schemas.microsoft.com/office/drawing/2014/main" id="{00000000-0008-0000-1400-00000A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4</xdr:col>
      <xdr:colOff>7067185</xdr:colOff>
      <xdr:row>2</xdr:row>
      <xdr:rowOff>19050</xdr:rowOff>
    </xdr:from>
    <xdr:ext cx="1076325" cy="2886075"/>
    <xdr:pic>
      <xdr:nvPicPr>
        <xdr:cNvPr id="11" name="图片 10">
          <a:extLst>
            <a:ext uri="{FF2B5EF4-FFF2-40B4-BE49-F238E27FC236}">
              <a16:creationId xmlns:a16="http://schemas.microsoft.com/office/drawing/2014/main" id="{00000000-0008-0000-1600-00000B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17</xdr:col>
      <xdr:colOff>428940</xdr:colOff>
      <xdr:row>0</xdr:row>
      <xdr:rowOff>425223</xdr:rowOff>
    </xdr:from>
    <xdr:ext cx="1076325" cy="2886075"/>
    <xdr:pic>
      <xdr:nvPicPr>
        <xdr:cNvPr id="7" name="图片 6">
          <a:extLst>
            <a:ext uri="{FF2B5EF4-FFF2-40B4-BE49-F238E27FC236}">
              <a16:creationId xmlns:a16="http://schemas.microsoft.com/office/drawing/2014/main" id="{00000000-0008-0000-1900-000007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20</xdr:col>
      <xdr:colOff>428940</xdr:colOff>
      <xdr:row>0</xdr:row>
      <xdr:rowOff>425223</xdr:rowOff>
    </xdr:from>
    <xdr:ext cx="1076325" cy="2886075"/>
    <xdr:pic>
      <xdr:nvPicPr>
        <xdr:cNvPr id="2" name="图片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5</xdr:col>
      <xdr:colOff>0</xdr:colOff>
      <xdr:row>0</xdr:row>
      <xdr:rowOff>228600</xdr:rowOff>
    </xdr:from>
    <xdr:ext cx="3841812" cy="1817947"/>
    <xdr:pic>
      <xdr:nvPicPr>
        <xdr:cNvPr id="2" name="图片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1" Type="http://schemas.openxmlformats.org/officeDocument/2006/relationships/hyperlink" Target="https://forms.office.com/r/FdDCHNdfTK"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模板页">
    <tabColor rgb="FFC3EAD5"/>
  </sheetPr>
  <dimension ref="A1:AF323"/>
  <sheetViews>
    <sheetView workbookViewId="0">
      <selection sqref="A1:I1"/>
    </sheetView>
  </sheetViews>
  <sheetFormatPr baseColWidth="10" defaultColWidth="13.7109375" defaultRowHeight="18" customHeight="1"/>
  <cols>
    <col min="1" max="1" width="11" style="159" customWidth="1"/>
    <col min="2" max="2" width="34.85546875" style="159" customWidth="1"/>
    <col min="3" max="7" width="14.85546875" style="124" customWidth="1"/>
    <col min="8" max="9" width="41.5703125" style="1" customWidth="1"/>
    <col min="10" max="10" width="6" style="313" customWidth="1"/>
    <col min="11" max="11" width="12.5703125" style="159" customWidth="1"/>
    <col min="12" max="12" width="40.42578125" style="5" customWidth="1"/>
    <col min="13" max="17" width="12.5703125" style="1" customWidth="1"/>
    <col min="18" max="18" width="40.140625" style="1" customWidth="1"/>
    <col min="19" max="19" width="44.42578125" style="1" customWidth="1"/>
    <col min="20" max="20" width="7.7109375" style="313" customWidth="1"/>
    <col min="21" max="21" width="11.5703125" style="30" customWidth="1"/>
    <col min="22" max="22" width="10.28515625" style="31" customWidth="1"/>
    <col min="23" max="23" width="40.7109375" style="32" customWidth="1"/>
    <col min="24" max="24" width="11.7109375" style="498" customWidth="1"/>
    <col min="25" max="25" width="13" style="498" customWidth="1"/>
    <col min="26" max="26" width="12.28515625" style="498" customWidth="1"/>
    <col min="27" max="27" width="10.5703125" style="125" customWidth="1"/>
    <col min="28" max="28" width="9.85546875" style="125" customWidth="1"/>
    <col min="29" max="30" width="31.42578125" style="303" customWidth="1"/>
  </cols>
  <sheetData>
    <row r="1" spans="1:32" ht="76.5" customHeight="1">
      <c r="A1" s="551" t="s">
        <v>5245</v>
      </c>
      <c r="B1" s="543"/>
      <c r="C1" s="543"/>
      <c r="D1" s="543"/>
      <c r="E1" s="543"/>
      <c r="F1" s="543"/>
      <c r="G1" s="543"/>
      <c r="H1" s="552"/>
      <c r="I1" s="543"/>
      <c r="J1" s="2"/>
      <c r="K1" s="553" t="s">
        <v>0</v>
      </c>
      <c r="L1" s="518"/>
      <c r="M1" s="518"/>
      <c r="N1" s="518"/>
      <c r="O1" s="518"/>
      <c r="P1" s="518"/>
      <c r="Q1" s="518"/>
      <c r="R1" s="518"/>
      <c r="S1" s="524"/>
      <c r="T1" s="2"/>
      <c r="U1" s="535"/>
      <c r="V1" s="518"/>
      <c r="W1" s="518"/>
      <c r="X1" s="518"/>
      <c r="Y1" s="518"/>
      <c r="Z1" s="518"/>
      <c r="AA1" s="526"/>
      <c r="AB1" s="526"/>
      <c r="AC1" s="527"/>
      <c r="AD1" s="527"/>
    </row>
    <row r="2" spans="1:32" ht="30" customHeight="1">
      <c r="A2" s="540" t="s">
        <v>1</v>
      </c>
      <c r="B2" s="543"/>
      <c r="C2" s="543"/>
      <c r="D2" s="543"/>
      <c r="E2" s="543"/>
      <c r="F2" s="543"/>
      <c r="G2" s="543"/>
      <c r="H2" s="550"/>
      <c r="I2" s="543"/>
      <c r="J2" s="2"/>
      <c r="K2" s="540" t="s">
        <v>2</v>
      </c>
      <c r="L2" s="518"/>
      <c r="M2" s="518"/>
      <c r="N2" s="518"/>
      <c r="O2" s="518"/>
      <c r="P2" s="518"/>
      <c r="Q2" s="518"/>
      <c r="R2" s="518"/>
      <c r="S2" s="524"/>
      <c r="T2" s="2"/>
      <c r="U2" s="525" t="s">
        <v>3</v>
      </c>
      <c r="V2" s="518"/>
      <c r="W2" s="518"/>
      <c r="X2" s="518"/>
      <c r="Y2" s="518"/>
      <c r="Z2" s="518"/>
      <c r="AA2" s="526"/>
      <c r="AB2" s="526"/>
      <c r="AC2" s="527"/>
      <c r="AD2" s="527"/>
    </row>
    <row r="3" spans="1:32" ht="27" customHeight="1">
      <c r="A3" s="5" t="s">
        <v>4</v>
      </c>
      <c r="B3" s="6" t="s">
        <v>5</v>
      </c>
      <c r="C3" s="7" t="s">
        <v>6</v>
      </c>
      <c r="D3" s="7" t="s">
        <v>7</v>
      </c>
      <c r="E3" s="7" t="s">
        <v>8</v>
      </c>
      <c r="F3" s="7" t="s">
        <v>9</v>
      </c>
      <c r="G3" s="7" t="s">
        <v>10</v>
      </c>
      <c r="H3" s="7" t="s">
        <v>11</v>
      </c>
      <c r="I3" s="7" t="s">
        <v>12</v>
      </c>
      <c r="J3" s="2"/>
      <c r="K3" s="5" t="s">
        <v>4</v>
      </c>
      <c r="L3" s="6" t="s">
        <v>5</v>
      </c>
      <c r="M3" s="7" t="s">
        <v>6</v>
      </c>
      <c r="N3" s="7" t="s">
        <v>7</v>
      </c>
      <c r="O3" s="7" t="s">
        <v>8</v>
      </c>
      <c r="P3" s="7" t="s">
        <v>9</v>
      </c>
      <c r="Q3" s="7" t="s">
        <v>10</v>
      </c>
      <c r="R3" s="7" t="s">
        <v>11</v>
      </c>
      <c r="S3" s="7" t="s">
        <v>12</v>
      </c>
      <c r="T3" s="2"/>
      <c r="U3" s="8" t="s">
        <v>4</v>
      </c>
      <c r="V3" s="8" t="s">
        <v>13</v>
      </c>
      <c r="W3" s="9" t="s">
        <v>5</v>
      </c>
      <c r="X3" s="7" t="s">
        <v>6</v>
      </c>
      <c r="Y3" s="7" t="s">
        <v>7</v>
      </c>
      <c r="Z3" s="7" t="s">
        <v>8</v>
      </c>
      <c r="AA3" s="7" t="s">
        <v>9</v>
      </c>
      <c r="AB3" s="7" t="s">
        <v>10</v>
      </c>
      <c r="AC3" s="5" t="s">
        <v>11</v>
      </c>
      <c r="AD3" s="5" t="s">
        <v>12</v>
      </c>
      <c r="AE3" s="7"/>
      <c r="AF3" s="7"/>
    </row>
    <row r="4" spans="1:32" ht="21">
      <c r="A4" s="5" t="s">
        <v>14</v>
      </c>
      <c r="B4" s="5" t="s">
        <v>15</v>
      </c>
      <c r="C4" s="10" t="s">
        <v>16</v>
      </c>
      <c r="D4" s="10" t="s">
        <v>16</v>
      </c>
      <c r="E4" s="10" t="s">
        <v>17</v>
      </c>
      <c r="F4" s="10" t="s">
        <v>17</v>
      </c>
      <c r="G4" s="10" t="str">
        <f>IF(AND(ISNUMBER(MATCH(C4,{"F","E","D","D+","C","C+","B","B+","A","A+","S"},0)),ISNUMBER(MATCH(D4,{"F","E","D","D+","C","C+","B","B+","A","A+","S"},0)),ISNUMBER(MATCH(E4,{"F","E","D","D+","C","C+","B","B+","A","A+","S"},0)),ISNUMBER(MATCH(F4,{"F","E","D","D+","C","C+","B","B+","A","A+","S"},0))),LOOKUP(AVERAGE(_xlfn.SWITCH(C4,"F",0,"E",10,"D",20,"D+",30,"C",40,"C+",50,"B",60,"B+",70,"A",80,"A+",90,"S",100),_xlfn.SWITCH(D4,"F",0,"E",10,"D",20,"D+",30,"C",40,"C+",50,"B",60,"B+",70,"A",80,"A+",90,"S",100),_xlfn.SWITCH(E4,"F",0,"E",10,"D",20,"D+",30,"C",40,"C+",50,"B",60,"B+",70,"A",80,"A+",90,"S",100),_xlfn.SWITCH(F4,"F",0,"E",10,"D",20,"D+",30,"C",40,"C+",50,"B",60,"B+",70,"A",80,"A+",90,"S",100)),{0,15,25,35,45,55,65,75,85,95},{"D","D","D+","C","C+","B","B+","A","A+","S"}),"?")</f>
        <v>B</v>
      </c>
      <c r="I4" s="11"/>
      <c r="J4" s="2"/>
      <c r="K4" s="5" t="s">
        <v>19</v>
      </c>
      <c r="L4" s="12" t="s">
        <v>20</v>
      </c>
      <c r="M4" s="13" t="s">
        <v>21</v>
      </c>
      <c r="N4" s="13" t="s">
        <v>21</v>
      </c>
      <c r="O4" s="13" t="s">
        <v>17</v>
      </c>
      <c r="P4" s="13" t="s">
        <v>17</v>
      </c>
      <c r="Q4" s="13" t="s">
        <v>22</v>
      </c>
      <c r="R4" s="14"/>
      <c r="S4" s="14"/>
      <c r="T4" s="2"/>
      <c r="U4" s="15" t="s">
        <v>23</v>
      </c>
      <c r="V4" s="16" t="s">
        <v>24</v>
      </c>
      <c r="W4" s="17" t="s">
        <v>25</v>
      </c>
      <c r="X4" s="18"/>
      <c r="Y4" s="18"/>
      <c r="Z4" s="18"/>
      <c r="AA4" s="19"/>
      <c r="AB4" s="19"/>
    </row>
    <row r="5" spans="1:32" ht="21">
      <c r="A5" s="5" t="s">
        <v>26</v>
      </c>
      <c r="B5" s="5" t="s">
        <v>27</v>
      </c>
      <c r="C5" s="10" t="s">
        <v>21</v>
      </c>
      <c r="D5" s="10" t="s">
        <v>17</v>
      </c>
      <c r="E5" s="10" t="s">
        <v>17</v>
      </c>
      <c r="F5" s="10" t="s">
        <v>18</v>
      </c>
      <c r="G5" s="10" t="str">
        <f>IF(AND(ISNUMBER(MATCH(C5,{"F","E","D","D+","C","C+","B","B+","A","A+","S"},0)),ISNUMBER(MATCH(D5,{"F","E","D","D+","C","C+","B","B+","A","A+","S"},0)),ISNUMBER(MATCH(E5,{"F","E","D","D+","C","C+","B","B+","A","A+","S"},0)),ISNUMBER(MATCH(F5,{"F","E","D","D+","C","C+","B","B+","A","A+","S"},0))),LOOKUP(AVERAGE(_xlfn.SWITCH(C5,"F",0,"E",10,"D",20,"D+",30,"C",40,"C+",50,"B",60,"B+",70,"A",80,"A+",90,"S",100),_xlfn.SWITCH(D5,"F",0,"E",10,"D",20,"D+",30,"C",40,"C+",50,"B",60,"B+",70,"A",80,"A+",90,"S",100),_xlfn.SWITCH(E5,"F",0,"E",10,"D",20,"D+",30,"C",40,"C+",50,"B",60,"B+",70,"A",80,"A+",90,"S",100),_xlfn.SWITCH(F5,"F",0,"E",10,"D",20,"D+",30,"C",40,"C+",50,"B",60,"B+",70,"A",80,"A+",90,"S",100)),{0,15,25,35,45,55,65,75,85,95},{"D","D","D+","C","C+","B","B+","A","A+","S"}),"?")</f>
        <v>A+</v>
      </c>
      <c r="I5" s="11"/>
      <c r="J5" s="2"/>
      <c r="K5" s="5" t="s">
        <v>29</v>
      </c>
      <c r="L5" s="12" t="s">
        <v>30</v>
      </c>
      <c r="M5" s="13"/>
      <c r="N5" s="13"/>
      <c r="O5" s="13"/>
      <c r="P5" s="13"/>
      <c r="Q5" s="13" t="str">
        <f>IF(AND(ISNUMBER(MATCH(M5,{"F","E","D","D+","C","C+","B","B+","A","A+","S"},0)),ISNUMBER(MATCH(N5,{"F","E","D","D+","C","C+","B","B+","A","A+","S"},0)),ISNUMBER(MATCH(O5,{"F","E","D","D+","C","C+","B","B+","A","A+","S"},0)),ISNUMBER(MATCH(P5,{"F","E","D","D+","C","C+","B","B+","A","A+","S"},0))),LOOKUP(AVERAGE(_xlfn.SWITCH(M5,"F",0,"E",10,"D",20,"D+",30,"C",40,"C+",50,"B",60,"B+",70,"A",80,"A+",90,"S",100),_xlfn.SWITCH(N5,"F",0,"E",10,"D",20,"D+",30,"C",40,"C+",50,"B",60,"B+",70,"A",80,"A+",90,"S",100),_xlfn.SWITCH(O5,"F",0,"E",10,"D",20,"D+",30,"C",40,"C+",50,"B",60,"B+",70,"A",80,"A+",90,"S",100),_xlfn.SWITCH(P5,"F",0,"E",10,"D",20,"D+",30,"C",40,"C+",50,"B",60,"B+",70,"A",80,"A+",90,"S",100)),{0,15,25,35,45,55,65,75,85,95},{"D","D","D+","C","C+","B","B+","A","A+","S"}),"?")</f>
        <v>?</v>
      </c>
      <c r="R5" s="14"/>
      <c r="S5" s="14"/>
      <c r="T5" s="2"/>
      <c r="U5" s="15" t="s">
        <v>31</v>
      </c>
      <c r="V5" s="16" t="s">
        <v>32</v>
      </c>
      <c r="W5" s="17" t="s">
        <v>33</v>
      </c>
      <c r="X5" s="18"/>
      <c r="Y5" s="18"/>
      <c r="Z5" s="18"/>
      <c r="AA5" s="19"/>
      <c r="AB5" s="19"/>
    </row>
    <row r="6" spans="1:32" ht="21">
      <c r="A6" s="5" t="s">
        <v>34</v>
      </c>
      <c r="B6" s="5" t="s">
        <v>35</v>
      </c>
      <c r="C6" s="10"/>
      <c r="D6" s="10"/>
      <c r="E6" s="10"/>
      <c r="F6" s="10"/>
      <c r="G6" s="10" t="str">
        <f>IF(AND(ISNUMBER(MATCH(C6,{"F","E","D","D+","C","C+","B","B+","A","A+","S"},0)),ISNUMBER(MATCH(D6,{"F","E","D","D+","C","C+","B","B+","A","A+","S"},0)),ISNUMBER(MATCH(E6,{"F","E","D","D+","C","C+","B","B+","A","A+","S"},0)),ISNUMBER(MATCH(F6,{"F","E","D","D+","C","C+","B","B+","A","A+","S"},0))),LOOKUP(AVERAGE(_xlfn.SWITCH(C6,"F",0,"E",10,"D",20,"D+",30,"C",40,"C+",50,"B",60,"B+",70,"A",80,"A+",90,"S",100),_xlfn.SWITCH(D6,"F",0,"E",10,"D",20,"D+",30,"C",40,"C+",50,"B",60,"B+",70,"A",80,"A+",90,"S",100),_xlfn.SWITCH(E6,"F",0,"E",10,"D",20,"D+",30,"C",40,"C+",50,"B",60,"B+",70,"A",80,"A+",90,"S",100),_xlfn.SWITCH(F6,"F",0,"E",10,"D",20,"D+",30,"C",40,"C+",50,"B",60,"B+",70,"A",80,"A+",90,"S",100)),{0,15,25,35,45,55,65,75,85,95},{"D","D","D+","C","C+","B","B+","A","A+","S"}),"?")</f>
        <v>?</v>
      </c>
      <c r="I6" s="11"/>
      <c r="J6" s="2"/>
      <c r="K6" s="5" t="s">
        <v>36</v>
      </c>
      <c r="L6" s="12" t="s">
        <v>37</v>
      </c>
      <c r="M6" s="13"/>
      <c r="N6" s="13"/>
      <c r="O6" s="13"/>
      <c r="P6" s="13"/>
      <c r="Q6" s="13" t="str">
        <f>IF(AND(ISNUMBER(MATCH(M6,{"F","E","D","D+","C","C+","B","B+","A","A+","S"},0)),ISNUMBER(MATCH(N6,{"F","E","D","D+","C","C+","B","B+","A","A+","S"},0)),ISNUMBER(MATCH(O6,{"F","E","D","D+","C","C+","B","B+","A","A+","S"},0)),ISNUMBER(MATCH(P6,{"F","E","D","D+","C","C+","B","B+","A","A+","S"},0))),LOOKUP(AVERAGE(_xlfn.SWITCH(M6,"F",0,"E",10,"D",20,"D+",30,"C",40,"C+",50,"B",60,"B+",70,"A",80,"A+",90,"S",100),_xlfn.SWITCH(N6,"F",0,"E",10,"D",20,"D+",30,"C",40,"C+",50,"B",60,"B+",70,"A",80,"A+",90,"S",100),_xlfn.SWITCH(O6,"F",0,"E",10,"D",20,"D+",30,"C",40,"C+",50,"B",60,"B+",70,"A",80,"A+",90,"S",100),_xlfn.SWITCH(P6,"F",0,"E",10,"D",20,"D+",30,"C",40,"C+",50,"B",60,"B+",70,"A",80,"A+",90,"S",100)),{0,15,25,35,45,55,65,75,85,95},{"D","D","D+","C","C+","B","B+","A","A+","S"}),"?")</f>
        <v>?</v>
      </c>
      <c r="R6" s="14"/>
      <c r="S6" s="14"/>
      <c r="T6" s="2"/>
      <c r="U6" s="15" t="s">
        <v>38</v>
      </c>
      <c r="V6" s="16" t="s">
        <v>39</v>
      </c>
      <c r="W6" s="17" t="s">
        <v>40</v>
      </c>
      <c r="X6" s="18"/>
      <c r="Y6" s="18"/>
      <c r="Z6" s="18"/>
      <c r="AA6" s="19"/>
      <c r="AB6" s="19"/>
    </row>
    <row r="7" spans="1:32" ht="21">
      <c r="A7" s="5" t="s">
        <v>41</v>
      </c>
      <c r="B7" s="5" t="s">
        <v>42</v>
      </c>
      <c r="C7" s="10"/>
      <c r="D7" s="10"/>
      <c r="E7" s="10"/>
      <c r="F7" s="10"/>
      <c r="G7" s="10" t="str">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v>
      </c>
      <c r="I7" s="11"/>
      <c r="J7" s="2"/>
      <c r="K7" s="5" t="s">
        <v>43</v>
      </c>
      <c r="L7" s="12" t="s">
        <v>44</v>
      </c>
      <c r="M7" s="13"/>
      <c r="N7" s="13"/>
      <c r="O7" s="13"/>
      <c r="P7" s="13"/>
      <c r="Q7" s="13" t="str">
        <f>IF(AND(ISNUMBER(MATCH(M7,{"F","E","D","D+","C","C+","B","B+","A","A+","S"},0)),ISNUMBER(MATCH(N7,{"F","E","D","D+","C","C+","B","B+","A","A+","S"},0)),ISNUMBER(MATCH(O7,{"F","E","D","D+","C","C+","B","B+","A","A+","S"},0)),ISNUMBER(MATCH(P7,{"F","E","D","D+","C","C+","B","B+","A","A+","S"},0))),LOOKUP(AVERAGE(_xlfn.SWITCH(M7,"F",0,"E",10,"D",20,"D+",30,"C",40,"C+",50,"B",60,"B+",70,"A",80,"A+",90,"S",100),_xlfn.SWITCH(N7,"F",0,"E",10,"D",20,"D+",30,"C",40,"C+",50,"B",60,"B+",70,"A",80,"A+",90,"S",100),_xlfn.SWITCH(O7,"F",0,"E",10,"D",20,"D+",30,"C",40,"C+",50,"B",60,"B+",70,"A",80,"A+",90,"S",100),_xlfn.SWITCH(P7,"F",0,"E",10,"D",20,"D+",30,"C",40,"C+",50,"B",60,"B+",70,"A",80,"A+",90,"S",100)),{0,15,25,35,45,55,65,75,85,95},{"D","D","D+","C","C+","B","B+","A","A+","S"}),"?")</f>
        <v>?</v>
      </c>
      <c r="R7" s="14"/>
      <c r="S7" s="14"/>
      <c r="T7" s="2"/>
      <c r="U7" s="15" t="s">
        <v>45</v>
      </c>
      <c r="V7" s="16" t="s">
        <v>46</v>
      </c>
      <c r="W7" s="17" t="s">
        <v>47</v>
      </c>
      <c r="X7" s="18"/>
      <c r="Y7" s="18"/>
      <c r="Z7" s="18"/>
      <c r="AA7" s="19"/>
      <c r="AB7" s="19"/>
    </row>
    <row r="8" spans="1:32" ht="21">
      <c r="A8" s="5" t="s">
        <v>48</v>
      </c>
      <c r="B8" s="5" t="s">
        <v>49</v>
      </c>
      <c r="C8" s="10"/>
      <c r="D8" s="10"/>
      <c r="E8" s="10"/>
      <c r="F8" s="10"/>
      <c r="G8" s="10" t="str">
        <f>IF(AND(ISNUMBER(MATCH(C8,{"F","E","D","D+","C","C+","B","B+","A","A+","S"},0)),ISNUMBER(MATCH(D8,{"F","E","D","D+","C","C+","B","B+","A","A+","S"},0)),ISNUMBER(MATCH(E8,{"F","E","D","D+","C","C+","B","B+","A","A+","S"},0)),ISNUMBER(MATCH(F8,{"F","E","D","D+","C","C+","B","B+","A","A+","S"},0))),LOOKUP(AVERAGE(_xlfn.SWITCH(C8,"F",0,"E",10,"D",20,"D+",30,"C",40,"C+",50,"B",60,"B+",70,"A",80,"A+",90,"S",100),_xlfn.SWITCH(D8,"F",0,"E",10,"D",20,"D+",30,"C",40,"C+",50,"B",60,"B+",70,"A",80,"A+",90,"S",100),_xlfn.SWITCH(E8,"F",0,"E",10,"D",20,"D+",30,"C",40,"C+",50,"B",60,"B+",70,"A",80,"A+",90,"S",100),_xlfn.SWITCH(F8,"F",0,"E",10,"D",20,"D+",30,"C",40,"C+",50,"B",60,"B+",70,"A",80,"A+",90,"S",100)),{0,15,25,35,45,55,65,75,85,95},{"D","D","D+","C","C+","B","B+","A","A+","S"}),"?")</f>
        <v>?</v>
      </c>
      <c r="I8" s="11"/>
      <c r="J8" s="2"/>
      <c r="K8" s="5" t="s">
        <v>50</v>
      </c>
      <c r="L8" s="12" t="s">
        <v>51</v>
      </c>
      <c r="M8" s="13"/>
      <c r="N8" s="13"/>
      <c r="O8" s="13"/>
      <c r="P8" s="13"/>
      <c r="Q8" s="13" t="str">
        <f>IF(AND(ISNUMBER(MATCH(M8,{"F","E","D","D+","C","C+","B","B+","A","A+","S"},0)),ISNUMBER(MATCH(N8,{"F","E","D","D+","C","C+","B","B+","A","A+","S"},0)),ISNUMBER(MATCH(O8,{"F","E","D","D+","C","C+","B","B+","A","A+","S"},0)),ISNUMBER(MATCH(P8,{"F","E","D","D+","C","C+","B","B+","A","A+","S"},0))),LOOKUP(AVERAGE(_xlfn.SWITCH(M8,"F",0,"E",10,"D",20,"D+",30,"C",40,"C+",50,"B",60,"B+",70,"A",80,"A+",90,"S",100),_xlfn.SWITCH(N8,"F",0,"E",10,"D",20,"D+",30,"C",40,"C+",50,"B",60,"B+",70,"A",80,"A+",90,"S",100),_xlfn.SWITCH(O8,"F",0,"E",10,"D",20,"D+",30,"C",40,"C+",50,"B",60,"B+",70,"A",80,"A+",90,"S",100),_xlfn.SWITCH(P8,"F",0,"E",10,"D",20,"D+",30,"C",40,"C+",50,"B",60,"B+",70,"A",80,"A+",90,"S",100)),{0,15,25,35,45,55,65,75,85,95},{"D","D","D+","C","C+","B","B+","A","A+","S"}),"?")</f>
        <v>?</v>
      </c>
      <c r="R8" s="14"/>
      <c r="S8" s="14"/>
      <c r="T8" s="2"/>
      <c r="U8" s="15" t="s">
        <v>52</v>
      </c>
      <c r="V8" s="16" t="s">
        <v>53</v>
      </c>
      <c r="W8" s="17" t="s">
        <v>54</v>
      </c>
      <c r="X8" s="18"/>
      <c r="Y8" s="18"/>
      <c r="Z8" s="18"/>
      <c r="AA8" s="19"/>
      <c r="AB8" s="19"/>
    </row>
    <row r="9" spans="1:32" ht="21">
      <c r="A9" s="5" t="s">
        <v>55</v>
      </c>
      <c r="B9" s="5" t="s">
        <v>56</v>
      </c>
      <c r="C9" s="10"/>
      <c r="D9" s="10"/>
      <c r="E9" s="10"/>
      <c r="F9" s="10"/>
      <c r="G9" s="10"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v>
      </c>
      <c r="I9" s="11"/>
      <c r="J9" s="2"/>
      <c r="K9" s="5" t="s">
        <v>57</v>
      </c>
      <c r="L9" s="12" t="s">
        <v>58</v>
      </c>
      <c r="M9" s="13"/>
      <c r="N9" s="13"/>
      <c r="O9" s="13"/>
      <c r="P9" s="13"/>
      <c r="Q9" s="13" t="str">
        <f>IF(AND(ISNUMBER(MATCH(M9,{"F","E","D","D+","C","C+","B","B+","A","A+","S"},0)),ISNUMBER(MATCH(N9,{"F","E","D","D+","C","C+","B","B+","A","A+","S"},0)),ISNUMBER(MATCH(O9,{"F","E","D","D+","C","C+","B","B+","A","A+","S"},0)),ISNUMBER(MATCH(P9,{"F","E","D","D+","C","C+","B","B+","A","A+","S"},0))),LOOKUP(AVERAGE(_xlfn.SWITCH(M9,"F",0,"E",10,"D",20,"D+",30,"C",40,"C+",50,"B",60,"B+",70,"A",80,"A+",90,"S",100),_xlfn.SWITCH(N9,"F",0,"E",10,"D",20,"D+",30,"C",40,"C+",50,"B",60,"B+",70,"A",80,"A+",90,"S",100),_xlfn.SWITCH(O9,"F",0,"E",10,"D",20,"D+",30,"C",40,"C+",50,"B",60,"B+",70,"A",80,"A+",90,"S",100),_xlfn.SWITCH(P9,"F",0,"E",10,"D",20,"D+",30,"C",40,"C+",50,"B",60,"B+",70,"A",80,"A+",90,"S",100)),{0,15,25,35,45,55,65,75,85,95},{"D","D","D+","C","C+","B","B+","A","A+","S"}),"?")</f>
        <v>?</v>
      </c>
      <c r="R9" s="14"/>
      <c r="S9" s="14"/>
      <c r="T9" s="2"/>
      <c r="U9" s="15" t="s">
        <v>59</v>
      </c>
      <c r="V9" s="16" t="s">
        <v>60</v>
      </c>
      <c r="W9" s="17" t="s">
        <v>61</v>
      </c>
      <c r="X9" s="18"/>
      <c r="Y9" s="18"/>
      <c r="Z9" s="18"/>
      <c r="AA9" s="19"/>
      <c r="AB9" s="19"/>
    </row>
    <row r="10" spans="1:32" ht="21">
      <c r="A10" s="5" t="s">
        <v>62</v>
      </c>
      <c r="B10" s="5" t="s">
        <v>63</v>
      </c>
      <c r="C10" s="10"/>
      <c r="D10" s="10"/>
      <c r="E10" s="10"/>
      <c r="F10" s="10"/>
      <c r="G10" s="10"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v>
      </c>
      <c r="I10" s="11"/>
      <c r="J10" s="2"/>
      <c r="K10" s="5" t="s">
        <v>64</v>
      </c>
      <c r="L10" s="12" t="s">
        <v>65</v>
      </c>
      <c r="M10" s="13"/>
      <c r="N10" s="13"/>
      <c r="O10" s="13"/>
      <c r="P10" s="13"/>
      <c r="Q10" s="13" t="str">
        <f>IF(AND(ISNUMBER(MATCH(M10,{"F","E","D","D+","C","C+","B","B+","A","A+","S"},0)),ISNUMBER(MATCH(N10,{"F","E","D","D+","C","C+","B","B+","A","A+","S"},0)),ISNUMBER(MATCH(O10,{"F","E","D","D+","C","C+","B","B+","A","A+","S"},0)),ISNUMBER(MATCH(P10,{"F","E","D","D+","C","C+","B","B+","A","A+","S"},0))),LOOKUP(AVERAGE(_xlfn.SWITCH(M10,"F",0,"E",10,"D",20,"D+",30,"C",40,"C+",50,"B",60,"B+",70,"A",80,"A+",90,"S",100),_xlfn.SWITCH(N10,"F",0,"E",10,"D",20,"D+",30,"C",40,"C+",50,"B",60,"B+",70,"A",80,"A+",90,"S",100),_xlfn.SWITCH(O10,"F",0,"E",10,"D",20,"D+",30,"C",40,"C+",50,"B",60,"B+",70,"A",80,"A+",90,"S",100),_xlfn.SWITCH(P10,"F",0,"E",10,"D",20,"D+",30,"C",40,"C+",50,"B",60,"B+",70,"A",80,"A+",90,"S",100)),{0,15,25,35,45,55,65,75,85,95},{"D","D","D+","C","C+","B","B+","A","A+","S"}),"?")</f>
        <v>?</v>
      </c>
      <c r="R10" s="14"/>
      <c r="S10" s="14"/>
      <c r="T10" s="2"/>
      <c r="U10" s="15" t="s">
        <v>66</v>
      </c>
      <c r="V10" s="16" t="s">
        <v>29</v>
      </c>
      <c r="W10" s="17" t="s">
        <v>30</v>
      </c>
      <c r="X10" s="18"/>
      <c r="Y10" s="18"/>
      <c r="Z10" s="18"/>
      <c r="AA10" s="19"/>
      <c r="AB10" s="19"/>
    </row>
    <row r="11" spans="1:32" ht="21">
      <c r="A11" s="5" t="s">
        <v>67</v>
      </c>
      <c r="B11" s="5" t="s">
        <v>68</v>
      </c>
      <c r="C11" s="10"/>
      <c r="D11" s="10"/>
      <c r="E11" s="10"/>
      <c r="F11" s="10"/>
      <c r="G11" s="10" t="str">
        <f>IF(AND(ISNUMBER(MATCH(C11,{"F","E","D","D+","C","C+","B","B+","A","A+","S"},0)),ISNUMBER(MATCH(D11,{"F","E","D","D+","C","C+","B","B+","A","A+","S"},0)),ISNUMBER(MATCH(E11,{"F","E","D","D+","C","C+","B","B+","A","A+","S"},0)),ISNUMBER(MATCH(F11,{"F","E","D","D+","C","C+","B","B+","A","A+","S"},0))),LOOKUP(AVERAGE(_xlfn.SWITCH(C11,"F",0,"E",10,"D",20,"D+",30,"C",40,"C+",50,"B",60,"B+",70,"A",80,"A+",90,"S",100),_xlfn.SWITCH(D11,"F",0,"E",10,"D",20,"D+",30,"C",40,"C+",50,"B",60,"B+",70,"A",80,"A+",90,"S",100),_xlfn.SWITCH(E11,"F",0,"E",10,"D",20,"D+",30,"C",40,"C+",50,"B",60,"B+",70,"A",80,"A+",90,"S",100),_xlfn.SWITCH(F11,"F",0,"E",10,"D",20,"D+",30,"C",40,"C+",50,"B",60,"B+",70,"A",80,"A+",90,"S",100)),{0,15,25,35,45,55,65,75,85,95},{"D","D","D+","C","C+","B","B+","A","A+","S"}),"?")</f>
        <v>?</v>
      </c>
      <c r="I11" s="11"/>
      <c r="J11" s="2"/>
      <c r="K11" s="5" t="s">
        <v>69</v>
      </c>
      <c r="L11" s="12" t="s">
        <v>70</v>
      </c>
      <c r="M11" s="13"/>
      <c r="N11" s="13"/>
      <c r="O11" s="13"/>
      <c r="P11" s="13"/>
      <c r="Q11" s="13" t="str">
        <f>IF(AND(ISNUMBER(MATCH(M11,{"F","E","D","D+","C","C+","B","B+","A","A+","S"},0)),ISNUMBER(MATCH(N11,{"F","E","D","D+","C","C+","B","B+","A","A+","S"},0)),ISNUMBER(MATCH(O11,{"F","E","D","D+","C","C+","B","B+","A","A+","S"},0)),ISNUMBER(MATCH(P11,{"F","E","D","D+","C","C+","B","B+","A","A+","S"},0))),LOOKUP(AVERAGE(_xlfn.SWITCH(M11,"F",0,"E",10,"D",20,"D+",30,"C",40,"C+",50,"B",60,"B+",70,"A",80,"A+",90,"S",100),_xlfn.SWITCH(N11,"F",0,"E",10,"D",20,"D+",30,"C",40,"C+",50,"B",60,"B+",70,"A",80,"A+",90,"S",100),_xlfn.SWITCH(O11,"F",0,"E",10,"D",20,"D+",30,"C",40,"C+",50,"B",60,"B+",70,"A",80,"A+",90,"S",100),_xlfn.SWITCH(P11,"F",0,"E",10,"D",20,"D+",30,"C",40,"C+",50,"B",60,"B+",70,"A",80,"A+",90,"S",100)),{0,15,25,35,45,55,65,75,85,95},{"D","D","D+","C","C+","B","B+","A","A+","S"}),"?")</f>
        <v>?</v>
      </c>
      <c r="R11" s="14"/>
      <c r="S11" s="14"/>
      <c r="T11" s="2"/>
      <c r="U11" s="15" t="s">
        <v>71</v>
      </c>
      <c r="V11" s="16" t="s">
        <v>72</v>
      </c>
      <c r="W11" s="17" t="s">
        <v>73</v>
      </c>
      <c r="X11" s="18"/>
      <c r="Y11" s="18"/>
      <c r="Z11" s="18"/>
      <c r="AA11" s="19"/>
      <c r="AB11" s="19"/>
    </row>
    <row r="12" spans="1:32" ht="21">
      <c r="A12" s="5" t="s">
        <v>74</v>
      </c>
      <c r="B12" s="5" t="s">
        <v>75</v>
      </c>
      <c r="C12" s="10"/>
      <c r="D12" s="10"/>
      <c r="E12" s="10"/>
      <c r="F12" s="10"/>
      <c r="G12" s="10"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v>
      </c>
      <c r="I12" s="11"/>
      <c r="J12" s="2"/>
      <c r="K12" s="5" t="s">
        <v>76</v>
      </c>
      <c r="L12" s="12" t="s">
        <v>77</v>
      </c>
      <c r="M12" s="13"/>
      <c r="N12" s="13"/>
      <c r="O12" s="13"/>
      <c r="P12" s="13"/>
      <c r="Q12" s="13" t="str">
        <f>IF(AND(ISNUMBER(MATCH(M12,{"F","E","D","D+","C","C+","B","B+","A","A+","S"},0)),ISNUMBER(MATCH(N12,{"F","E","D","D+","C","C+","B","B+","A","A+","S"},0)),ISNUMBER(MATCH(O12,{"F","E","D","D+","C","C+","B","B+","A","A+","S"},0)),ISNUMBER(MATCH(P12,{"F","E","D","D+","C","C+","B","B+","A","A+","S"},0))),LOOKUP(AVERAGE(_xlfn.SWITCH(M12,"F",0,"E",10,"D",20,"D+",30,"C",40,"C+",50,"B",60,"B+",70,"A",80,"A+",90,"S",100),_xlfn.SWITCH(N12,"F",0,"E",10,"D",20,"D+",30,"C",40,"C+",50,"B",60,"B+",70,"A",80,"A+",90,"S",100),_xlfn.SWITCH(O12,"F",0,"E",10,"D",20,"D+",30,"C",40,"C+",50,"B",60,"B+",70,"A",80,"A+",90,"S",100),_xlfn.SWITCH(P12,"F",0,"E",10,"D",20,"D+",30,"C",40,"C+",50,"B",60,"B+",70,"A",80,"A+",90,"S",100)),{0,15,25,35,45,55,65,75,85,95},{"D","D","D+","C","C+","B","B+","A","A+","S"}),"?")</f>
        <v>?</v>
      </c>
      <c r="R12" s="14"/>
      <c r="S12" s="14"/>
      <c r="T12" s="2"/>
      <c r="U12" s="15" t="s">
        <v>78</v>
      </c>
      <c r="V12" s="16" t="s">
        <v>79</v>
      </c>
      <c r="W12" s="17" t="s">
        <v>80</v>
      </c>
      <c r="X12" s="18"/>
      <c r="Y12" s="18"/>
      <c r="Z12" s="18"/>
      <c r="AA12" s="19"/>
      <c r="AB12" s="19"/>
    </row>
    <row r="13" spans="1:32" ht="21">
      <c r="A13" s="5" t="s">
        <v>81</v>
      </c>
      <c r="B13" s="5" t="s">
        <v>82</v>
      </c>
      <c r="C13" s="10"/>
      <c r="D13" s="10"/>
      <c r="E13" s="10"/>
      <c r="F13" s="10"/>
      <c r="G13" s="10" t="str">
        <f>IF(AND(ISNUMBER(MATCH(C13,{"F","E","D","D+","C","C+","B","B+","A","A+","S"},0)),ISNUMBER(MATCH(D13,{"F","E","D","D+","C","C+","B","B+","A","A+","S"},0)),ISNUMBER(MATCH(E13,{"F","E","D","D+","C","C+","B","B+","A","A+","S"},0)),ISNUMBER(MATCH(F13,{"F","E","D","D+","C","C+","B","B+","A","A+","S"},0))),LOOKUP(AVERAGE(_xlfn.SWITCH(C13,"F",0,"E",10,"D",20,"D+",30,"C",40,"C+",50,"B",60,"B+",70,"A",80,"A+",90,"S",100),_xlfn.SWITCH(D13,"F",0,"E",10,"D",20,"D+",30,"C",40,"C+",50,"B",60,"B+",70,"A",80,"A+",90,"S",100),_xlfn.SWITCH(E13,"F",0,"E",10,"D",20,"D+",30,"C",40,"C+",50,"B",60,"B+",70,"A",80,"A+",90,"S",100),_xlfn.SWITCH(F13,"F",0,"E",10,"D",20,"D+",30,"C",40,"C+",50,"B",60,"B+",70,"A",80,"A+",90,"S",100)),{0,15,25,35,45,55,65,75,85,95},{"D","D","D+","C","C+","B","B+","A","A+","S"}),"?")</f>
        <v>?</v>
      </c>
      <c r="I13" s="11"/>
      <c r="J13" s="2"/>
      <c r="K13" s="5" t="s">
        <v>83</v>
      </c>
      <c r="L13" s="12" t="s">
        <v>84</v>
      </c>
      <c r="M13" s="13"/>
      <c r="N13" s="13"/>
      <c r="O13" s="13"/>
      <c r="P13" s="13"/>
      <c r="Q13" s="13" t="str">
        <f>IF(AND(ISNUMBER(MATCH(M13,{"F","E","D","D+","C","C+","B","B+","A","A+","S"},0)),ISNUMBER(MATCH(N13,{"F","E","D","D+","C","C+","B","B+","A","A+","S"},0)),ISNUMBER(MATCH(O13,{"F","E","D","D+","C","C+","B","B+","A","A+","S"},0)),ISNUMBER(MATCH(P13,{"F","E","D","D+","C","C+","B","B+","A","A+","S"},0))),LOOKUP(AVERAGE(_xlfn.SWITCH(M13,"F",0,"E",10,"D",20,"D+",30,"C",40,"C+",50,"B",60,"B+",70,"A",80,"A+",90,"S",100),_xlfn.SWITCH(N13,"F",0,"E",10,"D",20,"D+",30,"C",40,"C+",50,"B",60,"B+",70,"A",80,"A+",90,"S",100),_xlfn.SWITCH(O13,"F",0,"E",10,"D",20,"D+",30,"C",40,"C+",50,"B",60,"B+",70,"A",80,"A+",90,"S",100),_xlfn.SWITCH(P13,"F",0,"E",10,"D",20,"D+",30,"C",40,"C+",50,"B",60,"B+",70,"A",80,"A+",90,"S",100)),{0,15,25,35,45,55,65,75,85,95},{"D","D","D+","C","C+","B","B+","A","A+","S"}),"?")</f>
        <v>?</v>
      </c>
      <c r="R13" s="14"/>
      <c r="S13" s="14"/>
      <c r="T13" s="2"/>
      <c r="U13" s="15" t="s">
        <v>85</v>
      </c>
      <c r="V13" s="16" t="s">
        <v>86</v>
      </c>
      <c r="W13" s="17" t="s">
        <v>87</v>
      </c>
      <c r="X13" s="18"/>
      <c r="Y13" s="18"/>
      <c r="Z13" s="18"/>
      <c r="AA13" s="19"/>
      <c r="AB13" s="19"/>
    </row>
    <row r="14" spans="1:32" ht="21">
      <c r="A14" s="5" t="s">
        <v>88</v>
      </c>
      <c r="B14" s="5" t="s">
        <v>89</v>
      </c>
      <c r="C14" s="10"/>
      <c r="D14" s="10"/>
      <c r="E14" s="10"/>
      <c r="F14" s="10"/>
      <c r="G14" s="10"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v>
      </c>
      <c r="I14" s="11"/>
      <c r="J14" s="2"/>
      <c r="K14" s="5" t="s">
        <v>90</v>
      </c>
      <c r="L14" s="12" t="s">
        <v>91</v>
      </c>
      <c r="M14" s="13"/>
      <c r="N14" s="13"/>
      <c r="O14" s="13"/>
      <c r="P14" s="13"/>
      <c r="Q14" s="13" t="str">
        <f>IF(AND(ISNUMBER(MATCH(M14,{"F","E","D","D+","C","C+","B","B+","A","A+","S"},0)),ISNUMBER(MATCH(N14,{"F","E","D","D+","C","C+","B","B+","A","A+","S"},0)),ISNUMBER(MATCH(O14,{"F","E","D","D+","C","C+","B","B+","A","A+","S"},0)),ISNUMBER(MATCH(P14,{"F","E","D","D+","C","C+","B","B+","A","A+","S"},0))),LOOKUP(AVERAGE(_xlfn.SWITCH(M14,"F",0,"E",10,"D",20,"D+",30,"C",40,"C+",50,"B",60,"B+",70,"A",80,"A+",90,"S",100),_xlfn.SWITCH(N14,"F",0,"E",10,"D",20,"D+",30,"C",40,"C+",50,"B",60,"B+",70,"A",80,"A+",90,"S",100),_xlfn.SWITCH(O14,"F",0,"E",10,"D",20,"D+",30,"C",40,"C+",50,"B",60,"B+",70,"A",80,"A+",90,"S",100),_xlfn.SWITCH(P14,"F",0,"E",10,"D",20,"D+",30,"C",40,"C+",50,"B",60,"B+",70,"A",80,"A+",90,"S",100)),{0,15,25,35,45,55,65,75,85,95},{"D","D","D+","C","C+","B","B+","A","A+","S"}),"?")</f>
        <v>?</v>
      </c>
      <c r="R14" s="14"/>
      <c r="S14" s="14"/>
      <c r="T14" s="2"/>
      <c r="U14" s="15" t="s">
        <v>92</v>
      </c>
      <c r="V14" s="16" t="s">
        <v>93</v>
      </c>
      <c r="W14" s="17" t="s">
        <v>94</v>
      </c>
      <c r="X14" s="18"/>
      <c r="Y14" s="18"/>
      <c r="Z14" s="18"/>
      <c r="AA14" s="19"/>
      <c r="AB14" s="19"/>
    </row>
    <row r="15" spans="1:32" ht="21">
      <c r="A15" s="5" t="s">
        <v>95</v>
      </c>
      <c r="B15" s="5" t="s">
        <v>96</v>
      </c>
      <c r="C15" s="10"/>
      <c r="D15" s="10"/>
      <c r="E15" s="10"/>
      <c r="F15" s="10"/>
      <c r="G15" s="10"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v>
      </c>
      <c r="I15" s="11"/>
      <c r="J15" s="2"/>
      <c r="K15" s="5" t="s">
        <v>97</v>
      </c>
      <c r="L15" s="12" t="s">
        <v>98</v>
      </c>
      <c r="M15" s="13"/>
      <c r="N15" s="13"/>
      <c r="O15" s="13"/>
      <c r="P15" s="13"/>
      <c r="Q15" s="13" t="str">
        <f>IF(AND(ISNUMBER(MATCH(M15,{"F","E","D","D+","C","C+","B","B+","A","A+","S"},0)),ISNUMBER(MATCH(N15,{"F","E","D","D+","C","C+","B","B+","A","A+","S"},0)),ISNUMBER(MATCH(O15,{"F","E","D","D+","C","C+","B","B+","A","A+","S"},0)),ISNUMBER(MATCH(P15,{"F","E","D","D+","C","C+","B","B+","A","A+","S"},0))),LOOKUP(AVERAGE(_xlfn.SWITCH(M15,"F",0,"E",10,"D",20,"D+",30,"C",40,"C+",50,"B",60,"B+",70,"A",80,"A+",90,"S",100),_xlfn.SWITCH(N15,"F",0,"E",10,"D",20,"D+",30,"C",40,"C+",50,"B",60,"B+",70,"A",80,"A+",90,"S",100),_xlfn.SWITCH(O15,"F",0,"E",10,"D",20,"D+",30,"C",40,"C+",50,"B",60,"B+",70,"A",80,"A+",90,"S",100),_xlfn.SWITCH(P15,"F",0,"E",10,"D",20,"D+",30,"C",40,"C+",50,"B",60,"B+",70,"A",80,"A+",90,"S",100)),{0,15,25,35,45,55,65,75,85,95},{"D","D","D+","C","C+","B","B+","A","A+","S"}),"?")</f>
        <v>?</v>
      </c>
      <c r="R15" s="14"/>
      <c r="S15" s="14"/>
      <c r="T15" s="2"/>
      <c r="U15" s="15" t="s">
        <v>99</v>
      </c>
      <c r="V15" s="16" t="s">
        <v>100</v>
      </c>
      <c r="W15" s="17" t="s">
        <v>101</v>
      </c>
      <c r="X15" s="18"/>
      <c r="Y15" s="18"/>
      <c r="Z15" s="18"/>
      <c r="AA15" s="19"/>
      <c r="AB15" s="19"/>
    </row>
    <row r="16" spans="1:32" ht="21">
      <c r="A16" s="5" t="s">
        <v>102</v>
      </c>
      <c r="B16" s="5" t="s">
        <v>103</v>
      </c>
      <c r="C16" s="10"/>
      <c r="D16" s="10"/>
      <c r="E16" s="10"/>
      <c r="F16" s="10"/>
      <c r="G16" s="10"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v>
      </c>
      <c r="I16" s="11"/>
      <c r="J16" s="2"/>
      <c r="K16" s="5" t="s">
        <v>104</v>
      </c>
      <c r="L16" s="12" t="s">
        <v>105</v>
      </c>
      <c r="M16" s="13"/>
      <c r="N16" s="13"/>
      <c r="O16" s="13"/>
      <c r="P16" s="13"/>
      <c r="Q16" s="13" t="str">
        <f>IF(AND(ISNUMBER(MATCH(M16,{"F","E","D","D+","C","C+","B","B+","A","A+","S"},0)),ISNUMBER(MATCH(N16,{"F","E","D","D+","C","C+","B","B+","A","A+","S"},0)),ISNUMBER(MATCH(O16,{"F","E","D","D+","C","C+","B","B+","A","A+","S"},0)),ISNUMBER(MATCH(P16,{"F","E","D","D+","C","C+","B","B+","A","A+","S"},0))),LOOKUP(AVERAGE(_xlfn.SWITCH(M16,"F",0,"E",10,"D",20,"D+",30,"C",40,"C+",50,"B",60,"B+",70,"A",80,"A+",90,"S",100),_xlfn.SWITCH(N16,"F",0,"E",10,"D",20,"D+",30,"C",40,"C+",50,"B",60,"B+",70,"A",80,"A+",90,"S",100),_xlfn.SWITCH(O16,"F",0,"E",10,"D",20,"D+",30,"C",40,"C+",50,"B",60,"B+",70,"A",80,"A+",90,"S",100),_xlfn.SWITCH(P16,"F",0,"E",10,"D",20,"D+",30,"C",40,"C+",50,"B",60,"B+",70,"A",80,"A+",90,"S",100)),{0,15,25,35,45,55,65,75,85,95},{"D","D","D+","C","C+","B","B+","A","A+","S"}),"?")</f>
        <v>?</v>
      </c>
      <c r="R16" s="14"/>
      <c r="S16" s="14"/>
      <c r="T16" s="2"/>
      <c r="U16" s="15" t="s">
        <v>106</v>
      </c>
      <c r="V16" s="16" t="s">
        <v>107</v>
      </c>
      <c r="W16" s="17" t="s">
        <v>108</v>
      </c>
      <c r="X16" s="18"/>
      <c r="Y16" s="18"/>
      <c r="Z16" s="18"/>
      <c r="AA16" s="19"/>
      <c r="AB16" s="19"/>
    </row>
    <row r="17" spans="1:28" ht="21">
      <c r="A17" s="5" t="s">
        <v>109</v>
      </c>
      <c r="B17" s="5" t="s">
        <v>110</v>
      </c>
      <c r="C17" s="10"/>
      <c r="D17" s="10"/>
      <c r="E17" s="10"/>
      <c r="F17" s="10"/>
      <c r="G17" s="10"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v>
      </c>
      <c r="I17" s="11"/>
      <c r="J17" s="2"/>
      <c r="K17" s="5" t="s">
        <v>111</v>
      </c>
      <c r="L17" s="12" t="s">
        <v>112</v>
      </c>
      <c r="M17" s="13"/>
      <c r="N17" s="13"/>
      <c r="O17" s="13"/>
      <c r="P17" s="13"/>
      <c r="Q17" s="13" t="str">
        <f>IF(AND(ISNUMBER(MATCH(M17,{"F","E","D","D+","C","C+","B","B+","A","A+","S"},0)),ISNUMBER(MATCH(N17,{"F","E","D","D+","C","C+","B","B+","A","A+","S"},0)),ISNUMBER(MATCH(O17,{"F","E","D","D+","C","C+","B","B+","A","A+","S"},0)),ISNUMBER(MATCH(P17,{"F","E","D","D+","C","C+","B","B+","A","A+","S"},0))),LOOKUP(AVERAGE(_xlfn.SWITCH(M17,"F",0,"E",10,"D",20,"D+",30,"C",40,"C+",50,"B",60,"B+",70,"A",80,"A+",90,"S",100),_xlfn.SWITCH(N17,"F",0,"E",10,"D",20,"D+",30,"C",40,"C+",50,"B",60,"B+",70,"A",80,"A+",90,"S",100),_xlfn.SWITCH(O17,"F",0,"E",10,"D",20,"D+",30,"C",40,"C+",50,"B",60,"B+",70,"A",80,"A+",90,"S",100),_xlfn.SWITCH(P17,"F",0,"E",10,"D",20,"D+",30,"C",40,"C+",50,"B",60,"B+",70,"A",80,"A+",90,"S",100)),{0,15,25,35,45,55,65,75,85,95},{"D","D","D+","C","C+","B","B+","A","A+","S"}),"?")</f>
        <v>?</v>
      </c>
      <c r="R17" s="14"/>
      <c r="S17" s="14"/>
      <c r="T17" s="2"/>
      <c r="U17" s="15" t="s">
        <v>113</v>
      </c>
      <c r="V17" s="16" t="s">
        <v>114</v>
      </c>
      <c r="W17" s="17" t="s">
        <v>115</v>
      </c>
      <c r="X17" s="18"/>
      <c r="Y17" s="18"/>
      <c r="Z17" s="18"/>
      <c r="AA17" s="19"/>
      <c r="AB17" s="19"/>
    </row>
    <row r="18" spans="1:28" ht="21">
      <c r="A18" s="5" t="s">
        <v>116</v>
      </c>
      <c r="B18" s="5" t="s">
        <v>117</v>
      </c>
      <c r="C18" s="10"/>
      <c r="D18" s="10"/>
      <c r="E18" s="10"/>
      <c r="F18" s="10"/>
      <c r="G18" s="10" t="str">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v>
      </c>
      <c r="I18" s="11"/>
      <c r="J18" s="2"/>
      <c r="K18" s="5" t="s">
        <v>118</v>
      </c>
      <c r="L18" s="12" t="s">
        <v>119</v>
      </c>
      <c r="M18" s="13"/>
      <c r="N18" s="13"/>
      <c r="O18" s="13"/>
      <c r="P18" s="13"/>
      <c r="Q18" s="13" t="str">
        <f>IF(AND(ISNUMBER(MATCH(M18,{"F","E","D","D+","C","C+","B","B+","A","A+","S"},0)),ISNUMBER(MATCH(N18,{"F","E","D","D+","C","C+","B","B+","A","A+","S"},0)),ISNUMBER(MATCH(O18,{"F","E","D","D+","C","C+","B","B+","A","A+","S"},0)),ISNUMBER(MATCH(P18,{"F","E","D","D+","C","C+","B","B+","A","A+","S"},0))),LOOKUP(AVERAGE(_xlfn.SWITCH(M18,"F",0,"E",10,"D",20,"D+",30,"C",40,"C+",50,"B",60,"B+",70,"A",80,"A+",90,"S",100),_xlfn.SWITCH(N18,"F",0,"E",10,"D",20,"D+",30,"C",40,"C+",50,"B",60,"B+",70,"A",80,"A+",90,"S",100),_xlfn.SWITCH(O18,"F",0,"E",10,"D",20,"D+",30,"C",40,"C+",50,"B",60,"B+",70,"A",80,"A+",90,"S",100),_xlfn.SWITCH(P18,"F",0,"E",10,"D",20,"D+",30,"C",40,"C+",50,"B",60,"B+",70,"A",80,"A+",90,"S",100)),{0,15,25,35,45,55,65,75,85,95},{"D","D","D+","C","C+","B","B+","A","A+","S"}),"?")</f>
        <v>?</v>
      </c>
      <c r="R18" s="14"/>
      <c r="S18" s="14"/>
      <c r="T18" s="2"/>
      <c r="U18" s="15" t="s">
        <v>120</v>
      </c>
      <c r="V18" s="16" t="s">
        <v>121</v>
      </c>
      <c r="W18" s="17" t="s">
        <v>122</v>
      </c>
      <c r="X18" s="18"/>
      <c r="Y18" s="18"/>
      <c r="Z18" s="18"/>
      <c r="AA18" s="19"/>
      <c r="AB18" s="19"/>
    </row>
    <row r="19" spans="1:28" ht="21">
      <c r="A19" s="5" t="s">
        <v>123</v>
      </c>
      <c r="B19" s="5" t="s">
        <v>124</v>
      </c>
      <c r="C19" s="10"/>
      <c r="D19" s="10"/>
      <c r="E19" s="10"/>
      <c r="F19" s="10"/>
      <c r="G19" s="10"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v>
      </c>
      <c r="I19" s="11"/>
      <c r="J19" s="2"/>
      <c r="K19" s="5" t="s">
        <v>125</v>
      </c>
      <c r="L19" s="12" t="s">
        <v>126</v>
      </c>
      <c r="M19" s="13"/>
      <c r="N19" s="13"/>
      <c r="O19" s="13"/>
      <c r="P19" s="13"/>
      <c r="Q19" s="13" t="str">
        <f>IF(AND(ISNUMBER(MATCH(M19,{"F","E","D","D+","C","C+","B","B+","A","A+","S"},0)),ISNUMBER(MATCH(N19,{"F","E","D","D+","C","C+","B","B+","A","A+","S"},0)),ISNUMBER(MATCH(O19,{"F","E","D","D+","C","C+","B","B+","A","A+","S"},0)),ISNUMBER(MATCH(P19,{"F","E","D","D+","C","C+","B","B+","A","A+","S"},0))),LOOKUP(AVERAGE(_xlfn.SWITCH(M19,"F",0,"E",10,"D",20,"D+",30,"C",40,"C+",50,"B",60,"B+",70,"A",80,"A+",90,"S",100),_xlfn.SWITCH(N19,"F",0,"E",10,"D",20,"D+",30,"C",40,"C+",50,"B",60,"B+",70,"A",80,"A+",90,"S",100),_xlfn.SWITCH(O19,"F",0,"E",10,"D",20,"D+",30,"C",40,"C+",50,"B",60,"B+",70,"A",80,"A+",90,"S",100),_xlfn.SWITCH(P19,"F",0,"E",10,"D",20,"D+",30,"C",40,"C+",50,"B",60,"B+",70,"A",80,"A+",90,"S",100)),{0,15,25,35,45,55,65,75,85,95},{"D","D","D+","C","C+","B","B+","A","A+","S"}),"?")</f>
        <v>?</v>
      </c>
      <c r="R19" s="14"/>
      <c r="S19" s="14"/>
      <c r="T19" s="2"/>
      <c r="U19" s="15" t="s">
        <v>127</v>
      </c>
      <c r="V19" s="16" t="s">
        <v>128</v>
      </c>
      <c r="W19" s="17" t="s">
        <v>129</v>
      </c>
      <c r="X19" s="18"/>
      <c r="Y19" s="18"/>
      <c r="Z19" s="18"/>
      <c r="AA19" s="19"/>
      <c r="AB19" s="19"/>
    </row>
    <row r="20" spans="1:28" ht="21">
      <c r="A20" s="5" t="s">
        <v>130</v>
      </c>
      <c r="B20" s="5" t="s">
        <v>129</v>
      </c>
      <c r="C20" s="10"/>
      <c r="D20" s="10"/>
      <c r="E20" s="10"/>
      <c r="F20" s="10"/>
      <c r="G20" s="10"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v>
      </c>
      <c r="I20" s="11"/>
      <c r="J20" s="2"/>
      <c r="K20" s="5" t="s">
        <v>131</v>
      </c>
      <c r="L20" s="12" t="s">
        <v>132</v>
      </c>
      <c r="M20" s="13"/>
      <c r="N20" s="13"/>
      <c r="O20" s="13"/>
      <c r="P20" s="13"/>
      <c r="Q20" s="13" t="str">
        <f>IF(AND(ISNUMBER(MATCH(M20,{"F","E","D","D+","C","C+","B","B+","A","A+","S"},0)),ISNUMBER(MATCH(N20,{"F","E","D","D+","C","C+","B","B+","A","A+","S"},0)),ISNUMBER(MATCH(O20,{"F","E","D","D+","C","C+","B","B+","A","A+","S"},0)),ISNUMBER(MATCH(P20,{"F","E","D","D+","C","C+","B","B+","A","A+","S"},0))),LOOKUP(AVERAGE(_xlfn.SWITCH(M20,"F",0,"E",10,"D",20,"D+",30,"C",40,"C+",50,"B",60,"B+",70,"A",80,"A+",90,"S",100),_xlfn.SWITCH(N20,"F",0,"E",10,"D",20,"D+",30,"C",40,"C+",50,"B",60,"B+",70,"A",80,"A+",90,"S",100),_xlfn.SWITCH(O20,"F",0,"E",10,"D",20,"D+",30,"C",40,"C+",50,"B",60,"B+",70,"A",80,"A+",90,"S",100),_xlfn.SWITCH(P20,"F",0,"E",10,"D",20,"D+",30,"C",40,"C+",50,"B",60,"B+",70,"A",80,"A+",90,"S",100)),{0,15,25,35,45,55,65,75,85,95},{"D","D","D+","C","C+","B","B+","A","A+","S"}),"?")</f>
        <v>?</v>
      </c>
      <c r="R20" s="14"/>
      <c r="S20" s="14"/>
      <c r="T20" s="2"/>
      <c r="U20" s="15" t="s">
        <v>133</v>
      </c>
      <c r="V20" s="16" t="s">
        <v>134</v>
      </c>
      <c r="W20" s="17" t="s">
        <v>135</v>
      </c>
      <c r="X20" s="18"/>
      <c r="Y20" s="18"/>
      <c r="Z20" s="18"/>
      <c r="AA20" s="19"/>
      <c r="AB20" s="19"/>
    </row>
    <row r="21" spans="1:28" ht="21">
      <c r="A21" s="5" t="s">
        <v>136</v>
      </c>
      <c r="B21" s="5" t="s">
        <v>137</v>
      </c>
      <c r="C21" s="10"/>
      <c r="D21" s="10"/>
      <c r="E21" s="10"/>
      <c r="F21" s="10"/>
      <c r="G21" s="10" t="str">
        <f>IF(AND(ISNUMBER(MATCH(C21,{"F","E","D","D+","C","C+","B","B+","A","A+","S"},0)),ISNUMBER(MATCH(D21,{"F","E","D","D+","C","C+","B","B+","A","A+","S"},0)),ISNUMBER(MATCH(E21,{"F","E","D","D+","C","C+","B","B+","A","A+","S"},0)),ISNUMBER(MATCH(F21,{"F","E","D","D+","C","C+","B","B+","A","A+","S"},0))),LOOKUP(AVERAGE(_xlfn.SWITCH(C21,"F",0,"E",10,"D",20,"D+",30,"C",40,"C+",50,"B",60,"B+",70,"A",80,"A+",90,"S",100),_xlfn.SWITCH(D21,"F",0,"E",10,"D",20,"D+",30,"C",40,"C+",50,"B",60,"B+",70,"A",80,"A+",90,"S",100),_xlfn.SWITCH(E21,"F",0,"E",10,"D",20,"D+",30,"C",40,"C+",50,"B",60,"B+",70,"A",80,"A+",90,"S",100),_xlfn.SWITCH(F21,"F",0,"E",10,"D",20,"D+",30,"C",40,"C+",50,"B",60,"B+",70,"A",80,"A+",90,"S",100)),{0,15,25,35,45,55,65,75,85,95},{"D","D","D+","C","C+","B","B+","A","A+","S"}),"?")</f>
        <v>?</v>
      </c>
      <c r="I21" s="11"/>
      <c r="J21" s="2"/>
      <c r="K21" s="5" t="s">
        <v>138</v>
      </c>
      <c r="L21" s="12" t="s">
        <v>139</v>
      </c>
      <c r="M21" s="13"/>
      <c r="N21" s="13"/>
      <c r="O21" s="13"/>
      <c r="P21" s="13"/>
      <c r="Q21" s="13" t="str">
        <f>IF(AND(ISNUMBER(MATCH(M21,{"F","E","D","D+","C","C+","B","B+","A","A+","S"},0)),ISNUMBER(MATCH(N21,{"F","E","D","D+","C","C+","B","B+","A","A+","S"},0)),ISNUMBER(MATCH(O21,{"F","E","D","D+","C","C+","B","B+","A","A+","S"},0)),ISNUMBER(MATCH(P21,{"F","E","D","D+","C","C+","B","B+","A","A+","S"},0))),LOOKUP(AVERAGE(_xlfn.SWITCH(M21,"F",0,"E",10,"D",20,"D+",30,"C",40,"C+",50,"B",60,"B+",70,"A",80,"A+",90,"S",100),_xlfn.SWITCH(N21,"F",0,"E",10,"D",20,"D+",30,"C",40,"C+",50,"B",60,"B+",70,"A",80,"A+",90,"S",100),_xlfn.SWITCH(O21,"F",0,"E",10,"D",20,"D+",30,"C",40,"C+",50,"B",60,"B+",70,"A",80,"A+",90,"S",100),_xlfn.SWITCH(P21,"F",0,"E",10,"D",20,"D+",30,"C",40,"C+",50,"B",60,"B+",70,"A",80,"A+",90,"S",100)),{0,15,25,35,45,55,65,75,85,95},{"D","D","D+","C","C+","B","B+","A","A+","S"}),"?")</f>
        <v>?</v>
      </c>
      <c r="R21" s="14"/>
      <c r="S21" s="14"/>
      <c r="T21" s="2"/>
      <c r="U21" s="15" t="s">
        <v>140</v>
      </c>
      <c r="V21" s="16" t="s">
        <v>141</v>
      </c>
      <c r="W21" s="17" t="s">
        <v>142</v>
      </c>
      <c r="X21" s="18"/>
      <c r="Y21" s="18"/>
      <c r="Z21" s="18"/>
      <c r="AA21" s="19"/>
      <c r="AB21" s="19"/>
    </row>
    <row r="22" spans="1:28" ht="21">
      <c r="A22" s="5" t="s">
        <v>143</v>
      </c>
      <c r="B22" s="5" t="s">
        <v>144</v>
      </c>
      <c r="C22" s="10"/>
      <c r="D22" s="10"/>
      <c r="E22" s="10"/>
      <c r="F22" s="10"/>
      <c r="G22" s="10"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v>
      </c>
      <c r="I22" s="11"/>
      <c r="J22" s="2"/>
      <c r="K22" s="5" t="s">
        <v>145</v>
      </c>
      <c r="L22" s="12" t="s">
        <v>146</v>
      </c>
      <c r="M22" s="13"/>
      <c r="N22" s="13"/>
      <c r="O22" s="13"/>
      <c r="P22" s="13"/>
      <c r="Q22" s="13" t="str">
        <f>IF(AND(ISNUMBER(MATCH(M22,{"F","E","D","D+","C","C+","B","B+","A","A+","S"},0)),ISNUMBER(MATCH(N22,{"F","E","D","D+","C","C+","B","B+","A","A+","S"},0)),ISNUMBER(MATCH(O22,{"F","E","D","D+","C","C+","B","B+","A","A+","S"},0)),ISNUMBER(MATCH(P22,{"F","E","D","D+","C","C+","B","B+","A","A+","S"},0))),LOOKUP(AVERAGE(_xlfn.SWITCH(M22,"F",0,"E",10,"D",20,"D+",30,"C",40,"C+",50,"B",60,"B+",70,"A",80,"A+",90,"S",100),_xlfn.SWITCH(N22,"F",0,"E",10,"D",20,"D+",30,"C",40,"C+",50,"B",60,"B+",70,"A",80,"A+",90,"S",100),_xlfn.SWITCH(O22,"F",0,"E",10,"D",20,"D+",30,"C",40,"C+",50,"B",60,"B+",70,"A",80,"A+",90,"S",100),_xlfn.SWITCH(P22,"F",0,"E",10,"D",20,"D+",30,"C",40,"C+",50,"B",60,"B+",70,"A",80,"A+",90,"S",100)),{0,15,25,35,45,55,65,75,85,95},{"D","D","D+","C","C+","B","B+","A","A+","S"}),"?")</f>
        <v>?</v>
      </c>
      <c r="R22" s="14"/>
      <c r="S22" s="14"/>
      <c r="T22" s="2"/>
      <c r="U22" s="15" t="s">
        <v>147</v>
      </c>
      <c r="V22" s="16" t="s">
        <v>148</v>
      </c>
      <c r="W22" s="17" t="s">
        <v>149</v>
      </c>
      <c r="X22" s="18"/>
      <c r="Y22" s="18"/>
      <c r="Z22" s="18"/>
      <c r="AA22" s="19"/>
      <c r="AB22" s="19"/>
    </row>
    <row r="23" spans="1:28" ht="21">
      <c r="A23" s="5" t="s">
        <v>150</v>
      </c>
      <c r="B23" s="5" t="s">
        <v>151</v>
      </c>
      <c r="C23" s="10"/>
      <c r="D23" s="10"/>
      <c r="E23" s="10"/>
      <c r="F23" s="10"/>
      <c r="G23" s="10"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v>
      </c>
      <c r="I23" s="11"/>
      <c r="J23" s="2"/>
      <c r="K23" s="5" t="s">
        <v>152</v>
      </c>
      <c r="L23" s="12" t="s">
        <v>30</v>
      </c>
      <c r="M23" s="13"/>
      <c r="N23" s="13"/>
      <c r="O23" s="13"/>
      <c r="P23" s="13"/>
      <c r="Q23" s="13" t="str">
        <f>IF(AND(ISNUMBER(MATCH(M23,{"F","E","D","D+","C","C+","B","B+","A","A+","S"},0)),ISNUMBER(MATCH(N23,{"F","E","D","D+","C","C+","B","B+","A","A+","S"},0)),ISNUMBER(MATCH(O23,{"F","E","D","D+","C","C+","B","B+","A","A+","S"},0)),ISNUMBER(MATCH(P23,{"F","E","D","D+","C","C+","B","B+","A","A+","S"},0))),LOOKUP(AVERAGE(_xlfn.SWITCH(M23,"F",0,"E",10,"D",20,"D+",30,"C",40,"C+",50,"B",60,"B+",70,"A",80,"A+",90,"S",100),_xlfn.SWITCH(N23,"F",0,"E",10,"D",20,"D+",30,"C",40,"C+",50,"B",60,"B+",70,"A",80,"A+",90,"S",100),_xlfn.SWITCH(O23,"F",0,"E",10,"D",20,"D+",30,"C",40,"C+",50,"B",60,"B+",70,"A",80,"A+",90,"S",100),_xlfn.SWITCH(P23,"F",0,"E",10,"D",20,"D+",30,"C",40,"C+",50,"B",60,"B+",70,"A",80,"A+",90,"S",100)),{0,15,25,35,45,55,65,75,85,95},{"D","D","D+","C","C+","B","B+","A","A+","S"}),"?")</f>
        <v>?</v>
      </c>
      <c r="R23" s="14"/>
      <c r="S23" s="14"/>
      <c r="T23" s="2"/>
      <c r="U23" s="15" t="s">
        <v>153</v>
      </c>
      <c r="V23" s="16" t="s">
        <v>154</v>
      </c>
      <c r="W23" s="17" t="s">
        <v>155</v>
      </c>
      <c r="X23" s="18"/>
      <c r="Y23" s="18"/>
      <c r="Z23" s="18"/>
      <c r="AA23" s="19"/>
      <c r="AB23" s="19"/>
    </row>
    <row r="24" spans="1:28" ht="21">
      <c r="A24" s="5" t="s">
        <v>156</v>
      </c>
      <c r="B24" s="5" t="s">
        <v>157</v>
      </c>
      <c r="C24" s="10"/>
      <c r="D24" s="10"/>
      <c r="E24" s="10"/>
      <c r="F24" s="10"/>
      <c r="G24" s="10" t="str">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v>
      </c>
      <c r="H24" s="7"/>
      <c r="I24" s="7"/>
      <c r="J24" s="2"/>
      <c r="K24" s="5" t="s">
        <v>158</v>
      </c>
      <c r="L24" s="12" t="s">
        <v>159</v>
      </c>
      <c r="M24" s="13"/>
      <c r="N24" s="13"/>
      <c r="O24" s="13"/>
      <c r="P24" s="13"/>
      <c r="Q24" s="13" t="str">
        <f>IF(AND(ISNUMBER(MATCH(M24,{"F","E","D","D+","C","C+","B","B+","A","A+","S"},0)),ISNUMBER(MATCH(N24,{"F","E","D","D+","C","C+","B","B+","A","A+","S"},0)),ISNUMBER(MATCH(O24,{"F","E","D","D+","C","C+","B","B+","A","A+","S"},0)),ISNUMBER(MATCH(P24,{"F","E","D","D+","C","C+","B","B+","A","A+","S"},0))),LOOKUP(AVERAGE(_xlfn.SWITCH(M24,"F",0,"E",10,"D",20,"D+",30,"C",40,"C+",50,"B",60,"B+",70,"A",80,"A+",90,"S",100),_xlfn.SWITCH(N24,"F",0,"E",10,"D",20,"D+",30,"C",40,"C+",50,"B",60,"B+",70,"A",80,"A+",90,"S",100),_xlfn.SWITCH(O24,"F",0,"E",10,"D",20,"D+",30,"C",40,"C+",50,"B",60,"B+",70,"A",80,"A+",90,"S",100),_xlfn.SWITCH(P24,"F",0,"E",10,"D",20,"D+",30,"C",40,"C+",50,"B",60,"B+",70,"A",80,"A+",90,"S",100)),{0,15,25,35,45,55,65,75,85,95},{"D","D","D+","C","C+","B","B+","A","A+","S"}),"?")</f>
        <v>?</v>
      </c>
      <c r="R24" s="14"/>
      <c r="S24" s="14"/>
      <c r="T24" s="2"/>
      <c r="U24" s="15" t="s">
        <v>160</v>
      </c>
      <c r="V24" s="16" t="s">
        <v>161</v>
      </c>
      <c r="W24" s="17" t="s">
        <v>162</v>
      </c>
      <c r="X24" s="18"/>
      <c r="Y24" s="18"/>
      <c r="Z24" s="18"/>
      <c r="AA24" s="19"/>
      <c r="AB24" s="19"/>
    </row>
    <row r="25" spans="1:28" ht="21">
      <c r="A25" s="5" t="s">
        <v>163</v>
      </c>
      <c r="B25" s="5" t="s">
        <v>164</v>
      </c>
      <c r="C25" s="10"/>
      <c r="D25" s="10"/>
      <c r="E25" s="10"/>
      <c r="F25" s="10"/>
      <c r="G25" s="10"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v>
      </c>
      <c r="H25" s="7"/>
      <c r="I25" s="7"/>
      <c r="J25" s="2"/>
      <c r="K25" s="5" t="s">
        <v>165</v>
      </c>
      <c r="L25" s="12" t="s">
        <v>166</v>
      </c>
      <c r="M25" s="13"/>
      <c r="N25" s="13"/>
      <c r="O25" s="13"/>
      <c r="P25" s="13"/>
      <c r="Q25" s="13" t="str">
        <f>IF(AND(ISNUMBER(MATCH(M25,{"F","E","D","D+","C","C+","B","B+","A","A+","S"},0)),ISNUMBER(MATCH(N25,{"F","E","D","D+","C","C+","B","B+","A","A+","S"},0)),ISNUMBER(MATCH(O25,{"F","E","D","D+","C","C+","B","B+","A","A+","S"},0)),ISNUMBER(MATCH(P25,{"F","E","D","D+","C","C+","B","B+","A","A+","S"},0))),LOOKUP(AVERAGE(_xlfn.SWITCH(M25,"F",0,"E",10,"D",20,"D+",30,"C",40,"C+",50,"B",60,"B+",70,"A",80,"A+",90,"S",100),_xlfn.SWITCH(N25,"F",0,"E",10,"D",20,"D+",30,"C",40,"C+",50,"B",60,"B+",70,"A",80,"A+",90,"S",100),_xlfn.SWITCH(O25,"F",0,"E",10,"D",20,"D+",30,"C",40,"C+",50,"B",60,"B+",70,"A",80,"A+",90,"S",100),_xlfn.SWITCH(P25,"F",0,"E",10,"D",20,"D+",30,"C",40,"C+",50,"B",60,"B+",70,"A",80,"A+",90,"S",100)),{0,15,25,35,45,55,65,75,85,95},{"D","D","D+","C","C+","B","B+","A","A+","S"}),"?")</f>
        <v>?</v>
      </c>
      <c r="R25" s="14"/>
      <c r="S25" s="14"/>
      <c r="T25" s="2"/>
      <c r="U25" s="15" t="s">
        <v>167</v>
      </c>
      <c r="V25" s="16" t="s">
        <v>168</v>
      </c>
      <c r="W25" s="17" t="s">
        <v>169</v>
      </c>
      <c r="X25" s="18"/>
      <c r="Y25" s="18"/>
      <c r="Z25" s="18"/>
      <c r="AA25" s="19"/>
      <c r="AB25" s="19"/>
    </row>
    <row r="26" spans="1:28" ht="21">
      <c r="A26" s="5" t="s">
        <v>170</v>
      </c>
      <c r="B26" s="5" t="s">
        <v>171</v>
      </c>
      <c r="C26" s="10"/>
      <c r="D26" s="10"/>
      <c r="E26" s="10"/>
      <c r="F26" s="10"/>
      <c r="G26" s="10"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v>
      </c>
      <c r="H26" s="7"/>
      <c r="I26" s="7"/>
      <c r="J26" s="2"/>
      <c r="K26" s="5" t="s">
        <v>172</v>
      </c>
      <c r="L26" s="12" t="s">
        <v>173</v>
      </c>
      <c r="M26" s="13"/>
      <c r="N26" s="13"/>
      <c r="O26" s="13"/>
      <c r="P26" s="13"/>
      <c r="Q26" s="13" t="str">
        <f>IF(AND(ISNUMBER(MATCH(M26,{"F","E","D","D+","C","C+","B","B+","A","A+","S"},0)),ISNUMBER(MATCH(N26,{"F","E","D","D+","C","C+","B","B+","A","A+","S"},0)),ISNUMBER(MATCH(O26,{"F","E","D","D+","C","C+","B","B+","A","A+","S"},0)),ISNUMBER(MATCH(P26,{"F","E","D","D+","C","C+","B","B+","A","A+","S"},0))),LOOKUP(AVERAGE(_xlfn.SWITCH(M26,"F",0,"E",10,"D",20,"D+",30,"C",40,"C+",50,"B",60,"B+",70,"A",80,"A+",90,"S",100),_xlfn.SWITCH(N26,"F",0,"E",10,"D",20,"D+",30,"C",40,"C+",50,"B",60,"B+",70,"A",80,"A+",90,"S",100),_xlfn.SWITCH(O26,"F",0,"E",10,"D",20,"D+",30,"C",40,"C+",50,"B",60,"B+",70,"A",80,"A+",90,"S",100),_xlfn.SWITCH(P26,"F",0,"E",10,"D",20,"D+",30,"C",40,"C+",50,"B",60,"B+",70,"A",80,"A+",90,"S",100)),{0,15,25,35,45,55,65,75,85,95},{"D","D","D+","C","C+","B","B+","A","A+","S"}),"?")</f>
        <v>?</v>
      </c>
      <c r="R26" s="14"/>
      <c r="S26" s="14"/>
      <c r="T26" s="2"/>
      <c r="U26" s="15" t="s">
        <v>174</v>
      </c>
      <c r="V26" s="16" t="s">
        <v>175</v>
      </c>
      <c r="W26" s="17" t="s">
        <v>176</v>
      </c>
      <c r="X26" s="18"/>
      <c r="Y26" s="18"/>
      <c r="Z26" s="18"/>
      <c r="AA26" s="19"/>
      <c r="AB26" s="19"/>
    </row>
    <row r="27" spans="1:28" ht="21">
      <c r="A27" s="5" t="s">
        <v>177</v>
      </c>
      <c r="B27" s="5" t="s">
        <v>178</v>
      </c>
      <c r="C27" s="10"/>
      <c r="D27" s="10"/>
      <c r="E27" s="10"/>
      <c r="F27" s="10"/>
      <c r="G27" s="10"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v>
      </c>
      <c r="H27" s="7"/>
      <c r="I27" s="7"/>
      <c r="J27" s="2"/>
      <c r="K27" s="5" t="s">
        <v>179</v>
      </c>
      <c r="L27" s="12" t="s">
        <v>180</v>
      </c>
      <c r="M27" s="13"/>
      <c r="N27" s="13"/>
      <c r="O27" s="13"/>
      <c r="P27" s="13"/>
      <c r="Q27" s="13" t="str">
        <f>IF(AND(ISNUMBER(MATCH(M27,{"F","E","D","D+","C","C+","B","B+","A","A+","S"},0)),ISNUMBER(MATCH(N27,{"F","E","D","D+","C","C+","B","B+","A","A+","S"},0)),ISNUMBER(MATCH(O27,{"F","E","D","D+","C","C+","B","B+","A","A+","S"},0)),ISNUMBER(MATCH(P27,{"F","E","D","D+","C","C+","B","B+","A","A+","S"},0))),LOOKUP(AVERAGE(_xlfn.SWITCH(M27,"F",0,"E",10,"D",20,"D+",30,"C",40,"C+",50,"B",60,"B+",70,"A",80,"A+",90,"S",100),_xlfn.SWITCH(N27,"F",0,"E",10,"D",20,"D+",30,"C",40,"C+",50,"B",60,"B+",70,"A",80,"A+",90,"S",100),_xlfn.SWITCH(O27,"F",0,"E",10,"D",20,"D+",30,"C",40,"C+",50,"B",60,"B+",70,"A",80,"A+",90,"S",100),_xlfn.SWITCH(P27,"F",0,"E",10,"D",20,"D+",30,"C",40,"C+",50,"B",60,"B+",70,"A",80,"A+",90,"S",100)),{0,15,25,35,45,55,65,75,85,95},{"D","D","D+","C","C+","B","B+","A","A+","S"}),"?")</f>
        <v>?</v>
      </c>
      <c r="R27" s="14"/>
      <c r="S27" s="14"/>
      <c r="T27" s="2"/>
      <c r="U27" s="15" t="s">
        <v>181</v>
      </c>
      <c r="V27" s="16" t="s">
        <v>182</v>
      </c>
      <c r="W27" s="17" t="s">
        <v>183</v>
      </c>
      <c r="X27" s="18"/>
      <c r="Y27" s="18"/>
      <c r="Z27" s="18"/>
      <c r="AA27" s="19"/>
      <c r="AB27" s="19"/>
    </row>
    <row r="28" spans="1:28" ht="21">
      <c r="A28" s="5" t="s">
        <v>184</v>
      </c>
      <c r="B28" s="5" t="s">
        <v>185</v>
      </c>
      <c r="C28" s="10"/>
      <c r="D28" s="10"/>
      <c r="E28" s="10"/>
      <c r="F28" s="10"/>
      <c r="G28" s="10"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v>
      </c>
      <c r="H28" s="7"/>
      <c r="I28" s="7"/>
      <c r="J28" s="2"/>
      <c r="K28" s="5" t="s">
        <v>186</v>
      </c>
      <c r="L28" s="12" t="s">
        <v>187</v>
      </c>
      <c r="M28" s="13"/>
      <c r="N28" s="13"/>
      <c r="O28" s="13"/>
      <c r="P28" s="13"/>
      <c r="Q28" s="13" t="str">
        <f>IF(AND(ISNUMBER(MATCH(M28,{"F","E","D","D+","C","C+","B","B+","A","A+","S"},0)),ISNUMBER(MATCH(N28,{"F","E","D","D+","C","C+","B","B+","A","A+","S"},0)),ISNUMBER(MATCH(O28,{"F","E","D","D+","C","C+","B","B+","A","A+","S"},0)),ISNUMBER(MATCH(P28,{"F","E","D","D+","C","C+","B","B+","A","A+","S"},0))),LOOKUP(AVERAGE(_xlfn.SWITCH(M28,"F",0,"E",10,"D",20,"D+",30,"C",40,"C+",50,"B",60,"B+",70,"A",80,"A+",90,"S",100),_xlfn.SWITCH(N28,"F",0,"E",10,"D",20,"D+",30,"C",40,"C+",50,"B",60,"B+",70,"A",80,"A+",90,"S",100),_xlfn.SWITCH(O28,"F",0,"E",10,"D",20,"D+",30,"C",40,"C+",50,"B",60,"B+",70,"A",80,"A+",90,"S",100),_xlfn.SWITCH(P28,"F",0,"E",10,"D",20,"D+",30,"C",40,"C+",50,"B",60,"B+",70,"A",80,"A+",90,"S",100)),{0,15,25,35,45,55,65,75,85,95},{"D","D","D+","C","C+","B","B+","A","A+","S"}),"?")</f>
        <v>?</v>
      </c>
      <c r="R28" s="14"/>
      <c r="S28" s="14"/>
      <c r="T28" s="2"/>
      <c r="U28" s="15" t="s">
        <v>188</v>
      </c>
      <c r="V28" s="16" t="s">
        <v>189</v>
      </c>
      <c r="W28" s="17" t="s">
        <v>190</v>
      </c>
      <c r="X28" s="18"/>
      <c r="Y28" s="18"/>
      <c r="Z28" s="18"/>
      <c r="AA28" s="19"/>
      <c r="AB28" s="19"/>
    </row>
    <row r="29" spans="1:28" ht="21">
      <c r="A29" s="5" t="s">
        <v>191</v>
      </c>
      <c r="B29" s="5" t="s">
        <v>192</v>
      </c>
      <c r="C29" s="10"/>
      <c r="D29" s="10"/>
      <c r="E29" s="10"/>
      <c r="F29" s="10"/>
      <c r="G29" s="10" t="str">
        <f>IF(AND(ISNUMBER(MATCH(C29,{"F","E","D","D+","C","C+","B","B+","A","A+","S"},0)),ISNUMBER(MATCH(D29,{"F","E","D","D+","C","C+","B","B+","A","A+","S"},0)),ISNUMBER(MATCH(E29,{"F","E","D","D+","C","C+","B","B+","A","A+","S"},0)),ISNUMBER(MATCH(F29,{"F","E","D","D+","C","C+","B","B+","A","A+","S"},0))),LOOKUP(AVERAGE(_xlfn.SWITCH(C29,"F",0,"E",10,"D",20,"D+",30,"C",40,"C+",50,"B",60,"B+",70,"A",80,"A+",90,"S",100),_xlfn.SWITCH(D29,"F",0,"E",10,"D",20,"D+",30,"C",40,"C+",50,"B",60,"B+",70,"A",80,"A+",90,"S",100),_xlfn.SWITCH(E29,"F",0,"E",10,"D",20,"D+",30,"C",40,"C+",50,"B",60,"B+",70,"A",80,"A+",90,"S",100),_xlfn.SWITCH(F29,"F",0,"E",10,"D",20,"D+",30,"C",40,"C+",50,"B",60,"B+",70,"A",80,"A+",90,"S",100)),{0,15,25,35,45,55,65,75,85,95},{"D","D","D+","C","C+","B","B+","A","A+","S"}),"?")</f>
        <v>?</v>
      </c>
      <c r="H29" s="7"/>
      <c r="I29" s="7"/>
      <c r="J29" s="2"/>
      <c r="K29" s="5" t="s">
        <v>193</v>
      </c>
      <c r="L29" s="12" t="s">
        <v>194</v>
      </c>
      <c r="M29" s="13"/>
      <c r="N29" s="13"/>
      <c r="O29" s="13"/>
      <c r="P29" s="13"/>
      <c r="Q29" s="13" t="str">
        <f>IF(AND(ISNUMBER(MATCH(M29,{"F","E","D","D+","C","C+","B","B+","A","A+","S"},0)),ISNUMBER(MATCH(N29,{"F","E","D","D+","C","C+","B","B+","A","A+","S"},0)),ISNUMBER(MATCH(O29,{"F","E","D","D+","C","C+","B","B+","A","A+","S"},0)),ISNUMBER(MATCH(P29,{"F","E","D","D+","C","C+","B","B+","A","A+","S"},0))),LOOKUP(AVERAGE(_xlfn.SWITCH(M29,"F",0,"E",10,"D",20,"D+",30,"C",40,"C+",50,"B",60,"B+",70,"A",80,"A+",90,"S",100),_xlfn.SWITCH(N29,"F",0,"E",10,"D",20,"D+",30,"C",40,"C+",50,"B",60,"B+",70,"A",80,"A+",90,"S",100),_xlfn.SWITCH(O29,"F",0,"E",10,"D",20,"D+",30,"C",40,"C+",50,"B",60,"B+",70,"A",80,"A+",90,"S",100),_xlfn.SWITCH(P29,"F",0,"E",10,"D",20,"D+",30,"C",40,"C+",50,"B",60,"B+",70,"A",80,"A+",90,"S",100)),{0,15,25,35,45,55,65,75,85,95},{"D","D","D+","C","C+","B","B+","A","A+","S"}),"?")</f>
        <v>?</v>
      </c>
      <c r="R29" s="14"/>
      <c r="S29" s="14"/>
      <c r="T29" s="2"/>
      <c r="U29" s="15" t="s">
        <v>195</v>
      </c>
      <c r="V29" s="16" t="s">
        <v>196</v>
      </c>
      <c r="W29" s="17" t="s">
        <v>197</v>
      </c>
      <c r="X29" s="18"/>
      <c r="Y29" s="18"/>
      <c r="Z29" s="18"/>
      <c r="AA29" s="19"/>
      <c r="AB29" s="19"/>
    </row>
    <row r="30" spans="1:28" ht="21">
      <c r="A30" s="5" t="s">
        <v>198</v>
      </c>
      <c r="B30" s="5" t="s">
        <v>199</v>
      </c>
      <c r="C30" s="10"/>
      <c r="D30" s="10"/>
      <c r="E30" s="10"/>
      <c r="F30" s="10"/>
      <c r="G30" s="10"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v>
      </c>
      <c r="H30" s="7"/>
      <c r="I30" s="7"/>
      <c r="J30" s="2"/>
      <c r="K30" s="5" t="s">
        <v>200</v>
      </c>
      <c r="L30" s="12" t="s">
        <v>201</v>
      </c>
      <c r="M30" s="13"/>
      <c r="N30" s="13"/>
      <c r="O30" s="13"/>
      <c r="P30" s="13"/>
      <c r="Q30" s="13" t="str">
        <f>IF(AND(ISNUMBER(MATCH(M30,{"F","E","D","D+","C","C+","B","B+","A","A+","S"},0)),ISNUMBER(MATCH(N30,{"F","E","D","D+","C","C+","B","B+","A","A+","S"},0)),ISNUMBER(MATCH(O30,{"F","E","D","D+","C","C+","B","B+","A","A+","S"},0)),ISNUMBER(MATCH(P30,{"F","E","D","D+","C","C+","B","B+","A","A+","S"},0))),LOOKUP(AVERAGE(_xlfn.SWITCH(M30,"F",0,"E",10,"D",20,"D+",30,"C",40,"C+",50,"B",60,"B+",70,"A",80,"A+",90,"S",100),_xlfn.SWITCH(N30,"F",0,"E",10,"D",20,"D+",30,"C",40,"C+",50,"B",60,"B+",70,"A",80,"A+",90,"S",100),_xlfn.SWITCH(O30,"F",0,"E",10,"D",20,"D+",30,"C",40,"C+",50,"B",60,"B+",70,"A",80,"A+",90,"S",100),_xlfn.SWITCH(P30,"F",0,"E",10,"D",20,"D+",30,"C",40,"C+",50,"B",60,"B+",70,"A",80,"A+",90,"S",100)),{0,15,25,35,45,55,65,75,85,95},{"D","D","D+","C","C+","B","B+","A","A+","S"}),"?")</f>
        <v>?</v>
      </c>
      <c r="R30" s="14"/>
      <c r="S30" s="14"/>
      <c r="T30" s="2"/>
      <c r="U30" s="15" t="s">
        <v>202</v>
      </c>
      <c r="V30" s="16" t="s">
        <v>203</v>
      </c>
      <c r="W30" s="17" t="s">
        <v>204</v>
      </c>
      <c r="X30" s="18"/>
      <c r="Y30" s="18"/>
      <c r="Z30" s="18"/>
      <c r="AA30" s="19"/>
      <c r="AB30" s="19"/>
    </row>
    <row r="31" spans="1:28" ht="21">
      <c r="A31" s="5" t="s">
        <v>205</v>
      </c>
      <c r="B31" s="5" t="s">
        <v>206</v>
      </c>
      <c r="C31" s="10"/>
      <c r="D31" s="10"/>
      <c r="E31" s="10"/>
      <c r="F31" s="10"/>
      <c r="G31" s="10" t="str">
        <f>IF(AND(ISNUMBER(MATCH(C31,{"F","E","D","D+","C","C+","B","B+","A","A+","S"},0)),ISNUMBER(MATCH(D31,{"F","E","D","D+","C","C+","B","B+","A","A+","S"},0)),ISNUMBER(MATCH(E31,{"F","E","D","D+","C","C+","B","B+","A","A+","S"},0)),ISNUMBER(MATCH(F31,{"F","E","D","D+","C","C+","B","B+","A","A+","S"},0))),LOOKUP(AVERAGE(_xlfn.SWITCH(C31,"F",0,"E",10,"D",20,"D+",30,"C",40,"C+",50,"B",60,"B+",70,"A",80,"A+",90,"S",100),_xlfn.SWITCH(D31,"F",0,"E",10,"D",20,"D+",30,"C",40,"C+",50,"B",60,"B+",70,"A",80,"A+",90,"S",100),_xlfn.SWITCH(E31,"F",0,"E",10,"D",20,"D+",30,"C",40,"C+",50,"B",60,"B+",70,"A",80,"A+",90,"S",100),_xlfn.SWITCH(F31,"F",0,"E",10,"D",20,"D+",30,"C",40,"C+",50,"B",60,"B+",70,"A",80,"A+",90,"S",100)),{0,15,25,35,45,55,65,75,85,95},{"D","D","D+","C","C+","B","B+","A","A+","S"}),"?")</f>
        <v>?</v>
      </c>
      <c r="H31" s="7"/>
      <c r="I31" s="7"/>
      <c r="J31" s="2"/>
      <c r="K31" s="5" t="s">
        <v>207</v>
      </c>
      <c r="L31" s="12" t="s">
        <v>208</v>
      </c>
      <c r="M31" s="13"/>
      <c r="N31" s="13"/>
      <c r="O31" s="13"/>
      <c r="P31" s="13"/>
      <c r="Q31" s="13" t="str">
        <f>IF(AND(ISNUMBER(MATCH(M31,{"F","E","D","D+","C","C+","B","B+","A","A+","S"},0)),ISNUMBER(MATCH(N31,{"F","E","D","D+","C","C+","B","B+","A","A+","S"},0)),ISNUMBER(MATCH(O31,{"F","E","D","D+","C","C+","B","B+","A","A+","S"},0)),ISNUMBER(MATCH(P31,{"F","E","D","D+","C","C+","B","B+","A","A+","S"},0))),LOOKUP(AVERAGE(_xlfn.SWITCH(M31,"F",0,"E",10,"D",20,"D+",30,"C",40,"C+",50,"B",60,"B+",70,"A",80,"A+",90,"S",100),_xlfn.SWITCH(N31,"F",0,"E",10,"D",20,"D+",30,"C",40,"C+",50,"B",60,"B+",70,"A",80,"A+",90,"S",100),_xlfn.SWITCH(O31,"F",0,"E",10,"D",20,"D+",30,"C",40,"C+",50,"B",60,"B+",70,"A",80,"A+",90,"S",100),_xlfn.SWITCH(P31,"F",0,"E",10,"D",20,"D+",30,"C",40,"C+",50,"B",60,"B+",70,"A",80,"A+",90,"S",100)),{0,15,25,35,45,55,65,75,85,95},{"D","D","D+","C","C+","B","B+","A","A+","S"}),"?")</f>
        <v>?</v>
      </c>
      <c r="R31" s="14"/>
      <c r="S31" s="14"/>
      <c r="T31" s="2"/>
      <c r="U31" s="15" t="s">
        <v>209</v>
      </c>
      <c r="V31" s="16" t="s">
        <v>210</v>
      </c>
      <c r="W31" s="17" t="s">
        <v>211</v>
      </c>
      <c r="X31" s="18"/>
      <c r="Y31" s="18"/>
      <c r="Z31" s="18"/>
      <c r="AA31" s="19"/>
      <c r="AB31" s="19"/>
    </row>
    <row r="32" spans="1:28" ht="21">
      <c r="A32" s="5" t="s">
        <v>212</v>
      </c>
      <c r="B32" s="5" t="s">
        <v>213</v>
      </c>
      <c r="C32" s="10"/>
      <c r="D32" s="10"/>
      <c r="E32" s="10"/>
      <c r="F32" s="10"/>
      <c r="G32" s="10"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v>
      </c>
      <c r="H32" s="7"/>
      <c r="I32" s="7"/>
      <c r="J32" s="2"/>
      <c r="K32" s="5" t="s">
        <v>214</v>
      </c>
      <c r="L32" s="12" t="s">
        <v>215</v>
      </c>
      <c r="M32" s="13"/>
      <c r="N32" s="13"/>
      <c r="O32" s="13"/>
      <c r="P32" s="13"/>
      <c r="Q32" s="13" t="str">
        <f>IF(AND(ISNUMBER(MATCH(M32,{"F","E","D","D+","C","C+","B","B+","A","A+","S"},0)),ISNUMBER(MATCH(N32,{"F","E","D","D+","C","C+","B","B+","A","A+","S"},0)),ISNUMBER(MATCH(O32,{"F","E","D","D+","C","C+","B","B+","A","A+","S"},0)),ISNUMBER(MATCH(P32,{"F","E","D","D+","C","C+","B","B+","A","A+","S"},0))),LOOKUP(AVERAGE(_xlfn.SWITCH(M32,"F",0,"E",10,"D",20,"D+",30,"C",40,"C+",50,"B",60,"B+",70,"A",80,"A+",90,"S",100),_xlfn.SWITCH(N32,"F",0,"E",10,"D",20,"D+",30,"C",40,"C+",50,"B",60,"B+",70,"A",80,"A+",90,"S",100),_xlfn.SWITCH(O32,"F",0,"E",10,"D",20,"D+",30,"C",40,"C+",50,"B",60,"B+",70,"A",80,"A+",90,"S",100),_xlfn.SWITCH(P32,"F",0,"E",10,"D",20,"D+",30,"C",40,"C+",50,"B",60,"B+",70,"A",80,"A+",90,"S",100)),{0,15,25,35,45,55,65,75,85,95},{"D","D","D+","C","C+","B","B+","A","A+","S"}),"?")</f>
        <v>?</v>
      </c>
      <c r="R32" s="14"/>
      <c r="S32" s="14"/>
      <c r="T32" s="2"/>
      <c r="U32" s="15" t="s">
        <v>216</v>
      </c>
      <c r="V32" s="16" t="s">
        <v>217</v>
      </c>
      <c r="W32" s="17" t="s">
        <v>68</v>
      </c>
      <c r="X32" s="18"/>
      <c r="Y32" s="18"/>
      <c r="Z32" s="18"/>
      <c r="AA32" s="19"/>
      <c r="AB32" s="19"/>
    </row>
    <row r="33" spans="1:28" ht="21">
      <c r="A33" s="5" t="s">
        <v>218</v>
      </c>
      <c r="B33" s="5" t="s">
        <v>219</v>
      </c>
      <c r="C33" s="10"/>
      <c r="D33" s="10"/>
      <c r="E33" s="10"/>
      <c r="F33" s="10"/>
      <c r="G33" s="10"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v>
      </c>
      <c r="H33" s="7"/>
      <c r="I33" s="7"/>
      <c r="J33" s="2"/>
      <c r="K33" s="5" t="s">
        <v>220</v>
      </c>
      <c r="L33" s="12" t="s">
        <v>221</v>
      </c>
      <c r="M33" s="13"/>
      <c r="N33" s="13"/>
      <c r="O33" s="13"/>
      <c r="P33" s="13"/>
      <c r="Q33" s="13" t="str">
        <f>IF(AND(ISNUMBER(MATCH(M33,{"F","E","D","D+","C","C+","B","B+","A","A+","S"},0)),ISNUMBER(MATCH(N33,{"F","E","D","D+","C","C+","B","B+","A","A+","S"},0)),ISNUMBER(MATCH(O33,{"F","E","D","D+","C","C+","B","B+","A","A+","S"},0)),ISNUMBER(MATCH(P33,{"F","E","D","D+","C","C+","B","B+","A","A+","S"},0))),LOOKUP(AVERAGE(_xlfn.SWITCH(M33,"F",0,"E",10,"D",20,"D+",30,"C",40,"C+",50,"B",60,"B+",70,"A",80,"A+",90,"S",100),_xlfn.SWITCH(N33,"F",0,"E",10,"D",20,"D+",30,"C",40,"C+",50,"B",60,"B+",70,"A",80,"A+",90,"S",100),_xlfn.SWITCH(O33,"F",0,"E",10,"D",20,"D+",30,"C",40,"C+",50,"B",60,"B+",70,"A",80,"A+",90,"S",100),_xlfn.SWITCH(P33,"F",0,"E",10,"D",20,"D+",30,"C",40,"C+",50,"B",60,"B+",70,"A",80,"A+",90,"S",100)),{0,15,25,35,45,55,65,75,85,95},{"D","D","D+","C","C+","B","B+","A","A+","S"}),"?")</f>
        <v>?</v>
      </c>
      <c r="R33" s="14"/>
      <c r="S33" s="14"/>
      <c r="T33" s="2"/>
      <c r="U33" s="15" t="s">
        <v>222</v>
      </c>
      <c r="V33" s="16" t="s">
        <v>223</v>
      </c>
      <c r="W33" s="17" t="s">
        <v>224</v>
      </c>
      <c r="X33" s="18"/>
      <c r="Y33" s="18"/>
      <c r="Z33" s="18"/>
      <c r="AA33" s="19"/>
      <c r="AB33" s="19"/>
    </row>
    <row r="34" spans="1:28" ht="21">
      <c r="A34" s="5" t="s">
        <v>225</v>
      </c>
      <c r="B34" s="5" t="s">
        <v>226</v>
      </c>
      <c r="C34" s="10"/>
      <c r="D34" s="10"/>
      <c r="E34" s="10"/>
      <c r="F34" s="10"/>
      <c r="G34" s="10"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v>
      </c>
      <c r="H34" s="7"/>
      <c r="I34" s="7"/>
      <c r="J34" s="2"/>
      <c r="K34" s="5" t="s">
        <v>227</v>
      </c>
      <c r="L34" s="12" t="s">
        <v>228</v>
      </c>
      <c r="M34" s="13"/>
      <c r="N34" s="13"/>
      <c r="O34" s="13"/>
      <c r="P34" s="13"/>
      <c r="Q34" s="13" t="str">
        <f>IF(AND(ISNUMBER(MATCH(M34,{"F","E","D","D+","C","C+","B","B+","A","A+","S"},0)),ISNUMBER(MATCH(N34,{"F","E","D","D+","C","C+","B","B+","A","A+","S"},0)),ISNUMBER(MATCH(O34,{"F","E","D","D+","C","C+","B","B+","A","A+","S"},0)),ISNUMBER(MATCH(P34,{"F","E","D","D+","C","C+","B","B+","A","A+","S"},0))),LOOKUP(AVERAGE(_xlfn.SWITCH(M34,"F",0,"E",10,"D",20,"D+",30,"C",40,"C+",50,"B",60,"B+",70,"A",80,"A+",90,"S",100),_xlfn.SWITCH(N34,"F",0,"E",10,"D",20,"D+",30,"C",40,"C+",50,"B",60,"B+",70,"A",80,"A+",90,"S",100),_xlfn.SWITCH(O34,"F",0,"E",10,"D",20,"D+",30,"C",40,"C+",50,"B",60,"B+",70,"A",80,"A+",90,"S",100),_xlfn.SWITCH(P34,"F",0,"E",10,"D",20,"D+",30,"C",40,"C+",50,"B",60,"B+",70,"A",80,"A+",90,"S",100)),{0,15,25,35,45,55,65,75,85,95},{"D","D","D+","C","C+","B","B+","A","A+","S"}),"?")</f>
        <v>?</v>
      </c>
      <c r="R34" s="14"/>
      <c r="S34" s="14"/>
      <c r="T34" s="2"/>
      <c r="U34" s="15" t="s">
        <v>229</v>
      </c>
      <c r="V34" s="16" t="s">
        <v>230</v>
      </c>
      <c r="W34" s="17" t="s">
        <v>231</v>
      </c>
      <c r="X34" s="18"/>
      <c r="Y34" s="18"/>
      <c r="Z34" s="18"/>
      <c r="AA34" s="19"/>
      <c r="AB34" s="19"/>
    </row>
    <row r="35" spans="1:28" ht="21">
      <c r="A35" s="5" t="s">
        <v>232</v>
      </c>
      <c r="B35" s="5" t="s">
        <v>233</v>
      </c>
      <c r="C35" s="10"/>
      <c r="D35" s="10"/>
      <c r="E35" s="10"/>
      <c r="F35" s="10"/>
      <c r="G35" s="10"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v>
      </c>
      <c r="H35" s="7"/>
      <c r="I35" s="7"/>
      <c r="J35" s="2"/>
      <c r="K35" s="5" t="s">
        <v>234</v>
      </c>
      <c r="L35" s="12" t="s">
        <v>68</v>
      </c>
      <c r="M35" s="13"/>
      <c r="N35" s="13"/>
      <c r="O35" s="13"/>
      <c r="P35" s="13"/>
      <c r="Q35" s="13" t="str">
        <f>IF(AND(ISNUMBER(MATCH(M35,{"F","E","D","D+","C","C+","B","B+","A","A+","S"},0)),ISNUMBER(MATCH(N35,{"F","E","D","D+","C","C+","B","B+","A","A+","S"},0)),ISNUMBER(MATCH(O35,{"F","E","D","D+","C","C+","B","B+","A","A+","S"},0)),ISNUMBER(MATCH(P35,{"F","E","D","D+","C","C+","B","B+","A","A+","S"},0))),LOOKUP(AVERAGE(_xlfn.SWITCH(M35,"F",0,"E",10,"D",20,"D+",30,"C",40,"C+",50,"B",60,"B+",70,"A",80,"A+",90,"S",100),_xlfn.SWITCH(N35,"F",0,"E",10,"D",20,"D+",30,"C",40,"C+",50,"B",60,"B+",70,"A",80,"A+",90,"S",100),_xlfn.SWITCH(O35,"F",0,"E",10,"D",20,"D+",30,"C",40,"C+",50,"B",60,"B+",70,"A",80,"A+",90,"S",100),_xlfn.SWITCH(P35,"F",0,"E",10,"D",20,"D+",30,"C",40,"C+",50,"B",60,"B+",70,"A",80,"A+",90,"S",100)),{0,15,25,35,45,55,65,75,85,95},{"D","D","D+","C","C+","B","B+","A","A+","S"}),"?")</f>
        <v>?</v>
      </c>
      <c r="R35" s="14"/>
      <c r="S35" s="14"/>
      <c r="T35" s="2"/>
      <c r="U35" s="15" t="s">
        <v>235</v>
      </c>
      <c r="V35" s="16" t="s">
        <v>236</v>
      </c>
      <c r="W35" s="17" t="s">
        <v>237</v>
      </c>
      <c r="X35" s="18"/>
      <c r="Y35" s="18"/>
      <c r="Z35" s="18"/>
      <c r="AA35" s="19"/>
      <c r="AB35" s="19"/>
    </row>
    <row r="36" spans="1:28" ht="21">
      <c r="A36" s="5" t="s">
        <v>238</v>
      </c>
      <c r="B36" s="5" t="s">
        <v>239</v>
      </c>
      <c r="C36" s="10"/>
      <c r="D36" s="10"/>
      <c r="E36" s="10"/>
      <c r="F36" s="10"/>
      <c r="G36" s="10"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v>
      </c>
      <c r="H36" s="7"/>
      <c r="I36" s="7"/>
      <c r="J36" s="2"/>
      <c r="K36" s="5" t="s">
        <v>240</v>
      </c>
      <c r="L36" s="12" t="s">
        <v>241</v>
      </c>
      <c r="M36" s="13"/>
      <c r="N36" s="13"/>
      <c r="O36" s="13"/>
      <c r="P36" s="13"/>
      <c r="Q36" s="13" t="str">
        <f>IF(AND(ISNUMBER(MATCH(M36,{"F","E","D","D+","C","C+","B","B+","A","A+","S"},0)),ISNUMBER(MATCH(N36,{"F","E","D","D+","C","C+","B","B+","A","A+","S"},0)),ISNUMBER(MATCH(O36,{"F","E","D","D+","C","C+","B","B+","A","A+","S"},0)),ISNUMBER(MATCH(P36,{"F","E","D","D+","C","C+","B","B+","A","A+","S"},0))),LOOKUP(AVERAGE(_xlfn.SWITCH(M36,"F",0,"E",10,"D",20,"D+",30,"C",40,"C+",50,"B",60,"B+",70,"A",80,"A+",90,"S",100),_xlfn.SWITCH(N36,"F",0,"E",10,"D",20,"D+",30,"C",40,"C+",50,"B",60,"B+",70,"A",80,"A+",90,"S",100),_xlfn.SWITCH(O36,"F",0,"E",10,"D",20,"D+",30,"C",40,"C+",50,"B",60,"B+",70,"A",80,"A+",90,"S",100),_xlfn.SWITCH(P36,"F",0,"E",10,"D",20,"D+",30,"C",40,"C+",50,"B",60,"B+",70,"A",80,"A+",90,"S",100)),{0,15,25,35,45,55,65,75,85,95},{"D","D","D+","C","C+","B","B+","A","A+","S"}),"?")</f>
        <v>?</v>
      </c>
      <c r="R36" s="14"/>
      <c r="S36" s="14"/>
      <c r="T36" s="2"/>
      <c r="U36" s="15" t="s">
        <v>242</v>
      </c>
      <c r="V36" s="16" t="s">
        <v>131</v>
      </c>
      <c r="W36" s="17" t="s">
        <v>132</v>
      </c>
      <c r="X36" s="18"/>
      <c r="Y36" s="18"/>
      <c r="Z36" s="18"/>
      <c r="AA36" s="19"/>
      <c r="AB36" s="19"/>
    </row>
    <row r="37" spans="1:28" ht="21">
      <c r="A37" s="5" t="s">
        <v>243</v>
      </c>
      <c r="B37" s="5" t="s">
        <v>244</v>
      </c>
      <c r="C37" s="10"/>
      <c r="D37" s="10"/>
      <c r="E37" s="10"/>
      <c r="F37" s="10"/>
      <c r="G37" s="10"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v>
      </c>
      <c r="H37" s="7"/>
      <c r="I37" s="7"/>
      <c r="J37" s="2"/>
      <c r="K37" s="5" t="s">
        <v>245</v>
      </c>
      <c r="L37" s="12" t="s">
        <v>246</v>
      </c>
      <c r="M37" s="13"/>
      <c r="N37" s="13"/>
      <c r="O37" s="13"/>
      <c r="P37" s="13"/>
      <c r="Q37" s="13" t="str">
        <f>IF(AND(ISNUMBER(MATCH(M37,{"F","E","D","D+","C","C+","B","B+","A","A+","S"},0)),ISNUMBER(MATCH(N37,{"F","E","D","D+","C","C+","B","B+","A","A+","S"},0)),ISNUMBER(MATCH(O37,{"F","E","D","D+","C","C+","B","B+","A","A+","S"},0)),ISNUMBER(MATCH(P37,{"F","E","D","D+","C","C+","B","B+","A","A+","S"},0))),LOOKUP(AVERAGE(_xlfn.SWITCH(M37,"F",0,"E",10,"D",20,"D+",30,"C",40,"C+",50,"B",60,"B+",70,"A",80,"A+",90,"S",100),_xlfn.SWITCH(N37,"F",0,"E",10,"D",20,"D+",30,"C",40,"C+",50,"B",60,"B+",70,"A",80,"A+",90,"S",100),_xlfn.SWITCH(O37,"F",0,"E",10,"D",20,"D+",30,"C",40,"C+",50,"B",60,"B+",70,"A",80,"A+",90,"S",100),_xlfn.SWITCH(P37,"F",0,"E",10,"D",20,"D+",30,"C",40,"C+",50,"B",60,"B+",70,"A",80,"A+",90,"S",100)),{0,15,25,35,45,55,65,75,85,95},{"D","D","D+","C","C+","B","B+","A","A+","S"}),"?")</f>
        <v>?</v>
      </c>
      <c r="R37" s="14"/>
      <c r="S37" s="14"/>
      <c r="T37" s="2"/>
      <c r="U37" s="15" t="s">
        <v>247</v>
      </c>
      <c r="V37" s="16" t="s">
        <v>248</v>
      </c>
      <c r="W37" s="17" t="s">
        <v>249</v>
      </c>
      <c r="X37" s="18"/>
      <c r="Y37" s="18"/>
      <c r="Z37" s="18"/>
      <c r="AA37" s="19"/>
      <c r="AB37" s="19"/>
    </row>
    <row r="38" spans="1:28" ht="21">
      <c r="A38" s="5" t="s">
        <v>250</v>
      </c>
      <c r="B38" s="5" t="s">
        <v>80</v>
      </c>
      <c r="C38" s="10"/>
      <c r="D38" s="10"/>
      <c r="E38" s="10"/>
      <c r="F38" s="10"/>
      <c r="G38" s="10"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v>
      </c>
      <c r="H38" s="7"/>
      <c r="I38" s="7"/>
      <c r="J38" s="2"/>
      <c r="K38" s="5" t="s">
        <v>251</v>
      </c>
      <c r="L38" s="12" t="s">
        <v>252</v>
      </c>
      <c r="M38" s="13"/>
      <c r="N38" s="13"/>
      <c r="O38" s="13"/>
      <c r="P38" s="13"/>
      <c r="Q38" s="13" t="str">
        <f>IF(AND(ISNUMBER(MATCH(M38,{"F","E","D","D+","C","C+","B","B+","A","A+","S"},0)),ISNUMBER(MATCH(N38,{"F","E","D","D+","C","C+","B","B+","A","A+","S"},0)),ISNUMBER(MATCH(O38,{"F","E","D","D+","C","C+","B","B+","A","A+","S"},0)),ISNUMBER(MATCH(P38,{"F","E","D","D+","C","C+","B","B+","A","A+","S"},0))),LOOKUP(AVERAGE(_xlfn.SWITCH(M38,"F",0,"E",10,"D",20,"D+",30,"C",40,"C+",50,"B",60,"B+",70,"A",80,"A+",90,"S",100),_xlfn.SWITCH(N38,"F",0,"E",10,"D",20,"D+",30,"C",40,"C+",50,"B",60,"B+",70,"A",80,"A+",90,"S",100),_xlfn.SWITCH(O38,"F",0,"E",10,"D",20,"D+",30,"C",40,"C+",50,"B",60,"B+",70,"A",80,"A+",90,"S",100),_xlfn.SWITCH(P38,"F",0,"E",10,"D",20,"D+",30,"C",40,"C+",50,"B",60,"B+",70,"A",80,"A+",90,"S",100)),{0,15,25,35,45,55,65,75,85,95},{"D","D","D+","C","C+","B","B+","A","A+","S"}),"?")</f>
        <v>?</v>
      </c>
      <c r="R38" s="14"/>
      <c r="S38" s="14"/>
      <c r="T38" s="2"/>
      <c r="U38" s="15" t="s">
        <v>253</v>
      </c>
      <c r="V38" s="16" t="s">
        <v>254</v>
      </c>
      <c r="W38" s="17" t="s">
        <v>255</v>
      </c>
      <c r="X38" s="18"/>
      <c r="Y38" s="18"/>
      <c r="Z38" s="18"/>
      <c r="AA38" s="19"/>
      <c r="AB38" s="19"/>
    </row>
    <row r="39" spans="1:28" ht="21">
      <c r="A39" s="5" t="s">
        <v>256</v>
      </c>
      <c r="B39" s="5" t="s">
        <v>257</v>
      </c>
      <c r="C39" s="10"/>
      <c r="D39" s="10"/>
      <c r="E39" s="10"/>
      <c r="F39" s="10"/>
      <c r="G39" s="10"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v>
      </c>
      <c r="H39" s="7"/>
      <c r="I39" s="7"/>
      <c r="J39" s="2"/>
      <c r="K39" s="5" t="s">
        <v>258</v>
      </c>
      <c r="L39" s="12" t="s">
        <v>259</v>
      </c>
      <c r="M39" s="13"/>
      <c r="N39" s="13"/>
      <c r="O39" s="13"/>
      <c r="P39" s="13"/>
      <c r="Q39" s="13" t="str">
        <f>IF(AND(ISNUMBER(MATCH(M39,{"F","E","D","D+","C","C+","B","B+","A","A+","S"},0)),ISNUMBER(MATCH(N39,{"F","E","D","D+","C","C+","B","B+","A","A+","S"},0)),ISNUMBER(MATCH(O39,{"F","E","D","D+","C","C+","B","B+","A","A+","S"},0)),ISNUMBER(MATCH(P39,{"F","E","D","D+","C","C+","B","B+","A","A+","S"},0))),LOOKUP(AVERAGE(_xlfn.SWITCH(M39,"F",0,"E",10,"D",20,"D+",30,"C",40,"C+",50,"B",60,"B+",70,"A",80,"A+",90,"S",100),_xlfn.SWITCH(N39,"F",0,"E",10,"D",20,"D+",30,"C",40,"C+",50,"B",60,"B+",70,"A",80,"A+",90,"S",100),_xlfn.SWITCH(O39,"F",0,"E",10,"D",20,"D+",30,"C",40,"C+",50,"B",60,"B+",70,"A",80,"A+",90,"S",100),_xlfn.SWITCH(P39,"F",0,"E",10,"D",20,"D+",30,"C",40,"C+",50,"B",60,"B+",70,"A",80,"A+",90,"S",100)),{0,15,25,35,45,55,65,75,85,95},{"D","D","D+","C","C+","B","B+","A","A+","S"}),"?")</f>
        <v>?</v>
      </c>
      <c r="R39" s="14"/>
      <c r="S39" s="14"/>
      <c r="T39" s="2"/>
      <c r="U39" s="15" t="s">
        <v>260</v>
      </c>
      <c r="V39" s="16" t="s">
        <v>261</v>
      </c>
      <c r="W39" s="17" t="s">
        <v>262</v>
      </c>
      <c r="X39" s="18"/>
      <c r="Y39" s="18"/>
      <c r="Z39" s="18"/>
      <c r="AA39" s="19"/>
      <c r="AB39" s="19"/>
    </row>
    <row r="40" spans="1:28" ht="21">
      <c r="A40" s="5" t="s">
        <v>263</v>
      </c>
      <c r="B40" s="5" t="s">
        <v>264</v>
      </c>
      <c r="C40" s="10"/>
      <c r="D40" s="10"/>
      <c r="E40" s="10"/>
      <c r="F40" s="10"/>
      <c r="G40" s="10"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v>
      </c>
      <c r="H40" s="7"/>
      <c r="I40" s="7"/>
      <c r="J40" s="2"/>
      <c r="K40" s="5" t="s">
        <v>265</v>
      </c>
      <c r="L40" s="12" t="s">
        <v>266</v>
      </c>
      <c r="M40" s="13"/>
      <c r="N40" s="13"/>
      <c r="O40" s="13"/>
      <c r="P40" s="13"/>
      <c r="Q40" s="13" t="str">
        <f>IF(AND(ISNUMBER(MATCH(M40,{"F","E","D","D+","C","C+","B","B+","A","A+","S"},0)),ISNUMBER(MATCH(N40,{"F","E","D","D+","C","C+","B","B+","A","A+","S"},0)),ISNUMBER(MATCH(O40,{"F","E","D","D+","C","C+","B","B+","A","A+","S"},0)),ISNUMBER(MATCH(P40,{"F","E","D","D+","C","C+","B","B+","A","A+","S"},0))),LOOKUP(AVERAGE(_xlfn.SWITCH(M40,"F",0,"E",10,"D",20,"D+",30,"C",40,"C+",50,"B",60,"B+",70,"A",80,"A+",90,"S",100),_xlfn.SWITCH(N40,"F",0,"E",10,"D",20,"D+",30,"C",40,"C+",50,"B",60,"B+",70,"A",80,"A+",90,"S",100),_xlfn.SWITCH(O40,"F",0,"E",10,"D",20,"D+",30,"C",40,"C+",50,"B",60,"B+",70,"A",80,"A+",90,"S",100),_xlfn.SWITCH(P40,"F",0,"E",10,"D",20,"D+",30,"C",40,"C+",50,"B",60,"B+",70,"A",80,"A+",90,"S",100)),{0,15,25,35,45,55,65,75,85,95},{"D","D","D+","C","C+","B","B+","A","A+","S"}),"?")</f>
        <v>?</v>
      </c>
      <c r="R40" s="14"/>
      <c r="S40" s="14"/>
      <c r="T40" s="2"/>
      <c r="U40" s="15" t="s">
        <v>267</v>
      </c>
      <c r="V40" s="16" t="s">
        <v>268</v>
      </c>
      <c r="W40" s="17" t="s">
        <v>56</v>
      </c>
      <c r="X40" s="18"/>
      <c r="Y40" s="18"/>
      <c r="Z40" s="18"/>
      <c r="AA40" s="19"/>
      <c r="AB40" s="19"/>
    </row>
    <row r="41" spans="1:28" ht="21">
      <c r="A41" s="5" t="s">
        <v>269</v>
      </c>
      <c r="B41" s="8" t="s">
        <v>270</v>
      </c>
      <c r="C41" s="10"/>
      <c r="D41" s="10"/>
      <c r="E41" s="10"/>
      <c r="F41" s="10"/>
      <c r="G41" s="10"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v>
      </c>
      <c r="H41" s="7"/>
      <c r="I41" s="7"/>
      <c r="J41" s="2"/>
      <c r="K41" s="5" t="s">
        <v>271</v>
      </c>
      <c r="L41" s="12" t="s">
        <v>272</v>
      </c>
      <c r="M41" s="13"/>
      <c r="N41" s="13"/>
      <c r="O41" s="13"/>
      <c r="P41" s="13"/>
      <c r="Q41" s="13" t="str">
        <f>IF(AND(ISNUMBER(MATCH(M41,{"F","E","D","D+","C","C+","B","B+","A","A+","S"},0)),ISNUMBER(MATCH(N41,{"F","E","D","D+","C","C+","B","B+","A","A+","S"},0)),ISNUMBER(MATCH(O41,{"F","E","D","D+","C","C+","B","B+","A","A+","S"},0)),ISNUMBER(MATCH(P41,{"F","E","D","D+","C","C+","B","B+","A","A+","S"},0))),LOOKUP(AVERAGE(_xlfn.SWITCH(M41,"F",0,"E",10,"D",20,"D+",30,"C",40,"C+",50,"B",60,"B+",70,"A",80,"A+",90,"S",100),_xlfn.SWITCH(N41,"F",0,"E",10,"D",20,"D+",30,"C",40,"C+",50,"B",60,"B+",70,"A",80,"A+",90,"S",100),_xlfn.SWITCH(O41,"F",0,"E",10,"D",20,"D+",30,"C",40,"C+",50,"B",60,"B+",70,"A",80,"A+",90,"S",100),_xlfn.SWITCH(P41,"F",0,"E",10,"D",20,"D+",30,"C",40,"C+",50,"B",60,"B+",70,"A",80,"A+",90,"S",100)),{0,15,25,35,45,55,65,75,85,95},{"D","D","D+","C","C+","B","B+","A","A+","S"}),"?")</f>
        <v>?</v>
      </c>
      <c r="R41" s="14"/>
      <c r="S41" s="14"/>
      <c r="T41" s="2"/>
      <c r="U41" s="15" t="s">
        <v>273</v>
      </c>
      <c r="V41" s="16" t="s">
        <v>186</v>
      </c>
      <c r="W41" s="17" t="s">
        <v>187</v>
      </c>
      <c r="X41" s="18"/>
      <c r="Y41" s="18"/>
      <c r="Z41" s="18"/>
      <c r="AA41" s="19"/>
      <c r="AB41" s="19"/>
    </row>
    <row r="42" spans="1:28" ht="21">
      <c r="A42" s="5" t="s">
        <v>274</v>
      </c>
      <c r="B42" s="5" t="s">
        <v>275</v>
      </c>
      <c r="C42" s="10"/>
      <c r="D42" s="10"/>
      <c r="E42" s="10"/>
      <c r="F42" s="10"/>
      <c r="G42" s="10"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v>
      </c>
      <c r="H42" s="7"/>
      <c r="I42" s="7"/>
      <c r="J42" s="2"/>
      <c r="K42" s="5" t="s">
        <v>121</v>
      </c>
      <c r="L42" s="12" t="s">
        <v>122</v>
      </c>
      <c r="M42" s="13"/>
      <c r="N42" s="13"/>
      <c r="O42" s="13"/>
      <c r="P42" s="13"/>
      <c r="Q42" s="13" t="str">
        <f>IF(AND(ISNUMBER(MATCH(M42,{"F","E","D","D+","C","C+","B","B+","A","A+","S"},0)),ISNUMBER(MATCH(N42,{"F","E","D","D+","C","C+","B","B+","A","A+","S"},0)),ISNUMBER(MATCH(O42,{"F","E","D","D+","C","C+","B","B+","A","A+","S"},0)),ISNUMBER(MATCH(P42,{"F","E","D","D+","C","C+","B","B+","A","A+","S"},0))),LOOKUP(AVERAGE(_xlfn.SWITCH(M42,"F",0,"E",10,"D",20,"D+",30,"C",40,"C+",50,"B",60,"B+",70,"A",80,"A+",90,"S",100),_xlfn.SWITCH(N42,"F",0,"E",10,"D",20,"D+",30,"C",40,"C+",50,"B",60,"B+",70,"A",80,"A+",90,"S",100),_xlfn.SWITCH(O42,"F",0,"E",10,"D",20,"D+",30,"C",40,"C+",50,"B",60,"B+",70,"A",80,"A+",90,"S",100),_xlfn.SWITCH(P42,"F",0,"E",10,"D",20,"D+",30,"C",40,"C+",50,"B",60,"B+",70,"A",80,"A+",90,"S",100)),{0,15,25,35,45,55,65,75,85,95},{"D","D","D+","C","C+","B","B+","A","A+","S"}),"?")</f>
        <v>?</v>
      </c>
      <c r="R42" s="14"/>
      <c r="S42" s="14"/>
      <c r="T42" s="2"/>
      <c r="U42" s="15" t="s">
        <v>276</v>
      </c>
      <c r="V42" s="16" t="s">
        <v>277</v>
      </c>
      <c r="W42" s="17" t="s">
        <v>278</v>
      </c>
      <c r="X42" s="18"/>
      <c r="Y42" s="18"/>
      <c r="Z42" s="18"/>
      <c r="AA42" s="19"/>
      <c r="AB42" s="19"/>
    </row>
    <row r="43" spans="1:28" ht="21">
      <c r="A43" s="5" t="s">
        <v>279</v>
      </c>
      <c r="B43" s="5" t="s">
        <v>280</v>
      </c>
      <c r="C43" s="10"/>
      <c r="D43" s="10"/>
      <c r="E43" s="10"/>
      <c r="F43" s="10"/>
      <c r="G43" s="10"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v>
      </c>
      <c r="H43" s="7"/>
      <c r="I43" s="7"/>
      <c r="J43" s="2"/>
      <c r="K43" s="5" t="s">
        <v>281</v>
      </c>
      <c r="L43" s="12" t="s">
        <v>282</v>
      </c>
      <c r="M43" s="13"/>
      <c r="N43" s="13"/>
      <c r="O43" s="13"/>
      <c r="P43" s="13"/>
      <c r="Q43" s="13" t="str">
        <f>IF(AND(ISNUMBER(MATCH(M43,{"F","E","D","D+","C","C+","B","B+","A","A+","S"},0)),ISNUMBER(MATCH(N43,{"F","E","D","D+","C","C+","B","B+","A","A+","S"},0)),ISNUMBER(MATCH(O43,{"F","E","D","D+","C","C+","B","B+","A","A+","S"},0)),ISNUMBER(MATCH(P43,{"F","E","D","D+","C","C+","B","B+","A","A+","S"},0))),LOOKUP(AVERAGE(_xlfn.SWITCH(M43,"F",0,"E",10,"D",20,"D+",30,"C",40,"C+",50,"B",60,"B+",70,"A",80,"A+",90,"S",100),_xlfn.SWITCH(N43,"F",0,"E",10,"D",20,"D+",30,"C",40,"C+",50,"B",60,"B+",70,"A",80,"A+",90,"S",100),_xlfn.SWITCH(O43,"F",0,"E",10,"D",20,"D+",30,"C",40,"C+",50,"B",60,"B+",70,"A",80,"A+",90,"S",100),_xlfn.SWITCH(P43,"F",0,"E",10,"D",20,"D+",30,"C",40,"C+",50,"B",60,"B+",70,"A",80,"A+",90,"S",100)),{0,15,25,35,45,55,65,75,85,95},{"D","D","D+","C","C+","B","B+","A","A+","S"}),"?")</f>
        <v>?</v>
      </c>
      <c r="R43" s="14"/>
      <c r="S43" s="14"/>
      <c r="T43" s="2"/>
      <c r="U43" s="15" t="s">
        <v>283</v>
      </c>
      <c r="V43" s="16" t="s">
        <v>284</v>
      </c>
      <c r="W43" s="17" t="s">
        <v>285</v>
      </c>
      <c r="X43" s="18"/>
      <c r="Y43" s="18"/>
      <c r="Z43" s="18"/>
      <c r="AA43" s="19"/>
      <c r="AB43" s="19"/>
    </row>
    <row r="44" spans="1:28" ht="21">
      <c r="A44" s="5" t="s">
        <v>286</v>
      </c>
      <c r="B44" s="5" t="s">
        <v>54</v>
      </c>
      <c r="C44" s="10"/>
      <c r="D44" s="10"/>
      <c r="E44" s="10"/>
      <c r="F44" s="10"/>
      <c r="G44" s="10"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v>
      </c>
      <c r="H44" s="7"/>
      <c r="I44" s="7"/>
      <c r="J44" s="2"/>
      <c r="K44" s="5" t="s">
        <v>287</v>
      </c>
      <c r="L44" s="12" t="s">
        <v>288</v>
      </c>
      <c r="M44" s="13"/>
      <c r="N44" s="13"/>
      <c r="O44" s="13"/>
      <c r="P44" s="13"/>
      <c r="Q44" s="13" t="str">
        <f>IF(AND(ISNUMBER(MATCH(M44,{"F","E","D","D+","C","C+","B","B+","A","A+","S"},0)),ISNUMBER(MATCH(N44,{"F","E","D","D+","C","C+","B","B+","A","A+","S"},0)),ISNUMBER(MATCH(O44,{"F","E","D","D+","C","C+","B","B+","A","A+","S"},0)),ISNUMBER(MATCH(P44,{"F","E","D","D+","C","C+","B","B+","A","A+","S"},0))),LOOKUP(AVERAGE(_xlfn.SWITCH(M44,"F",0,"E",10,"D",20,"D+",30,"C",40,"C+",50,"B",60,"B+",70,"A",80,"A+",90,"S",100),_xlfn.SWITCH(N44,"F",0,"E",10,"D",20,"D+",30,"C",40,"C+",50,"B",60,"B+",70,"A",80,"A+",90,"S",100),_xlfn.SWITCH(O44,"F",0,"E",10,"D",20,"D+",30,"C",40,"C+",50,"B",60,"B+",70,"A",80,"A+",90,"S",100),_xlfn.SWITCH(P44,"F",0,"E",10,"D",20,"D+",30,"C",40,"C+",50,"B",60,"B+",70,"A",80,"A+",90,"S",100)),{0,15,25,35,45,55,65,75,85,95},{"D","D","D+","C","C+","B","B+","A","A+","S"}),"?")</f>
        <v>?</v>
      </c>
      <c r="R44" s="14"/>
      <c r="S44" s="14"/>
      <c r="T44" s="2"/>
      <c r="U44" s="15" t="s">
        <v>289</v>
      </c>
      <c r="V44" s="16" t="s">
        <v>290</v>
      </c>
      <c r="W44" s="17" t="s">
        <v>291</v>
      </c>
      <c r="X44" s="18"/>
      <c r="Y44" s="18"/>
      <c r="Z44" s="18"/>
      <c r="AA44" s="19"/>
      <c r="AB44" s="19"/>
    </row>
    <row r="45" spans="1:28" ht="21">
      <c r="A45" s="5" t="s">
        <v>292</v>
      </c>
      <c r="B45" s="5" t="s">
        <v>293</v>
      </c>
      <c r="C45" s="10"/>
      <c r="D45" s="10"/>
      <c r="E45" s="10"/>
      <c r="F45" s="10"/>
      <c r="G45" s="10"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v>
      </c>
      <c r="H45" s="7"/>
      <c r="I45" s="7"/>
      <c r="J45" s="2"/>
      <c r="K45" s="5" t="s">
        <v>294</v>
      </c>
      <c r="L45" s="12" t="s">
        <v>295</v>
      </c>
      <c r="M45" s="13"/>
      <c r="N45" s="13"/>
      <c r="O45" s="13"/>
      <c r="P45" s="13"/>
      <c r="Q45" s="13" t="str">
        <f>IF(AND(ISNUMBER(MATCH(M45,{"F","E","D","D+","C","C+","B","B+","A","A+","S"},0)),ISNUMBER(MATCH(N45,{"F","E","D","D+","C","C+","B","B+","A","A+","S"},0)),ISNUMBER(MATCH(O45,{"F","E","D","D+","C","C+","B","B+","A","A+","S"},0)),ISNUMBER(MATCH(P45,{"F","E","D","D+","C","C+","B","B+","A","A+","S"},0))),LOOKUP(AVERAGE(_xlfn.SWITCH(M45,"F",0,"E",10,"D",20,"D+",30,"C",40,"C+",50,"B",60,"B+",70,"A",80,"A+",90,"S",100),_xlfn.SWITCH(N45,"F",0,"E",10,"D",20,"D+",30,"C",40,"C+",50,"B",60,"B+",70,"A",80,"A+",90,"S",100),_xlfn.SWITCH(O45,"F",0,"E",10,"D",20,"D+",30,"C",40,"C+",50,"B",60,"B+",70,"A",80,"A+",90,"S",100),_xlfn.SWITCH(P45,"F",0,"E",10,"D",20,"D+",30,"C",40,"C+",50,"B",60,"B+",70,"A",80,"A+",90,"S",100)),{0,15,25,35,45,55,65,75,85,95},{"D","D","D+","C","C+","B","B+","A","A+","S"}),"?")</f>
        <v>?</v>
      </c>
      <c r="R45" s="14"/>
      <c r="S45" s="14"/>
      <c r="T45" s="2"/>
      <c r="U45" s="15" t="s">
        <v>296</v>
      </c>
      <c r="V45" s="16" t="s">
        <v>297</v>
      </c>
      <c r="W45" s="17" t="s">
        <v>280</v>
      </c>
      <c r="X45" s="18"/>
      <c r="Y45" s="18"/>
      <c r="Z45" s="18"/>
      <c r="AA45" s="19"/>
      <c r="AB45" s="19"/>
    </row>
    <row r="46" spans="1:28" ht="21">
      <c r="A46" s="5" t="s">
        <v>298</v>
      </c>
      <c r="B46" s="5" t="s">
        <v>299</v>
      </c>
      <c r="C46" s="10"/>
      <c r="D46" s="10"/>
      <c r="E46" s="10"/>
      <c r="F46" s="10"/>
      <c r="G46" s="10"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v>
      </c>
      <c r="H46" s="7"/>
      <c r="I46" s="7"/>
      <c r="J46" s="2"/>
      <c r="K46" s="5" t="s">
        <v>39</v>
      </c>
      <c r="L46" s="12" t="s">
        <v>40</v>
      </c>
      <c r="M46" s="13"/>
      <c r="N46" s="13"/>
      <c r="O46" s="13"/>
      <c r="P46" s="13"/>
      <c r="Q46" s="13" t="str">
        <f>IF(AND(ISNUMBER(MATCH(M46,{"F","E","D","D+","C","C+","B","B+","A","A+","S"},0)),ISNUMBER(MATCH(N46,{"F","E","D","D+","C","C+","B","B+","A","A+","S"},0)),ISNUMBER(MATCH(O46,{"F","E","D","D+","C","C+","B","B+","A","A+","S"},0)),ISNUMBER(MATCH(P46,{"F","E","D","D+","C","C+","B","B+","A","A+","S"},0))),LOOKUP(AVERAGE(_xlfn.SWITCH(M46,"F",0,"E",10,"D",20,"D+",30,"C",40,"C+",50,"B",60,"B+",70,"A",80,"A+",90,"S",100),_xlfn.SWITCH(N46,"F",0,"E",10,"D",20,"D+",30,"C",40,"C+",50,"B",60,"B+",70,"A",80,"A+",90,"S",100),_xlfn.SWITCH(O46,"F",0,"E",10,"D",20,"D+",30,"C",40,"C+",50,"B",60,"B+",70,"A",80,"A+",90,"S",100),_xlfn.SWITCH(P46,"F",0,"E",10,"D",20,"D+",30,"C",40,"C+",50,"B",60,"B+",70,"A",80,"A+",90,"S",100)),{0,15,25,35,45,55,65,75,85,95},{"D","D","D+","C","C+","B","B+","A","A+","S"}),"?")</f>
        <v>?</v>
      </c>
      <c r="R46" s="14"/>
      <c r="S46" s="14"/>
      <c r="T46" s="2"/>
      <c r="U46" s="15" t="s">
        <v>300</v>
      </c>
      <c r="V46" s="16" t="s">
        <v>301</v>
      </c>
      <c r="W46" s="17" t="s">
        <v>280</v>
      </c>
      <c r="X46" s="18"/>
      <c r="Y46" s="18"/>
      <c r="Z46" s="18"/>
      <c r="AA46" s="19"/>
      <c r="AB46" s="19"/>
    </row>
    <row r="47" spans="1:28" ht="21">
      <c r="A47" s="5" t="s">
        <v>302</v>
      </c>
      <c r="B47" s="5" t="s">
        <v>303</v>
      </c>
      <c r="C47" s="10"/>
      <c r="D47" s="10"/>
      <c r="E47" s="10"/>
      <c r="F47" s="10"/>
      <c r="G47" s="10"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v>
      </c>
      <c r="H47" s="7"/>
      <c r="I47" s="7"/>
      <c r="J47" s="2"/>
      <c r="K47" s="5" t="s">
        <v>304</v>
      </c>
      <c r="L47" s="12" t="s">
        <v>305</v>
      </c>
      <c r="M47" s="13"/>
      <c r="N47" s="13"/>
      <c r="O47" s="13"/>
      <c r="P47" s="13"/>
      <c r="Q47" s="13" t="str">
        <f>IF(AND(ISNUMBER(MATCH(M47,{"F","E","D","D+","C","C+","B","B+","A","A+","S"},0)),ISNUMBER(MATCH(N47,{"F","E","D","D+","C","C+","B","B+","A","A+","S"},0)),ISNUMBER(MATCH(O47,{"F","E","D","D+","C","C+","B","B+","A","A+","S"},0)),ISNUMBER(MATCH(P47,{"F","E","D","D+","C","C+","B","B+","A","A+","S"},0))),LOOKUP(AVERAGE(_xlfn.SWITCH(M47,"F",0,"E",10,"D",20,"D+",30,"C",40,"C+",50,"B",60,"B+",70,"A",80,"A+",90,"S",100),_xlfn.SWITCH(N47,"F",0,"E",10,"D",20,"D+",30,"C",40,"C+",50,"B",60,"B+",70,"A",80,"A+",90,"S",100),_xlfn.SWITCH(O47,"F",0,"E",10,"D",20,"D+",30,"C",40,"C+",50,"B",60,"B+",70,"A",80,"A+",90,"S",100),_xlfn.SWITCH(P47,"F",0,"E",10,"D",20,"D+",30,"C",40,"C+",50,"B",60,"B+",70,"A",80,"A+",90,"S",100)),{0,15,25,35,45,55,65,75,85,95},{"D","D","D+","C","C+","B","B+","A","A+","S"}),"?")</f>
        <v>?</v>
      </c>
      <c r="R47" s="14"/>
      <c r="S47" s="14"/>
      <c r="T47" s="2"/>
      <c r="U47" s="15" t="s">
        <v>306</v>
      </c>
      <c r="V47" s="16" t="s">
        <v>307</v>
      </c>
      <c r="W47" s="17" t="s">
        <v>308</v>
      </c>
      <c r="X47" s="18"/>
      <c r="Y47" s="18"/>
      <c r="Z47" s="18"/>
      <c r="AA47" s="19"/>
      <c r="AB47" s="19"/>
    </row>
    <row r="48" spans="1:28" ht="21">
      <c r="A48" s="5" t="s">
        <v>309</v>
      </c>
      <c r="B48" s="5" t="s">
        <v>310</v>
      </c>
      <c r="C48" s="10"/>
      <c r="D48" s="10"/>
      <c r="E48" s="10"/>
      <c r="F48" s="10"/>
      <c r="G48" s="10"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v>
      </c>
      <c r="H48" s="7"/>
      <c r="I48" s="7"/>
      <c r="J48" s="2"/>
      <c r="K48" s="5" t="s">
        <v>311</v>
      </c>
      <c r="L48" s="12" t="s">
        <v>312</v>
      </c>
      <c r="M48" s="13"/>
      <c r="N48" s="13"/>
      <c r="O48" s="13"/>
      <c r="P48" s="13"/>
      <c r="Q48" s="13" t="str">
        <f>IF(AND(ISNUMBER(MATCH(M48,{"F","E","D","D+","C","C+","B","B+","A","A+","S"},0)),ISNUMBER(MATCH(N48,{"F","E","D","D+","C","C+","B","B+","A","A+","S"},0)),ISNUMBER(MATCH(O48,{"F","E","D","D+","C","C+","B","B+","A","A+","S"},0)),ISNUMBER(MATCH(P48,{"F","E","D","D+","C","C+","B","B+","A","A+","S"},0))),LOOKUP(AVERAGE(_xlfn.SWITCH(M48,"F",0,"E",10,"D",20,"D+",30,"C",40,"C+",50,"B",60,"B+",70,"A",80,"A+",90,"S",100),_xlfn.SWITCH(N48,"F",0,"E",10,"D",20,"D+",30,"C",40,"C+",50,"B",60,"B+",70,"A",80,"A+",90,"S",100),_xlfn.SWITCH(O48,"F",0,"E",10,"D",20,"D+",30,"C",40,"C+",50,"B",60,"B+",70,"A",80,"A+",90,"S",100),_xlfn.SWITCH(P48,"F",0,"E",10,"D",20,"D+",30,"C",40,"C+",50,"B",60,"B+",70,"A",80,"A+",90,"S",100)),{0,15,25,35,45,55,65,75,85,95},{"D","D","D+","C","C+","B","B+","A","A+","S"}),"?")</f>
        <v>?</v>
      </c>
      <c r="R48" s="14"/>
      <c r="S48" s="14"/>
      <c r="T48" s="2"/>
      <c r="U48" s="15" t="s">
        <v>313</v>
      </c>
      <c r="V48" s="16" t="s">
        <v>314</v>
      </c>
      <c r="W48" s="17" t="s">
        <v>103</v>
      </c>
      <c r="X48" s="18"/>
      <c r="Y48" s="18"/>
      <c r="Z48" s="18"/>
      <c r="AA48" s="19"/>
      <c r="AB48" s="19"/>
    </row>
    <row r="49" spans="1:28" ht="21">
      <c r="A49" s="5" t="s">
        <v>315</v>
      </c>
      <c r="B49" s="5" t="s">
        <v>316</v>
      </c>
      <c r="C49" s="10"/>
      <c r="D49" s="10"/>
      <c r="E49" s="10"/>
      <c r="F49" s="10"/>
      <c r="G49" s="10" t="str">
        <f>IF(AND(ISNUMBER(MATCH(C49,{"F","E","D","D+","C","C+","B","B+","A","A+","S"},0)),ISNUMBER(MATCH(D49,{"F","E","D","D+","C","C+","B","B+","A","A+","S"},0)),ISNUMBER(MATCH(E49,{"F","E","D","D+","C","C+","B","B+","A","A+","S"},0)),ISNUMBER(MATCH(F49,{"F","E","D","D+","C","C+","B","B+","A","A+","S"},0))),LOOKUP(AVERAGE(_xlfn.SWITCH(C49,"F",0,"E",10,"D",20,"D+",30,"C",40,"C+",50,"B",60,"B+",70,"A",80,"A+",90,"S",100),_xlfn.SWITCH(D49,"F",0,"E",10,"D",20,"D+",30,"C",40,"C+",50,"B",60,"B+",70,"A",80,"A+",90,"S",100),_xlfn.SWITCH(E49,"F",0,"E",10,"D",20,"D+",30,"C",40,"C+",50,"B",60,"B+",70,"A",80,"A+",90,"S",100),_xlfn.SWITCH(F49,"F",0,"E",10,"D",20,"D+",30,"C",40,"C+",50,"B",60,"B+",70,"A",80,"A+",90,"S",100)),{0,15,25,35,45,55,65,75,85,95},{"D","D","D+","C","C+","B","B+","A","A+","S"}),"?")</f>
        <v>?</v>
      </c>
      <c r="H49" s="7"/>
      <c r="I49" s="7"/>
      <c r="J49" s="2"/>
      <c r="K49" s="5" t="s">
        <v>317</v>
      </c>
      <c r="L49" s="12" t="s">
        <v>318</v>
      </c>
      <c r="M49" s="13"/>
      <c r="N49" s="13"/>
      <c r="O49" s="13"/>
      <c r="P49" s="13"/>
      <c r="Q49" s="13" t="str">
        <f>IF(AND(ISNUMBER(MATCH(M49,{"F","E","D","D+","C","C+","B","B+","A","A+","S"},0)),ISNUMBER(MATCH(N49,{"F","E","D","D+","C","C+","B","B+","A","A+","S"},0)),ISNUMBER(MATCH(O49,{"F","E","D","D+","C","C+","B","B+","A","A+","S"},0)),ISNUMBER(MATCH(P49,{"F","E","D","D+","C","C+","B","B+","A","A+","S"},0))),LOOKUP(AVERAGE(_xlfn.SWITCH(M49,"F",0,"E",10,"D",20,"D+",30,"C",40,"C+",50,"B",60,"B+",70,"A",80,"A+",90,"S",100),_xlfn.SWITCH(N49,"F",0,"E",10,"D",20,"D+",30,"C",40,"C+",50,"B",60,"B+",70,"A",80,"A+",90,"S",100),_xlfn.SWITCH(O49,"F",0,"E",10,"D",20,"D+",30,"C",40,"C+",50,"B",60,"B+",70,"A",80,"A+",90,"S",100),_xlfn.SWITCH(P49,"F",0,"E",10,"D",20,"D+",30,"C",40,"C+",50,"B",60,"B+",70,"A",80,"A+",90,"S",100)),{0,15,25,35,45,55,65,75,85,95},{"D","D","D+","C","C+","B","B+","A","A+","S"}),"?")</f>
        <v>?</v>
      </c>
      <c r="R49" s="14"/>
      <c r="S49" s="14"/>
      <c r="T49" s="2"/>
      <c r="U49" s="15" t="s">
        <v>319</v>
      </c>
      <c r="V49" s="16" t="s">
        <v>320</v>
      </c>
      <c r="W49" s="17" t="s">
        <v>321</v>
      </c>
      <c r="X49" s="18"/>
      <c r="Y49" s="18"/>
      <c r="Z49" s="18"/>
      <c r="AA49" s="19"/>
      <c r="AB49" s="19"/>
    </row>
    <row r="50" spans="1:28" ht="21">
      <c r="A50" s="5" t="s">
        <v>322</v>
      </c>
      <c r="B50" s="5" t="s">
        <v>162</v>
      </c>
      <c r="C50" s="10"/>
      <c r="D50" s="10"/>
      <c r="E50" s="10"/>
      <c r="F50" s="10"/>
      <c r="G50" s="10"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v>
      </c>
      <c r="H50" s="7"/>
      <c r="I50" s="7"/>
      <c r="J50" s="2"/>
      <c r="K50" s="5" t="s">
        <v>323</v>
      </c>
      <c r="L50" s="12" t="s">
        <v>185</v>
      </c>
      <c r="M50" s="13"/>
      <c r="N50" s="13"/>
      <c r="O50" s="13"/>
      <c r="P50" s="13"/>
      <c r="Q50" s="13" t="str">
        <f>IF(AND(ISNUMBER(MATCH(M50,{"F","E","D","D+","C","C+","B","B+","A","A+","S"},0)),ISNUMBER(MATCH(N50,{"F","E","D","D+","C","C+","B","B+","A","A+","S"},0)),ISNUMBER(MATCH(O50,{"F","E","D","D+","C","C+","B","B+","A","A+","S"},0)),ISNUMBER(MATCH(P50,{"F","E","D","D+","C","C+","B","B+","A","A+","S"},0))),LOOKUP(AVERAGE(_xlfn.SWITCH(M50,"F",0,"E",10,"D",20,"D+",30,"C",40,"C+",50,"B",60,"B+",70,"A",80,"A+",90,"S",100),_xlfn.SWITCH(N50,"F",0,"E",10,"D",20,"D+",30,"C",40,"C+",50,"B",60,"B+",70,"A",80,"A+",90,"S",100),_xlfn.SWITCH(O50,"F",0,"E",10,"D",20,"D+",30,"C",40,"C+",50,"B",60,"B+",70,"A",80,"A+",90,"S",100),_xlfn.SWITCH(P50,"F",0,"E",10,"D",20,"D+",30,"C",40,"C+",50,"B",60,"B+",70,"A",80,"A+",90,"S",100)),{0,15,25,35,45,55,65,75,85,95},{"D","D","D+","C","C+","B","B+","A","A+","S"}),"?")</f>
        <v>?</v>
      </c>
      <c r="R50" s="14"/>
      <c r="S50" s="14"/>
      <c r="T50" s="2"/>
      <c r="U50" s="15" t="s">
        <v>324</v>
      </c>
      <c r="V50" s="16" t="s">
        <v>325</v>
      </c>
      <c r="W50" s="17" t="s">
        <v>226</v>
      </c>
      <c r="X50" s="18"/>
      <c r="Y50" s="18"/>
      <c r="Z50" s="18"/>
      <c r="AA50" s="19"/>
      <c r="AB50" s="19"/>
    </row>
    <row r="51" spans="1:28" ht="21">
      <c r="A51" s="5" t="s">
        <v>326</v>
      </c>
      <c r="B51" s="5" t="s">
        <v>94</v>
      </c>
      <c r="C51" s="10"/>
      <c r="D51" s="10"/>
      <c r="E51" s="10"/>
      <c r="F51" s="10"/>
      <c r="G51" s="10"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v>
      </c>
      <c r="H51" s="7"/>
      <c r="I51" s="7"/>
      <c r="J51" s="2"/>
      <c r="K51" s="5" t="s">
        <v>327</v>
      </c>
      <c r="L51" s="12" t="s">
        <v>328</v>
      </c>
      <c r="M51" s="13"/>
      <c r="N51" s="13"/>
      <c r="O51" s="13"/>
      <c r="P51" s="13"/>
      <c r="Q51" s="13" t="str">
        <f>IF(AND(ISNUMBER(MATCH(M51,{"F","E","D","D+","C","C+","B","B+","A","A+","S"},0)),ISNUMBER(MATCH(N51,{"F","E","D","D+","C","C+","B","B+","A","A+","S"},0)),ISNUMBER(MATCH(O51,{"F","E","D","D+","C","C+","B","B+","A","A+","S"},0)),ISNUMBER(MATCH(P51,{"F","E","D","D+","C","C+","B","B+","A","A+","S"},0))),LOOKUP(AVERAGE(_xlfn.SWITCH(M51,"F",0,"E",10,"D",20,"D+",30,"C",40,"C+",50,"B",60,"B+",70,"A",80,"A+",90,"S",100),_xlfn.SWITCH(N51,"F",0,"E",10,"D",20,"D+",30,"C",40,"C+",50,"B",60,"B+",70,"A",80,"A+",90,"S",100),_xlfn.SWITCH(O51,"F",0,"E",10,"D",20,"D+",30,"C",40,"C+",50,"B",60,"B+",70,"A",80,"A+",90,"S",100),_xlfn.SWITCH(P51,"F",0,"E",10,"D",20,"D+",30,"C",40,"C+",50,"B",60,"B+",70,"A",80,"A+",90,"S",100)),{0,15,25,35,45,55,65,75,85,95},{"D","D","D+","C","C+","B","B+","A","A+","S"}),"?")</f>
        <v>?</v>
      </c>
      <c r="R51" s="14"/>
      <c r="S51" s="14"/>
      <c r="T51" s="2"/>
      <c r="U51" s="15" t="s">
        <v>329</v>
      </c>
      <c r="V51" s="16" t="s">
        <v>330</v>
      </c>
      <c r="W51" s="17" t="s">
        <v>124</v>
      </c>
      <c r="X51" s="18"/>
      <c r="Y51" s="18"/>
      <c r="Z51" s="18"/>
      <c r="AA51" s="19"/>
      <c r="AB51" s="19"/>
    </row>
    <row r="52" spans="1:28" ht="21">
      <c r="A52" s="5" t="s">
        <v>331</v>
      </c>
      <c r="B52" s="5" t="s">
        <v>332</v>
      </c>
      <c r="C52" s="10"/>
      <c r="D52" s="10"/>
      <c r="E52" s="10"/>
      <c r="F52" s="10"/>
      <c r="G52" s="10"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v>
      </c>
      <c r="H52" s="7"/>
      <c r="I52" s="7"/>
      <c r="J52" s="2"/>
      <c r="K52" s="5" t="s">
        <v>217</v>
      </c>
      <c r="L52" s="12" t="s">
        <v>68</v>
      </c>
      <c r="M52" s="13"/>
      <c r="N52" s="13"/>
      <c r="O52" s="13"/>
      <c r="P52" s="13"/>
      <c r="Q52" s="13" t="str">
        <f>IF(AND(ISNUMBER(MATCH(M52,{"F","E","D","D+","C","C+","B","B+","A","A+","S"},0)),ISNUMBER(MATCH(N52,{"F","E","D","D+","C","C+","B","B+","A","A+","S"},0)),ISNUMBER(MATCH(O52,{"F","E","D","D+","C","C+","B","B+","A","A+","S"},0)),ISNUMBER(MATCH(P52,{"F","E","D","D+","C","C+","B","B+","A","A+","S"},0))),LOOKUP(AVERAGE(_xlfn.SWITCH(M52,"F",0,"E",10,"D",20,"D+",30,"C",40,"C+",50,"B",60,"B+",70,"A",80,"A+",90,"S",100),_xlfn.SWITCH(N52,"F",0,"E",10,"D",20,"D+",30,"C",40,"C+",50,"B",60,"B+",70,"A",80,"A+",90,"S",100),_xlfn.SWITCH(O52,"F",0,"E",10,"D",20,"D+",30,"C",40,"C+",50,"B",60,"B+",70,"A",80,"A+",90,"S",100),_xlfn.SWITCH(P52,"F",0,"E",10,"D",20,"D+",30,"C",40,"C+",50,"B",60,"B+",70,"A",80,"A+",90,"S",100)),{0,15,25,35,45,55,65,75,85,95},{"D","D","D+","C","C+","B","B+","A","A+","S"}),"?")</f>
        <v>?</v>
      </c>
      <c r="R52" s="14"/>
      <c r="S52" s="14"/>
      <c r="T52" s="2"/>
      <c r="U52" s="15" t="s">
        <v>333</v>
      </c>
      <c r="V52" s="16" t="s">
        <v>234</v>
      </c>
      <c r="W52" s="17" t="s">
        <v>68</v>
      </c>
      <c r="X52" s="18"/>
      <c r="Y52" s="18"/>
      <c r="Z52" s="18"/>
      <c r="AA52" s="19"/>
      <c r="AB52" s="19"/>
    </row>
    <row r="53" spans="1:28" ht="21">
      <c r="A53" s="5" t="s">
        <v>334</v>
      </c>
      <c r="B53" s="5" t="s">
        <v>335</v>
      </c>
      <c r="C53" s="10"/>
      <c r="D53" s="10"/>
      <c r="E53" s="10"/>
      <c r="F53" s="10"/>
      <c r="G53" s="10"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v>
      </c>
      <c r="H53" s="7"/>
      <c r="I53" s="7"/>
      <c r="J53" s="2"/>
      <c r="K53" s="5" t="s">
        <v>336</v>
      </c>
      <c r="L53" s="12" t="s">
        <v>337</v>
      </c>
      <c r="M53" s="13"/>
      <c r="N53" s="13"/>
      <c r="O53" s="13"/>
      <c r="P53" s="13"/>
      <c r="Q53" s="13" t="str">
        <f>IF(AND(ISNUMBER(MATCH(M53,{"F","E","D","D+","C","C+","B","B+","A","A+","S"},0)),ISNUMBER(MATCH(N53,{"F","E","D","D+","C","C+","B","B+","A","A+","S"},0)),ISNUMBER(MATCH(O53,{"F","E","D","D+","C","C+","B","B+","A","A+","S"},0)),ISNUMBER(MATCH(P53,{"F","E","D","D+","C","C+","B","B+","A","A+","S"},0))),LOOKUP(AVERAGE(_xlfn.SWITCH(M53,"F",0,"E",10,"D",20,"D+",30,"C",40,"C+",50,"B",60,"B+",70,"A",80,"A+",90,"S",100),_xlfn.SWITCH(N53,"F",0,"E",10,"D",20,"D+",30,"C",40,"C+",50,"B",60,"B+",70,"A",80,"A+",90,"S",100),_xlfn.SWITCH(O53,"F",0,"E",10,"D",20,"D+",30,"C",40,"C+",50,"B",60,"B+",70,"A",80,"A+",90,"S",100),_xlfn.SWITCH(P53,"F",0,"E",10,"D",20,"D+",30,"C",40,"C+",50,"B",60,"B+",70,"A",80,"A+",90,"S",100)),{0,15,25,35,45,55,65,75,85,95},{"D","D","D+","C","C+","B","B+","A","A+","S"}),"?")</f>
        <v>?</v>
      </c>
      <c r="R53" s="14"/>
      <c r="S53" s="14"/>
      <c r="T53" s="2"/>
      <c r="U53" s="15" t="s">
        <v>338</v>
      </c>
      <c r="V53" s="16" t="s">
        <v>271</v>
      </c>
      <c r="W53" s="17" t="s">
        <v>272</v>
      </c>
      <c r="X53" s="18"/>
      <c r="Y53" s="18"/>
      <c r="Z53" s="18"/>
      <c r="AA53" s="19"/>
      <c r="AB53" s="19"/>
    </row>
    <row r="54" spans="1:28" ht="21">
      <c r="A54" s="5" t="s">
        <v>339</v>
      </c>
      <c r="B54" s="5" t="s">
        <v>340</v>
      </c>
      <c r="C54" s="10"/>
      <c r="D54" s="10"/>
      <c r="E54" s="10"/>
      <c r="F54" s="10"/>
      <c r="G54" s="10"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v>
      </c>
      <c r="H54" s="7"/>
      <c r="I54" s="7"/>
      <c r="J54" s="2"/>
      <c r="K54" s="5" t="s">
        <v>341</v>
      </c>
      <c r="L54" s="12" t="s">
        <v>342</v>
      </c>
      <c r="M54" s="13"/>
      <c r="N54" s="13"/>
      <c r="O54" s="13"/>
      <c r="P54" s="13"/>
      <c r="Q54" s="13" t="str">
        <f>IF(AND(ISNUMBER(MATCH(M54,{"F","E","D","D+","C","C+","B","B+","A","A+","S"},0)),ISNUMBER(MATCH(N54,{"F","E","D","D+","C","C+","B","B+","A","A+","S"},0)),ISNUMBER(MATCH(O54,{"F","E","D","D+","C","C+","B","B+","A","A+","S"},0)),ISNUMBER(MATCH(P54,{"F","E","D","D+","C","C+","B","B+","A","A+","S"},0))),LOOKUP(AVERAGE(_xlfn.SWITCH(M54,"F",0,"E",10,"D",20,"D+",30,"C",40,"C+",50,"B",60,"B+",70,"A",80,"A+",90,"S",100),_xlfn.SWITCH(N54,"F",0,"E",10,"D",20,"D+",30,"C",40,"C+",50,"B",60,"B+",70,"A",80,"A+",90,"S",100),_xlfn.SWITCH(O54,"F",0,"E",10,"D",20,"D+",30,"C",40,"C+",50,"B",60,"B+",70,"A",80,"A+",90,"S",100),_xlfn.SWITCH(P54,"F",0,"E",10,"D",20,"D+",30,"C",40,"C+",50,"B",60,"B+",70,"A",80,"A+",90,"S",100)),{0,15,25,35,45,55,65,75,85,95},{"D","D","D+","C","C+","B","B+","A","A+","S"}),"?")</f>
        <v>?</v>
      </c>
      <c r="R54" s="14"/>
      <c r="S54" s="14"/>
      <c r="T54" s="2"/>
      <c r="U54" s="15" t="s">
        <v>343</v>
      </c>
      <c r="V54" s="16" t="s">
        <v>344</v>
      </c>
      <c r="W54" s="17" t="s">
        <v>345</v>
      </c>
      <c r="X54" s="18"/>
      <c r="Y54" s="18"/>
      <c r="Z54" s="18"/>
      <c r="AA54" s="19"/>
      <c r="AB54" s="19"/>
    </row>
    <row r="55" spans="1:28" ht="21">
      <c r="A55" s="5" t="s">
        <v>346</v>
      </c>
      <c r="B55" s="5" t="s">
        <v>347</v>
      </c>
      <c r="C55" s="10"/>
      <c r="D55" s="10"/>
      <c r="E55" s="10"/>
      <c r="F55" s="10"/>
      <c r="G55" s="10"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v>
      </c>
      <c r="H55" s="7"/>
      <c r="I55" s="7"/>
      <c r="J55" s="2"/>
      <c r="K55" s="5" t="s">
        <v>348</v>
      </c>
      <c r="L55" s="12" t="s">
        <v>349</v>
      </c>
      <c r="M55" s="13"/>
      <c r="N55" s="13"/>
      <c r="O55" s="13"/>
      <c r="P55" s="13"/>
      <c r="Q55" s="13" t="str">
        <f>IF(AND(ISNUMBER(MATCH(M55,{"F","E","D","D+","C","C+","B","B+","A","A+","S"},0)),ISNUMBER(MATCH(N55,{"F","E","D","D+","C","C+","B","B+","A","A+","S"},0)),ISNUMBER(MATCH(O55,{"F","E","D","D+","C","C+","B","B+","A","A+","S"},0)),ISNUMBER(MATCH(P55,{"F","E","D","D+","C","C+","B","B+","A","A+","S"},0))),LOOKUP(AVERAGE(_xlfn.SWITCH(M55,"F",0,"E",10,"D",20,"D+",30,"C",40,"C+",50,"B",60,"B+",70,"A",80,"A+",90,"S",100),_xlfn.SWITCH(N55,"F",0,"E",10,"D",20,"D+",30,"C",40,"C+",50,"B",60,"B+",70,"A",80,"A+",90,"S",100),_xlfn.SWITCH(O55,"F",0,"E",10,"D",20,"D+",30,"C",40,"C+",50,"B",60,"B+",70,"A",80,"A+",90,"S",100),_xlfn.SWITCH(P55,"F",0,"E",10,"D",20,"D+",30,"C",40,"C+",50,"B",60,"B+",70,"A",80,"A+",90,"S",100)),{0,15,25,35,45,55,65,75,85,95},{"D","D","D+","C","C+","B","B+","A","A+","S"}),"?")</f>
        <v>?</v>
      </c>
      <c r="R55" s="14"/>
      <c r="S55" s="14"/>
      <c r="T55" s="2"/>
      <c r="U55" s="15" t="s">
        <v>350</v>
      </c>
      <c r="V55" s="16" t="s">
        <v>351</v>
      </c>
      <c r="W55" s="17" t="s">
        <v>352</v>
      </c>
      <c r="X55" s="18"/>
      <c r="Y55" s="18"/>
      <c r="Z55" s="18"/>
      <c r="AA55" s="19"/>
      <c r="AB55" s="19"/>
    </row>
    <row r="56" spans="1:28" ht="21">
      <c r="A56" s="5" t="s">
        <v>353</v>
      </c>
      <c r="B56" s="5" t="s">
        <v>354</v>
      </c>
      <c r="C56" s="10"/>
      <c r="D56" s="10"/>
      <c r="E56" s="10"/>
      <c r="F56" s="10"/>
      <c r="G56" s="10"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7"/>
      <c r="I56" s="7"/>
      <c r="J56" s="2"/>
      <c r="K56" s="5" t="s">
        <v>355</v>
      </c>
      <c r="L56" s="12" t="s">
        <v>356</v>
      </c>
      <c r="M56" s="13"/>
      <c r="N56" s="13"/>
      <c r="O56" s="13"/>
      <c r="P56" s="13"/>
      <c r="Q56" s="13" t="str">
        <f>IF(AND(ISNUMBER(MATCH(M56,{"F","E","D","D+","C","C+","B","B+","A","A+","S"},0)),ISNUMBER(MATCH(N56,{"F","E","D","D+","C","C+","B","B+","A","A+","S"},0)),ISNUMBER(MATCH(O56,{"F","E","D","D+","C","C+","B","B+","A","A+","S"},0)),ISNUMBER(MATCH(P56,{"F","E","D","D+","C","C+","B","B+","A","A+","S"},0))),LOOKUP(AVERAGE(_xlfn.SWITCH(M56,"F",0,"E",10,"D",20,"D+",30,"C",40,"C+",50,"B",60,"B+",70,"A",80,"A+",90,"S",100),_xlfn.SWITCH(N56,"F",0,"E",10,"D",20,"D+",30,"C",40,"C+",50,"B",60,"B+",70,"A",80,"A+",90,"S",100),_xlfn.SWITCH(O56,"F",0,"E",10,"D",20,"D+",30,"C",40,"C+",50,"B",60,"B+",70,"A",80,"A+",90,"S",100),_xlfn.SWITCH(P56,"F",0,"E",10,"D",20,"D+",30,"C",40,"C+",50,"B",60,"B+",70,"A",80,"A+",90,"S",100)),{0,15,25,35,45,55,65,75,85,95},{"D","D","D+","C","C+","B","B+","A","A+","S"}),"?")</f>
        <v>?</v>
      </c>
      <c r="R56" s="14"/>
      <c r="S56" s="14"/>
      <c r="T56" s="2"/>
      <c r="U56" s="15" t="s">
        <v>357</v>
      </c>
      <c r="V56" s="16" t="s">
        <v>50</v>
      </c>
      <c r="W56" s="17" t="s">
        <v>51</v>
      </c>
      <c r="X56" s="18"/>
      <c r="Y56" s="18"/>
      <c r="Z56" s="18"/>
      <c r="AA56" s="19"/>
      <c r="AB56" s="19"/>
    </row>
    <row r="57" spans="1:28" ht="21">
      <c r="A57" s="5" t="s">
        <v>358</v>
      </c>
      <c r="B57" s="5" t="s">
        <v>359</v>
      </c>
      <c r="C57" s="10"/>
      <c r="D57" s="10"/>
      <c r="E57" s="10"/>
      <c r="F57" s="10"/>
      <c r="G57" s="10"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7"/>
      <c r="I57" s="7"/>
      <c r="J57" s="2"/>
      <c r="K57" s="5" t="s">
        <v>360</v>
      </c>
      <c r="L57" s="12" t="s">
        <v>361</v>
      </c>
      <c r="M57" s="13"/>
      <c r="N57" s="13"/>
      <c r="O57" s="13"/>
      <c r="P57" s="13"/>
      <c r="Q57" s="13" t="str">
        <f>IF(AND(ISNUMBER(MATCH(M57,{"F","E","D","D+","C","C+","B","B+","A","A+","S"},0)),ISNUMBER(MATCH(N57,{"F","E","D","D+","C","C+","B","B+","A","A+","S"},0)),ISNUMBER(MATCH(O57,{"F","E","D","D+","C","C+","B","B+","A","A+","S"},0)),ISNUMBER(MATCH(P57,{"F","E","D","D+","C","C+","B","B+","A","A+","S"},0))),LOOKUP(AVERAGE(_xlfn.SWITCH(M57,"F",0,"E",10,"D",20,"D+",30,"C",40,"C+",50,"B",60,"B+",70,"A",80,"A+",90,"S",100),_xlfn.SWITCH(N57,"F",0,"E",10,"D",20,"D+",30,"C",40,"C+",50,"B",60,"B+",70,"A",80,"A+",90,"S",100),_xlfn.SWITCH(O57,"F",0,"E",10,"D",20,"D+",30,"C",40,"C+",50,"B",60,"B+",70,"A",80,"A+",90,"S",100),_xlfn.SWITCH(P57,"F",0,"E",10,"D",20,"D+",30,"C",40,"C+",50,"B",60,"B+",70,"A",80,"A+",90,"S",100)),{0,15,25,35,45,55,65,75,85,95},{"D","D","D+","C","C+","B","B+","A","A+","S"}),"?")</f>
        <v>?</v>
      </c>
      <c r="R57" s="14"/>
      <c r="S57" s="14"/>
      <c r="T57" s="2"/>
      <c r="U57" s="15" t="s">
        <v>362</v>
      </c>
      <c r="V57" s="16" t="s">
        <v>363</v>
      </c>
      <c r="W57" s="17" t="s">
        <v>364</v>
      </c>
      <c r="X57" s="18"/>
      <c r="Y57" s="18"/>
      <c r="Z57" s="18"/>
      <c r="AA57" s="19"/>
      <c r="AB57" s="19"/>
    </row>
    <row r="58" spans="1:28" ht="21">
      <c r="A58" s="5" t="s">
        <v>365</v>
      </c>
      <c r="B58" s="5" t="s">
        <v>366</v>
      </c>
      <c r="C58" s="10"/>
      <c r="D58" s="10"/>
      <c r="E58" s="10"/>
      <c r="F58" s="10"/>
      <c r="G58" s="10"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7"/>
      <c r="I58" s="7"/>
      <c r="J58" s="2"/>
      <c r="K58" s="5" t="s">
        <v>367</v>
      </c>
      <c r="L58" s="12" t="s">
        <v>368</v>
      </c>
      <c r="M58" s="13"/>
      <c r="N58" s="13"/>
      <c r="O58" s="13"/>
      <c r="P58" s="13"/>
      <c r="Q58" s="13" t="str">
        <f>IF(AND(ISNUMBER(MATCH(M58,{"F","E","D","D+","C","C+","B","B+","A","A+","S"},0)),ISNUMBER(MATCH(N58,{"F","E","D","D+","C","C+","B","B+","A","A+","S"},0)),ISNUMBER(MATCH(O58,{"F","E","D","D+","C","C+","B","B+","A","A+","S"},0)),ISNUMBER(MATCH(P58,{"F","E","D","D+","C","C+","B","B+","A","A+","S"},0))),LOOKUP(AVERAGE(_xlfn.SWITCH(M58,"F",0,"E",10,"D",20,"D+",30,"C",40,"C+",50,"B",60,"B+",70,"A",80,"A+",90,"S",100),_xlfn.SWITCH(N58,"F",0,"E",10,"D",20,"D+",30,"C",40,"C+",50,"B",60,"B+",70,"A",80,"A+",90,"S",100),_xlfn.SWITCH(O58,"F",0,"E",10,"D",20,"D+",30,"C",40,"C+",50,"B",60,"B+",70,"A",80,"A+",90,"S",100),_xlfn.SWITCH(P58,"F",0,"E",10,"D",20,"D+",30,"C",40,"C+",50,"B",60,"B+",70,"A",80,"A+",90,"S",100)),{0,15,25,35,45,55,65,75,85,95},{"D","D","D+","C","C+","B","B+","A","A+","S"}),"?")</f>
        <v>?</v>
      </c>
      <c r="R58" s="14"/>
      <c r="S58" s="14"/>
      <c r="T58" s="2"/>
      <c r="U58" s="15" t="s">
        <v>369</v>
      </c>
      <c r="V58" s="16" t="s">
        <v>370</v>
      </c>
      <c r="W58" s="17" t="s">
        <v>49</v>
      </c>
      <c r="X58" s="18"/>
      <c r="Y58" s="18"/>
      <c r="Z58" s="18"/>
      <c r="AA58" s="19"/>
      <c r="AB58" s="19"/>
    </row>
    <row r="59" spans="1:28" ht="21">
      <c r="A59" s="5" t="s">
        <v>371</v>
      </c>
      <c r="B59" s="5" t="s">
        <v>372</v>
      </c>
      <c r="C59" s="10"/>
      <c r="D59" s="10"/>
      <c r="E59" s="10"/>
      <c r="F59" s="10"/>
      <c r="G59" s="10"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7"/>
      <c r="I59" s="7"/>
      <c r="J59" s="2"/>
      <c r="K59" s="5" t="s">
        <v>210</v>
      </c>
      <c r="L59" s="12" t="s">
        <v>211</v>
      </c>
      <c r="M59" s="13"/>
      <c r="N59" s="13"/>
      <c r="O59" s="13"/>
      <c r="P59" s="13"/>
      <c r="Q59" s="13" t="str">
        <f>IF(AND(ISNUMBER(MATCH(M59,{"F","E","D","D+","C","C+","B","B+","A","A+","S"},0)),ISNUMBER(MATCH(N59,{"F","E","D","D+","C","C+","B","B+","A","A+","S"},0)),ISNUMBER(MATCH(O59,{"F","E","D","D+","C","C+","B","B+","A","A+","S"},0)),ISNUMBER(MATCH(P59,{"F","E","D","D+","C","C+","B","B+","A","A+","S"},0))),LOOKUP(AVERAGE(_xlfn.SWITCH(M59,"F",0,"E",10,"D",20,"D+",30,"C",40,"C+",50,"B",60,"B+",70,"A",80,"A+",90,"S",100),_xlfn.SWITCH(N59,"F",0,"E",10,"D",20,"D+",30,"C",40,"C+",50,"B",60,"B+",70,"A",80,"A+",90,"S",100),_xlfn.SWITCH(O59,"F",0,"E",10,"D",20,"D+",30,"C",40,"C+",50,"B",60,"B+",70,"A",80,"A+",90,"S",100),_xlfn.SWITCH(P59,"F",0,"E",10,"D",20,"D+",30,"C",40,"C+",50,"B",60,"B+",70,"A",80,"A+",90,"S",100)),{0,15,25,35,45,55,65,75,85,95},{"D","D","D+","C","C+","B","B+","A","A+","S"}),"?")</f>
        <v>?</v>
      </c>
      <c r="R59" s="14"/>
      <c r="S59" s="14"/>
      <c r="T59" s="2"/>
      <c r="U59" s="15" t="s">
        <v>373</v>
      </c>
      <c r="V59" s="16" t="s">
        <v>374</v>
      </c>
      <c r="W59" s="17" t="s">
        <v>375</v>
      </c>
      <c r="X59" s="18"/>
      <c r="Y59" s="18"/>
      <c r="Z59" s="18"/>
      <c r="AA59" s="19"/>
      <c r="AB59" s="19"/>
    </row>
    <row r="60" spans="1:28" ht="21">
      <c r="A60" s="5" t="s">
        <v>376</v>
      </c>
      <c r="B60" s="5" t="s">
        <v>278</v>
      </c>
      <c r="C60" s="10"/>
      <c r="D60" s="10"/>
      <c r="E60" s="10"/>
      <c r="F60" s="10"/>
      <c r="G60" s="10"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7"/>
      <c r="I60" s="7"/>
      <c r="J60" s="2"/>
      <c r="K60" s="5" t="s">
        <v>377</v>
      </c>
      <c r="L60" s="12" t="s">
        <v>378</v>
      </c>
      <c r="M60" s="13"/>
      <c r="N60" s="13"/>
      <c r="O60" s="13"/>
      <c r="P60" s="13"/>
      <c r="Q60" s="13" t="str">
        <f>IF(AND(ISNUMBER(MATCH(M60,{"F","E","D","D+","C","C+","B","B+","A","A+","S"},0)),ISNUMBER(MATCH(N60,{"F","E","D","D+","C","C+","B","B+","A","A+","S"},0)),ISNUMBER(MATCH(O60,{"F","E","D","D+","C","C+","B","B+","A","A+","S"},0)),ISNUMBER(MATCH(P60,{"F","E","D","D+","C","C+","B","B+","A","A+","S"},0))),LOOKUP(AVERAGE(_xlfn.SWITCH(M60,"F",0,"E",10,"D",20,"D+",30,"C",40,"C+",50,"B",60,"B+",70,"A",80,"A+",90,"S",100),_xlfn.SWITCH(N60,"F",0,"E",10,"D",20,"D+",30,"C",40,"C+",50,"B",60,"B+",70,"A",80,"A+",90,"S",100),_xlfn.SWITCH(O60,"F",0,"E",10,"D",20,"D+",30,"C",40,"C+",50,"B",60,"B+",70,"A",80,"A+",90,"S",100),_xlfn.SWITCH(P60,"F",0,"E",10,"D",20,"D+",30,"C",40,"C+",50,"B",60,"B+",70,"A",80,"A+",90,"S",100)),{0,15,25,35,45,55,65,75,85,95},{"D","D","D+","C","C+","B","B+","A","A+","S"}),"?")</f>
        <v>?</v>
      </c>
      <c r="R60" s="14"/>
      <c r="S60" s="14"/>
      <c r="T60" s="2"/>
      <c r="U60" s="15" t="s">
        <v>379</v>
      </c>
      <c r="V60" s="16" t="s">
        <v>380</v>
      </c>
      <c r="W60" s="17" t="s">
        <v>381</v>
      </c>
      <c r="X60" s="18"/>
      <c r="Y60" s="18"/>
      <c r="Z60" s="18"/>
      <c r="AA60" s="19"/>
      <c r="AB60" s="19"/>
    </row>
    <row r="61" spans="1:28" ht="21">
      <c r="A61" s="5" t="s">
        <v>382</v>
      </c>
      <c r="B61" s="5" t="s">
        <v>383</v>
      </c>
      <c r="C61" s="10"/>
      <c r="D61" s="10"/>
      <c r="E61" s="10"/>
      <c r="F61" s="10"/>
      <c r="G61" s="10"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7"/>
      <c r="I61" s="7"/>
      <c r="J61" s="2"/>
      <c r="K61" s="5" t="s">
        <v>384</v>
      </c>
      <c r="L61" s="12" t="s">
        <v>385</v>
      </c>
      <c r="M61" s="13"/>
      <c r="N61" s="13"/>
      <c r="O61" s="13"/>
      <c r="P61" s="13"/>
      <c r="Q61" s="13" t="str">
        <f>IF(AND(ISNUMBER(MATCH(M61,{"F","E","D","D+","C","C+","B","B+","A","A+","S"},0)),ISNUMBER(MATCH(N61,{"F","E","D","D+","C","C+","B","B+","A","A+","S"},0)),ISNUMBER(MATCH(O61,{"F","E","D","D+","C","C+","B","B+","A","A+","S"},0)),ISNUMBER(MATCH(P61,{"F","E","D","D+","C","C+","B","B+","A","A+","S"},0))),LOOKUP(AVERAGE(_xlfn.SWITCH(M61,"F",0,"E",10,"D",20,"D+",30,"C",40,"C+",50,"B",60,"B+",70,"A",80,"A+",90,"S",100),_xlfn.SWITCH(N61,"F",0,"E",10,"D",20,"D+",30,"C",40,"C+",50,"B",60,"B+",70,"A",80,"A+",90,"S",100),_xlfn.SWITCH(O61,"F",0,"E",10,"D",20,"D+",30,"C",40,"C+",50,"B",60,"B+",70,"A",80,"A+",90,"S",100),_xlfn.SWITCH(P61,"F",0,"E",10,"D",20,"D+",30,"C",40,"C+",50,"B",60,"B+",70,"A",80,"A+",90,"S",100)),{0,15,25,35,45,55,65,75,85,95},{"D","D","D+","C","C+","B","B+","A","A+","S"}),"?")</f>
        <v>?</v>
      </c>
      <c r="R61" s="14"/>
      <c r="S61" s="14"/>
      <c r="T61" s="2"/>
      <c r="U61" s="15" t="s">
        <v>386</v>
      </c>
      <c r="V61" s="16" t="s">
        <v>172</v>
      </c>
      <c r="W61" s="17" t="s">
        <v>173</v>
      </c>
      <c r="X61" s="18"/>
      <c r="Y61" s="18"/>
      <c r="Z61" s="18"/>
      <c r="AA61" s="19"/>
      <c r="AB61" s="19"/>
    </row>
    <row r="62" spans="1:28" ht="21">
      <c r="A62" s="5" t="s">
        <v>387</v>
      </c>
      <c r="B62" s="5" t="s">
        <v>388</v>
      </c>
      <c r="C62" s="10"/>
      <c r="D62" s="10"/>
      <c r="E62" s="10"/>
      <c r="F62" s="10"/>
      <c r="G62" s="10"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7"/>
      <c r="I62" s="7"/>
      <c r="J62" s="2"/>
      <c r="K62" s="5" t="s">
        <v>389</v>
      </c>
      <c r="L62" s="12" t="s">
        <v>390</v>
      </c>
      <c r="M62" s="13"/>
      <c r="N62" s="13"/>
      <c r="O62" s="13"/>
      <c r="P62" s="13"/>
      <c r="Q62" s="13" t="str">
        <f>IF(AND(ISNUMBER(MATCH(M62,{"F","E","D","D+","C","C+","B","B+","A","A+","S"},0)),ISNUMBER(MATCH(N62,{"F","E","D","D+","C","C+","B","B+","A","A+","S"},0)),ISNUMBER(MATCH(O62,{"F","E","D","D+","C","C+","B","B+","A","A+","S"},0)),ISNUMBER(MATCH(P62,{"F","E","D","D+","C","C+","B","B+","A","A+","S"},0))),LOOKUP(AVERAGE(_xlfn.SWITCH(M62,"F",0,"E",10,"D",20,"D+",30,"C",40,"C+",50,"B",60,"B+",70,"A",80,"A+",90,"S",100),_xlfn.SWITCH(N62,"F",0,"E",10,"D",20,"D+",30,"C",40,"C+",50,"B",60,"B+",70,"A",80,"A+",90,"S",100),_xlfn.SWITCH(O62,"F",0,"E",10,"D",20,"D+",30,"C",40,"C+",50,"B",60,"B+",70,"A",80,"A+",90,"S",100),_xlfn.SWITCH(P62,"F",0,"E",10,"D",20,"D+",30,"C",40,"C+",50,"B",60,"B+",70,"A",80,"A+",90,"S",100)),{0,15,25,35,45,55,65,75,85,95},{"D","D","D+","C","C+","B","B+","A","A+","S"}),"?")</f>
        <v>?</v>
      </c>
      <c r="R62" s="14"/>
      <c r="S62" s="14"/>
      <c r="T62" s="2"/>
      <c r="U62" s="15" t="s">
        <v>391</v>
      </c>
      <c r="V62" s="16" t="s">
        <v>392</v>
      </c>
      <c r="W62" s="17" t="s">
        <v>359</v>
      </c>
      <c r="X62" s="18"/>
      <c r="Y62" s="18"/>
      <c r="Z62" s="18"/>
      <c r="AA62" s="19"/>
      <c r="AB62" s="19"/>
    </row>
    <row r="63" spans="1:28" ht="21">
      <c r="A63" s="5" t="s">
        <v>393</v>
      </c>
      <c r="B63" s="5" t="s">
        <v>394</v>
      </c>
      <c r="C63" s="10"/>
      <c r="D63" s="10"/>
      <c r="E63" s="10"/>
      <c r="F63" s="10"/>
      <c r="G63" s="10"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7"/>
      <c r="I63" s="7"/>
      <c r="J63" s="2"/>
      <c r="K63" s="5" t="s">
        <v>395</v>
      </c>
      <c r="L63" s="12" t="s">
        <v>396</v>
      </c>
      <c r="M63" s="13"/>
      <c r="N63" s="13"/>
      <c r="O63" s="13"/>
      <c r="P63" s="13"/>
      <c r="Q63" s="13" t="str">
        <f>IF(AND(ISNUMBER(MATCH(M63,{"F","E","D","D+","C","C+","B","B+","A","A+","S"},0)),ISNUMBER(MATCH(N63,{"F","E","D","D+","C","C+","B","B+","A","A+","S"},0)),ISNUMBER(MATCH(O63,{"F","E","D","D+","C","C+","B","B+","A","A+","S"},0)),ISNUMBER(MATCH(P63,{"F","E","D","D+","C","C+","B","B+","A","A+","S"},0))),LOOKUP(AVERAGE(_xlfn.SWITCH(M63,"F",0,"E",10,"D",20,"D+",30,"C",40,"C+",50,"B",60,"B+",70,"A",80,"A+",90,"S",100),_xlfn.SWITCH(N63,"F",0,"E",10,"D",20,"D+",30,"C",40,"C+",50,"B",60,"B+",70,"A",80,"A+",90,"S",100),_xlfn.SWITCH(O63,"F",0,"E",10,"D",20,"D+",30,"C",40,"C+",50,"B",60,"B+",70,"A",80,"A+",90,"S",100),_xlfn.SWITCH(P63,"F",0,"E",10,"D",20,"D+",30,"C",40,"C+",50,"B",60,"B+",70,"A",80,"A+",90,"S",100)),{0,15,25,35,45,55,65,75,85,95},{"D","D","D+","C","C+","B","B+","A","A+","S"}),"?")</f>
        <v>?</v>
      </c>
      <c r="R63" s="14"/>
      <c r="S63" s="14"/>
      <c r="T63" s="2"/>
      <c r="U63" s="15" t="s">
        <v>397</v>
      </c>
      <c r="V63" s="16" t="s">
        <v>398</v>
      </c>
      <c r="W63" s="17" t="s">
        <v>30</v>
      </c>
      <c r="X63" s="18"/>
      <c r="Y63" s="18"/>
      <c r="Z63" s="18"/>
      <c r="AA63" s="19"/>
      <c r="AB63" s="19"/>
    </row>
    <row r="64" spans="1:28" ht="21">
      <c r="A64" s="5" t="s">
        <v>399</v>
      </c>
      <c r="B64" s="5" t="s">
        <v>400</v>
      </c>
      <c r="C64" s="10"/>
      <c r="D64" s="10"/>
      <c r="E64" s="10"/>
      <c r="F64" s="10"/>
      <c r="G64" s="10"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7"/>
      <c r="I64" s="7"/>
      <c r="J64" s="2"/>
      <c r="K64" s="5" t="s">
        <v>401</v>
      </c>
      <c r="L64" s="12" t="s">
        <v>402</v>
      </c>
      <c r="M64" s="13"/>
      <c r="N64" s="13"/>
      <c r="O64" s="13"/>
      <c r="P64" s="13"/>
      <c r="Q64" s="13" t="str">
        <f>IF(AND(ISNUMBER(MATCH(M64,{"F","E","D","D+","C","C+","B","B+","A","A+","S"},0)),ISNUMBER(MATCH(N64,{"F","E","D","D+","C","C+","B","B+","A","A+","S"},0)),ISNUMBER(MATCH(O64,{"F","E","D","D+","C","C+","B","B+","A","A+","S"},0)),ISNUMBER(MATCH(P64,{"F","E","D","D+","C","C+","B","B+","A","A+","S"},0))),LOOKUP(AVERAGE(_xlfn.SWITCH(M64,"F",0,"E",10,"D",20,"D+",30,"C",40,"C+",50,"B",60,"B+",70,"A",80,"A+",90,"S",100),_xlfn.SWITCH(N64,"F",0,"E",10,"D",20,"D+",30,"C",40,"C+",50,"B",60,"B+",70,"A",80,"A+",90,"S",100),_xlfn.SWITCH(O64,"F",0,"E",10,"D",20,"D+",30,"C",40,"C+",50,"B",60,"B+",70,"A",80,"A+",90,"S",100),_xlfn.SWITCH(P64,"F",0,"E",10,"D",20,"D+",30,"C",40,"C+",50,"B",60,"B+",70,"A",80,"A+",90,"S",100)),{0,15,25,35,45,55,65,75,85,95},{"D","D","D+","C","C+","B","B+","A","A+","S"}),"?")</f>
        <v>?</v>
      </c>
      <c r="R64" s="14"/>
      <c r="S64" s="14"/>
      <c r="T64" s="2"/>
      <c r="U64" s="15" t="s">
        <v>403</v>
      </c>
      <c r="V64" s="16" t="s">
        <v>258</v>
      </c>
      <c r="W64" s="17" t="s">
        <v>259</v>
      </c>
      <c r="X64" s="18"/>
      <c r="Y64" s="18"/>
      <c r="Z64" s="18"/>
      <c r="AA64" s="19"/>
      <c r="AB64" s="19"/>
    </row>
    <row r="65" spans="1:28" ht="21">
      <c r="A65" s="5" t="s">
        <v>404</v>
      </c>
      <c r="B65" s="5" t="s">
        <v>405</v>
      </c>
      <c r="C65" s="10"/>
      <c r="D65" s="10"/>
      <c r="E65" s="10"/>
      <c r="F65" s="10"/>
      <c r="G65" s="10"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7"/>
      <c r="I65" s="7"/>
      <c r="J65" s="2"/>
      <c r="K65" s="5" t="s">
        <v>374</v>
      </c>
      <c r="L65" s="12" t="s">
        <v>375</v>
      </c>
      <c r="M65" s="13"/>
      <c r="N65" s="13"/>
      <c r="O65" s="13"/>
      <c r="P65" s="13"/>
      <c r="Q65" s="13" t="str">
        <f>IF(AND(ISNUMBER(MATCH(M65,{"F","E","D","D+","C","C+","B","B+","A","A+","S"},0)),ISNUMBER(MATCH(N65,{"F","E","D","D+","C","C+","B","B+","A","A+","S"},0)),ISNUMBER(MATCH(O65,{"F","E","D","D+","C","C+","B","B+","A","A+","S"},0)),ISNUMBER(MATCH(P65,{"F","E","D","D+","C","C+","B","B+","A","A+","S"},0))),LOOKUP(AVERAGE(_xlfn.SWITCH(M65,"F",0,"E",10,"D",20,"D+",30,"C",40,"C+",50,"B",60,"B+",70,"A",80,"A+",90,"S",100),_xlfn.SWITCH(N65,"F",0,"E",10,"D",20,"D+",30,"C",40,"C+",50,"B",60,"B+",70,"A",80,"A+",90,"S",100),_xlfn.SWITCH(O65,"F",0,"E",10,"D",20,"D+",30,"C",40,"C+",50,"B",60,"B+",70,"A",80,"A+",90,"S",100),_xlfn.SWITCH(P65,"F",0,"E",10,"D",20,"D+",30,"C",40,"C+",50,"B",60,"B+",70,"A",80,"A+",90,"S",100)),{0,15,25,35,45,55,65,75,85,95},{"D","D","D+","C","C+","B","B+","A","A+","S"}),"?")</f>
        <v>?</v>
      </c>
      <c r="R65" s="14"/>
      <c r="S65" s="14"/>
      <c r="T65" s="2"/>
      <c r="U65" s="15" t="s">
        <v>406</v>
      </c>
      <c r="V65" s="16" t="s">
        <v>407</v>
      </c>
      <c r="W65" s="17" t="s">
        <v>408</v>
      </c>
      <c r="X65" s="18"/>
      <c r="Y65" s="18"/>
      <c r="Z65" s="18"/>
      <c r="AA65" s="19"/>
      <c r="AB65" s="19"/>
    </row>
    <row r="66" spans="1:28" ht="21">
      <c r="A66" s="5" t="s">
        <v>409</v>
      </c>
      <c r="B66" s="5" t="s">
        <v>308</v>
      </c>
      <c r="C66" s="10"/>
      <c r="D66" s="10"/>
      <c r="E66" s="10"/>
      <c r="F66" s="10"/>
      <c r="G66" s="10"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7"/>
      <c r="I66" s="7"/>
      <c r="J66" s="2"/>
      <c r="K66" s="5" t="s">
        <v>230</v>
      </c>
      <c r="L66" s="12" t="s">
        <v>231</v>
      </c>
      <c r="M66" s="13"/>
      <c r="N66" s="13"/>
      <c r="O66" s="13"/>
      <c r="P66" s="13"/>
      <c r="Q66" s="13" t="str">
        <f>IF(AND(ISNUMBER(MATCH(M66,{"F","E","D","D+","C","C+","B","B+","A","A+","S"},0)),ISNUMBER(MATCH(N66,{"F","E","D","D+","C","C+","B","B+","A","A+","S"},0)),ISNUMBER(MATCH(O66,{"F","E","D","D+","C","C+","B","B+","A","A+","S"},0)),ISNUMBER(MATCH(P66,{"F","E","D","D+","C","C+","B","B+","A","A+","S"},0))),LOOKUP(AVERAGE(_xlfn.SWITCH(M66,"F",0,"E",10,"D",20,"D+",30,"C",40,"C+",50,"B",60,"B+",70,"A",80,"A+",90,"S",100),_xlfn.SWITCH(N66,"F",0,"E",10,"D",20,"D+",30,"C",40,"C+",50,"B",60,"B+",70,"A",80,"A+",90,"S",100),_xlfn.SWITCH(O66,"F",0,"E",10,"D",20,"D+",30,"C",40,"C+",50,"B",60,"B+",70,"A",80,"A+",90,"S",100),_xlfn.SWITCH(P66,"F",0,"E",10,"D",20,"D+",30,"C",40,"C+",50,"B",60,"B+",70,"A",80,"A+",90,"S",100)),{0,15,25,35,45,55,65,75,85,95},{"D","D","D+","C","C+","B","B+","A","A+","S"}),"?")</f>
        <v>?</v>
      </c>
      <c r="R66" s="14"/>
      <c r="S66" s="14"/>
      <c r="T66" s="2"/>
      <c r="U66" s="15" t="s">
        <v>410</v>
      </c>
      <c r="V66" s="16" t="s">
        <v>411</v>
      </c>
      <c r="W66" s="17" t="s">
        <v>412</v>
      </c>
      <c r="X66" s="18"/>
      <c r="Y66" s="18"/>
      <c r="Z66" s="18"/>
      <c r="AA66" s="19"/>
      <c r="AB66" s="19"/>
    </row>
    <row r="67" spans="1:28" ht="21">
      <c r="A67" s="5" t="s">
        <v>413</v>
      </c>
      <c r="B67" s="5" t="s">
        <v>414</v>
      </c>
      <c r="C67" s="10"/>
      <c r="D67" s="10"/>
      <c r="E67" s="10"/>
      <c r="F67" s="10"/>
      <c r="G67" s="10"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7"/>
      <c r="I67" s="7"/>
      <c r="J67" s="2"/>
      <c r="K67" s="5" t="s">
        <v>86</v>
      </c>
      <c r="L67" s="12" t="s">
        <v>87</v>
      </c>
      <c r="M67" s="13"/>
      <c r="N67" s="13"/>
      <c r="O67" s="13"/>
      <c r="P67" s="13"/>
      <c r="Q67" s="13" t="str">
        <f>IF(AND(ISNUMBER(MATCH(M67,{"F","E","D","D+","C","C+","B","B+","A","A+","S"},0)),ISNUMBER(MATCH(N67,{"F","E","D","D+","C","C+","B","B+","A","A+","S"},0)),ISNUMBER(MATCH(O67,{"F","E","D","D+","C","C+","B","B+","A","A+","S"},0)),ISNUMBER(MATCH(P67,{"F","E","D","D+","C","C+","B","B+","A","A+","S"},0))),LOOKUP(AVERAGE(_xlfn.SWITCH(M67,"F",0,"E",10,"D",20,"D+",30,"C",40,"C+",50,"B",60,"B+",70,"A",80,"A+",90,"S",100),_xlfn.SWITCH(N67,"F",0,"E",10,"D",20,"D+",30,"C",40,"C+",50,"B",60,"B+",70,"A",80,"A+",90,"S",100),_xlfn.SWITCH(O67,"F",0,"E",10,"D",20,"D+",30,"C",40,"C+",50,"B",60,"B+",70,"A",80,"A+",90,"S",100),_xlfn.SWITCH(P67,"F",0,"E",10,"D",20,"D+",30,"C",40,"C+",50,"B",60,"B+",70,"A",80,"A+",90,"S",100)),{0,15,25,35,45,55,65,75,85,95},{"D","D","D+","C","C+","B","B+","A","A+","S"}),"?")</f>
        <v>?</v>
      </c>
      <c r="R67" s="14"/>
      <c r="S67" s="14"/>
      <c r="T67" s="2"/>
      <c r="U67" s="15" t="s">
        <v>415</v>
      </c>
      <c r="V67" s="16" t="s">
        <v>281</v>
      </c>
      <c r="W67" s="17" t="s">
        <v>282</v>
      </c>
      <c r="X67" s="18"/>
      <c r="Y67" s="18"/>
      <c r="Z67" s="18"/>
      <c r="AA67" s="19"/>
      <c r="AB67" s="19"/>
    </row>
    <row r="68" spans="1:28" ht="21">
      <c r="A68" s="5" t="s">
        <v>416</v>
      </c>
      <c r="B68" s="5" t="s">
        <v>417</v>
      </c>
      <c r="C68" s="10"/>
      <c r="D68" s="10"/>
      <c r="E68" s="10"/>
      <c r="F68" s="10"/>
      <c r="G68" s="10"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7"/>
      <c r="I68" s="7"/>
      <c r="J68" s="2"/>
      <c r="K68" s="5" t="s">
        <v>100</v>
      </c>
      <c r="L68" s="12" t="s">
        <v>101</v>
      </c>
      <c r="M68" s="13"/>
      <c r="N68" s="13"/>
      <c r="O68" s="13"/>
      <c r="P68" s="13"/>
      <c r="Q68" s="13" t="str">
        <f>IF(AND(ISNUMBER(MATCH(M68,{"F","E","D","D+","C","C+","B","B+","A","A+","S"},0)),ISNUMBER(MATCH(N68,{"F","E","D","D+","C","C+","B","B+","A","A+","S"},0)),ISNUMBER(MATCH(O68,{"F","E","D","D+","C","C+","B","B+","A","A+","S"},0)),ISNUMBER(MATCH(P68,{"F","E","D","D+","C","C+","B","B+","A","A+","S"},0))),LOOKUP(AVERAGE(_xlfn.SWITCH(M68,"F",0,"E",10,"D",20,"D+",30,"C",40,"C+",50,"B",60,"B+",70,"A",80,"A+",90,"S",100),_xlfn.SWITCH(N68,"F",0,"E",10,"D",20,"D+",30,"C",40,"C+",50,"B",60,"B+",70,"A",80,"A+",90,"S",100),_xlfn.SWITCH(O68,"F",0,"E",10,"D",20,"D+",30,"C",40,"C+",50,"B",60,"B+",70,"A",80,"A+",90,"S",100),_xlfn.SWITCH(P68,"F",0,"E",10,"D",20,"D+",30,"C",40,"C+",50,"B",60,"B+",70,"A",80,"A+",90,"S",100)),{0,15,25,35,45,55,65,75,85,95},{"D","D","D+","C","C+","B","B+","A","A+","S"}),"?")</f>
        <v>?</v>
      </c>
      <c r="R68" s="14"/>
      <c r="S68" s="14"/>
      <c r="T68" s="2"/>
      <c r="U68" s="15" t="s">
        <v>418</v>
      </c>
      <c r="V68" s="16" t="s">
        <v>419</v>
      </c>
      <c r="W68" s="17" t="s">
        <v>420</v>
      </c>
      <c r="X68" s="18"/>
      <c r="Y68" s="18"/>
      <c r="Z68" s="18"/>
      <c r="AA68" s="19"/>
      <c r="AB68" s="19"/>
    </row>
    <row r="69" spans="1:28" ht="21">
      <c r="A69" s="5" t="s">
        <v>421</v>
      </c>
      <c r="B69" s="5" t="s">
        <v>422</v>
      </c>
      <c r="C69" s="10"/>
      <c r="D69" s="10"/>
      <c r="E69" s="10"/>
      <c r="F69" s="10"/>
      <c r="G69" s="10"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v>
      </c>
      <c r="H69" s="7"/>
      <c r="I69" s="7"/>
      <c r="J69" s="2"/>
      <c r="K69" s="5" t="s">
        <v>423</v>
      </c>
      <c r="L69" s="12" t="s">
        <v>424</v>
      </c>
      <c r="M69" s="13"/>
      <c r="N69" s="13"/>
      <c r="O69" s="13"/>
      <c r="P69" s="13"/>
      <c r="Q69" s="13" t="str">
        <f>IF(AND(ISNUMBER(MATCH(M69,{"F","E","D","D+","C","C+","B","B+","A","A+","S"},0)),ISNUMBER(MATCH(N69,{"F","E","D","D+","C","C+","B","B+","A","A+","S"},0)),ISNUMBER(MATCH(O69,{"F","E","D","D+","C","C+","B","B+","A","A+","S"},0)),ISNUMBER(MATCH(P69,{"F","E","D","D+","C","C+","B","B+","A","A+","S"},0))),LOOKUP(AVERAGE(_xlfn.SWITCH(M69,"F",0,"E",10,"D",20,"D+",30,"C",40,"C+",50,"B",60,"B+",70,"A",80,"A+",90,"S",100),_xlfn.SWITCH(N69,"F",0,"E",10,"D",20,"D+",30,"C",40,"C+",50,"B",60,"B+",70,"A",80,"A+",90,"S",100),_xlfn.SWITCH(O69,"F",0,"E",10,"D",20,"D+",30,"C",40,"C+",50,"B",60,"B+",70,"A",80,"A+",90,"S",100),_xlfn.SWITCH(P69,"F",0,"E",10,"D",20,"D+",30,"C",40,"C+",50,"B",60,"B+",70,"A",80,"A+",90,"S",100)),{0,15,25,35,45,55,65,75,85,95},{"D","D","D+","C","C+","B","B+","A","A+","S"}),"?")</f>
        <v>?</v>
      </c>
      <c r="R69" s="14"/>
      <c r="S69" s="14"/>
      <c r="T69" s="2"/>
      <c r="U69" s="15" t="s">
        <v>425</v>
      </c>
      <c r="V69" s="16" t="s">
        <v>158</v>
      </c>
      <c r="W69" s="17" t="s">
        <v>159</v>
      </c>
      <c r="X69" s="18"/>
      <c r="Y69" s="18"/>
      <c r="Z69" s="18"/>
      <c r="AA69" s="19"/>
      <c r="AB69" s="19"/>
    </row>
    <row r="70" spans="1:28" ht="21">
      <c r="A70" s="5" t="s">
        <v>426</v>
      </c>
      <c r="B70" s="5" t="s">
        <v>427</v>
      </c>
      <c r="C70" s="10"/>
      <c r="D70" s="10"/>
      <c r="E70" s="10"/>
      <c r="F70" s="10"/>
      <c r="G70" s="10"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7"/>
      <c r="I70" s="7"/>
      <c r="J70" s="2"/>
      <c r="K70" s="5" t="s">
        <v>428</v>
      </c>
      <c r="L70" s="12" t="s">
        <v>429</v>
      </c>
      <c r="M70" s="13"/>
      <c r="N70" s="13"/>
      <c r="O70" s="13"/>
      <c r="P70" s="13"/>
      <c r="Q70" s="13" t="str">
        <f>IF(AND(ISNUMBER(MATCH(M70,{"F","E","D","D+","C","C+","B","B+","A","A+","S"},0)),ISNUMBER(MATCH(N70,{"F","E","D","D+","C","C+","B","B+","A","A+","S"},0)),ISNUMBER(MATCH(O70,{"F","E","D","D+","C","C+","B","B+","A","A+","S"},0)),ISNUMBER(MATCH(P70,{"F","E","D","D+","C","C+","B","B+","A","A+","S"},0))),LOOKUP(AVERAGE(_xlfn.SWITCH(M70,"F",0,"E",10,"D",20,"D+",30,"C",40,"C+",50,"B",60,"B+",70,"A",80,"A+",90,"S",100),_xlfn.SWITCH(N70,"F",0,"E",10,"D",20,"D+",30,"C",40,"C+",50,"B",60,"B+",70,"A",80,"A+",90,"S",100),_xlfn.SWITCH(O70,"F",0,"E",10,"D",20,"D+",30,"C",40,"C+",50,"B",60,"B+",70,"A",80,"A+",90,"S",100),_xlfn.SWITCH(P70,"F",0,"E",10,"D",20,"D+",30,"C",40,"C+",50,"B",60,"B+",70,"A",80,"A+",90,"S",100)),{0,15,25,35,45,55,65,75,85,95},{"D","D","D+","C","C+","B","B+","A","A+","S"}),"?")</f>
        <v>?</v>
      </c>
      <c r="R70" s="14"/>
      <c r="S70" s="14"/>
      <c r="T70" s="2"/>
      <c r="U70" s="15" t="s">
        <v>430</v>
      </c>
      <c r="V70" s="16" t="s">
        <v>431</v>
      </c>
      <c r="W70" s="17" t="s">
        <v>199</v>
      </c>
      <c r="X70" s="18"/>
      <c r="Y70" s="18"/>
      <c r="Z70" s="18"/>
      <c r="AA70" s="19"/>
      <c r="AB70" s="19"/>
    </row>
    <row r="71" spans="1:28" ht="21">
      <c r="A71" s="5" t="s">
        <v>432</v>
      </c>
      <c r="B71" s="5" t="s">
        <v>149</v>
      </c>
      <c r="C71" s="10"/>
      <c r="D71" s="10"/>
      <c r="E71" s="10"/>
      <c r="F71" s="10"/>
      <c r="G71" s="10"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v>
      </c>
      <c r="H71" s="7"/>
      <c r="I71" s="7"/>
      <c r="J71" s="2"/>
      <c r="K71" s="5" t="s">
        <v>261</v>
      </c>
      <c r="L71" s="12" t="s">
        <v>262</v>
      </c>
      <c r="M71" s="13"/>
      <c r="N71" s="13"/>
      <c r="O71" s="13"/>
      <c r="P71" s="13"/>
      <c r="Q71" s="13" t="str">
        <f>IF(AND(ISNUMBER(MATCH(M71,{"F","E","D","D+","C","C+","B","B+","A","A+","S"},0)),ISNUMBER(MATCH(N71,{"F","E","D","D+","C","C+","B","B+","A","A+","S"},0)),ISNUMBER(MATCH(O71,{"F","E","D","D+","C","C+","B","B+","A","A+","S"},0)),ISNUMBER(MATCH(P71,{"F","E","D","D+","C","C+","B","B+","A","A+","S"},0))),LOOKUP(AVERAGE(_xlfn.SWITCH(M71,"F",0,"E",10,"D",20,"D+",30,"C",40,"C+",50,"B",60,"B+",70,"A",80,"A+",90,"S",100),_xlfn.SWITCH(N71,"F",0,"E",10,"D",20,"D+",30,"C",40,"C+",50,"B",60,"B+",70,"A",80,"A+",90,"S",100),_xlfn.SWITCH(O71,"F",0,"E",10,"D",20,"D+",30,"C",40,"C+",50,"B",60,"B+",70,"A",80,"A+",90,"S",100),_xlfn.SWITCH(P71,"F",0,"E",10,"D",20,"D+",30,"C",40,"C+",50,"B",60,"B+",70,"A",80,"A+",90,"S",100)),{0,15,25,35,45,55,65,75,85,95},{"D","D","D+","C","C+","B","B+","A","A+","S"}),"?")</f>
        <v>?</v>
      </c>
      <c r="R71" s="14"/>
      <c r="S71" s="14"/>
      <c r="T71" s="2"/>
      <c r="U71" s="15" t="s">
        <v>433</v>
      </c>
      <c r="V71" s="16" t="s">
        <v>434</v>
      </c>
      <c r="W71" s="17" t="s">
        <v>110</v>
      </c>
      <c r="X71" s="18"/>
      <c r="Y71" s="18"/>
      <c r="Z71" s="18"/>
      <c r="AA71" s="19"/>
      <c r="AB71" s="19"/>
    </row>
    <row r="72" spans="1:28" ht="21">
      <c r="A72" s="5" t="s">
        <v>435</v>
      </c>
      <c r="B72" s="5" t="s">
        <v>436</v>
      </c>
      <c r="C72" s="10"/>
      <c r="D72" s="10"/>
      <c r="E72" s="10"/>
      <c r="F72" s="10"/>
      <c r="G72" s="10"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7"/>
      <c r="I72" s="7"/>
      <c r="J72" s="2"/>
      <c r="K72" s="5" t="s">
        <v>437</v>
      </c>
      <c r="L72" s="12" t="s">
        <v>438</v>
      </c>
      <c r="M72" s="13"/>
      <c r="N72" s="13"/>
      <c r="O72" s="13"/>
      <c r="P72" s="13"/>
      <c r="Q72" s="13" t="str">
        <f>IF(AND(ISNUMBER(MATCH(M72,{"F","E","D","D+","C","C+","B","B+","A","A+","S"},0)),ISNUMBER(MATCH(N72,{"F","E","D","D+","C","C+","B","B+","A","A+","S"},0)),ISNUMBER(MATCH(O72,{"F","E","D","D+","C","C+","B","B+","A","A+","S"},0)),ISNUMBER(MATCH(P72,{"F","E","D","D+","C","C+","B","B+","A","A+","S"},0))),LOOKUP(AVERAGE(_xlfn.SWITCH(M72,"F",0,"E",10,"D",20,"D+",30,"C",40,"C+",50,"B",60,"B+",70,"A",80,"A+",90,"S",100),_xlfn.SWITCH(N72,"F",0,"E",10,"D",20,"D+",30,"C",40,"C+",50,"B",60,"B+",70,"A",80,"A+",90,"S",100),_xlfn.SWITCH(O72,"F",0,"E",10,"D",20,"D+",30,"C",40,"C+",50,"B",60,"B+",70,"A",80,"A+",90,"S",100),_xlfn.SWITCH(P72,"F",0,"E",10,"D",20,"D+",30,"C",40,"C+",50,"B",60,"B+",70,"A",80,"A+",90,"S",100)),{0,15,25,35,45,55,65,75,85,95},{"D","D","D+","C","C+","B","B+","A","A+","S"}),"?")</f>
        <v>?</v>
      </c>
      <c r="R72" s="14"/>
      <c r="S72" s="14"/>
      <c r="T72" s="2"/>
      <c r="U72" s="15" t="s">
        <v>439</v>
      </c>
      <c r="V72" s="16" t="s">
        <v>440</v>
      </c>
      <c r="W72" s="17" t="s">
        <v>441</v>
      </c>
      <c r="X72" s="18"/>
      <c r="Y72" s="18"/>
      <c r="Z72" s="18"/>
      <c r="AA72" s="19"/>
      <c r="AB72" s="19"/>
    </row>
    <row r="73" spans="1:28" ht="21">
      <c r="A73" s="5" t="s">
        <v>442</v>
      </c>
      <c r="B73" s="5" t="s">
        <v>443</v>
      </c>
      <c r="C73" s="10"/>
      <c r="D73" s="10"/>
      <c r="E73" s="10"/>
      <c r="F73" s="10"/>
      <c r="G73" s="10"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7"/>
      <c r="I73" s="7"/>
      <c r="J73" s="2"/>
      <c r="K73" s="5" t="s">
        <v>444</v>
      </c>
      <c r="L73" s="12" t="s">
        <v>445</v>
      </c>
      <c r="M73" s="13"/>
      <c r="N73" s="13"/>
      <c r="O73" s="13"/>
      <c r="P73" s="13"/>
      <c r="Q73" s="13" t="str">
        <f>IF(AND(ISNUMBER(MATCH(M73,{"F","E","D","D+","C","C+","B","B+","A","A+","S"},0)),ISNUMBER(MATCH(N73,{"F","E","D","D+","C","C+","B","B+","A","A+","S"},0)),ISNUMBER(MATCH(O73,{"F","E","D","D+","C","C+","B","B+","A","A+","S"},0)),ISNUMBER(MATCH(P73,{"F","E","D","D+","C","C+","B","B+","A","A+","S"},0))),LOOKUP(AVERAGE(_xlfn.SWITCH(M73,"F",0,"E",10,"D",20,"D+",30,"C",40,"C+",50,"B",60,"B+",70,"A",80,"A+",90,"S",100),_xlfn.SWITCH(N73,"F",0,"E",10,"D",20,"D+",30,"C",40,"C+",50,"B",60,"B+",70,"A",80,"A+",90,"S",100),_xlfn.SWITCH(O73,"F",0,"E",10,"D",20,"D+",30,"C",40,"C+",50,"B",60,"B+",70,"A",80,"A+",90,"S",100),_xlfn.SWITCH(P73,"F",0,"E",10,"D",20,"D+",30,"C",40,"C+",50,"B",60,"B+",70,"A",80,"A+",90,"S",100)),{0,15,25,35,45,55,65,75,85,95},{"D","D","D+","C","C+","B","B+","A","A+","S"}),"?")</f>
        <v>?</v>
      </c>
      <c r="R73" s="14"/>
      <c r="S73" s="14"/>
      <c r="T73" s="2"/>
      <c r="U73" s="15" t="s">
        <v>446</v>
      </c>
      <c r="V73" s="16" t="s">
        <v>317</v>
      </c>
      <c r="W73" s="17" t="s">
        <v>318</v>
      </c>
      <c r="X73" s="18"/>
      <c r="Y73" s="18"/>
      <c r="Z73" s="18"/>
      <c r="AA73" s="19"/>
      <c r="AB73" s="19"/>
    </row>
    <row r="74" spans="1:28" ht="21">
      <c r="A74" s="5" t="s">
        <v>447</v>
      </c>
      <c r="B74" s="5" t="s">
        <v>47</v>
      </c>
      <c r="C74" s="10"/>
      <c r="D74" s="10"/>
      <c r="E74" s="10"/>
      <c r="F74" s="10"/>
      <c r="G74" s="10"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7"/>
      <c r="I74" s="7"/>
      <c r="J74" s="2"/>
      <c r="K74" s="5" t="s">
        <v>448</v>
      </c>
      <c r="L74" s="12" t="s">
        <v>449</v>
      </c>
      <c r="M74" s="13"/>
      <c r="N74" s="13"/>
      <c r="O74" s="13"/>
      <c r="P74" s="13"/>
      <c r="Q74" s="13" t="str">
        <f>IF(AND(ISNUMBER(MATCH(M74,{"F","E","D","D+","C","C+","B","B+","A","A+","S"},0)),ISNUMBER(MATCH(N74,{"F","E","D","D+","C","C+","B","B+","A","A+","S"},0)),ISNUMBER(MATCH(O74,{"F","E","D","D+","C","C+","B","B+","A","A+","S"},0)),ISNUMBER(MATCH(P74,{"F","E","D","D+","C","C+","B","B+","A","A+","S"},0))),LOOKUP(AVERAGE(_xlfn.SWITCH(M74,"F",0,"E",10,"D",20,"D+",30,"C",40,"C+",50,"B",60,"B+",70,"A",80,"A+",90,"S",100),_xlfn.SWITCH(N74,"F",0,"E",10,"D",20,"D+",30,"C",40,"C+",50,"B",60,"B+",70,"A",80,"A+",90,"S",100),_xlfn.SWITCH(O74,"F",0,"E",10,"D",20,"D+",30,"C",40,"C+",50,"B",60,"B+",70,"A",80,"A+",90,"S",100),_xlfn.SWITCH(P74,"F",0,"E",10,"D",20,"D+",30,"C",40,"C+",50,"B",60,"B+",70,"A",80,"A+",90,"S",100)),{0,15,25,35,45,55,65,75,85,95},{"D","D","D+","C","C+","B","B+","A","A+","S"}),"?")</f>
        <v>?</v>
      </c>
      <c r="R74" s="14"/>
      <c r="S74" s="14"/>
      <c r="T74" s="2"/>
      <c r="U74" s="15" t="s">
        <v>450</v>
      </c>
      <c r="V74" s="16" t="s">
        <v>193</v>
      </c>
      <c r="W74" s="17" t="s">
        <v>194</v>
      </c>
      <c r="X74" s="18"/>
      <c r="Y74" s="18"/>
      <c r="Z74" s="18"/>
      <c r="AA74" s="19"/>
      <c r="AB74" s="19"/>
    </row>
    <row r="75" spans="1:28" ht="21">
      <c r="A75" s="5" t="s">
        <v>451</v>
      </c>
      <c r="B75" s="5" t="s">
        <v>169</v>
      </c>
      <c r="C75" s="10"/>
      <c r="D75" s="10"/>
      <c r="E75" s="10"/>
      <c r="F75" s="10"/>
      <c r="G75" s="10"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7"/>
      <c r="I75" s="7"/>
      <c r="J75" s="2"/>
      <c r="K75" s="5" t="s">
        <v>452</v>
      </c>
      <c r="L75" s="12" t="s">
        <v>453</v>
      </c>
      <c r="M75" s="13"/>
      <c r="N75" s="13"/>
      <c r="O75" s="13"/>
      <c r="P75" s="13"/>
      <c r="Q75" s="13" t="str">
        <f>IF(AND(ISNUMBER(MATCH(M75,{"F","E","D","D+","C","C+","B","B+","A","A+","S"},0)),ISNUMBER(MATCH(N75,{"F","E","D","D+","C","C+","B","B+","A","A+","S"},0)),ISNUMBER(MATCH(O75,{"F","E","D","D+","C","C+","B","B+","A","A+","S"},0)),ISNUMBER(MATCH(P75,{"F","E","D","D+","C","C+","B","B+","A","A+","S"},0))),LOOKUP(AVERAGE(_xlfn.SWITCH(M75,"F",0,"E",10,"D",20,"D+",30,"C",40,"C+",50,"B",60,"B+",70,"A",80,"A+",90,"S",100),_xlfn.SWITCH(N75,"F",0,"E",10,"D",20,"D+",30,"C",40,"C+",50,"B",60,"B+",70,"A",80,"A+",90,"S",100),_xlfn.SWITCH(O75,"F",0,"E",10,"D",20,"D+",30,"C",40,"C+",50,"B",60,"B+",70,"A",80,"A+",90,"S",100),_xlfn.SWITCH(P75,"F",0,"E",10,"D",20,"D+",30,"C",40,"C+",50,"B",60,"B+",70,"A",80,"A+",90,"S",100)),{0,15,25,35,45,55,65,75,85,95},{"D","D","D+","C","C+","B","B+","A","A+","S"}),"?")</f>
        <v>?</v>
      </c>
      <c r="R75" s="14"/>
      <c r="S75" s="14"/>
      <c r="T75" s="2"/>
      <c r="U75" s="15" t="s">
        <v>454</v>
      </c>
      <c r="V75" s="16" t="s">
        <v>423</v>
      </c>
      <c r="W75" s="17" t="s">
        <v>424</v>
      </c>
      <c r="X75" s="18"/>
      <c r="Y75" s="18"/>
      <c r="Z75" s="18"/>
      <c r="AA75" s="19"/>
      <c r="AB75" s="19"/>
    </row>
    <row r="76" spans="1:28" ht="21">
      <c r="A76" s="5" t="s">
        <v>455</v>
      </c>
      <c r="B76" s="5" t="s">
        <v>197</v>
      </c>
      <c r="C76" s="10"/>
      <c r="D76" s="10"/>
      <c r="E76" s="10"/>
      <c r="F76" s="10"/>
      <c r="G76" s="10"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7"/>
      <c r="I76" s="7"/>
      <c r="J76" s="2"/>
      <c r="K76" s="5" t="s">
        <v>456</v>
      </c>
      <c r="L76" s="12" t="s">
        <v>457</v>
      </c>
      <c r="M76" s="13"/>
      <c r="N76" s="13"/>
      <c r="O76" s="13"/>
      <c r="P76" s="13"/>
      <c r="Q76" s="13" t="str">
        <f>IF(AND(ISNUMBER(MATCH(M76,{"F","E","D","D+","C","C+","B","B+","A","A+","S"},0)),ISNUMBER(MATCH(N76,{"F","E","D","D+","C","C+","B","B+","A","A+","S"},0)),ISNUMBER(MATCH(O76,{"F","E","D","D+","C","C+","B","B+","A","A+","S"},0)),ISNUMBER(MATCH(P76,{"F","E","D","D+","C","C+","B","B+","A","A+","S"},0))),LOOKUP(AVERAGE(_xlfn.SWITCH(M76,"F",0,"E",10,"D",20,"D+",30,"C",40,"C+",50,"B",60,"B+",70,"A",80,"A+",90,"S",100),_xlfn.SWITCH(N76,"F",0,"E",10,"D",20,"D+",30,"C",40,"C+",50,"B",60,"B+",70,"A",80,"A+",90,"S",100),_xlfn.SWITCH(O76,"F",0,"E",10,"D",20,"D+",30,"C",40,"C+",50,"B",60,"B+",70,"A",80,"A+",90,"S",100),_xlfn.SWITCH(P76,"F",0,"E",10,"D",20,"D+",30,"C",40,"C+",50,"B",60,"B+",70,"A",80,"A+",90,"S",100)),{0,15,25,35,45,55,65,75,85,95},{"D","D","D+","C","C+","B","B+","A","A+","S"}),"?")</f>
        <v>?</v>
      </c>
      <c r="R76" s="14"/>
      <c r="S76" s="14"/>
      <c r="T76" s="2"/>
      <c r="U76" s="15" t="s">
        <v>458</v>
      </c>
      <c r="V76" s="16" t="s">
        <v>459</v>
      </c>
      <c r="W76" s="17" t="s">
        <v>460</v>
      </c>
      <c r="X76" s="18"/>
      <c r="Y76" s="18"/>
      <c r="Z76" s="18"/>
      <c r="AA76" s="19"/>
      <c r="AB76" s="19"/>
    </row>
    <row r="77" spans="1:28" ht="21">
      <c r="A77" s="5" t="s">
        <v>461</v>
      </c>
      <c r="B77" s="6" t="s">
        <v>378</v>
      </c>
      <c r="C77" s="10"/>
      <c r="D77" s="10"/>
      <c r="E77" s="10"/>
      <c r="F77" s="10"/>
      <c r="G77" s="10"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7"/>
      <c r="I77" s="7"/>
      <c r="J77" s="2"/>
      <c r="K77" s="5" t="s">
        <v>462</v>
      </c>
      <c r="L77" s="12" t="s">
        <v>463</v>
      </c>
      <c r="M77" s="13"/>
      <c r="N77" s="13"/>
      <c r="O77" s="13"/>
      <c r="P77" s="13"/>
      <c r="Q77" s="13" t="str">
        <f>IF(AND(ISNUMBER(MATCH(M77,{"F","E","D","D+","C","C+","B","B+","A","A+","S"},0)),ISNUMBER(MATCH(N77,{"F","E","D","D+","C","C+","B","B+","A","A+","S"},0)),ISNUMBER(MATCH(O77,{"F","E","D","D+","C","C+","B","B+","A","A+","S"},0)),ISNUMBER(MATCH(P77,{"F","E","D","D+","C","C+","B","B+","A","A+","S"},0))),LOOKUP(AVERAGE(_xlfn.SWITCH(M77,"F",0,"E",10,"D",20,"D+",30,"C",40,"C+",50,"B",60,"B+",70,"A",80,"A+",90,"S",100),_xlfn.SWITCH(N77,"F",0,"E",10,"D",20,"D+",30,"C",40,"C+",50,"B",60,"B+",70,"A",80,"A+",90,"S",100),_xlfn.SWITCH(O77,"F",0,"E",10,"D",20,"D+",30,"C",40,"C+",50,"B",60,"B+",70,"A",80,"A+",90,"S",100),_xlfn.SWITCH(P77,"F",0,"E",10,"D",20,"D+",30,"C",40,"C+",50,"B",60,"B+",70,"A",80,"A+",90,"S",100)),{0,15,25,35,45,55,65,75,85,95},{"D","D","D+","C","C+","B","B+","A","A+","S"}),"?")</f>
        <v>?</v>
      </c>
      <c r="R77" s="14"/>
      <c r="S77" s="14"/>
      <c r="T77" s="2"/>
      <c r="U77" s="15" t="s">
        <v>464</v>
      </c>
      <c r="V77" s="16" t="s">
        <v>465</v>
      </c>
      <c r="W77" s="17" t="s">
        <v>466</v>
      </c>
      <c r="X77" s="18"/>
      <c r="Y77" s="18"/>
      <c r="Z77" s="18"/>
      <c r="AA77" s="19"/>
      <c r="AB77" s="19"/>
    </row>
    <row r="78" spans="1:28" ht="21">
      <c r="A78" s="5" t="s">
        <v>467</v>
      </c>
      <c r="B78" s="5" t="s">
        <v>30</v>
      </c>
      <c r="C78" s="10"/>
      <c r="D78" s="10"/>
      <c r="E78" s="10"/>
      <c r="F78" s="10"/>
      <c r="G78" s="10" t="str">
        <f>IF(AND(ISNUMBER(MATCH(C78,{"F","E","D","D+","C","C+","B","B+","A","A+","S"},0)),ISNUMBER(MATCH(D78,{"F","E","D","D+","C","C+","B","B+","A","A+","S"},0)),ISNUMBER(MATCH(E78,{"F","E","D","D+","C","C+","B","B+","A","A+","S"},0)),ISNUMBER(MATCH(F78,{"F","E","D","D+","C","C+","B","B+","A","A+","S"},0))),LOOKUP(AVERAGE(_xlfn.SWITCH(C78,"F",0,"E",10,"D",20,"D+",30,"C",40,"C+",50,"B",60,"B+",70,"A",80,"A+",90,"S",100),_xlfn.SWITCH(D78,"F",0,"E",10,"D",20,"D+",30,"C",40,"C+",50,"B",60,"B+",70,"A",80,"A+",90,"S",100),_xlfn.SWITCH(E78,"F",0,"E",10,"D",20,"D+",30,"C",40,"C+",50,"B",60,"B+",70,"A",80,"A+",90,"S",100),_xlfn.SWITCH(F78,"F",0,"E",10,"D",20,"D+",30,"C",40,"C+",50,"B",60,"B+",70,"A",80,"A+",90,"S",100)),{0,15,25,35,45,55,65,75,85,95},{"D","D","D+","C","C+","B","B+","A","A+","S"}),"?")</f>
        <v>?</v>
      </c>
      <c r="H78" s="7"/>
      <c r="I78" s="7"/>
      <c r="J78" s="2"/>
      <c r="K78" s="5" t="s">
        <v>468</v>
      </c>
      <c r="L78" s="12" t="s">
        <v>469</v>
      </c>
      <c r="M78" s="13"/>
      <c r="N78" s="13"/>
      <c r="O78" s="13"/>
      <c r="P78" s="13"/>
      <c r="Q78" s="13" t="str">
        <f>IF(AND(ISNUMBER(MATCH(M78,{"F","E","D","D+","C","C+","B","B+","A","A+","S"},0)),ISNUMBER(MATCH(N78,{"F","E","D","D+","C","C+","B","B+","A","A+","S"},0)),ISNUMBER(MATCH(O78,{"F","E","D","D+","C","C+","B","B+","A","A+","S"},0)),ISNUMBER(MATCH(P78,{"F","E","D","D+","C","C+","B","B+","A","A+","S"},0))),LOOKUP(AVERAGE(_xlfn.SWITCH(M78,"F",0,"E",10,"D",20,"D+",30,"C",40,"C+",50,"B",60,"B+",70,"A",80,"A+",90,"S",100),_xlfn.SWITCH(N78,"F",0,"E",10,"D",20,"D+",30,"C",40,"C+",50,"B",60,"B+",70,"A",80,"A+",90,"S",100),_xlfn.SWITCH(O78,"F",0,"E",10,"D",20,"D+",30,"C",40,"C+",50,"B",60,"B+",70,"A",80,"A+",90,"S",100),_xlfn.SWITCH(P78,"F",0,"E",10,"D",20,"D+",30,"C",40,"C+",50,"B",60,"B+",70,"A",80,"A+",90,"S",100)),{0,15,25,35,45,55,65,75,85,95},{"D","D","D+","C","C+","B","B+","A","A+","S"}),"?")</f>
        <v>?</v>
      </c>
      <c r="R78" s="14"/>
      <c r="S78" s="14"/>
      <c r="T78" s="2"/>
      <c r="U78" s="15" t="s">
        <v>470</v>
      </c>
      <c r="V78" s="16" t="s">
        <v>471</v>
      </c>
      <c r="W78" s="17" t="s">
        <v>137</v>
      </c>
      <c r="X78" s="18"/>
      <c r="Y78" s="18"/>
      <c r="Z78" s="18"/>
      <c r="AA78" s="19"/>
      <c r="AB78" s="19"/>
    </row>
    <row r="79" spans="1:28" ht="21">
      <c r="A79" s="5" t="s">
        <v>472</v>
      </c>
      <c r="B79" s="5" t="s">
        <v>473</v>
      </c>
      <c r="C79" s="10"/>
      <c r="D79" s="10"/>
      <c r="E79" s="10"/>
      <c r="F79" s="10"/>
      <c r="G79" s="10"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7"/>
      <c r="I79" s="7"/>
      <c r="J79" s="2"/>
      <c r="K79" s="5" t="s">
        <v>175</v>
      </c>
      <c r="L79" s="12" t="s">
        <v>176</v>
      </c>
      <c r="M79" s="13"/>
      <c r="N79" s="13"/>
      <c r="O79" s="13"/>
      <c r="P79" s="13"/>
      <c r="Q79" s="13" t="str">
        <f>IF(AND(ISNUMBER(MATCH(M79,{"F","E","D","D+","C","C+","B","B+","A","A+","S"},0)),ISNUMBER(MATCH(N79,{"F","E","D","D+","C","C+","B","B+","A","A+","S"},0)),ISNUMBER(MATCH(O79,{"F","E","D","D+","C","C+","B","B+","A","A+","S"},0)),ISNUMBER(MATCH(P79,{"F","E","D","D+","C","C+","B","B+","A","A+","S"},0))),LOOKUP(AVERAGE(_xlfn.SWITCH(M79,"F",0,"E",10,"D",20,"D+",30,"C",40,"C+",50,"B",60,"B+",70,"A",80,"A+",90,"S",100),_xlfn.SWITCH(N79,"F",0,"E",10,"D",20,"D+",30,"C",40,"C+",50,"B",60,"B+",70,"A",80,"A+",90,"S",100),_xlfn.SWITCH(O79,"F",0,"E",10,"D",20,"D+",30,"C",40,"C+",50,"B",60,"B+",70,"A",80,"A+",90,"S",100),_xlfn.SWITCH(P79,"F",0,"E",10,"D",20,"D+",30,"C",40,"C+",50,"B",60,"B+",70,"A",80,"A+",90,"S",100)),{0,15,25,35,45,55,65,75,85,95},{"D","D","D+","C","C+","B","B+","A","A+","S"}),"?")</f>
        <v>?</v>
      </c>
      <c r="R79" s="14"/>
      <c r="S79" s="14"/>
      <c r="T79" s="2"/>
      <c r="U79" s="15" t="s">
        <v>474</v>
      </c>
      <c r="V79" s="16" t="s">
        <v>64</v>
      </c>
      <c r="W79" s="17" t="s">
        <v>65</v>
      </c>
      <c r="X79" s="18"/>
      <c r="Y79" s="18"/>
      <c r="Z79" s="18"/>
      <c r="AA79" s="19"/>
      <c r="AB79" s="19"/>
    </row>
    <row r="80" spans="1:28" ht="21">
      <c r="A80" s="5" t="s">
        <v>475</v>
      </c>
      <c r="B80" s="5" t="s">
        <v>476</v>
      </c>
      <c r="C80" s="10"/>
      <c r="D80" s="10"/>
      <c r="E80" s="10"/>
      <c r="F80" s="10"/>
      <c r="G80" s="10"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7"/>
      <c r="I80" s="7"/>
      <c r="J80" s="2"/>
      <c r="K80" s="5" t="s">
        <v>189</v>
      </c>
      <c r="L80" s="12" t="s">
        <v>190</v>
      </c>
      <c r="M80" s="13"/>
      <c r="N80" s="13"/>
      <c r="O80" s="13"/>
      <c r="P80" s="13"/>
      <c r="Q80" s="13" t="str">
        <f>IF(AND(ISNUMBER(MATCH(M80,{"F","E","D","D+","C","C+","B","B+","A","A+","S"},0)),ISNUMBER(MATCH(N80,{"F","E","D","D+","C","C+","B","B+","A","A+","S"},0)),ISNUMBER(MATCH(O80,{"F","E","D","D+","C","C+","B","B+","A","A+","S"},0)),ISNUMBER(MATCH(P80,{"F","E","D","D+","C","C+","B","B+","A","A+","S"},0))),LOOKUP(AVERAGE(_xlfn.SWITCH(M80,"F",0,"E",10,"D",20,"D+",30,"C",40,"C+",50,"B",60,"B+",70,"A",80,"A+",90,"S",100),_xlfn.SWITCH(N80,"F",0,"E",10,"D",20,"D+",30,"C",40,"C+",50,"B",60,"B+",70,"A",80,"A+",90,"S",100),_xlfn.SWITCH(O80,"F",0,"E",10,"D",20,"D+",30,"C",40,"C+",50,"B",60,"B+",70,"A",80,"A+",90,"S",100),_xlfn.SWITCH(P80,"F",0,"E",10,"D",20,"D+",30,"C",40,"C+",50,"B",60,"B+",70,"A",80,"A+",90,"S",100)),{0,15,25,35,45,55,65,75,85,95},{"D","D","D+","C","C+","B","B+","A","A+","S"}),"?")</f>
        <v>?</v>
      </c>
      <c r="R80" s="14"/>
      <c r="S80" s="14"/>
      <c r="T80" s="2"/>
      <c r="U80" s="15" t="s">
        <v>477</v>
      </c>
      <c r="V80" s="16" t="s">
        <v>104</v>
      </c>
      <c r="W80" s="17" t="s">
        <v>105</v>
      </c>
      <c r="X80" s="18"/>
      <c r="Y80" s="18"/>
      <c r="Z80" s="18"/>
      <c r="AA80" s="19"/>
      <c r="AB80" s="19"/>
    </row>
    <row r="81" spans="1:30" ht="21">
      <c r="A81" s="5" t="s">
        <v>478</v>
      </c>
      <c r="B81" s="5" t="s">
        <v>321</v>
      </c>
      <c r="C81" s="10"/>
      <c r="D81" s="10"/>
      <c r="E81" s="10"/>
      <c r="F81" s="10"/>
      <c r="G81" s="10"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7"/>
      <c r="I81" s="7"/>
      <c r="J81" s="2"/>
      <c r="K81" s="5" t="s">
        <v>479</v>
      </c>
      <c r="L81" s="12" t="s">
        <v>480</v>
      </c>
      <c r="M81" s="13"/>
      <c r="N81" s="13"/>
      <c r="O81" s="13"/>
      <c r="P81" s="13"/>
      <c r="Q81" s="13" t="str">
        <f>IF(AND(ISNUMBER(MATCH(M81,{"F","E","D","D+","C","C+","B","B+","A","A+","S"},0)),ISNUMBER(MATCH(N81,{"F","E","D","D+","C","C+","B","B+","A","A+","S"},0)),ISNUMBER(MATCH(O81,{"F","E","D","D+","C","C+","B","B+","A","A+","S"},0)),ISNUMBER(MATCH(P81,{"F","E","D","D+","C","C+","B","B+","A","A+","S"},0))),LOOKUP(AVERAGE(_xlfn.SWITCH(M81,"F",0,"E",10,"D",20,"D+",30,"C",40,"C+",50,"B",60,"B+",70,"A",80,"A+",90,"S",100),_xlfn.SWITCH(N81,"F",0,"E",10,"D",20,"D+",30,"C",40,"C+",50,"B",60,"B+",70,"A",80,"A+",90,"S",100),_xlfn.SWITCH(O81,"F",0,"E",10,"D",20,"D+",30,"C",40,"C+",50,"B",60,"B+",70,"A",80,"A+",90,"S",100),_xlfn.SWITCH(P81,"F",0,"E",10,"D",20,"D+",30,"C",40,"C+",50,"B",60,"B+",70,"A",80,"A+",90,"S",100)),{0,15,25,35,45,55,65,75,85,95},{"D","D","D+","C","C+","B","B+","A","A+","S"}),"?")</f>
        <v>?</v>
      </c>
      <c r="R81" s="14"/>
      <c r="S81" s="14"/>
      <c r="T81" s="2"/>
      <c r="U81" s="15" t="s">
        <v>481</v>
      </c>
      <c r="V81" s="16" t="s">
        <v>482</v>
      </c>
      <c r="W81" s="17" t="s">
        <v>347</v>
      </c>
      <c r="X81" s="18"/>
      <c r="Y81" s="18"/>
      <c r="Z81" s="18"/>
      <c r="AA81" s="19"/>
      <c r="AB81" s="19"/>
    </row>
    <row r="82" spans="1:30" ht="21">
      <c r="A82" s="5" t="s">
        <v>483</v>
      </c>
      <c r="B82" s="5" t="s">
        <v>484</v>
      </c>
      <c r="C82" s="10"/>
      <c r="D82" s="10"/>
      <c r="E82" s="10"/>
      <c r="F82" s="10"/>
      <c r="G82" s="10"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7"/>
      <c r="I82" s="7"/>
      <c r="J82" s="2"/>
      <c r="K82" s="5" t="s">
        <v>485</v>
      </c>
      <c r="L82" s="12" t="s">
        <v>486</v>
      </c>
      <c r="M82" s="13"/>
      <c r="N82" s="13"/>
      <c r="O82" s="13"/>
      <c r="P82" s="13"/>
      <c r="Q82" s="13" t="str">
        <f>IF(AND(ISNUMBER(MATCH(M82,{"F","E","D","D+","C","C+","B","B+","A","A+","S"},0)),ISNUMBER(MATCH(N82,{"F","E","D","D+","C","C+","B","B+","A","A+","S"},0)),ISNUMBER(MATCH(O82,{"F","E","D","D+","C","C+","B","B+","A","A+","S"},0)),ISNUMBER(MATCH(P82,{"F","E","D","D+","C","C+","B","B+","A","A+","S"},0))),LOOKUP(AVERAGE(_xlfn.SWITCH(M82,"F",0,"E",10,"D",20,"D+",30,"C",40,"C+",50,"B",60,"B+",70,"A",80,"A+",90,"S",100),_xlfn.SWITCH(N82,"F",0,"E",10,"D",20,"D+",30,"C",40,"C+",50,"B",60,"B+",70,"A",80,"A+",90,"S",100),_xlfn.SWITCH(O82,"F",0,"E",10,"D",20,"D+",30,"C",40,"C+",50,"B",60,"B+",70,"A",80,"A+",90,"S",100),_xlfn.SWITCH(P82,"F",0,"E",10,"D",20,"D+",30,"C",40,"C+",50,"B",60,"B+",70,"A",80,"A+",90,"S",100)),{0,15,25,35,45,55,65,75,85,95},{"D","D","D+","C","C+","B","B+","A","A+","S"}),"?")</f>
        <v>?</v>
      </c>
      <c r="R82" s="14"/>
      <c r="S82" s="14"/>
      <c r="T82" s="2"/>
      <c r="U82" s="15" t="s">
        <v>487</v>
      </c>
      <c r="V82" s="16" t="s">
        <v>348</v>
      </c>
      <c r="W82" s="17" t="s">
        <v>349</v>
      </c>
      <c r="X82" s="18"/>
      <c r="Y82" s="18"/>
      <c r="Z82" s="18"/>
      <c r="AA82" s="19"/>
      <c r="AB82" s="19"/>
    </row>
    <row r="83" spans="1:30" ht="21">
      <c r="A83" s="5" t="s">
        <v>488</v>
      </c>
      <c r="B83" s="5" t="s">
        <v>489</v>
      </c>
      <c r="C83" s="10"/>
      <c r="D83" s="10"/>
      <c r="E83" s="10"/>
      <c r="F83" s="10"/>
      <c r="G83" s="10"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7"/>
      <c r="I83" s="7"/>
      <c r="J83" s="2"/>
      <c r="K83" s="5" t="s">
        <v>490</v>
      </c>
      <c r="L83" s="12" t="s">
        <v>491</v>
      </c>
      <c r="M83" s="13"/>
      <c r="N83" s="13"/>
      <c r="O83" s="13"/>
      <c r="P83" s="13"/>
      <c r="Q83" s="13" t="str">
        <f>IF(AND(ISNUMBER(MATCH(M83,{"F","E","D","D+","C","C+","B","B+","A","A+","S"},0)),ISNUMBER(MATCH(N83,{"F","E","D","D+","C","C+","B","B+","A","A+","S"},0)),ISNUMBER(MATCH(O83,{"F","E","D","D+","C","C+","B","B+","A","A+","S"},0)),ISNUMBER(MATCH(P83,{"F","E","D","D+","C","C+","B","B+","A","A+","S"},0))),LOOKUP(AVERAGE(_xlfn.SWITCH(M83,"F",0,"E",10,"D",20,"D+",30,"C",40,"C+",50,"B",60,"B+",70,"A",80,"A+",90,"S",100),_xlfn.SWITCH(N83,"F",0,"E",10,"D",20,"D+",30,"C",40,"C+",50,"B",60,"B+",70,"A",80,"A+",90,"S",100),_xlfn.SWITCH(O83,"F",0,"E",10,"D",20,"D+",30,"C",40,"C+",50,"B",60,"B+",70,"A",80,"A+",90,"S",100),_xlfn.SWITCH(P83,"F",0,"E",10,"D",20,"D+",30,"C",40,"C+",50,"B",60,"B+",70,"A",80,"A+",90,"S",100)),{0,15,25,35,45,55,65,75,85,95},{"D","D","D+","C","C+","B","B+","A","A+","S"}),"?")</f>
        <v>?</v>
      </c>
      <c r="R83" s="14"/>
      <c r="S83" s="14"/>
      <c r="T83" s="2"/>
      <c r="U83" s="15" t="s">
        <v>492</v>
      </c>
      <c r="V83" s="16" t="s">
        <v>493</v>
      </c>
      <c r="W83" s="17" t="s">
        <v>89</v>
      </c>
      <c r="X83" s="18"/>
      <c r="Y83" s="18"/>
      <c r="Z83" s="18"/>
      <c r="AA83" s="19"/>
      <c r="AB83" s="19"/>
    </row>
    <row r="84" spans="1:30" ht="21">
      <c r="A84" s="5" t="s">
        <v>494</v>
      </c>
      <c r="B84" s="5" t="s">
        <v>495</v>
      </c>
      <c r="C84" s="10"/>
      <c r="D84" s="10"/>
      <c r="E84" s="10"/>
      <c r="F84" s="10"/>
      <c r="G84" s="10"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7"/>
      <c r="I84" s="7"/>
      <c r="J84" s="2"/>
      <c r="K84" s="5" t="s">
        <v>496</v>
      </c>
      <c r="L84" s="12" t="s">
        <v>497</v>
      </c>
      <c r="M84" s="13"/>
      <c r="N84" s="13"/>
      <c r="O84" s="13"/>
      <c r="P84" s="13"/>
      <c r="Q84" s="13" t="str">
        <f>IF(AND(ISNUMBER(MATCH(M84,{"F","E","D","D+","C","C+","B","B+","A","A+","S"},0)),ISNUMBER(MATCH(N84,{"F","E","D","D+","C","C+","B","B+","A","A+","S"},0)),ISNUMBER(MATCH(O84,{"F","E","D","D+","C","C+","B","B+","A","A+","S"},0)),ISNUMBER(MATCH(P84,{"F","E","D","D+","C","C+","B","B+","A","A+","S"},0))),LOOKUP(AVERAGE(_xlfn.SWITCH(M84,"F",0,"E",10,"D",20,"D+",30,"C",40,"C+",50,"B",60,"B+",70,"A",80,"A+",90,"S",100),_xlfn.SWITCH(N84,"F",0,"E",10,"D",20,"D+",30,"C",40,"C+",50,"B",60,"B+",70,"A",80,"A+",90,"S",100),_xlfn.SWITCH(O84,"F",0,"E",10,"D",20,"D+",30,"C",40,"C+",50,"B",60,"B+",70,"A",80,"A+",90,"S",100),_xlfn.SWITCH(P84,"F",0,"E",10,"D",20,"D+",30,"C",40,"C+",50,"B",60,"B+",70,"A",80,"A+",90,"S",100)),{0,15,25,35,45,55,65,75,85,95},{"D","D","D+","C","C+","B","B+","A","A+","S"}),"?")</f>
        <v>?</v>
      </c>
      <c r="R84" s="14"/>
      <c r="S84" s="14"/>
      <c r="T84" s="2"/>
      <c r="U84" s="15" t="s">
        <v>498</v>
      </c>
      <c r="V84" s="16" t="s">
        <v>499</v>
      </c>
      <c r="W84" s="17" t="s">
        <v>244</v>
      </c>
      <c r="X84" s="18"/>
      <c r="Y84" s="18"/>
      <c r="Z84" s="18"/>
      <c r="AA84" s="19"/>
      <c r="AB84" s="19"/>
    </row>
    <row r="85" spans="1:30" ht="21">
      <c r="A85" s="5" t="s">
        <v>500</v>
      </c>
      <c r="B85" s="5" t="s">
        <v>501</v>
      </c>
      <c r="C85" s="10"/>
      <c r="D85" s="10"/>
      <c r="E85" s="10"/>
      <c r="F85" s="10"/>
      <c r="G85" s="10"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7"/>
      <c r="I85" s="7"/>
      <c r="J85" s="2"/>
      <c r="K85" s="5" t="s">
        <v>502</v>
      </c>
      <c r="L85" s="12" t="s">
        <v>503</v>
      </c>
      <c r="M85" s="13"/>
      <c r="N85" s="13"/>
      <c r="O85" s="13"/>
      <c r="P85" s="13"/>
      <c r="Q85" s="13" t="str">
        <f>IF(AND(ISNUMBER(MATCH(M85,{"F","E","D","D+","C","C+","B","B+","A","A+","S"},0)),ISNUMBER(MATCH(N85,{"F","E","D","D+","C","C+","B","B+","A","A+","S"},0)),ISNUMBER(MATCH(O85,{"F","E","D","D+","C","C+","B","B+","A","A+","S"},0)),ISNUMBER(MATCH(P85,{"F","E","D","D+","C","C+","B","B+","A","A+","S"},0))),LOOKUP(AVERAGE(_xlfn.SWITCH(M85,"F",0,"E",10,"D",20,"D+",30,"C",40,"C+",50,"B",60,"B+",70,"A",80,"A+",90,"S",100),_xlfn.SWITCH(N85,"F",0,"E",10,"D",20,"D+",30,"C",40,"C+",50,"B",60,"B+",70,"A",80,"A+",90,"S",100),_xlfn.SWITCH(O85,"F",0,"E",10,"D",20,"D+",30,"C",40,"C+",50,"B",60,"B+",70,"A",80,"A+",90,"S",100),_xlfn.SWITCH(P85,"F",0,"E",10,"D",20,"D+",30,"C",40,"C+",50,"B",60,"B+",70,"A",80,"A+",90,"S",100)),{0,15,25,35,45,55,65,75,85,95},{"D","D","D+","C","C+","B","B+","A","A+","S"}),"?")</f>
        <v>?</v>
      </c>
      <c r="R85" s="14"/>
      <c r="S85" s="14"/>
      <c r="T85" s="2"/>
      <c r="U85" s="528" t="s">
        <v>504</v>
      </c>
      <c r="V85" s="529"/>
      <c r="W85" s="530"/>
      <c r="X85" s="531"/>
      <c r="Y85" s="531"/>
      <c r="Z85" s="531"/>
      <c r="AA85" s="526"/>
      <c r="AB85" s="526"/>
      <c r="AC85" s="527"/>
      <c r="AD85" s="527"/>
    </row>
    <row r="86" spans="1:30" ht="21">
      <c r="A86" s="5" t="s">
        <v>505</v>
      </c>
      <c r="B86" s="5" t="s">
        <v>506</v>
      </c>
      <c r="C86" s="10"/>
      <c r="D86" s="10"/>
      <c r="E86" s="10"/>
      <c r="F86" s="10"/>
      <c r="G86" s="10"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7"/>
      <c r="I86" s="7"/>
      <c r="J86" s="2"/>
      <c r="K86" s="5" t="s">
        <v>507</v>
      </c>
      <c r="L86" s="12" t="s">
        <v>508</v>
      </c>
      <c r="M86" s="13"/>
      <c r="N86" s="13"/>
      <c r="O86" s="13"/>
      <c r="P86" s="13"/>
      <c r="Q86" s="13" t="str">
        <f>IF(AND(ISNUMBER(MATCH(M86,{"F","E","D","D+","C","C+","B","B+","A","A+","S"},0)),ISNUMBER(MATCH(N86,{"F","E","D","D+","C","C+","B","B+","A","A+","S"},0)),ISNUMBER(MATCH(O86,{"F","E","D","D+","C","C+","B","B+","A","A+","S"},0)),ISNUMBER(MATCH(P86,{"F","E","D","D+","C","C+","B","B+","A","A+","S"},0))),LOOKUP(AVERAGE(_xlfn.SWITCH(M86,"F",0,"E",10,"D",20,"D+",30,"C",40,"C+",50,"B",60,"B+",70,"A",80,"A+",90,"S",100),_xlfn.SWITCH(N86,"F",0,"E",10,"D",20,"D+",30,"C",40,"C+",50,"B",60,"B+",70,"A",80,"A+",90,"S",100),_xlfn.SWITCH(O86,"F",0,"E",10,"D",20,"D+",30,"C",40,"C+",50,"B",60,"B+",70,"A",80,"A+",90,"S",100),_xlfn.SWITCH(P86,"F",0,"E",10,"D",20,"D+",30,"C",40,"C+",50,"B",60,"B+",70,"A",80,"A+",90,"S",100)),{0,15,25,35,45,55,65,75,85,95},{"D","D","D+","C","C+","B","B+","A","A+","S"}),"?")</f>
        <v>?</v>
      </c>
      <c r="R86" s="14"/>
      <c r="S86" s="14"/>
      <c r="T86" s="2"/>
      <c r="U86" s="532"/>
      <c r="V86" s="529"/>
      <c r="W86" s="530"/>
      <c r="X86" s="533"/>
      <c r="Y86" s="533"/>
      <c r="Z86" s="533"/>
      <c r="AA86" s="526"/>
      <c r="AB86" s="526"/>
      <c r="AC86" s="527"/>
      <c r="AD86" s="527"/>
    </row>
    <row r="87" spans="1:30" ht="21">
      <c r="A87" s="5" t="s">
        <v>509</v>
      </c>
      <c r="B87" s="5" t="s">
        <v>237</v>
      </c>
      <c r="C87" s="10"/>
      <c r="D87" s="10"/>
      <c r="E87" s="10"/>
      <c r="F87" s="10"/>
      <c r="G87" s="10"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v>
      </c>
      <c r="H87" s="7"/>
      <c r="I87" s="7"/>
      <c r="J87" s="2"/>
      <c r="K87" s="5" t="s">
        <v>182</v>
      </c>
      <c r="L87" s="12" t="s">
        <v>183</v>
      </c>
      <c r="M87" s="13"/>
      <c r="N87" s="13"/>
      <c r="O87" s="13"/>
      <c r="P87" s="13"/>
      <c r="Q87" s="13" t="str">
        <f>IF(AND(ISNUMBER(MATCH(M87,{"F","E","D","D+","C","C+","B","B+","A","A+","S"},0)),ISNUMBER(MATCH(N87,{"F","E","D","D+","C","C+","B","B+","A","A+","S"},0)),ISNUMBER(MATCH(O87,{"F","E","D","D+","C","C+","B","B+","A","A+","S"},0)),ISNUMBER(MATCH(P87,{"F","E","D","D+","C","C+","B","B+","A","A+","S"},0))),LOOKUP(AVERAGE(_xlfn.SWITCH(M87,"F",0,"E",10,"D",20,"D+",30,"C",40,"C+",50,"B",60,"B+",70,"A",80,"A+",90,"S",100),_xlfn.SWITCH(N87,"F",0,"E",10,"D",20,"D+",30,"C",40,"C+",50,"B",60,"B+",70,"A",80,"A+",90,"S",100),_xlfn.SWITCH(O87,"F",0,"E",10,"D",20,"D+",30,"C",40,"C+",50,"B",60,"B+",70,"A",80,"A+",90,"S",100),_xlfn.SWITCH(P87,"F",0,"E",10,"D",20,"D+",30,"C",40,"C+",50,"B",60,"B+",70,"A",80,"A+",90,"S",100)),{0,15,25,35,45,55,65,75,85,95},{"D","D","D+","C","C+","B","B+","A","A+","S"}),"?")</f>
        <v>?</v>
      </c>
      <c r="R87" s="14"/>
      <c r="S87" s="14"/>
      <c r="T87" s="2"/>
      <c r="U87" s="8" t="s">
        <v>4</v>
      </c>
      <c r="V87" s="8" t="s">
        <v>13</v>
      </c>
      <c r="W87" s="9" t="s">
        <v>5</v>
      </c>
      <c r="X87" s="7" t="s">
        <v>6</v>
      </c>
      <c r="Y87" s="7" t="s">
        <v>7</v>
      </c>
      <c r="Z87" s="7" t="s">
        <v>8</v>
      </c>
      <c r="AA87" s="7" t="s">
        <v>9</v>
      </c>
      <c r="AB87" s="7" t="s">
        <v>10</v>
      </c>
      <c r="AC87" s="5" t="s">
        <v>11</v>
      </c>
      <c r="AD87" s="5" t="s">
        <v>12</v>
      </c>
    </row>
    <row r="88" spans="1:30" ht="21">
      <c r="A88" s="5" t="s">
        <v>510</v>
      </c>
      <c r="B88" s="5" t="s">
        <v>511</v>
      </c>
      <c r="C88" s="10"/>
      <c r="D88" s="10"/>
      <c r="E88" s="10"/>
      <c r="F88" s="10"/>
      <c r="G88" s="10"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7"/>
      <c r="I88" s="7"/>
      <c r="J88" s="2"/>
      <c r="K88" s="5" t="s">
        <v>512</v>
      </c>
      <c r="L88" s="12" t="s">
        <v>513</v>
      </c>
      <c r="M88" s="13"/>
      <c r="N88" s="13"/>
      <c r="O88" s="13"/>
      <c r="P88" s="13"/>
      <c r="Q88" s="13" t="str">
        <f>IF(AND(ISNUMBER(MATCH(M88,{"F","E","D","D+","C","C+","B","B+","A","A+","S"},0)),ISNUMBER(MATCH(N88,{"F","E","D","D+","C","C+","B","B+","A","A+","S"},0)),ISNUMBER(MATCH(O88,{"F","E","D","D+","C","C+","B","B+","A","A+","S"},0)),ISNUMBER(MATCH(P88,{"F","E","D","D+","C","C+","B","B+","A","A+","S"},0))),LOOKUP(AVERAGE(_xlfn.SWITCH(M88,"F",0,"E",10,"D",20,"D+",30,"C",40,"C+",50,"B",60,"B+",70,"A",80,"A+",90,"S",100),_xlfn.SWITCH(N88,"F",0,"E",10,"D",20,"D+",30,"C",40,"C+",50,"B",60,"B+",70,"A",80,"A+",90,"S",100),_xlfn.SWITCH(O88,"F",0,"E",10,"D",20,"D+",30,"C",40,"C+",50,"B",60,"B+",70,"A",80,"A+",90,"S",100),_xlfn.SWITCH(P88,"F",0,"E",10,"D",20,"D+",30,"C",40,"C+",50,"B",60,"B+",70,"A",80,"A+",90,"S",100)),{0,15,25,35,45,55,65,75,85,95},{"D","D","D+","C","C+","B","B+","A","A+","S"}),"?")</f>
        <v>?</v>
      </c>
      <c r="R88" s="14"/>
      <c r="S88" s="14"/>
      <c r="T88" s="2"/>
      <c r="U88" s="15" t="s">
        <v>514</v>
      </c>
      <c r="V88" s="16" t="s">
        <v>515</v>
      </c>
      <c r="W88" s="17" t="s">
        <v>516</v>
      </c>
      <c r="X88" s="18"/>
      <c r="Y88" s="18"/>
      <c r="Z88" s="18"/>
      <c r="AA88" s="19"/>
      <c r="AB88" s="19"/>
    </row>
    <row r="89" spans="1:30" ht="21">
      <c r="A89" s="5" t="s">
        <v>517</v>
      </c>
      <c r="B89" s="5" t="s">
        <v>224</v>
      </c>
      <c r="C89" s="10"/>
      <c r="D89" s="10"/>
      <c r="E89" s="10"/>
      <c r="F89" s="10"/>
      <c r="G89" s="10"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7"/>
      <c r="I89" s="7"/>
      <c r="J89" s="2"/>
      <c r="K89" s="5" t="s">
        <v>518</v>
      </c>
      <c r="L89" s="12" t="s">
        <v>519</v>
      </c>
      <c r="M89" s="13"/>
      <c r="N89" s="13"/>
      <c r="O89" s="13"/>
      <c r="P89" s="13"/>
      <c r="Q89" s="13" t="str">
        <f>IF(AND(ISNUMBER(MATCH(M89,{"F","E","D","D+","C","C+","B","B+","A","A+","S"},0)),ISNUMBER(MATCH(N89,{"F","E","D","D+","C","C+","B","B+","A","A+","S"},0)),ISNUMBER(MATCH(O89,{"F","E","D","D+","C","C+","B","B+","A","A+","S"},0)),ISNUMBER(MATCH(P89,{"F","E","D","D+","C","C+","B","B+","A","A+","S"},0))),LOOKUP(AVERAGE(_xlfn.SWITCH(M89,"F",0,"E",10,"D",20,"D+",30,"C",40,"C+",50,"B",60,"B+",70,"A",80,"A+",90,"S",100),_xlfn.SWITCH(N89,"F",0,"E",10,"D",20,"D+",30,"C",40,"C+",50,"B",60,"B+",70,"A",80,"A+",90,"S",100),_xlfn.SWITCH(O89,"F",0,"E",10,"D",20,"D+",30,"C",40,"C+",50,"B",60,"B+",70,"A",80,"A+",90,"S",100),_xlfn.SWITCH(P89,"F",0,"E",10,"D",20,"D+",30,"C",40,"C+",50,"B",60,"B+",70,"A",80,"A+",90,"S",100)),{0,15,25,35,45,55,65,75,85,95},{"D","D","D+","C","C+","B","B+","A","A+","S"}),"?")</f>
        <v>?</v>
      </c>
      <c r="R89" s="14"/>
      <c r="S89" s="14"/>
      <c r="T89" s="2"/>
      <c r="U89" s="15" t="s">
        <v>520</v>
      </c>
      <c r="V89" s="16" t="s">
        <v>521</v>
      </c>
      <c r="W89" s="17" t="s">
        <v>522</v>
      </c>
      <c r="X89" s="18"/>
      <c r="Y89" s="18"/>
      <c r="Z89" s="18"/>
      <c r="AA89" s="19"/>
      <c r="AB89" s="19"/>
    </row>
    <row r="90" spans="1:30" ht="21">
      <c r="A90" s="5" t="s">
        <v>523</v>
      </c>
      <c r="B90" s="5" t="s">
        <v>460</v>
      </c>
      <c r="C90" s="10"/>
      <c r="D90" s="10"/>
      <c r="E90" s="10"/>
      <c r="F90" s="10"/>
      <c r="G90" s="10"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7"/>
      <c r="I90" s="7"/>
      <c r="J90" s="2"/>
      <c r="K90" s="5" t="s">
        <v>524</v>
      </c>
      <c r="L90" s="12" t="s">
        <v>525</v>
      </c>
      <c r="M90" s="13"/>
      <c r="N90" s="13"/>
      <c r="O90" s="13"/>
      <c r="P90" s="13"/>
      <c r="Q90" s="13" t="str">
        <f>IF(AND(ISNUMBER(MATCH(M90,{"F","E","D","D+","C","C+","B","B+","A","A+","S"},0)),ISNUMBER(MATCH(N90,{"F","E","D","D+","C","C+","B","B+","A","A+","S"},0)),ISNUMBER(MATCH(O90,{"F","E","D","D+","C","C+","B","B+","A","A+","S"},0)),ISNUMBER(MATCH(P90,{"F","E","D","D+","C","C+","B","B+","A","A+","S"},0))),LOOKUP(AVERAGE(_xlfn.SWITCH(M90,"F",0,"E",10,"D",20,"D+",30,"C",40,"C+",50,"B",60,"B+",70,"A",80,"A+",90,"S",100),_xlfn.SWITCH(N90,"F",0,"E",10,"D",20,"D+",30,"C",40,"C+",50,"B",60,"B+",70,"A",80,"A+",90,"S",100),_xlfn.SWITCH(O90,"F",0,"E",10,"D",20,"D+",30,"C",40,"C+",50,"B",60,"B+",70,"A",80,"A+",90,"S",100),_xlfn.SWITCH(P90,"F",0,"E",10,"D",20,"D+",30,"C",40,"C+",50,"B",60,"B+",70,"A",80,"A+",90,"S",100)),{0,15,25,35,45,55,65,75,85,95},{"D","D","D+","C","C+","B","B+","A","A+","S"}),"?")</f>
        <v>?</v>
      </c>
      <c r="R90" s="14"/>
      <c r="S90" s="14"/>
      <c r="T90" s="2"/>
      <c r="U90" s="15" t="s">
        <v>526</v>
      </c>
      <c r="V90" s="16" t="s">
        <v>527</v>
      </c>
      <c r="W90" s="17" t="s">
        <v>528</v>
      </c>
      <c r="X90" s="18"/>
      <c r="Y90" s="18"/>
      <c r="Z90" s="18"/>
      <c r="AA90" s="19"/>
      <c r="AB90" s="19"/>
    </row>
    <row r="91" spans="1:30" ht="21">
      <c r="A91" s="5" t="s">
        <v>529</v>
      </c>
      <c r="B91" s="5" t="s">
        <v>530</v>
      </c>
      <c r="C91" s="10"/>
      <c r="D91" s="10"/>
      <c r="E91" s="10"/>
      <c r="F91" s="10"/>
      <c r="G91" s="10"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7"/>
      <c r="I91" s="7"/>
      <c r="J91" s="2"/>
      <c r="K91" s="5" t="s">
        <v>72</v>
      </c>
      <c r="L91" s="12" t="s">
        <v>73</v>
      </c>
      <c r="M91" s="13"/>
      <c r="N91" s="13"/>
      <c r="O91" s="13"/>
      <c r="P91" s="13"/>
      <c r="Q91" s="13" t="str">
        <f>IF(AND(ISNUMBER(MATCH(M91,{"F","E","D","D+","C","C+","B","B+","A","A+","S"},0)),ISNUMBER(MATCH(N91,{"F","E","D","D+","C","C+","B","B+","A","A+","S"},0)),ISNUMBER(MATCH(O91,{"F","E","D","D+","C","C+","B","B+","A","A+","S"},0)),ISNUMBER(MATCH(P91,{"F","E","D","D+","C","C+","B","B+","A","A+","S"},0))),LOOKUP(AVERAGE(_xlfn.SWITCH(M91,"F",0,"E",10,"D",20,"D+",30,"C",40,"C+",50,"B",60,"B+",70,"A",80,"A+",90,"S",100),_xlfn.SWITCH(N91,"F",0,"E",10,"D",20,"D+",30,"C",40,"C+",50,"B",60,"B+",70,"A",80,"A+",90,"S",100),_xlfn.SWITCH(O91,"F",0,"E",10,"D",20,"D+",30,"C",40,"C+",50,"B",60,"B+",70,"A",80,"A+",90,"S",100),_xlfn.SWITCH(P91,"F",0,"E",10,"D",20,"D+",30,"C",40,"C+",50,"B",60,"B+",70,"A",80,"A+",90,"S",100)),{0,15,25,35,45,55,65,75,85,95},{"D","D","D+","C","C+","B","B+","A","A+","S"}),"?")</f>
        <v>?</v>
      </c>
      <c r="R91" s="14"/>
      <c r="S91" s="14"/>
      <c r="T91" s="2"/>
      <c r="U91" s="15" t="s">
        <v>531</v>
      </c>
      <c r="V91" s="16" t="s">
        <v>532</v>
      </c>
      <c r="W91" s="17" t="s">
        <v>533</v>
      </c>
      <c r="X91" s="18"/>
      <c r="Y91" s="18"/>
      <c r="Z91" s="18"/>
      <c r="AA91" s="19"/>
      <c r="AB91" s="19"/>
    </row>
    <row r="92" spans="1:30" ht="21">
      <c r="A92" s="5" t="s">
        <v>534</v>
      </c>
      <c r="B92" s="5" t="s">
        <v>535</v>
      </c>
      <c r="C92" s="10"/>
      <c r="D92" s="10"/>
      <c r="E92" s="10"/>
      <c r="F92" s="10"/>
      <c r="G92" s="10"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7"/>
      <c r="I92" s="7"/>
      <c r="J92" s="2"/>
      <c r="K92" s="5" t="s">
        <v>536</v>
      </c>
      <c r="L92" s="12" t="s">
        <v>537</v>
      </c>
      <c r="M92" s="13"/>
      <c r="N92" s="13"/>
      <c r="O92" s="13"/>
      <c r="P92" s="13"/>
      <c r="Q92" s="13" t="str">
        <f>IF(AND(ISNUMBER(MATCH(M92,{"F","E","D","D+","C","C+","B","B+","A","A+","S"},0)),ISNUMBER(MATCH(N92,{"F","E","D","D+","C","C+","B","B+","A","A+","S"},0)),ISNUMBER(MATCH(O92,{"F","E","D","D+","C","C+","B","B+","A","A+","S"},0)),ISNUMBER(MATCH(P92,{"F","E","D","D+","C","C+","B","B+","A","A+","S"},0))),LOOKUP(AVERAGE(_xlfn.SWITCH(M92,"F",0,"E",10,"D",20,"D+",30,"C",40,"C+",50,"B",60,"B+",70,"A",80,"A+",90,"S",100),_xlfn.SWITCH(N92,"F",0,"E",10,"D",20,"D+",30,"C",40,"C+",50,"B",60,"B+",70,"A",80,"A+",90,"S",100),_xlfn.SWITCH(O92,"F",0,"E",10,"D",20,"D+",30,"C",40,"C+",50,"B",60,"B+",70,"A",80,"A+",90,"S",100),_xlfn.SWITCH(P92,"F",0,"E",10,"D",20,"D+",30,"C",40,"C+",50,"B",60,"B+",70,"A",80,"A+",90,"S",100)),{0,15,25,35,45,55,65,75,85,95},{"D","D","D+","C","C+","B","B+","A","A+","S"}),"?")</f>
        <v>?</v>
      </c>
      <c r="R92" s="14"/>
      <c r="S92" s="14"/>
      <c r="T92" s="2"/>
      <c r="U92" s="15" t="s">
        <v>538</v>
      </c>
      <c r="V92" s="16" t="s">
        <v>539</v>
      </c>
      <c r="W92" s="17" t="s">
        <v>540</v>
      </c>
      <c r="X92" s="18"/>
      <c r="Y92" s="18"/>
      <c r="Z92" s="18"/>
      <c r="AA92" s="19"/>
      <c r="AB92" s="19"/>
    </row>
    <row r="93" spans="1:30" ht="21">
      <c r="A93" s="5" t="s">
        <v>541</v>
      </c>
      <c r="B93" s="5" t="s">
        <v>542</v>
      </c>
      <c r="C93" s="10"/>
      <c r="D93" s="10"/>
      <c r="E93" s="10"/>
      <c r="F93" s="10"/>
      <c r="G93" s="10"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7"/>
      <c r="I93" s="7"/>
      <c r="J93" s="2"/>
      <c r="K93" s="5" t="s">
        <v>543</v>
      </c>
      <c r="L93" s="12" t="s">
        <v>544</v>
      </c>
      <c r="M93" s="13"/>
      <c r="N93" s="13"/>
      <c r="O93" s="13"/>
      <c r="P93" s="13"/>
      <c r="Q93" s="13" t="str">
        <f>IF(AND(ISNUMBER(MATCH(M93,{"F","E","D","D+","C","C+","B","B+","A","A+","S"},0)),ISNUMBER(MATCH(N93,{"F","E","D","D+","C","C+","B","B+","A","A+","S"},0)),ISNUMBER(MATCH(O93,{"F","E","D","D+","C","C+","B","B+","A","A+","S"},0)),ISNUMBER(MATCH(P93,{"F","E","D","D+","C","C+","B","B+","A","A+","S"},0))),LOOKUP(AVERAGE(_xlfn.SWITCH(M93,"F",0,"E",10,"D",20,"D+",30,"C",40,"C+",50,"B",60,"B+",70,"A",80,"A+",90,"S",100),_xlfn.SWITCH(N93,"F",0,"E",10,"D",20,"D+",30,"C",40,"C+",50,"B",60,"B+",70,"A",80,"A+",90,"S",100),_xlfn.SWITCH(O93,"F",0,"E",10,"D",20,"D+",30,"C",40,"C+",50,"B",60,"B+",70,"A",80,"A+",90,"S",100),_xlfn.SWITCH(P93,"F",0,"E",10,"D",20,"D+",30,"C",40,"C+",50,"B",60,"B+",70,"A",80,"A+",90,"S",100)),{0,15,25,35,45,55,65,75,85,95},{"D","D","D+","C","C+","B","B+","A","A+","S"}),"?")</f>
        <v>?</v>
      </c>
      <c r="R93" s="14"/>
      <c r="S93" s="14"/>
      <c r="T93" s="2"/>
      <c r="U93" s="15" t="s">
        <v>545</v>
      </c>
      <c r="V93" s="16" t="s">
        <v>546</v>
      </c>
      <c r="W93" s="17" t="s">
        <v>547</v>
      </c>
      <c r="X93" s="18"/>
      <c r="Y93" s="18"/>
      <c r="Z93" s="18"/>
      <c r="AA93" s="19"/>
      <c r="AB93" s="19"/>
    </row>
    <row r="94" spans="1:30" ht="21">
      <c r="A94" s="5" t="s">
        <v>548</v>
      </c>
      <c r="B94" s="5" t="s">
        <v>549</v>
      </c>
      <c r="C94" s="10"/>
      <c r="D94" s="10"/>
      <c r="E94" s="10"/>
      <c r="F94" s="10"/>
      <c r="G94" s="10"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7"/>
      <c r="I94" s="7"/>
      <c r="J94" s="2"/>
      <c r="K94" s="5" t="s">
        <v>363</v>
      </c>
      <c r="L94" s="12" t="s">
        <v>364</v>
      </c>
      <c r="M94" s="13"/>
      <c r="N94" s="13"/>
      <c r="O94" s="13"/>
      <c r="P94" s="13"/>
      <c r="Q94" s="13" t="str">
        <f>IF(AND(ISNUMBER(MATCH(M94,{"F","E","D","D+","C","C+","B","B+","A","A+","S"},0)),ISNUMBER(MATCH(N94,{"F","E","D","D+","C","C+","B","B+","A","A+","S"},0)),ISNUMBER(MATCH(O94,{"F","E","D","D+","C","C+","B","B+","A","A+","S"},0)),ISNUMBER(MATCH(P94,{"F","E","D","D+","C","C+","B","B+","A","A+","S"},0))),LOOKUP(AVERAGE(_xlfn.SWITCH(M94,"F",0,"E",10,"D",20,"D+",30,"C",40,"C+",50,"B",60,"B+",70,"A",80,"A+",90,"S",100),_xlfn.SWITCH(N94,"F",0,"E",10,"D",20,"D+",30,"C",40,"C+",50,"B",60,"B+",70,"A",80,"A+",90,"S",100),_xlfn.SWITCH(O94,"F",0,"E",10,"D",20,"D+",30,"C",40,"C+",50,"B",60,"B+",70,"A",80,"A+",90,"S",100),_xlfn.SWITCH(P94,"F",0,"E",10,"D",20,"D+",30,"C",40,"C+",50,"B",60,"B+",70,"A",80,"A+",90,"S",100)),{0,15,25,35,45,55,65,75,85,95},{"D","D","D+","C","C+","B","B+","A","A+","S"}),"?")</f>
        <v>?</v>
      </c>
      <c r="R94" s="14"/>
      <c r="S94" s="14"/>
      <c r="T94" s="2"/>
      <c r="U94" s="15" t="s">
        <v>550</v>
      </c>
      <c r="V94" s="16" t="s">
        <v>551</v>
      </c>
      <c r="W94" s="17" t="s">
        <v>552</v>
      </c>
      <c r="X94" s="18"/>
      <c r="Y94" s="18"/>
      <c r="Z94" s="18"/>
      <c r="AA94" s="19"/>
      <c r="AB94" s="19"/>
    </row>
    <row r="95" spans="1:30" ht="21">
      <c r="A95" s="5" t="s">
        <v>553</v>
      </c>
      <c r="B95" s="5" t="s">
        <v>352</v>
      </c>
      <c r="C95" s="10"/>
      <c r="D95" s="10"/>
      <c r="E95" s="10"/>
      <c r="F95" s="10"/>
      <c r="G95" s="10"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7"/>
      <c r="I95" s="7"/>
      <c r="J95" s="2"/>
      <c r="K95" s="5" t="s">
        <v>554</v>
      </c>
      <c r="L95" s="12" t="s">
        <v>555</v>
      </c>
      <c r="M95" s="13"/>
      <c r="N95" s="13"/>
      <c r="O95" s="13"/>
      <c r="P95" s="13"/>
      <c r="Q95" s="13" t="str">
        <f>IF(AND(ISNUMBER(MATCH(M95,{"F","E","D","D+","C","C+","B","B+","A","A+","S"},0)),ISNUMBER(MATCH(N95,{"F","E","D","D+","C","C+","B","B+","A","A+","S"},0)),ISNUMBER(MATCH(O95,{"F","E","D","D+","C","C+","B","B+","A","A+","S"},0)),ISNUMBER(MATCH(P95,{"F","E","D","D+","C","C+","B","B+","A","A+","S"},0))),LOOKUP(AVERAGE(_xlfn.SWITCH(M95,"F",0,"E",10,"D",20,"D+",30,"C",40,"C+",50,"B",60,"B+",70,"A",80,"A+",90,"S",100),_xlfn.SWITCH(N95,"F",0,"E",10,"D",20,"D+",30,"C",40,"C+",50,"B",60,"B+",70,"A",80,"A+",90,"S",100),_xlfn.SWITCH(O95,"F",0,"E",10,"D",20,"D+",30,"C",40,"C+",50,"B",60,"B+",70,"A",80,"A+",90,"S",100),_xlfn.SWITCH(P95,"F",0,"E",10,"D",20,"D+",30,"C",40,"C+",50,"B",60,"B+",70,"A",80,"A+",90,"S",100)),{0,15,25,35,45,55,65,75,85,95},{"D","D","D+","C","C+","B","B+","A","A+","S"}),"?")</f>
        <v>?</v>
      </c>
      <c r="R95" s="14"/>
      <c r="S95" s="14"/>
      <c r="T95" s="2"/>
      <c r="U95" s="15" t="s">
        <v>556</v>
      </c>
      <c r="V95" s="16" t="s">
        <v>557</v>
      </c>
      <c r="W95" s="17" t="s">
        <v>558</v>
      </c>
      <c r="X95" s="18"/>
      <c r="Y95" s="18"/>
      <c r="Z95" s="18"/>
      <c r="AA95" s="19"/>
      <c r="AB95" s="19"/>
    </row>
    <row r="96" spans="1:30" ht="21">
      <c r="A96" s="5" t="s">
        <v>559</v>
      </c>
      <c r="B96" s="5" t="s">
        <v>560</v>
      </c>
      <c r="C96" s="10"/>
      <c r="D96" s="10"/>
      <c r="E96" s="10"/>
      <c r="F96" s="10"/>
      <c r="G96" s="10"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7"/>
      <c r="I96" s="7"/>
      <c r="J96" s="2"/>
      <c r="K96" s="5" t="s">
        <v>561</v>
      </c>
      <c r="L96" s="12"/>
      <c r="M96" s="13"/>
      <c r="N96" s="13"/>
      <c r="O96" s="13"/>
      <c r="P96" s="13"/>
      <c r="Q96" s="13" t="str">
        <f>IF(AND(ISNUMBER(MATCH(M96,{"F","E","D","D+","C","C+","B","B+","A","A+","S"},0)),ISNUMBER(MATCH(N96,{"F","E","D","D+","C","C+","B","B+","A","A+","S"},0)),ISNUMBER(MATCH(O96,{"F","E","D","D+","C","C+","B","B+","A","A+","S"},0)),ISNUMBER(MATCH(P96,{"F","E","D","D+","C","C+","B","B+","A","A+","S"},0))),LOOKUP(AVERAGE(_xlfn.SWITCH(M96,"F",0,"E",10,"D",20,"D+",30,"C",40,"C+",50,"B",60,"B+",70,"A",80,"A+",90,"S",100),_xlfn.SWITCH(N96,"F",0,"E",10,"D",20,"D+",30,"C",40,"C+",50,"B",60,"B+",70,"A",80,"A+",90,"S",100),_xlfn.SWITCH(O96,"F",0,"E",10,"D",20,"D+",30,"C",40,"C+",50,"B",60,"B+",70,"A",80,"A+",90,"S",100),_xlfn.SWITCH(P96,"F",0,"E",10,"D",20,"D+",30,"C",40,"C+",50,"B",60,"B+",70,"A",80,"A+",90,"S",100)),{0,15,25,35,45,55,65,75,85,95},{"D","D","D+","C","C+","B","B+","A","A+","S"}),"?")</f>
        <v>?</v>
      </c>
      <c r="R96" s="14"/>
      <c r="S96" s="14"/>
      <c r="T96" s="2"/>
      <c r="U96" s="15" t="s">
        <v>562</v>
      </c>
      <c r="V96" s="16" t="s">
        <v>563</v>
      </c>
      <c r="W96" s="17" t="s">
        <v>564</v>
      </c>
      <c r="X96" s="18"/>
      <c r="Y96" s="18"/>
      <c r="Z96" s="18"/>
      <c r="AA96" s="19"/>
      <c r="AB96" s="19"/>
    </row>
    <row r="97" spans="1:28" ht="21">
      <c r="A97" s="5" t="s">
        <v>565</v>
      </c>
      <c r="B97" s="5" t="s">
        <v>441</v>
      </c>
      <c r="C97" s="10"/>
      <c r="D97" s="10"/>
      <c r="E97" s="10"/>
      <c r="F97" s="10"/>
      <c r="G97" s="10"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7"/>
      <c r="I97" s="7"/>
      <c r="J97" s="2"/>
      <c r="K97" s="5" t="s">
        <v>566</v>
      </c>
      <c r="L97" s="12" t="s">
        <v>567</v>
      </c>
      <c r="M97" s="13"/>
      <c r="N97" s="13"/>
      <c r="O97" s="13"/>
      <c r="P97" s="13"/>
      <c r="Q97" s="13" t="str">
        <f>IF(AND(ISNUMBER(MATCH(M97,{"F","E","D","D+","C","C+","B","B+","A","A+","S"},0)),ISNUMBER(MATCH(N97,{"F","E","D","D+","C","C+","B","B+","A","A+","S"},0)),ISNUMBER(MATCH(O97,{"F","E","D","D+","C","C+","B","B+","A","A+","S"},0)),ISNUMBER(MATCH(P97,{"F","E","D","D+","C","C+","B","B+","A","A+","S"},0))),LOOKUP(AVERAGE(_xlfn.SWITCH(M97,"F",0,"E",10,"D",20,"D+",30,"C",40,"C+",50,"B",60,"B+",70,"A",80,"A+",90,"S",100),_xlfn.SWITCH(N97,"F",0,"E",10,"D",20,"D+",30,"C",40,"C+",50,"B",60,"B+",70,"A",80,"A+",90,"S",100),_xlfn.SWITCH(O97,"F",0,"E",10,"D",20,"D+",30,"C",40,"C+",50,"B",60,"B+",70,"A",80,"A+",90,"S",100),_xlfn.SWITCH(P97,"F",0,"E",10,"D",20,"D+",30,"C",40,"C+",50,"B",60,"B+",70,"A",80,"A+",90,"S",100)),{0,15,25,35,45,55,65,75,85,95},{"D","D","D+","C","C+","B","B+","A","A+","S"}),"?")</f>
        <v>?</v>
      </c>
      <c r="R97" s="14"/>
      <c r="S97" s="14"/>
      <c r="T97" s="2"/>
      <c r="U97" s="15" t="s">
        <v>568</v>
      </c>
      <c r="V97" s="16" t="s">
        <v>569</v>
      </c>
      <c r="W97" s="17" t="s">
        <v>570</v>
      </c>
      <c r="X97" s="18"/>
      <c r="Y97" s="18"/>
      <c r="Z97" s="18"/>
      <c r="AA97" s="19"/>
      <c r="AB97" s="19"/>
    </row>
    <row r="98" spans="1:28" ht="21">
      <c r="A98" s="5" t="s">
        <v>571</v>
      </c>
      <c r="B98" s="5" t="s">
        <v>572</v>
      </c>
      <c r="C98" s="10"/>
      <c r="D98" s="10"/>
      <c r="E98" s="10"/>
      <c r="F98" s="10"/>
      <c r="G98" s="10"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7"/>
      <c r="I98" s="7"/>
      <c r="J98" s="2"/>
      <c r="K98" s="5" t="s">
        <v>573</v>
      </c>
      <c r="L98" s="12" t="s">
        <v>574</v>
      </c>
      <c r="M98" s="13"/>
      <c r="N98" s="13"/>
      <c r="O98" s="13"/>
      <c r="P98" s="13"/>
      <c r="Q98" s="13" t="str">
        <f>IF(AND(ISNUMBER(MATCH(M98,{"F","E","D","D+","C","C+","B","B+","A","A+","S"},0)),ISNUMBER(MATCH(N98,{"F","E","D","D+","C","C+","B","B+","A","A+","S"},0)),ISNUMBER(MATCH(O98,{"F","E","D","D+","C","C+","B","B+","A","A+","S"},0)),ISNUMBER(MATCH(P98,{"F","E","D","D+","C","C+","B","B+","A","A+","S"},0))),LOOKUP(AVERAGE(_xlfn.SWITCH(M98,"F",0,"E",10,"D",20,"D+",30,"C",40,"C+",50,"B",60,"B+",70,"A",80,"A+",90,"S",100),_xlfn.SWITCH(N98,"F",0,"E",10,"D",20,"D+",30,"C",40,"C+",50,"B",60,"B+",70,"A",80,"A+",90,"S",100),_xlfn.SWITCH(O98,"F",0,"E",10,"D",20,"D+",30,"C",40,"C+",50,"B",60,"B+",70,"A",80,"A+",90,"S",100),_xlfn.SWITCH(P98,"F",0,"E",10,"D",20,"D+",30,"C",40,"C+",50,"B",60,"B+",70,"A",80,"A+",90,"S",100)),{0,15,25,35,45,55,65,75,85,95},{"D","D","D+","C","C+","B","B+","A","A+","S"}),"?")</f>
        <v>?</v>
      </c>
      <c r="R98" s="14"/>
      <c r="S98" s="14"/>
      <c r="T98" s="2"/>
      <c r="U98" s="15" t="s">
        <v>575</v>
      </c>
      <c r="V98" s="16" t="s">
        <v>576</v>
      </c>
      <c r="W98" s="17" t="s">
        <v>577</v>
      </c>
      <c r="X98" s="18"/>
      <c r="Y98" s="18"/>
      <c r="Z98" s="18"/>
      <c r="AA98" s="19"/>
      <c r="AB98" s="19"/>
    </row>
    <row r="99" spans="1:28" ht="21">
      <c r="A99" s="5" t="s">
        <v>578</v>
      </c>
      <c r="B99" s="5" t="s">
        <v>579</v>
      </c>
      <c r="C99" s="10"/>
      <c r="D99" s="10"/>
      <c r="E99" s="10"/>
      <c r="F99" s="10"/>
      <c r="G99" s="10"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7"/>
      <c r="I99" s="7"/>
      <c r="J99" s="2"/>
      <c r="K99" s="5" t="s">
        <v>580</v>
      </c>
      <c r="L99" s="12" t="s">
        <v>581</v>
      </c>
      <c r="M99" s="13"/>
      <c r="N99" s="13"/>
      <c r="O99" s="13"/>
      <c r="P99" s="13"/>
      <c r="Q99" s="13" t="str">
        <f>IF(AND(ISNUMBER(MATCH(M99,{"F","E","D","D+","C","C+","B","B+","A","A+","S"},0)),ISNUMBER(MATCH(N99,{"F","E","D","D+","C","C+","B","B+","A","A+","S"},0)),ISNUMBER(MATCH(O99,{"F","E","D","D+","C","C+","B","B+","A","A+","S"},0)),ISNUMBER(MATCH(P99,{"F","E","D","D+","C","C+","B","B+","A","A+","S"},0))),LOOKUP(AVERAGE(_xlfn.SWITCH(M99,"F",0,"E",10,"D",20,"D+",30,"C",40,"C+",50,"B",60,"B+",70,"A",80,"A+",90,"S",100),_xlfn.SWITCH(N99,"F",0,"E",10,"D",20,"D+",30,"C",40,"C+",50,"B",60,"B+",70,"A",80,"A+",90,"S",100),_xlfn.SWITCH(O99,"F",0,"E",10,"D",20,"D+",30,"C",40,"C+",50,"B",60,"B+",70,"A",80,"A+",90,"S",100),_xlfn.SWITCH(P99,"F",0,"E",10,"D",20,"D+",30,"C",40,"C+",50,"B",60,"B+",70,"A",80,"A+",90,"S",100)),{0,15,25,35,45,55,65,75,85,95},{"D","D","D+","C","C+","B","B+","A","A+","S"}),"?")</f>
        <v>?</v>
      </c>
      <c r="R99" s="14"/>
      <c r="S99" s="14"/>
      <c r="T99" s="2"/>
      <c r="U99" s="15" t="s">
        <v>582</v>
      </c>
      <c r="V99" s="16" t="s">
        <v>583</v>
      </c>
      <c r="W99" s="17" t="s">
        <v>584</v>
      </c>
      <c r="X99" s="18"/>
      <c r="Y99" s="18"/>
      <c r="Z99" s="18"/>
      <c r="AA99" s="19"/>
      <c r="AB99" s="19"/>
    </row>
    <row r="100" spans="1:28" ht="21">
      <c r="A100" s="5" t="s">
        <v>585</v>
      </c>
      <c r="B100" s="5" t="s">
        <v>586</v>
      </c>
      <c r="C100" s="10"/>
      <c r="D100" s="10"/>
      <c r="E100" s="10"/>
      <c r="F100" s="10"/>
      <c r="G100" s="10"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7"/>
      <c r="I100" s="7"/>
      <c r="J100" s="2"/>
      <c r="K100" s="5" t="s">
        <v>154</v>
      </c>
      <c r="L100" s="12" t="s">
        <v>155</v>
      </c>
      <c r="M100" s="13"/>
      <c r="N100" s="13"/>
      <c r="O100" s="13"/>
      <c r="P100" s="13"/>
      <c r="Q100" s="13" t="str">
        <f>IF(AND(ISNUMBER(MATCH(M100,{"F","E","D","D+","C","C+","B","B+","A","A+","S"},0)),ISNUMBER(MATCH(N100,{"F","E","D","D+","C","C+","B","B+","A","A+","S"},0)),ISNUMBER(MATCH(O100,{"F","E","D","D+","C","C+","B","B+","A","A+","S"},0)),ISNUMBER(MATCH(P100,{"F","E","D","D+","C","C+","B","B+","A","A+","S"},0))),LOOKUP(AVERAGE(_xlfn.SWITCH(M100,"F",0,"E",10,"D",20,"D+",30,"C",40,"C+",50,"B",60,"B+",70,"A",80,"A+",90,"S",100),_xlfn.SWITCH(N100,"F",0,"E",10,"D",20,"D+",30,"C",40,"C+",50,"B",60,"B+",70,"A",80,"A+",90,"S",100),_xlfn.SWITCH(O100,"F",0,"E",10,"D",20,"D+",30,"C",40,"C+",50,"B",60,"B+",70,"A",80,"A+",90,"S",100),_xlfn.SWITCH(P100,"F",0,"E",10,"D",20,"D+",30,"C",40,"C+",50,"B",60,"B+",70,"A",80,"A+",90,"S",100)),{0,15,25,35,45,55,65,75,85,95},{"D","D","D+","C","C+","B","B+","A","A+","S"}),"?")</f>
        <v>?</v>
      </c>
      <c r="R100" s="14"/>
      <c r="S100" s="14"/>
      <c r="T100" s="2"/>
      <c r="U100" s="15" t="s">
        <v>587</v>
      </c>
      <c r="V100" s="16" t="s">
        <v>588</v>
      </c>
      <c r="W100" s="17" t="s">
        <v>589</v>
      </c>
      <c r="X100" s="18"/>
      <c r="Y100" s="18"/>
      <c r="Z100" s="18"/>
      <c r="AA100" s="19"/>
      <c r="AB100" s="19"/>
    </row>
    <row r="101" spans="1:28" ht="21">
      <c r="A101" s="5" t="s">
        <v>590</v>
      </c>
      <c r="B101" s="5" t="s">
        <v>591</v>
      </c>
      <c r="C101" s="10"/>
      <c r="D101" s="10"/>
      <c r="E101" s="10"/>
      <c r="F101" s="10"/>
      <c r="G101" s="10"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7"/>
      <c r="I101" s="7"/>
      <c r="J101" s="2"/>
      <c r="K101" s="5" t="s">
        <v>248</v>
      </c>
      <c r="L101" s="12" t="s">
        <v>249</v>
      </c>
      <c r="M101" s="13"/>
      <c r="N101" s="13"/>
      <c r="O101" s="13"/>
      <c r="P101" s="13"/>
      <c r="Q101" s="13" t="str">
        <f>IF(AND(ISNUMBER(MATCH(M101,{"F","E","D","D+","C","C+","B","B+","A","A+","S"},0)),ISNUMBER(MATCH(N101,{"F","E","D","D+","C","C+","B","B+","A","A+","S"},0)),ISNUMBER(MATCH(O101,{"F","E","D","D+","C","C+","B","B+","A","A+","S"},0)),ISNUMBER(MATCH(P101,{"F","E","D","D+","C","C+","B","B+","A","A+","S"},0))),LOOKUP(AVERAGE(_xlfn.SWITCH(M101,"F",0,"E",10,"D",20,"D+",30,"C",40,"C+",50,"B",60,"B+",70,"A",80,"A+",90,"S",100),_xlfn.SWITCH(N101,"F",0,"E",10,"D",20,"D+",30,"C",40,"C+",50,"B",60,"B+",70,"A",80,"A+",90,"S",100),_xlfn.SWITCH(O101,"F",0,"E",10,"D",20,"D+",30,"C",40,"C+",50,"B",60,"B+",70,"A",80,"A+",90,"S",100),_xlfn.SWITCH(P101,"F",0,"E",10,"D",20,"D+",30,"C",40,"C+",50,"B",60,"B+",70,"A",80,"A+",90,"S",100)),{0,15,25,35,45,55,65,75,85,95},{"D","D","D+","C","C+","B","B+","A","A+","S"}),"?")</f>
        <v>?</v>
      </c>
      <c r="R101" s="14"/>
      <c r="S101" s="14"/>
      <c r="T101" s="2"/>
      <c r="U101" s="15" t="s">
        <v>592</v>
      </c>
      <c r="V101" s="16" t="s">
        <v>593</v>
      </c>
      <c r="W101" s="17" t="s">
        <v>594</v>
      </c>
      <c r="X101" s="18"/>
      <c r="Y101" s="18"/>
      <c r="Z101" s="18"/>
      <c r="AA101" s="19"/>
      <c r="AB101" s="19"/>
    </row>
    <row r="102" spans="1:28" ht="21">
      <c r="A102" s="5" t="s">
        <v>595</v>
      </c>
      <c r="B102" s="5" t="s">
        <v>596</v>
      </c>
      <c r="C102" s="10"/>
      <c r="D102" s="10"/>
      <c r="E102" s="10"/>
      <c r="F102" s="10"/>
      <c r="G102" s="10"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7"/>
      <c r="I102" s="7"/>
      <c r="J102" s="2"/>
      <c r="K102" s="5" t="s">
        <v>597</v>
      </c>
      <c r="L102" s="12" t="s">
        <v>598</v>
      </c>
      <c r="M102" s="13"/>
      <c r="N102" s="13"/>
      <c r="O102" s="13"/>
      <c r="P102" s="13"/>
      <c r="Q102" s="13" t="str">
        <f>IF(AND(ISNUMBER(MATCH(M102,{"F","E","D","D+","C","C+","B","B+","A","A+","S"},0)),ISNUMBER(MATCH(N102,{"F","E","D","D+","C","C+","B","B+","A","A+","S"},0)),ISNUMBER(MATCH(O102,{"F","E","D","D+","C","C+","B","B+","A","A+","S"},0)),ISNUMBER(MATCH(P102,{"F","E","D","D+","C","C+","B","B+","A","A+","S"},0))),LOOKUP(AVERAGE(_xlfn.SWITCH(M102,"F",0,"E",10,"D",20,"D+",30,"C",40,"C+",50,"B",60,"B+",70,"A",80,"A+",90,"S",100),_xlfn.SWITCH(N102,"F",0,"E",10,"D",20,"D+",30,"C",40,"C+",50,"B",60,"B+",70,"A",80,"A+",90,"S",100),_xlfn.SWITCH(O102,"F",0,"E",10,"D",20,"D+",30,"C",40,"C+",50,"B",60,"B+",70,"A",80,"A+",90,"S",100),_xlfn.SWITCH(P102,"F",0,"E",10,"D",20,"D+",30,"C",40,"C+",50,"B",60,"B+",70,"A",80,"A+",90,"S",100)),{0,15,25,35,45,55,65,75,85,95},{"D","D","D+","C","C+","B","B+","A","A+","S"}),"?")</f>
        <v>?</v>
      </c>
      <c r="R102" s="14"/>
      <c r="S102" s="14"/>
      <c r="T102" s="2"/>
      <c r="U102" s="15" t="s">
        <v>599</v>
      </c>
      <c r="V102" s="16" t="s">
        <v>600</v>
      </c>
      <c r="W102" s="17" t="s">
        <v>601</v>
      </c>
      <c r="X102" s="18"/>
      <c r="Y102" s="18"/>
      <c r="Z102" s="18"/>
      <c r="AA102" s="19"/>
      <c r="AB102" s="19"/>
    </row>
    <row r="103" spans="1:28" ht="21">
      <c r="A103" s="5" t="s">
        <v>602</v>
      </c>
      <c r="B103" s="5" t="s">
        <v>603</v>
      </c>
      <c r="C103" s="10"/>
      <c r="D103" s="10"/>
      <c r="E103" s="10"/>
      <c r="F103" s="10"/>
      <c r="G103" s="10"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7"/>
      <c r="I103" s="7"/>
      <c r="J103" s="2"/>
      <c r="K103" s="5" t="s">
        <v>141</v>
      </c>
      <c r="L103" s="12" t="s">
        <v>142</v>
      </c>
      <c r="M103" s="13"/>
      <c r="N103" s="13"/>
      <c r="O103" s="13"/>
      <c r="P103" s="13"/>
      <c r="Q103" s="13" t="str">
        <f>IF(AND(ISNUMBER(MATCH(M103,{"F","E","D","D+","C","C+","B","B+","A","A+","S"},0)),ISNUMBER(MATCH(N103,{"F","E","D","D+","C","C+","B","B+","A","A+","S"},0)),ISNUMBER(MATCH(O103,{"F","E","D","D+","C","C+","B","B+","A","A+","S"},0)),ISNUMBER(MATCH(P103,{"F","E","D","D+","C","C+","B","B+","A","A+","S"},0))),LOOKUP(AVERAGE(_xlfn.SWITCH(M103,"F",0,"E",10,"D",20,"D+",30,"C",40,"C+",50,"B",60,"B+",70,"A",80,"A+",90,"S",100),_xlfn.SWITCH(N103,"F",0,"E",10,"D",20,"D+",30,"C",40,"C+",50,"B",60,"B+",70,"A",80,"A+",90,"S",100),_xlfn.SWITCH(O103,"F",0,"E",10,"D",20,"D+",30,"C",40,"C+",50,"B",60,"B+",70,"A",80,"A+",90,"S",100),_xlfn.SWITCH(P103,"F",0,"E",10,"D",20,"D+",30,"C",40,"C+",50,"B",60,"B+",70,"A",80,"A+",90,"S",100)),{0,15,25,35,45,55,65,75,85,95},{"D","D","D+","C","C+","B","B+","A","A+","S"}),"?")</f>
        <v>?</v>
      </c>
      <c r="R103" s="14"/>
      <c r="S103" s="14"/>
      <c r="T103" s="2"/>
      <c r="U103" s="15" t="s">
        <v>604</v>
      </c>
      <c r="V103" s="16" t="s">
        <v>605</v>
      </c>
      <c r="W103" s="17" t="s">
        <v>606</v>
      </c>
      <c r="X103" s="18"/>
      <c r="Y103" s="18"/>
      <c r="Z103" s="18"/>
      <c r="AA103" s="19"/>
      <c r="AB103" s="19"/>
    </row>
    <row r="104" spans="1:28" ht="21">
      <c r="A104" s="5" t="s">
        <v>607</v>
      </c>
      <c r="B104" s="5" t="s">
        <v>381</v>
      </c>
      <c r="C104" s="10"/>
      <c r="D104" s="10"/>
      <c r="E104" s="10"/>
      <c r="F104" s="10"/>
      <c r="G104" s="10"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v>
      </c>
      <c r="H104" s="7"/>
      <c r="I104" s="7"/>
      <c r="J104" s="2"/>
      <c r="K104" s="5" t="s">
        <v>608</v>
      </c>
      <c r="L104" s="12" t="s">
        <v>609</v>
      </c>
      <c r="M104" s="13"/>
      <c r="N104" s="13"/>
      <c r="O104" s="13"/>
      <c r="P104" s="13"/>
      <c r="Q104" s="13" t="str">
        <f>IF(AND(ISNUMBER(MATCH(M104,{"F","E","D","D+","C","C+","B","B+","A","A+","S"},0)),ISNUMBER(MATCH(N104,{"F","E","D","D+","C","C+","B","B+","A","A+","S"},0)),ISNUMBER(MATCH(O104,{"F","E","D","D+","C","C+","B","B+","A","A+","S"},0)),ISNUMBER(MATCH(P104,{"F","E","D","D+","C","C+","B","B+","A","A+","S"},0))),LOOKUP(AVERAGE(_xlfn.SWITCH(M104,"F",0,"E",10,"D",20,"D+",30,"C",40,"C+",50,"B",60,"B+",70,"A",80,"A+",90,"S",100),_xlfn.SWITCH(N104,"F",0,"E",10,"D",20,"D+",30,"C",40,"C+",50,"B",60,"B+",70,"A",80,"A+",90,"S",100),_xlfn.SWITCH(O104,"F",0,"E",10,"D",20,"D+",30,"C",40,"C+",50,"B",60,"B+",70,"A",80,"A+",90,"S",100),_xlfn.SWITCH(P104,"F",0,"E",10,"D",20,"D+",30,"C",40,"C+",50,"B",60,"B+",70,"A",80,"A+",90,"S",100)),{0,15,25,35,45,55,65,75,85,95},{"D","D","D+","C","C+","B","B+","A","A+","S"}),"?")</f>
        <v>?</v>
      </c>
      <c r="R104" s="14"/>
      <c r="S104" s="14"/>
      <c r="T104" s="2"/>
      <c r="U104" s="15" t="s">
        <v>610</v>
      </c>
      <c r="V104" s="16" t="s">
        <v>611</v>
      </c>
      <c r="W104" s="17" t="s">
        <v>612</v>
      </c>
      <c r="X104" s="18"/>
      <c r="Y104" s="18"/>
      <c r="Z104" s="18"/>
      <c r="AA104" s="19"/>
      <c r="AB104" s="19"/>
    </row>
    <row r="105" spans="1:28" ht="21">
      <c r="A105" s="5" t="s">
        <v>613</v>
      </c>
      <c r="B105" s="5" t="s">
        <v>108</v>
      </c>
      <c r="C105" s="10"/>
      <c r="D105" s="10"/>
      <c r="E105" s="10"/>
      <c r="F105" s="10"/>
      <c r="G105" s="10" t="str">
        <f>IF(AND(ISNUMBER(MATCH(C105,{"F","E","D","D+","C","C+","B","B+","A","A+","S"},0)),ISNUMBER(MATCH(D105,{"F","E","D","D+","C","C+","B","B+","A","A+","S"},0)),ISNUMBER(MATCH(E105,{"F","E","D","D+","C","C+","B","B+","A","A+","S"},0)),ISNUMBER(MATCH(F105,{"F","E","D","D+","C","C+","B","B+","A","A+","S"},0))),LOOKUP(AVERAGE(_xlfn.SWITCH(C105,"F",0,"E",10,"D",20,"D+",30,"C",40,"C+",50,"B",60,"B+",70,"A",80,"A+",90,"S",100),_xlfn.SWITCH(D105,"F",0,"E",10,"D",20,"D+",30,"C",40,"C+",50,"B",60,"B+",70,"A",80,"A+",90,"S",100),_xlfn.SWITCH(E105,"F",0,"E",10,"D",20,"D+",30,"C",40,"C+",50,"B",60,"B+",70,"A",80,"A+",90,"S",100),_xlfn.SWITCH(F105,"F",0,"E",10,"D",20,"D+",30,"C",40,"C+",50,"B",60,"B+",70,"A",80,"A+",90,"S",100)),{0,15,25,35,45,55,65,75,85,95},{"D","D","D+","C","C+","B","B+","A","A+","S"}),"?")</f>
        <v>?</v>
      </c>
      <c r="H105" s="7"/>
      <c r="I105" s="7"/>
      <c r="J105" s="2"/>
      <c r="K105" s="5" t="s">
        <v>614</v>
      </c>
      <c r="L105" s="12" t="s">
        <v>615</v>
      </c>
      <c r="M105" s="13"/>
      <c r="N105" s="13"/>
      <c r="O105" s="13"/>
      <c r="P105" s="13"/>
      <c r="Q105" s="13" t="str">
        <f>IF(AND(ISNUMBER(MATCH(M105,{"F","E","D","D+","C","C+","B","B+","A","A+","S"},0)),ISNUMBER(MATCH(N105,{"F","E","D","D+","C","C+","B","B+","A","A+","S"},0)),ISNUMBER(MATCH(O105,{"F","E","D","D+","C","C+","B","B+","A","A+","S"},0)),ISNUMBER(MATCH(P105,{"F","E","D","D+","C","C+","B","B+","A","A+","S"},0))),LOOKUP(AVERAGE(_xlfn.SWITCH(M105,"F",0,"E",10,"D",20,"D+",30,"C",40,"C+",50,"B",60,"B+",70,"A",80,"A+",90,"S",100),_xlfn.SWITCH(N105,"F",0,"E",10,"D",20,"D+",30,"C",40,"C+",50,"B",60,"B+",70,"A",80,"A+",90,"S",100),_xlfn.SWITCH(O105,"F",0,"E",10,"D",20,"D+",30,"C",40,"C+",50,"B",60,"B+",70,"A",80,"A+",90,"S",100),_xlfn.SWITCH(P105,"F",0,"E",10,"D",20,"D+",30,"C",40,"C+",50,"B",60,"B+",70,"A",80,"A+",90,"S",100)),{0,15,25,35,45,55,65,75,85,95},{"D","D","D+","C","C+","B","B+","A","A+","S"}),"?")</f>
        <v>?</v>
      </c>
      <c r="R105" s="14"/>
      <c r="S105" s="14"/>
      <c r="T105" s="2"/>
      <c r="U105" s="15" t="s">
        <v>616</v>
      </c>
      <c r="V105" s="16" t="s">
        <v>617</v>
      </c>
      <c r="W105" s="17" t="s">
        <v>618</v>
      </c>
      <c r="X105" s="18"/>
      <c r="Y105" s="18"/>
      <c r="Z105" s="18"/>
      <c r="AA105" s="19"/>
      <c r="AB105" s="19"/>
    </row>
    <row r="106" spans="1:28" ht="19.5" customHeight="1">
      <c r="A106" s="550" t="s">
        <v>619</v>
      </c>
      <c r="B106" s="531"/>
      <c r="C106" s="531"/>
      <c r="D106" s="531"/>
      <c r="E106" s="531"/>
      <c r="F106" s="531"/>
      <c r="G106" s="531"/>
      <c r="H106" s="531"/>
      <c r="I106" s="537"/>
      <c r="J106" s="2"/>
      <c r="K106" s="5" t="s">
        <v>620</v>
      </c>
      <c r="L106" s="12" t="s">
        <v>621</v>
      </c>
      <c r="M106" s="13"/>
      <c r="N106" s="13"/>
      <c r="O106" s="13"/>
      <c r="P106" s="13"/>
      <c r="Q106" s="13" t="str">
        <f>IF(AND(ISNUMBER(MATCH(M106,{"F","E","D","D+","C","C+","B","B+","A","A+","S"},0)),ISNUMBER(MATCH(N106,{"F","E","D","D+","C","C+","B","B+","A","A+","S"},0)),ISNUMBER(MATCH(O106,{"F","E","D","D+","C","C+","B","B+","A","A+","S"},0)),ISNUMBER(MATCH(P106,{"F","E","D","D+","C","C+","B","B+","A","A+","S"},0))),LOOKUP(AVERAGE(_xlfn.SWITCH(M106,"F",0,"E",10,"D",20,"D+",30,"C",40,"C+",50,"B",60,"B+",70,"A",80,"A+",90,"S",100),_xlfn.SWITCH(N106,"F",0,"E",10,"D",20,"D+",30,"C",40,"C+",50,"B",60,"B+",70,"A",80,"A+",90,"S",100),_xlfn.SWITCH(O106,"F",0,"E",10,"D",20,"D+",30,"C",40,"C+",50,"B",60,"B+",70,"A",80,"A+",90,"S",100),_xlfn.SWITCH(P106,"F",0,"E",10,"D",20,"D+",30,"C",40,"C+",50,"B",60,"B+",70,"A",80,"A+",90,"S",100)),{0,15,25,35,45,55,65,75,85,95},{"D","D","D+","C","C+","B","B+","A","A+","S"}),"?")</f>
        <v>?</v>
      </c>
      <c r="R106" s="14"/>
      <c r="S106" s="14"/>
      <c r="T106" s="2"/>
      <c r="U106" s="15" t="s">
        <v>622</v>
      </c>
      <c r="V106" s="16" t="s">
        <v>623</v>
      </c>
      <c r="W106" s="17" t="s">
        <v>624</v>
      </c>
      <c r="X106" s="18"/>
      <c r="Y106" s="18"/>
      <c r="Z106" s="18"/>
      <c r="AA106" s="19"/>
      <c r="AB106" s="19"/>
    </row>
    <row r="107" spans="1:28" ht="14.25" customHeight="1">
      <c r="A107" s="538"/>
      <c r="B107" s="533"/>
      <c r="C107" s="533"/>
      <c r="D107" s="533"/>
      <c r="E107" s="533"/>
      <c r="F107" s="533"/>
      <c r="G107" s="533"/>
      <c r="H107" s="533"/>
      <c r="I107" s="539"/>
      <c r="J107" s="2"/>
      <c r="K107" s="5" t="s">
        <v>419</v>
      </c>
      <c r="L107" s="12" t="s">
        <v>420</v>
      </c>
      <c r="M107" s="13"/>
      <c r="N107" s="13"/>
      <c r="O107" s="13"/>
      <c r="P107" s="13"/>
      <c r="Q107" s="13" t="str">
        <f>IF(AND(ISNUMBER(MATCH(M107,{"F","E","D","D+","C","C+","B","B+","A","A+","S"},0)),ISNUMBER(MATCH(N107,{"F","E","D","D+","C","C+","B","B+","A","A+","S"},0)),ISNUMBER(MATCH(O107,{"F","E","D","D+","C","C+","B","B+","A","A+","S"},0)),ISNUMBER(MATCH(P107,{"F","E","D","D+","C","C+","B","B+","A","A+","S"},0))),LOOKUP(AVERAGE(_xlfn.SWITCH(M107,"F",0,"E",10,"D",20,"D+",30,"C",40,"C+",50,"B",60,"B+",70,"A",80,"A+",90,"S",100),_xlfn.SWITCH(N107,"F",0,"E",10,"D",20,"D+",30,"C",40,"C+",50,"B",60,"B+",70,"A",80,"A+",90,"S",100),_xlfn.SWITCH(O107,"F",0,"E",10,"D",20,"D+",30,"C",40,"C+",50,"B",60,"B+",70,"A",80,"A+",90,"S",100),_xlfn.SWITCH(P107,"F",0,"E",10,"D",20,"D+",30,"C",40,"C+",50,"B",60,"B+",70,"A",80,"A+",90,"S",100)),{0,15,25,35,45,55,65,75,85,95},{"D","D","D+","C","C+","B","B+","A","A+","S"}),"?")</f>
        <v>?</v>
      </c>
      <c r="R107" s="14"/>
      <c r="S107" s="14"/>
      <c r="T107" s="2"/>
      <c r="U107" s="15" t="s">
        <v>625</v>
      </c>
      <c r="V107" s="16" t="s">
        <v>626</v>
      </c>
      <c r="W107" s="17" t="s">
        <v>627</v>
      </c>
      <c r="X107" s="18"/>
      <c r="Y107" s="18"/>
      <c r="Z107" s="18"/>
      <c r="AA107" s="19"/>
      <c r="AB107" s="19"/>
    </row>
    <row r="108" spans="1:28" ht="21">
      <c r="A108" s="5" t="s">
        <v>4</v>
      </c>
      <c r="B108" s="6" t="s">
        <v>5</v>
      </c>
      <c r="C108" s="7" t="s">
        <v>6</v>
      </c>
      <c r="D108" s="7" t="s">
        <v>7</v>
      </c>
      <c r="E108" s="7" t="s">
        <v>8</v>
      </c>
      <c r="F108" s="7" t="s">
        <v>9</v>
      </c>
      <c r="G108" s="7" t="s">
        <v>10</v>
      </c>
      <c r="H108" s="7" t="s">
        <v>11</v>
      </c>
      <c r="I108" s="11" t="s">
        <v>12</v>
      </c>
      <c r="J108" s="2"/>
      <c r="K108" s="5" t="s">
        <v>628</v>
      </c>
      <c r="L108" s="12" t="s">
        <v>629</v>
      </c>
      <c r="M108" s="13"/>
      <c r="N108" s="13"/>
      <c r="O108" s="13"/>
      <c r="P108" s="13"/>
      <c r="Q108" s="13" t="str">
        <f>IF(AND(ISNUMBER(MATCH(M108,{"F","E","D","D+","C","C+","B","B+","A","A+","S"},0)),ISNUMBER(MATCH(N108,{"F","E","D","D+","C","C+","B","B+","A","A+","S"},0)),ISNUMBER(MATCH(O108,{"F","E","D","D+","C","C+","B","B+","A","A+","S"},0)),ISNUMBER(MATCH(P108,{"F","E","D","D+","C","C+","B","B+","A","A+","S"},0))),LOOKUP(AVERAGE(_xlfn.SWITCH(M108,"F",0,"E",10,"D",20,"D+",30,"C",40,"C+",50,"B",60,"B+",70,"A",80,"A+",90,"S",100),_xlfn.SWITCH(N108,"F",0,"E",10,"D",20,"D+",30,"C",40,"C+",50,"B",60,"B+",70,"A",80,"A+",90,"S",100),_xlfn.SWITCH(O108,"F",0,"E",10,"D",20,"D+",30,"C",40,"C+",50,"B",60,"B+",70,"A",80,"A+",90,"S",100),_xlfn.SWITCH(P108,"F",0,"E",10,"D",20,"D+",30,"C",40,"C+",50,"B",60,"B+",70,"A",80,"A+",90,"S",100)),{0,15,25,35,45,55,65,75,85,95},{"D","D","D+","C","C+","B","B+","A","A+","S"}),"?")</f>
        <v>?</v>
      </c>
      <c r="R108" s="14"/>
      <c r="S108" s="14"/>
      <c r="T108" s="2"/>
      <c r="U108" s="15" t="s">
        <v>630</v>
      </c>
      <c r="V108" s="16" t="s">
        <v>631</v>
      </c>
      <c r="W108" s="17" t="s">
        <v>632</v>
      </c>
      <c r="X108" s="18"/>
      <c r="Y108" s="18"/>
      <c r="Z108" s="18"/>
      <c r="AA108" s="19"/>
      <c r="AB108" s="19"/>
    </row>
    <row r="109" spans="1:28" ht="21">
      <c r="A109" s="5" t="s">
        <v>633</v>
      </c>
      <c r="B109" s="5" t="s">
        <v>594</v>
      </c>
      <c r="C109" s="13"/>
      <c r="D109" s="13"/>
      <c r="E109" s="13"/>
      <c r="F109" s="13"/>
      <c r="G109" s="13"/>
      <c r="H109" s="7"/>
      <c r="I109" s="7"/>
      <c r="J109" s="2"/>
      <c r="K109" s="5" t="s">
        <v>634</v>
      </c>
      <c r="L109" s="12" t="s">
        <v>635</v>
      </c>
      <c r="M109" s="13"/>
      <c r="N109" s="13"/>
      <c r="O109" s="13"/>
      <c r="P109" s="13"/>
      <c r="Q109" s="13" t="str">
        <f>IF(AND(ISNUMBER(MATCH(M109,{"F","E","D","D+","C","C+","B","B+","A","A+","S"},0)),ISNUMBER(MATCH(N109,{"F","E","D","D+","C","C+","B","B+","A","A+","S"},0)),ISNUMBER(MATCH(O109,{"F","E","D","D+","C","C+","B","B+","A","A+","S"},0)),ISNUMBER(MATCH(P109,{"F","E","D","D+","C","C+","B","B+","A","A+","S"},0))),LOOKUP(AVERAGE(_xlfn.SWITCH(M109,"F",0,"E",10,"D",20,"D+",30,"C",40,"C+",50,"B",60,"B+",70,"A",80,"A+",90,"S",100),_xlfn.SWITCH(N109,"F",0,"E",10,"D",20,"D+",30,"C",40,"C+",50,"B",60,"B+",70,"A",80,"A+",90,"S",100),_xlfn.SWITCH(O109,"F",0,"E",10,"D",20,"D+",30,"C",40,"C+",50,"B",60,"B+",70,"A",80,"A+",90,"S",100),_xlfn.SWITCH(P109,"F",0,"E",10,"D",20,"D+",30,"C",40,"C+",50,"B",60,"B+",70,"A",80,"A+",90,"S",100)),{0,15,25,35,45,55,65,75,85,95},{"D","D","D+","C","C+","B","B+","A","A+","S"}),"?")</f>
        <v>?</v>
      </c>
      <c r="R109" s="14"/>
      <c r="S109" s="14"/>
      <c r="T109" s="2"/>
      <c r="U109" s="15" t="s">
        <v>636</v>
      </c>
      <c r="V109" s="16" t="s">
        <v>637</v>
      </c>
      <c r="W109" s="17" t="s">
        <v>638</v>
      </c>
      <c r="X109" s="18"/>
      <c r="Y109" s="18"/>
      <c r="Z109" s="18"/>
      <c r="AA109" s="19"/>
      <c r="AB109" s="19"/>
    </row>
    <row r="110" spans="1:28" ht="21">
      <c r="A110" s="5" t="s">
        <v>639</v>
      </c>
      <c r="B110" s="5" t="s">
        <v>640</v>
      </c>
      <c r="C110" s="13"/>
      <c r="D110" s="13"/>
      <c r="E110" s="13"/>
      <c r="F110" s="13"/>
      <c r="G110" s="13"/>
      <c r="H110" s="7"/>
      <c r="I110" s="7"/>
      <c r="J110" s="2"/>
      <c r="K110" s="5" t="s">
        <v>284</v>
      </c>
      <c r="L110" s="12" t="s">
        <v>285</v>
      </c>
      <c r="M110" s="13"/>
      <c r="N110" s="13"/>
      <c r="O110" s="13"/>
      <c r="P110" s="13"/>
      <c r="Q110" s="13" t="str">
        <f>IF(AND(ISNUMBER(MATCH(M110,{"F","E","D","D+","C","C+","B","B+","A","A+","S"},0)),ISNUMBER(MATCH(N110,{"F","E","D","D+","C","C+","B","B+","A","A+","S"},0)),ISNUMBER(MATCH(O110,{"F","E","D","D+","C","C+","B","B+","A","A+","S"},0)),ISNUMBER(MATCH(P110,{"F","E","D","D+","C","C+","B","B+","A","A+","S"},0))),LOOKUP(AVERAGE(_xlfn.SWITCH(M110,"F",0,"E",10,"D",20,"D+",30,"C",40,"C+",50,"B",60,"B+",70,"A",80,"A+",90,"S",100),_xlfn.SWITCH(N110,"F",0,"E",10,"D",20,"D+",30,"C",40,"C+",50,"B",60,"B+",70,"A",80,"A+",90,"S",100),_xlfn.SWITCH(O110,"F",0,"E",10,"D",20,"D+",30,"C",40,"C+",50,"B",60,"B+",70,"A",80,"A+",90,"S",100),_xlfn.SWITCH(P110,"F",0,"E",10,"D",20,"D+",30,"C",40,"C+",50,"B",60,"B+",70,"A",80,"A+",90,"S",100)),{0,15,25,35,45,55,65,75,85,95},{"D","D","D+","C","C+","B","B+","A","A+","S"}),"?")</f>
        <v>?</v>
      </c>
      <c r="R110" s="14"/>
      <c r="S110" s="14"/>
      <c r="T110" s="2"/>
      <c r="U110" s="15" t="s">
        <v>641</v>
      </c>
      <c r="V110" s="16" t="s">
        <v>642</v>
      </c>
      <c r="W110" s="17" t="s">
        <v>643</v>
      </c>
      <c r="X110" s="18"/>
      <c r="Y110" s="18"/>
      <c r="Z110" s="18"/>
      <c r="AA110" s="19"/>
      <c r="AB110" s="19"/>
    </row>
    <row r="111" spans="1:28" ht="21">
      <c r="A111" s="5" t="s">
        <v>644</v>
      </c>
      <c r="B111" s="5" t="s">
        <v>645</v>
      </c>
      <c r="C111" s="13"/>
      <c r="D111" s="13"/>
      <c r="E111" s="13"/>
      <c r="F111" s="13"/>
      <c r="G111" s="13"/>
      <c r="H111" s="7"/>
      <c r="I111" s="7"/>
      <c r="J111" s="2"/>
      <c r="K111" s="5" t="s">
        <v>646</v>
      </c>
      <c r="L111" s="12" t="s">
        <v>647</v>
      </c>
      <c r="M111" s="13"/>
      <c r="N111" s="13"/>
      <c r="O111" s="13"/>
      <c r="P111" s="13"/>
      <c r="Q111" s="13" t="str">
        <f>IF(AND(ISNUMBER(MATCH(M111,{"F","E","D","D+","C","C+","B","B+","A","A+","S"},0)),ISNUMBER(MATCH(N111,{"F","E","D","D+","C","C+","B","B+","A","A+","S"},0)),ISNUMBER(MATCH(O111,{"F","E","D","D+","C","C+","B","B+","A","A+","S"},0)),ISNUMBER(MATCH(P111,{"F","E","D","D+","C","C+","B","B+","A","A+","S"},0))),LOOKUP(AVERAGE(_xlfn.SWITCH(M111,"F",0,"E",10,"D",20,"D+",30,"C",40,"C+",50,"B",60,"B+",70,"A",80,"A+",90,"S",100),_xlfn.SWITCH(N111,"F",0,"E",10,"D",20,"D+",30,"C",40,"C+",50,"B",60,"B+",70,"A",80,"A+",90,"S",100),_xlfn.SWITCH(O111,"F",0,"E",10,"D",20,"D+",30,"C",40,"C+",50,"B",60,"B+",70,"A",80,"A+",90,"S",100),_xlfn.SWITCH(P111,"F",0,"E",10,"D",20,"D+",30,"C",40,"C+",50,"B",60,"B+",70,"A",80,"A+",90,"S",100)),{0,15,25,35,45,55,65,75,85,95},{"D","D","D+","C","C+","B","B+","A","A+","S"}),"?")</f>
        <v>?</v>
      </c>
      <c r="R111" s="14"/>
      <c r="S111" s="14"/>
      <c r="T111" s="2"/>
      <c r="U111" s="15" t="s">
        <v>648</v>
      </c>
      <c r="V111" s="16" t="s">
        <v>649</v>
      </c>
      <c r="W111" s="17" t="s">
        <v>650</v>
      </c>
      <c r="X111" s="18"/>
      <c r="Y111" s="18"/>
      <c r="Z111" s="18"/>
      <c r="AA111" s="19"/>
      <c r="AB111" s="19"/>
    </row>
    <row r="112" spans="1:28" ht="21">
      <c r="A112" s="5" t="s">
        <v>651</v>
      </c>
      <c r="B112" s="5" t="s">
        <v>652</v>
      </c>
      <c r="C112" s="13"/>
      <c r="D112" s="13"/>
      <c r="E112" s="13"/>
      <c r="F112" s="13"/>
      <c r="G112" s="13"/>
      <c r="H112" s="7"/>
      <c r="I112" s="7"/>
      <c r="J112" s="2"/>
      <c r="K112" s="5" t="s">
        <v>653</v>
      </c>
      <c r="L112" s="12" t="s">
        <v>654</v>
      </c>
      <c r="M112" s="13"/>
      <c r="N112" s="13"/>
      <c r="O112" s="13"/>
      <c r="P112" s="13"/>
      <c r="Q112" s="13" t="str">
        <f>IF(AND(ISNUMBER(MATCH(M112,{"F","E","D","D+","C","C+","B","B+","A","A+","S"},0)),ISNUMBER(MATCH(N112,{"F","E","D","D+","C","C+","B","B+","A","A+","S"},0)),ISNUMBER(MATCH(O112,{"F","E","D","D+","C","C+","B","B+","A","A+","S"},0)),ISNUMBER(MATCH(P112,{"F","E","D","D+","C","C+","B","B+","A","A+","S"},0))),LOOKUP(AVERAGE(_xlfn.SWITCH(M112,"F",0,"E",10,"D",20,"D+",30,"C",40,"C+",50,"B",60,"B+",70,"A",80,"A+",90,"S",100),_xlfn.SWITCH(N112,"F",0,"E",10,"D",20,"D+",30,"C",40,"C+",50,"B",60,"B+",70,"A",80,"A+",90,"S",100),_xlfn.SWITCH(O112,"F",0,"E",10,"D",20,"D+",30,"C",40,"C+",50,"B",60,"B+",70,"A",80,"A+",90,"S",100),_xlfn.SWITCH(P112,"F",0,"E",10,"D",20,"D+",30,"C",40,"C+",50,"B",60,"B+",70,"A",80,"A+",90,"S",100)),{0,15,25,35,45,55,65,75,85,95},{"D","D","D+","C","C+","B","B+","A","A+","S"}),"?")</f>
        <v>?</v>
      </c>
      <c r="R112" s="14"/>
      <c r="S112" s="14"/>
      <c r="T112" s="2"/>
      <c r="U112" s="15" t="s">
        <v>655</v>
      </c>
      <c r="V112" s="16" t="s">
        <v>656</v>
      </c>
      <c r="W112" s="17" t="s">
        <v>657</v>
      </c>
      <c r="X112" s="18"/>
      <c r="Y112" s="18"/>
      <c r="Z112" s="18"/>
      <c r="AA112" s="19"/>
      <c r="AB112" s="19"/>
    </row>
    <row r="113" spans="1:28" ht="21">
      <c r="A113" s="5" t="s">
        <v>658</v>
      </c>
      <c r="B113" s="5" t="s">
        <v>659</v>
      </c>
      <c r="C113" s="13"/>
      <c r="D113" s="13"/>
      <c r="E113" s="13"/>
      <c r="F113" s="13"/>
      <c r="G113" s="13"/>
      <c r="H113" s="7"/>
      <c r="I113" s="7"/>
      <c r="J113" s="2"/>
      <c r="K113" s="5" t="s">
        <v>203</v>
      </c>
      <c r="L113" s="12" t="s">
        <v>204</v>
      </c>
      <c r="M113" s="13"/>
      <c r="N113" s="13"/>
      <c r="O113" s="13"/>
      <c r="P113" s="13"/>
      <c r="Q113" s="13" t="str">
        <f>IF(AND(ISNUMBER(MATCH(M113,{"F","E","D","D+","C","C+","B","B+","A","A+","S"},0)),ISNUMBER(MATCH(N113,{"F","E","D","D+","C","C+","B","B+","A","A+","S"},0)),ISNUMBER(MATCH(O113,{"F","E","D","D+","C","C+","B","B+","A","A+","S"},0)),ISNUMBER(MATCH(P113,{"F","E","D","D+","C","C+","B","B+","A","A+","S"},0))),LOOKUP(AVERAGE(_xlfn.SWITCH(M113,"F",0,"E",10,"D",20,"D+",30,"C",40,"C+",50,"B",60,"B+",70,"A",80,"A+",90,"S",100),_xlfn.SWITCH(N113,"F",0,"E",10,"D",20,"D+",30,"C",40,"C+",50,"B",60,"B+",70,"A",80,"A+",90,"S",100),_xlfn.SWITCH(O113,"F",0,"E",10,"D",20,"D+",30,"C",40,"C+",50,"B",60,"B+",70,"A",80,"A+",90,"S",100),_xlfn.SWITCH(P113,"F",0,"E",10,"D",20,"D+",30,"C",40,"C+",50,"B",60,"B+",70,"A",80,"A+",90,"S",100)),{0,15,25,35,45,55,65,75,85,95},{"D","D","D+","C","C+","B","B+","A","A+","S"}),"?")</f>
        <v>?</v>
      </c>
      <c r="R113" s="14"/>
      <c r="S113" s="14"/>
      <c r="T113" s="2"/>
      <c r="U113" s="15" t="s">
        <v>660</v>
      </c>
      <c r="V113" s="16" t="s">
        <v>661</v>
      </c>
      <c r="W113" s="17" t="s">
        <v>662</v>
      </c>
      <c r="X113" s="18"/>
      <c r="Y113" s="18"/>
      <c r="Z113" s="18"/>
      <c r="AA113" s="19"/>
      <c r="AB113" s="19"/>
    </row>
    <row r="114" spans="1:28" ht="21">
      <c r="A114" s="5" t="s">
        <v>663</v>
      </c>
      <c r="B114" s="5" t="s">
        <v>5246</v>
      </c>
      <c r="C114" s="13"/>
      <c r="D114" s="13"/>
      <c r="E114" s="13"/>
      <c r="F114" s="13"/>
      <c r="G114" s="13"/>
      <c r="H114" s="7"/>
      <c r="I114" s="7"/>
      <c r="J114" s="2"/>
      <c r="K114" s="5" t="s">
        <v>60</v>
      </c>
      <c r="L114" s="12" t="s">
        <v>61</v>
      </c>
      <c r="M114" s="13"/>
      <c r="N114" s="13"/>
      <c r="O114" s="13"/>
      <c r="P114" s="13"/>
      <c r="Q114" s="13" t="str">
        <f>IF(AND(ISNUMBER(MATCH(M114,{"F","E","D","D+","C","C+","B","B+","A","A+","S"},0)),ISNUMBER(MATCH(N114,{"F","E","D","D+","C","C+","B","B+","A","A+","S"},0)),ISNUMBER(MATCH(O114,{"F","E","D","D+","C","C+","B","B+","A","A+","S"},0)),ISNUMBER(MATCH(P114,{"F","E","D","D+","C","C+","B","B+","A","A+","S"},0))),LOOKUP(AVERAGE(_xlfn.SWITCH(M114,"F",0,"E",10,"D",20,"D+",30,"C",40,"C+",50,"B",60,"B+",70,"A",80,"A+",90,"S",100),_xlfn.SWITCH(N114,"F",0,"E",10,"D",20,"D+",30,"C",40,"C+",50,"B",60,"B+",70,"A",80,"A+",90,"S",100),_xlfn.SWITCH(O114,"F",0,"E",10,"D",20,"D+",30,"C",40,"C+",50,"B",60,"B+",70,"A",80,"A+",90,"S",100),_xlfn.SWITCH(P114,"F",0,"E",10,"D",20,"D+",30,"C",40,"C+",50,"B",60,"B+",70,"A",80,"A+",90,"S",100)),{0,15,25,35,45,55,65,75,85,95},{"D","D","D+","C","C+","B","B+","A","A+","S"}),"?")</f>
        <v>?</v>
      </c>
      <c r="R114" s="14"/>
      <c r="S114" s="14"/>
      <c r="T114" s="2"/>
      <c r="U114" s="15" t="s">
        <v>664</v>
      </c>
      <c r="V114" s="16" t="s">
        <v>665</v>
      </c>
      <c r="W114" s="17" t="s">
        <v>666</v>
      </c>
      <c r="X114" s="18"/>
      <c r="Y114" s="18"/>
      <c r="Z114" s="18"/>
      <c r="AA114" s="19"/>
      <c r="AB114" s="19"/>
    </row>
    <row r="115" spans="1:28" ht="21">
      <c r="A115" s="5" t="s">
        <v>667</v>
      </c>
      <c r="B115" s="23" t="s">
        <v>668</v>
      </c>
      <c r="C115" s="13"/>
      <c r="D115" s="13"/>
      <c r="E115" s="13"/>
      <c r="F115" s="13"/>
      <c r="G115" s="13"/>
      <c r="H115" s="7"/>
      <c r="I115" s="7"/>
      <c r="J115" s="2"/>
      <c r="K115" s="5" t="s">
        <v>669</v>
      </c>
      <c r="L115" s="12" t="s">
        <v>670</v>
      </c>
      <c r="M115" s="13"/>
      <c r="N115" s="13"/>
      <c r="O115" s="13"/>
      <c r="P115" s="13"/>
      <c r="Q115" s="13" t="str">
        <f>IF(AND(ISNUMBER(MATCH(M115,{"F","E","D","D+","C","C+","B","B+","A","A+","S"},0)),ISNUMBER(MATCH(N115,{"F","E","D","D+","C","C+","B","B+","A","A+","S"},0)),ISNUMBER(MATCH(O115,{"F","E","D","D+","C","C+","B","B+","A","A+","S"},0)),ISNUMBER(MATCH(P115,{"F","E","D","D+","C","C+","B","B+","A","A+","S"},0))),LOOKUP(AVERAGE(_xlfn.SWITCH(M115,"F",0,"E",10,"D",20,"D+",30,"C",40,"C+",50,"B",60,"B+",70,"A",80,"A+",90,"S",100),_xlfn.SWITCH(N115,"F",0,"E",10,"D",20,"D+",30,"C",40,"C+",50,"B",60,"B+",70,"A",80,"A+",90,"S",100),_xlfn.SWITCH(O115,"F",0,"E",10,"D",20,"D+",30,"C",40,"C+",50,"B",60,"B+",70,"A",80,"A+",90,"S",100),_xlfn.SWITCH(P115,"F",0,"E",10,"D",20,"D+",30,"C",40,"C+",50,"B",60,"B+",70,"A",80,"A+",90,"S",100)),{0,15,25,35,45,55,65,75,85,95},{"D","D","D+","C","C+","B","B+","A","A+","S"}),"?")</f>
        <v>?</v>
      </c>
      <c r="R115" s="14"/>
      <c r="S115" s="14"/>
      <c r="T115" s="2"/>
      <c r="U115" s="15" t="s">
        <v>671</v>
      </c>
      <c r="V115" s="16" t="s">
        <v>672</v>
      </c>
      <c r="W115" s="17" t="s">
        <v>673</v>
      </c>
      <c r="X115" s="18"/>
      <c r="Y115" s="18"/>
      <c r="Z115" s="18"/>
      <c r="AA115" s="19"/>
      <c r="AB115" s="19"/>
    </row>
    <row r="116" spans="1:28" ht="21">
      <c r="A116" s="5" t="s">
        <v>674</v>
      </c>
      <c r="B116" s="23" t="s">
        <v>675</v>
      </c>
      <c r="C116" s="13"/>
      <c r="D116" s="13"/>
      <c r="E116" s="13"/>
      <c r="F116" s="13"/>
      <c r="G116" s="13"/>
      <c r="H116" s="7"/>
      <c r="I116" s="7"/>
      <c r="J116" s="2"/>
      <c r="K116" s="5" t="s">
        <v>676</v>
      </c>
      <c r="L116" s="12" t="s">
        <v>677</v>
      </c>
      <c r="M116" s="13"/>
      <c r="N116" s="13"/>
      <c r="O116" s="13"/>
      <c r="P116" s="13"/>
      <c r="Q116" s="13" t="str">
        <f>IF(AND(ISNUMBER(MATCH(M116,{"F","E","D","D+","C","C+","B","B+","A","A+","S"},0)),ISNUMBER(MATCH(N116,{"F","E","D","D+","C","C+","B","B+","A","A+","S"},0)),ISNUMBER(MATCH(O116,{"F","E","D","D+","C","C+","B","B+","A","A+","S"},0)),ISNUMBER(MATCH(P116,{"F","E","D","D+","C","C+","B","B+","A","A+","S"},0))),LOOKUP(AVERAGE(_xlfn.SWITCH(M116,"F",0,"E",10,"D",20,"D+",30,"C",40,"C+",50,"B",60,"B+",70,"A",80,"A+",90,"S",100),_xlfn.SWITCH(N116,"F",0,"E",10,"D",20,"D+",30,"C",40,"C+",50,"B",60,"B+",70,"A",80,"A+",90,"S",100),_xlfn.SWITCH(O116,"F",0,"E",10,"D",20,"D+",30,"C",40,"C+",50,"B",60,"B+",70,"A",80,"A+",90,"S",100),_xlfn.SWITCH(P116,"F",0,"E",10,"D",20,"D+",30,"C",40,"C+",50,"B",60,"B+",70,"A",80,"A+",90,"S",100)),{0,15,25,35,45,55,65,75,85,95},{"D","D","D+","C","C+","B","B+","A","A+","S"}),"?")</f>
        <v>?</v>
      </c>
      <c r="R116" s="14"/>
      <c r="S116" s="14"/>
      <c r="T116" s="2"/>
      <c r="U116" s="15" t="s">
        <v>678</v>
      </c>
      <c r="V116" s="16" t="s">
        <v>679</v>
      </c>
      <c r="W116" s="17" t="s">
        <v>680</v>
      </c>
      <c r="X116" s="18"/>
      <c r="Y116" s="18"/>
      <c r="Z116" s="18"/>
      <c r="AA116" s="19"/>
      <c r="AB116" s="19"/>
    </row>
    <row r="117" spans="1:28" ht="21">
      <c r="A117" s="5" t="s">
        <v>681</v>
      </c>
      <c r="B117" s="5" t="s">
        <v>666</v>
      </c>
      <c r="C117" s="13"/>
      <c r="D117" s="13"/>
      <c r="E117" s="13"/>
      <c r="F117" s="13"/>
      <c r="G117" s="13"/>
      <c r="H117" s="7"/>
      <c r="I117" s="7"/>
      <c r="J117" s="2"/>
      <c r="K117" s="5" t="s">
        <v>682</v>
      </c>
      <c r="L117" s="12" t="s">
        <v>683</v>
      </c>
      <c r="M117" s="13"/>
      <c r="N117" s="13"/>
      <c r="O117" s="13"/>
      <c r="P117" s="13"/>
      <c r="Q117" s="13" t="str">
        <f>IF(AND(ISNUMBER(MATCH(M117,{"F","E","D","D+","C","C+","B","B+","A","A+","S"},0)),ISNUMBER(MATCH(N117,{"F","E","D","D+","C","C+","B","B+","A","A+","S"},0)),ISNUMBER(MATCH(O117,{"F","E","D","D+","C","C+","B","B+","A","A+","S"},0)),ISNUMBER(MATCH(P117,{"F","E","D","D+","C","C+","B","B+","A","A+","S"},0))),LOOKUP(AVERAGE(_xlfn.SWITCH(M117,"F",0,"E",10,"D",20,"D+",30,"C",40,"C+",50,"B",60,"B+",70,"A",80,"A+",90,"S",100),_xlfn.SWITCH(N117,"F",0,"E",10,"D",20,"D+",30,"C",40,"C+",50,"B",60,"B+",70,"A",80,"A+",90,"S",100),_xlfn.SWITCH(O117,"F",0,"E",10,"D",20,"D+",30,"C",40,"C+",50,"B",60,"B+",70,"A",80,"A+",90,"S",100),_xlfn.SWITCH(P117,"F",0,"E",10,"D",20,"D+",30,"C",40,"C+",50,"B",60,"B+",70,"A",80,"A+",90,"S",100)),{0,15,25,35,45,55,65,75,85,95},{"D","D","D+","C","C+","B","B+","A","A+","S"}),"?")</f>
        <v>?</v>
      </c>
      <c r="R117" s="14"/>
      <c r="S117" s="14"/>
      <c r="T117" s="2"/>
      <c r="U117" s="15" t="s">
        <v>684</v>
      </c>
      <c r="V117" s="16" t="s">
        <v>685</v>
      </c>
      <c r="W117" s="17" t="s">
        <v>686</v>
      </c>
      <c r="X117" s="18"/>
      <c r="Y117" s="18"/>
      <c r="Z117" s="18"/>
      <c r="AA117" s="19"/>
      <c r="AB117" s="19"/>
    </row>
    <row r="118" spans="1:28" ht="21">
      <c r="A118" s="5" t="s">
        <v>687</v>
      </c>
      <c r="B118" s="5" t="s">
        <v>688</v>
      </c>
      <c r="C118" s="13"/>
      <c r="D118" s="13"/>
      <c r="E118" s="13"/>
      <c r="F118" s="13"/>
      <c r="G118" s="13"/>
      <c r="H118" s="7"/>
      <c r="I118" s="7"/>
      <c r="J118" s="2"/>
      <c r="K118" s="5" t="s">
        <v>689</v>
      </c>
      <c r="L118" s="12" t="s">
        <v>690</v>
      </c>
      <c r="M118" s="13"/>
      <c r="N118" s="13"/>
      <c r="O118" s="13"/>
      <c r="P118" s="13"/>
      <c r="Q118" s="13" t="str">
        <f>IF(AND(ISNUMBER(MATCH(M118,{"F","E","D","D+","C","C+","B","B+","A","A+","S"},0)),ISNUMBER(MATCH(N118,{"F","E","D","D+","C","C+","B","B+","A","A+","S"},0)),ISNUMBER(MATCH(O118,{"F","E","D","D+","C","C+","B","B+","A","A+","S"},0)),ISNUMBER(MATCH(P118,{"F","E","D","D+","C","C+","B","B+","A","A+","S"},0))),LOOKUP(AVERAGE(_xlfn.SWITCH(M118,"F",0,"E",10,"D",20,"D+",30,"C",40,"C+",50,"B",60,"B+",70,"A",80,"A+",90,"S",100),_xlfn.SWITCH(N118,"F",0,"E",10,"D",20,"D+",30,"C",40,"C+",50,"B",60,"B+",70,"A",80,"A+",90,"S",100),_xlfn.SWITCH(O118,"F",0,"E",10,"D",20,"D+",30,"C",40,"C+",50,"B",60,"B+",70,"A",80,"A+",90,"S",100),_xlfn.SWITCH(P118,"F",0,"E",10,"D",20,"D+",30,"C",40,"C+",50,"B",60,"B+",70,"A",80,"A+",90,"S",100)),{0,15,25,35,45,55,65,75,85,95},{"D","D","D+","C","C+","B","B+","A","A+","S"}),"?")</f>
        <v>?</v>
      </c>
      <c r="R118" s="14"/>
      <c r="S118" s="14"/>
      <c r="T118" s="2"/>
      <c r="U118" s="15" t="s">
        <v>691</v>
      </c>
      <c r="V118" s="16" t="s">
        <v>692</v>
      </c>
      <c r="W118" s="17" t="s">
        <v>693</v>
      </c>
      <c r="X118" s="18"/>
      <c r="Y118" s="18"/>
      <c r="Z118" s="18"/>
      <c r="AA118" s="19"/>
      <c r="AB118" s="19"/>
    </row>
    <row r="119" spans="1:28" ht="21">
      <c r="A119" s="5" t="s">
        <v>694</v>
      </c>
      <c r="B119" s="5" t="s">
        <v>695</v>
      </c>
      <c r="C119" s="13"/>
      <c r="D119" s="13"/>
      <c r="E119" s="13"/>
      <c r="F119" s="13"/>
      <c r="G119" s="13"/>
      <c r="H119" s="7"/>
      <c r="I119" s="7"/>
      <c r="J119" s="2"/>
      <c r="K119" s="5" t="s">
        <v>696</v>
      </c>
      <c r="L119" s="12" t="s">
        <v>697</v>
      </c>
      <c r="M119" s="13"/>
      <c r="N119" s="13"/>
      <c r="O119" s="13"/>
      <c r="P119" s="13"/>
      <c r="Q119" s="13" t="str">
        <f>IF(AND(ISNUMBER(MATCH(M119,{"F","E","D","D+","C","C+","B","B+","A","A+","S"},0)),ISNUMBER(MATCH(N119,{"F","E","D","D+","C","C+","B","B+","A","A+","S"},0)),ISNUMBER(MATCH(O119,{"F","E","D","D+","C","C+","B","B+","A","A+","S"},0)),ISNUMBER(MATCH(P119,{"F","E","D","D+","C","C+","B","B+","A","A+","S"},0))),LOOKUP(AVERAGE(_xlfn.SWITCH(M119,"F",0,"E",10,"D",20,"D+",30,"C",40,"C+",50,"B",60,"B+",70,"A",80,"A+",90,"S",100),_xlfn.SWITCH(N119,"F",0,"E",10,"D",20,"D+",30,"C",40,"C+",50,"B",60,"B+",70,"A",80,"A+",90,"S",100),_xlfn.SWITCH(O119,"F",0,"E",10,"D",20,"D+",30,"C",40,"C+",50,"B",60,"B+",70,"A",80,"A+",90,"S",100),_xlfn.SWITCH(P119,"F",0,"E",10,"D",20,"D+",30,"C",40,"C+",50,"B",60,"B+",70,"A",80,"A+",90,"S",100)),{0,15,25,35,45,55,65,75,85,95},{"D","D","D+","C","C+","B","B+","A","A+","S"}),"?")</f>
        <v>?</v>
      </c>
      <c r="R119" s="14"/>
      <c r="S119" s="14"/>
      <c r="T119" s="2"/>
      <c r="U119" s="15" t="s">
        <v>698</v>
      </c>
      <c r="V119" s="16" t="s">
        <v>699</v>
      </c>
      <c r="W119" s="17" t="s">
        <v>700</v>
      </c>
      <c r="X119" s="18"/>
      <c r="Y119" s="18"/>
      <c r="Z119" s="18"/>
      <c r="AA119" s="19"/>
      <c r="AB119" s="19"/>
    </row>
    <row r="120" spans="1:28" ht="21">
      <c r="A120" s="5" t="s">
        <v>701</v>
      </c>
      <c r="B120" s="5" t="s">
        <v>702</v>
      </c>
      <c r="C120" s="13"/>
      <c r="D120" s="13"/>
      <c r="E120" s="13"/>
      <c r="F120" s="13"/>
      <c r="G120" s="13"/>
      <c r="H120" s="7"/>
      <c r="I120" s="7"/>
      <c r="J120" s="2"/>
      <c r="K120" s="5" t="s">
        <v>703</v>
      </c>
      <c r="L120" s="12" t="s">
        <v>704</v>
      </c>
      <c r="M120" s="13"/>
      <c r="N120" s="13"/>
      <c r="O120" s="13"/>
      <c r="P120" s="13"/>
      <c r="Q120" s="13" t="str">
        <f>IF(AND(ISNUMBER(MATCH(M120,{"F","E","D","D+","C","C+","B","B+","A","A+","S"},0)),ISNUMBER(MATCH(N120,{"F","E","D","D+","C","C+","B","B+","A","A+","S"},0)),ISNUMBER(MATCH(O120,{"F","E","D","D+","C","C+","B","B+","A","A+","S"},0)),ISNUMBER(MATCH(P120,{"F","E","D","D+","C","C+","B","B+","A","A+","S"},0))),LOOKUP(AVERAGE(_xlfn.SWITCH(M120,"F",0,"E",10,"D",20,"D+",30,"C",40,"C+",50,"B",60,"B+",70,"A",80,"A+",90,"S",100),_xlfn.SWITCH(N120,"F",0,"E",10,"D",20,"D+",30,"C",40,"C+",50,"B",60,"B+",70,"A",80,"A+",90,"S",100),_xlfn.SWITCH(O120,"F",0,"E",10,"D",20,"D+",30,"C",40,"C+",50,"B",60,"B+",70,"A",80,"A+",90,"S",100),_xlfn.SWITCH(P120,"F",0,"E",10,"D",20,"D+",30,"C",40,"C+",50,"B",60,"B+",70,"A",80,"A+",90,"S",100)),{0,15,25,35,45,55,65,75,85,95},{"D","D","D+","C","C+","B","B+","A","A+","S"}),"?")</f>
        <v>?</v>
      </c>
      <c r="R120" s="14"/>
      <c r="S120" s="14"/>
      <c r="T120" s="2"/>
      <c r="U120" s="15" t="s">
        <v>705</v>
      </c>
      <c r="V120" s="16" t="s">
        <v>706</v>
      </c>
      <c r="W120" s="17" t="s">
        <v>707</v>
      </c>
      <c r="X120" s="18"/>
      <c r="Y120" s="18"/>
      <c r="Z120" s="18"/>
      <c r="AA120" s="19"/>
      <c r="AB120" s="19"/>
    </row>
    <row r="121" spans="1:28" ht="21">
      <c r="A121" s="5" t="s">
        <v>708</v>
      </c>
      <c r="B121" s="5" t="s">
        <v>709</v>
      </c>
      <c r="C121" s="13"/>
      <c r="D121" s="13"/>
      <c r="E121" s="13"/>
      <c r="F121" s="13"/>
      <c r="G121" s="13"/>
      <c r="H121" s="7"/>
      <c r="I121" s="7"/>
      <c r="J121" s="2"/>
      <c r="K121" s="5" t="s">
        <v>710</v>
      </c>
      <c r="L121" s="12" t="s">
        <v>711</v>
      </c>
      <c r="M121" s="13"/>
      <c r="N121" s="13"/>
      <c r="O121" s="13"/>
      <c r="P121" s="13"/>
      <c r="Q121" s="13" t="str">
        <f>IF(AND(ISNUMBER(MATCH(M121,{"F","E","D","D+","C","C+","B","B+","A","A+","S"},0)),ISNUMBER(MATCH(N121,{"F","E","D","D+","C","C+","B","B+","A","A+","S"},0)),ISNUMBER(MATCH(O121,{"F","E","D","D+","C","C+","B","B+","A","A+","S"},0)),ISNUMBER(MATCH(P121,{"F","E","D","D+","C","C+","B","B+","A","A+","S"},0))),LOOKUP(AVERAGE(_xlfn.SWITCH(M121,"F",0,"E",10,"D",20,"D+",30,"C",40,"C+",50,"B",60,"B+",70,"A",80,"A+",90,"S",100),_xlfn.SWITCH(N121,"F",0,"E",10,"D",20,"D+",30,"C",40,"C+",50,"B",60,"B+",70,"A",80,"A+",90,"S",100),_xlfn.SWITCH(O121,"F",0,"E",10,"D",20,"D+",30,"C",40,"C+",50,"B",60,"B+",70,"A",80,"A+",90,"S",100),_xlfn.SWITCH(P121,"F",0,"E",10,"D",20,"D+",30,"C",40,"C+",50,"B",60,"B+",70,"A",80,"A+",90,"S",100)),{0,15,25,35,45,55,65,75,85,95},{"D","D","D+","C","C+","B","B+","A","A+","S"}),"?")</f>
        <v>?</v>
      </c>
      <c r="R121" s="14"/>
      <c r="S121" s="14"/>
      <c r="T121" s="2"/>
      <c r="U121" s="15" t="s">
        <v>712</v>
      </c>
      <c r="V121" s="16" t="s">
        <v>713</v>
      </c>
      <c r="W121" s="17" t="s">
        <v>714</v>
      </c>
      <c r="X121" s="18"/>
      <c r="Y121" s="18"/>
      <c r="Z121" s="18"/>
      <c r="AA121" s="19"/>
      <c r="AB121" s="19"/>
    </row>
    <row r="122" spans="1:28" ht="21">
      <c r="A122" s="5" t="s">
        <v>715</v>
      </c>
      <c r="B122" s="5" t="s">
        <v>716</v>
      </c>
      <c r="C122" s="13"/>
      <c r="D122" s="13"/>
      <c r="E122" s="13"/>
      <c r="F122" s="13"/>
      <c r="G122" s="13"/>
      <c r="H122" s="7"/>
      <c r="I122" s="7"/>
      <c r="J122" s="2"/>
      <c r="K122" s="5" t="s">
        <v>717</v>
      </c>
      <c r="L122" s="12" t="s">
        <v>718</v>
      </c>
      <c r="M122" s="13"/>
      <c r="N122" s="13"/>
      <c r="O122" s="13"/>
      <c r="P122" s="13"/>
      <c r="Q122" s="13" t="str">
        <f>IF(AND(ISNUMBER(MATCH(M122,{"F","E","D","D+","C","C+","B","B+","A","A+","S"},0)),ISNUMBER(MATCH(N122,{"F","E","D","D+","C","C+","B","B+","A","A+","S"},0)),ISNUMBER(MATCH(O122,{"F","E","D","D+","C","C+","B","B+","A","A+","S"},0)),ISNUMBER(MATCH(P122,{"F","E","D","D+","C","C+","B","B+","A","A+","S"},0))),LOOKUP(AVERAGE(_xlfn.SWITCH(M122,"F",0,"E",10,"D",20,"D+",30,"C",40,"C+",50,"B",60,"B+",70,"A",80,"A+",90,"S",100),_xlfn.SWITCH(N122,"F",0,"E",10,"D",20,"D+",30,"C",40,"C+",50,"B",60,"B+",70,"A",80,"A+",90,"S",100),_xlfn.SWITCH(O122,"F",0,"E",10,"D",20,"D+",30,"C",40,"C+",50,"B",60,"B+",70,"A",80,"A+",90,"S",100),_xlfn.SWITCH(P122,"F",0,"E",10,"D",20,"D+",30,"C",40,"C+",50,"B",60,"B+",70,"A",80,"A+",90,"S",100)),{0,15,25,35,45,55,65,75,85,95},{"D","D","D+","C","C+","B","B+","A","A+","S"}),"?")</f>
        <v>?</v>
      </c>
      <c r="R122" s="14"/>
      <c r="S122" s="14"/>
      <c r="T122" s="2"/>
      <c r="U122" s="15" t="s">
        <v>719</v>
      </c>
      <c r="V122" s="16" t="s">
        <v>720</v>
      </c>
      <c r="W122" s="17" t="s">
        <v>721</v>
      </c>
      <c r="X122" s="18"/>
      <c r="Y122" s="18"/>
      <c r="Z122" s="18"/>
      <c r="AA122" s="19"/>
      <c r="AB122" s="19"/>
    </row>
    <row r="123" spans="1:28" ht="21">
      <c r="A123" s="5" t="s">
        <v>722</v>
      </c>
      <c r="B123" s="5" t="s">
        <v>723</v>
      </c>
      <c r="C123" s="13"/>
      <c r="D123" s="13"/>
      <c r="E123" s="13"/>
      <c r="F123" s="13"/>
      <c r="G123" s="13"/>
      <c r="H123" s="7"/>
      <c r="I123" s="7"/>
      <c r="J123" s="2"/>
      <c r="K123" s="5" t="s">
        <v>134</v>
      </c>
      <c r="L123" s="12" t="s">
        <v>135</v>
      </c>
      <c r="M123" s="13"/>
      <c r="N123" s="13"/>
      <c r="O123" s="13"/>
      <c r="P123" s="13"/>
      <c r="Q123" s="13" t="str">
        <f>IF(AND(ISNUMBER(MATCH(M123,{"F","E","D","D+","C","C+","B","B+","A","A+","S"},0)),ISNUMBER(MATCH(N123,{"F","E","D","D+","C","C+","B","B+","A","A+","S"},0)),ISNUMBER(MATCH(O123,{"F","E","D","D+","C","C+","B","B+","A","A+","S"},0)),ISNUMBER(MATCH(P123,{"F","E","D","D+","C","C+","B","B+","A","A+","S"},0))),LOOKUP(AVERAGE(_xlfn.SWITCH(M123,"F",0,"E",10,"D",20,"D+",30,"C",40,"C+",50,"B",60,"B+",70,"A",80,"A+",90,"S",100),_xlfn.SWITCH(N123,"F",0,"E",10,"D",20,"D+",30,"C",40,"C+",50,"B",60,"B+",70,"A",80,"A+",90,"S",100),_xlfn.SWITCH(O123,"F",0,"E",10,"D",20,"D+",30,"C",40,"C+",50,"B",60,"B+",70,"A",80,"A+",90,"S",100),_xlfn.SWITCH(P123,"F",0,"E",10,"D",20,"D+",30,"C",40,"C+",50,"B",60,"B+",70,"A",80,"A+",90,"S",100)),{0,15,25,35,45,55,65,75,85,95},{"D","D","D+","C","C+","B","B+","A","A+","S"}),"?")</f>
        <v>?</v>
      </c>
      <c r="R123" s="14"/>
      <c r="S123" s="14"/>
      <c r="T123" s="2"/>
      <c r="U123" s="15" t="s">
        <v>724</v>
      </c>
      <c r="V123" s="16" t="s">
        <v>725</v>
      </c>
      <c r="W123" s="17" t="s">
        <v>726</v>
      </c>
      <c r="X123" s="18"/>
      <c r="Y123" s="18"/>
      <c r="Z123" s="18"/>
      <c r="AA123" s="19"/>
      <c r="AB123" s="19"/>
    </row>
    <row r="124" spans="1:28" ht="21">
      <c r="A124" s="5" t="s">
        <v>727</v>
      </c>
      <c r="B124" s="23" t="s">
        <v>558</v>
      </c>
      <c r="C124" s="13"/>
      <c r="D124" s="13"/>
      <c r="E124" s="13"/>
      <c r="F124" s="13"/>
      <c r="G124" s="13"/>
      <c r="H124" s="7"/>
      <c r="I124" s="7"/>
      <c r="J124" s="2"/>
      <c r="K124" s="5" t="s">
        <v>728</v>
      </c>
      <c r="L124" s="12" t="s">
        <v>729</v>
      </c>
      <c r="M124" s="13"/>
      <c r="N124" s="13"/>
      <c r="O124" s="13"/>
      <c r="P124" s="13"/>
      <c r="Q124" s="13" t="str">
        <f>IF(AND(ISNUMBER(MATCH(M124,{"F","E","D","D+","C","C+","B","B+","A","A+","S"},0)),ISNUMBER(MATCH(N124,{"F","E","D","D+","C","C+","B","B+","A","A+","S"},0)),ISNUMBER(MATCH(O124,{"F","E","D","D+","C","C+","B","B+","A","A+","S"},0)),ISNUMBER(MATCH(P124,{"F","E","D","D+","C","C+","B","B+","A","A+","S"},0))),LOOKUP(AVERAGE(_xlfn.SWITCH(M124,"F",0,"E",10,"D",20,"D+",30,"C",40,"C+",50,"B",60,"B+",70,"A",80,"A+",90,"S",100),_xlfn.SWITCH(N124,"F",0,"E",10,"D",20,"D+",30,"C",40,"C+",50,"B",60,"B+",70,"A",80,"A+",90,"S",100),_xlfn.SWITCH(O124,"F",0,"E",10,"D",20,"D+",30,"C",40,"C+",50,"B",60,"B+",70,"A",80,"A+",90,"S",100),_xlfn.SWITCH(P124,"F",0,"E",10,"D",20,"D+",30,"C",40,"C+",50,"B",60,"B+",70,"A",80,"A+",90,"S",100)),{0,15,25,35,45,55,65,75,85,95},{"D","D","D+","C","C+","B","B+","A","A+","S"}),"?")</f>
        <v>?</v>
      </c>
      <c r="R124" s="14"/>
      <c r="S124" s="14"/>
      <c r="T124" s="2"/>
      <c r="U124" s="15" t="s">
        <v>730</v>
      </c>
      <c r="V124" s="16" t="s">
        <v>731</v>
      </c>
      <c r="W124" s="17" t="s">
        <v>732</v>
      </c>
      <c r="X124" s="18"/>
      <c r="Y124" s="18"/>
      <c r="Z124" s="18"/>
      <c r="AA124" s="19"/>
      <c r="AB124" s="19"/>
    </row>
    <row r="125" spans="1:28" ht="21">
      <c r="A125" s="5" t="s">
        <v>733</v>
      </c>
      <c r="B125" s="5" t="s">
        <v>686</v>
      </c>
      <c r="C125" s="13"/>
      <c r="D125" s="13"/>
      <c r="E125" s="13"/>
      <c r="F125" s="13"/>
      <c r="G125" s="13"/>
      <c r="H125" s="7"/>
      <c r="I125" s="7"/>
      <c r="J125" s="2"/>
      <c r="K125" s="5" t="s">
        <v>290</v>
      </c>
      <c r="L125" s="12" t="s">
        <v>291</v>
      </c>
      <c r="M125" s="13"/>
      <c r="N125" s="13"/>
      <c r="O125" s="13"/>
      <c r="P125" s="13"/>
      <c r="Q125" s="13" t="str">
        <f>IF(AND(ISNUMBER(MATCH(M125,{"F","E","D","D+","C","C+","B","B+","A","A+","S"},0)),ISNUMBER(MATCH(N125,{"F","E","D","D+","C","C+","B","B+","A","A+","S"},0)),ISNUMBER(MATCH(O125,{"F","E","D","D+","C","C+","B","B+","A","A+","S"},0)),ISNUMBER(MATCH(P125,{"F","E","D","D+","C","C+","B","B+","A","A+","S"},0))),LOOKUP(AVERAGE(_xlfn.SWITCH(M125,"F",0,"E",10,"D",20,"D+",30,"C",40,"C+",50,"B",60,"B+",70,"A",80,"A+",90,"S",100),_xlfn.SWITCH(N125,"F",0,"E",10,"D",20,"D+",30,"C",40,"C+",50,"B",60,"B+",70,"A",80,"A+",90,"S",100),_xlfn.SWITCH(O125,"F",0,"E",10,"D",20,"D+",30,"C",40,"C+",50,"B",60,"B+",70,"A",80,"A+",90,"S",100),_xlfn.SWITCH(P125,"F",0,"E",10,"D",20,"D+",30,"C",40,"C+",50,"B",60,"B+",70,"A",80,"A+",90,"S",100)),{0,15,25,35,45,55,65,75,85,95},{"D","D","D+","C","C+","B","B+","A","A+","S"}),"?")</f>
        <v>?</v>
      </c>
      <c r="R125" s="14"/>
      <c r="S125" s="14"/>
      <c r="T125" s="2"/>
      <c r="U125" s="15" t="s">
        <v>734</v>
      </c>
      <c r="V125" s="16" t="s">
        <v>735</v>
      </c>
      <c r="W125" s="17" t="s">
        <v>736</v>
      </c>
      <c r="X125" s="18"/>
      <c r="Y125" s="18"/>
      <c r="Z125" s="18"/>
      <c r="AA125" s="19"/>
      <c r="AB125" s="19"/>
    </row>
    <row r="126" spans="1:28" ht="21">
      <c r="A126" s="5" t="s">
        <v>737</v>
      </c>
      <c r="B126" s="5" t="s">
        <v>700</v>
      </c>
      <c r="C126" s="13"/>
      <c r="D126" s="13"/>
      <c r="E126" s="13"/>
      <c r="F126" s="13"/>
      <c r="G126" s="13"/>
      <c r="H126" s="7"/>
      <c r="I126" s="7"/>
      <c r="J126" s="2"/>
      <c r="K126" s="5" t="s">
        <v>254</v>
      </c>
      <c r="L126" s="12" t="s">
        <v>255</v>
      </c>
      <c r="M126" s="13"/>
      <c r="N126" s="13"/>
      <c r="O126" s="13"/>
      <c r="P126" s="13"/>
      <c r="Q126" s="13" t="str">
        <f>IF(AND(ISNUMBER(MATCH(M126,{"F","E","D","D+","C","C+","B","B+","A","A+","S"},0)),ISNUMBER(MATCH(N126,{"F","E","D","D+","C","C+","B","B+","A","A+","S"},0)),ISNUMBER(MATCH(O126,{"F","E","D","D+","C","C+","B","B+","A","A+","S"},0)),ISNUMBER(MATCH(P126,{"F","E","D","D+","C","C+","B","B+","A","A+","S"},0))),LOOKUP(AVERAGE(_xlfn.SWITCH(M126,"F",0,"E",10,"D",20,"D+",30,"C",40,"C+",50,"B",60,"B+",70,"A",80,"A+",90,"S",100),_xlfn.SWITCH(N126,"F",0,"E",10,"D",20,"D+",30,"C",40,"C+",50,"B",60,"B+",70,"A",80,"A+",90,"S",100),_xlfn.SWITCH(O126,"F",0,"E",10,"D",20,"D+",30,"C",40,"C+",50,"B",60,"B+",70,"A",80,"A+",90,"S",100),_xlfn.SWITCH(P126,"F",0,"E",10,"D",20,"D+",30,"C",40,"C+",50,"B",60,"B+",70,"A",80,"A+",90,"S",100)),{0,15,25,35,45,55,65,75,85,95},{"D","D","D+","C","C+","B","B+","A","A+","S"}),"?")</f>
        <v>?</v>
      </c>
      <c r="R126" s="14"/>
      <c r="S126" s="14"/>
      <c r="T126" s="2"/>
      <c r="U126" s="15" t="s">
        <v>738</v>
      </c>
      <c r="V126" s="16" t="s">
        <v>739</v>
      </c>
      <c r="W126" s="17" t="s">
        <v>740</v>
      </c>
      <c r="X126" s="18"/>
      <c r="Y126" s="18"/>
      <c r="Z126" s="18"/>
      <c r="AA126" s="19"/>
      <c r="AB126" s="19"/>
    </row>
    <row r="127" spans="1:28" ht="21">
      <c r="A127" s="5" t="s">
        <v>741</v>
      </c>
      <c r="B127" s="5" t="s">
        <v>742</v>
      </c>
      <c r="C127" s="13"/>
      <c r="D127" s="13"/>
      <c r="E127" s="13"/>
      <c r="F127" s="13"/>
      <c r="G127" s="13"/>
      <c r="H127" s="7"/>
      <c r="I127" s="7"/>
      <c r="K127" s="24" t="s">
        <v>407</v>
      </c>
      <c r="L127" s="25" t="s">
        <v>408</v>
      </c>
      <c r="M127" s="19"/>
      <c r="N127" s="19"/>
      <c r="O127" s="19"/>
      <c r="P127" s="19"/>
      <c r="Q127" s="19" t="str">
        <f>IF(AND(ISNUMBER(MATCH(M127,{"F","E","D","D+","C","C+","B","B+","A","A+","S"},0)),ISNUMBER(MATCH(N127,{"F","E","D","D+","C","C+","B","B+","A","A+","S"},0)),ISNUMBER(MATCH(O127,{"F","E","D","D+","C","C+","B","B+","A","A+","S"},0)),ISNUMBER(MATCH(P127,{"F","E","D","D+","C","C+","B","B+","A","A+","S"},0))),LOOKUP(AVERAGE(_xlfn.SWITCH(M127,"F",0,"E",10,"D",20,"D+",30,"C",40,"C+",50,"B",60,"B+",70,"A",80,"A+",90,"S",100),_xlfn.SWITCH(N127,"F",0,"E",10,"D",20,"D+",30,"C",40,"C+",50,"B",60,"B+",70,"A",80,"A+",90,"S",100),_xlfn.SWITCH(O127,"F",0,"E",10,"D",20,"D+",30,"C",40,"C+",50,"B",60,"B+",70,"A",80,"A+",90,"S",100),_xlfn.SWITCH(P127,"F",0,"E",10,"D",20,"D+",30,"C",40,"C+",50,"B",60,"B+",70,"A",80,"A+",90,"S",100)),{0,15,25,35,45,55,65,75,85,95},{"D","D","D+","C","C+","B","B+","A","A+","S"}),"?")</f>
        <v>?</v>
      </c>
      <c r="U127" s="15" t="s">
        <v>743</v>
      </c>
      <c r="V127" s="16" t="s">
        <v>744</v>
      </c>
      <c r="W127" s="17" t="s">
        <v>745</v>
      </c>
      <c r="X127" s="18"/>
      <c r="Y127" s="18"/>
      <c r="Z127" s="18"/>
      <c r="AA127" s="19"/>
      <c r="AB127" s="19"/>
    </row>
    <row r="128" spans="1:28" ht="21">
      <c r="A128" s="5" t="s">
        <v>746</v>
      </c>
      <c r="B128" s="5" t="s">
        <v>693</v>
      </c>
      <c r="C128" s="13"/>
      <c r="D128" s="13"/>
      <c r="E128" s="13"/>
      <c r="F128" s="13"/>
      <c r="G128" s="13"/>
      <c r="H128" s="7"/>
      <c r="I128" s="7"/>
      <c r="K128" s="24" t="s">
        <v>747</v>
      </c>
      <c r="L128" s="25" t="s">
        <v>748</v>
      </c>
      <c r="M128" s="19"/>
      <c r="N128" s="19"/>
      <c r="O128" s="19"/>
      <c r="P128" s="19"/>
      <c r="Q128" s="19" t="str">
        <f>IF(AND(ISNUMBER(MATCH(M128,{"F","E","D","D+","C","C+","B","B+","A","A+","S"},0)),ISNUMBER(MATCH(N128,{"F","E","D","D+","C","C+","B","B+","A","A+","S"},0)),ISNUMBER(MATCH(O128,{"F","E","D","D+","C","C+","B","B+","A","A+","S"},0)),ISNUMBER(MATCH(P128,{"F","E","D","D+","C","C+","B","B+","A","A+","S"},0))),LOOKUP(AVERAGE(_xlfn.SWITCH(M128,"F",0,"E",10,"D",20,"D+",30,"C",40,"C+",50,"B",60,"B+",70,"A",80,"A+",90,"S",100),_xlfn.SWITCH(N128,"F",0,"E",10,"D",20,"D+",30,"C",40,"C+",50,"B",60,"B+",70,"A",80,"A+",90,"S",100),_xlfn.SWITCH(O128,"F",0,"E",10,"D",20,"D+",30,"C",40,"C+",50,"B",60,"B+",70,"A",80,"A+",90,"S",100),_xlfn.SWITCH(P128,"F",0,"E",10,"D",20,"D+",30,"C",40,"C+",50,"B",60,"B+",70,"A",80,"A+",90,"S",100)),{0,15,25,35,45,55,65,75,85,95},{"D","D","D+","C","C+","B","B+","A","A+","S"}),"?")</f>
        <v>?</v>
      </c>
      <c r="U128" s="15" t="s">
        <v>749</v>
      </c>
      <c r="V128" s="16" t="s">
        <v>750</v>
      </c>
      <c r="W128" s="17" t="s">
        <v>751</v>
      </c>
      <c r="X128" s="26"/>
      <c r="Y128" s="26"/>
      <c r="Z128" s="26"/>
      <c r="AA128" s="19"/>
      <c r="AB128" s="19"/>
    </row>
    <row r="129" spans="1:28" ht="21">
      <c r="A129" s="5" t="s">
        <v>752</v>
      </c>
      <c r="B129" s="23" t="s">
        <v>753</v>
      </c>
      <c r="C129" s="13"/>
      <c r="D129" s="13"/>
      <c r="E129" s="13"/>
      <c r="F129" s="13"/>
      <c r="G129" s="13"/>
      <c r="H129" s="7"/>
      <c r="I129" s="7"/>
      <c r="K129" s="24" t="s">
        <v>411</v>
      </c>
      <c r="L129" s="25" t="s">
        <v>412</v>
      </c>
      <c r="M129" s="19"/>
      <c r="N129" s="19"/>
      <c r="O129" s="19"/>
      <c r="P129" s="19"/>
      <c r="Q129" s="19" t="str">
        <f>IF(AND(ISNUMBER(MATCH(M129,{"F","E","D","D+","C","C+","B","B+","A","A+","S"},0)),ISNUMBER(MATCH(N129,{"F","E","D","D+","C","C+","B","B+","A","A+","S"},0)),ISNUMBER(MATCH(O129,{"F","E","D","D+","C","C+","B","B+","A","A+","S"},0)),ISNUMBER(MATCH(P129,{"F","E","D","D+","C","C+","B","B+","A","A+","S"},0))),LOOKUP(AVERAGE(_xlfn.SWITCH(M129,"F",0,"E",10,"D",20,"D+",30,"C",40,"C+",50,"B",60,"B+",70,"A",80,"A+",90,"S",100),_xlfn.SWITCH(N129,"F",0,"E",10,"D",20,"D+",30,"C",40,"C+",50,"B",60,"B+",70,"A",80,"A+",90,"S",100),_xlfn.SWITCH(O129,"F",0,"E",10,"D",20,"D+",30,"C",40,"C+",50,"B",60,"B+",70,"A",80,"A+",90,"S",100),_xlfn.SWITCH(P129,"F",0,"E",10,"D",20,"D+",30,"C",40,"C+",50,"B",60,"B+",70,"A",80,"A+",90,"S",100)),{0,15,25,35,45,55,65,75,85,95},{"D","D","D+","C","C+","B","B+","A","A+","S"}),"?")</f>
        <v>?</v>
      </c>
      <c r="U129" s="15" t="s">
        <v>754</v>
      </c>
      <c r="V129" s="16" t="s">
        <v>755</v>
      </c>
      <c r="W129" s="17" t="s">
        <v>756</v>
      </c>
      <c r="X129" s="26"/>
      <c r="Y129" s="26"/>
      <c r="Z129" s="26"/>
      <c r="AA129" s="19"/>
      <c r="AB129" s="19"/>
    </row>
    <row r="130" spans="1:28" ht="21">
      <c r="A130" s="5" t="s">
        <v>757</v>
      </c>
      <c r="B130" s="5" t="s">
        <v>758</v>
      </c>
      <c r="C130" s="13"/>
      <c r="D130" s="13"/>
      <c r="E130" s="13"/>
      <c r="F130" s="13"/>
      <c r="G130" s="13"/>
      <c r="H130" s="7"/>
      <c r="I130" s="7"/>
      <c r="K130" s="24" t="s">
        <v>32</v>
      </c>
      <c r="L130" s="25" t="s">
        <v>33</v>
      </c>
      <c r="M130" s="19"/>
      <c r="N130" s="19"/>
      <c r="O130" s="19"/>
      <c r="P130" s="19"/>
      <c r="Q130" s="19" t="str">
        <f>IF(AND(ISNUMBER(MATCH(M130,{"F","E","D","D+","C","C+","B","B+","A","A+","S"},0)),ISNUMBER(MATCH(N130,{"F","E","D","D+","C","C+","B","B+","A","A+","S"},0)),ISNUMBER(MATCH(O130,{"F","E","D","D+","C","C+","B","B+","A","A+","S"},0)),ISNUMBER(MATCH(P130,{"F","E","D","D+","C","C+","B","B+","A","A+","S"},0))),LOOKUP(AVERAGE(_xlfn.SWITCH(M130,"F",0,"E",10,"D",20,"D+",30,"C",40,"C+",50,"B",60,"B+",70,"A",80,"A+",90,"S",100),_xlfn.SWITCH(N130,"F",0,"E",10,"D",20,"D+",30,"C",40,"C+",50,"B",60,"B+",70,"A",80,"A+",90,"S",100),_xlfn.SWITCH(O130,"F",0,"E",10,"D",20,"D+",30,"C",40,"C+",50,"B",60,"B+",70,"A",80,"A+",90,"S",100),_xlfn.SWITCH(P130,"F",0,"E",10,"D",20,"D+",30,"C",40,"C+",50,"B",60,"B+",70,"A",80,"A+",90,"S",100)),{0,15,25,35,45,55,65,75,85,95},{"D","D","D+","C","C+","B","B+","A","A+","S"}),"?")</f>
        <v>?</v>
      </c>
      <c r="U130" s="27" t="s">
        <v>759</v>
      </c>
      <c r="V130" s="28" t="s">
        <v>760</v>
      </c>
      <c r="W130" s="29" t="s">
        <v>761</v>
      </c>
      <c r="X130" s="26"/>
      <c r="Y130" s="26"/>
      <c r="Z130" s="26"/>
      <c r="AA130" s="19"/>
      <c r="AB130" s="19"/>
    </row>
    <row r="131" spans="1:28" ht="21">
      <c r="A131" s="5" t="s">
        <v>762</v>
      </c>
      <c r="B131" s="5" t="s">
        <v>763</v>
      </c>
      <c r="C131" s="13"/>
      <c r="D131" s="13"/>
      <c r="E131" s="13"/>
      <c r="F131" s="13"/>
      <c r="G131" s="13"/>
      <c r="H131" s="7"/>
      <c r="I131" s="7"/>
      <c r="K131" s="24" t="s">
        <v>301</v>
      </c>
      <c r="L131" s="25" t="s">
        <v>280</v>
      </c>
      <c r="M131" s="19"/>
      <c r="N131" s="19"/>
      <c r="O131" s="19"/>
      <c r="P131" s="19"/>
      <c r="Q131" s="19" t="str">
        <f>IF(AND(ISNUMBER(MATCH(M131,{"F","E","D","D+","C","C+","B","B+","A","A+","S"},0)),ISNUMBER(MATCH(N131,{"F","E","D","D+","C","C+","B","B+","A","A+","S"},0)),ISNUMBER(MATCH(O131,{"F","E","D","D+","C","C+","B","B+","A","A+","S"},0)),ISNUMBER(MATCH(P131,{"F","E","D","D+","C","C+","B","B+","A","A+","S"},0))),LOOKUP(AVERAGE(_xlfn.SWITCH(M131,"F",0,"E",10,"D",20,"D+",30,"C",40,"C+",50,"B",60,"B+",70,"A",80,"A+",90,"S",100),_xlfn.SWITCH(N131,"F",0,"E",10,"D",20,"D+",30,"C",40,"C+",50,"B",60,"B+",70,"A",80,"A+",90,"S",100),_xlfn.SWITCH(O131,"F",0,"E",10,"D",20,"D+",30,"C",40,"C+",50,"B",60,"B+",70,"A",80,"A+",90,"S",100),_xlfn.SWITCH(P131,"F",0,"E",10,"D",20,"D+",30,"C",40,"C+",50,"B",60,"B+",70,"A",80,"A+",90,"S",100)),{0,15,25,35,45,55,65,75,85,95},{"D","D","D+","C","C+","B","B+","A","A+","S"}),"?")</f>
        <v>?</v>
      </c>
      <c r="U131" s="27" t="s">
        <v>764</v>
      </c>
      <c r="V131" s="28" t="s">
        <v>765</v>
      </c>
      <c r="W131" s="29" t="s">
        <v>766</v>
      </c>
      <c r="X131" s="26"/>
      <c r="Y131" s="26"/>
      <c r="Z131" s="26"/>
      <c r="AA131" s="19"/>
      <c r="AB131" s="19"/>
    </row>
    <row r="132" spans="1:28" ht="21">
      <c r="A132" s="5" t="s">
        <v>767</v>
      </c>
      <c r="B132" s="5" t="s">
        <v>768</v>
      </c>
      <c r="C132" s="13"/>
      <c r="D132" s="13"/>
      <c r="E132" s="13"/>
      <c r="F132" s="13"/>
      <c r="G132" s="13"/>
      <c r="H132" s="7"/>
      <c r="I132" s="7"/>
      <c r="K132" s="24" t="s">
        <v>344</v>
      </c>
      <c r="L132" s="25" t="s">
        <v>345</v>
      </c>
      <c r="M132" s="19"/>
      <c r="N132" s="19"/>
      <c r="O132" s="19"/>
      <c r="P132" s="19"/>
      <c r="Q132" s="19" t="str">
        <f>IF(AND(ISNUMBER(MATCH(M132,{"F","E","D","D+","C","C+","B","B+","A","A+","S"},0)),ISNUMBER(MATCH(N132,{"F","E","D","D+","C","C+","B","B+","A","A+","S"},0)),ISNUMBER(MATCH(O132,{"F","E","D","D+","C","C+","B","B+","A","A+","S"},0)),ISNUMBER(MATCH(P132,{"F","E","D","D+","C","C+","B","B+","A","A+","S"},0))),LOOKUP(AVERAGE(_xlfn.SWITCH(M132,"F",0,"E",10,"D",20,"D+",30,"C",40,"C+",50,"B",60,"B+",70,"A",80,"A+",90,"S",100),_xlfn.SWITCH(N132,"F",0,"E",10,"D",20,"D+",30,"C",40,"C+",50,"B",60,"B+",70,"A",80,"A+",90,"S",100),_xlfn.SWITCH(O132,"F",0,"E",10,"D",20,"D+",30,"C",40,"C+",50,"B",60,"B+",70,"A",80,"A+",90,"S",100),_xlfn.SWITCH(P132,"F",0,"E",10,"D",20,"D+",30,"C",40,"C+",50,"B",60,"B+",70,"A",80,"A+",90,"S",100)),{0,15,25,35,45,55,65,75,85,95},{"D","D","D+","C","C+","B","B+","A","A+","S"}),"?")</f>
        <v>?</v>
      </c>
      <c r="U132" s="27" t="s">
        <v>769</v>
      </c>
      <c r="V132" s="28" t="s">
        <v>770</v>
      </c>
      <c r="W132" s="29" t="s">
        <v>771</v>
      </c>
      <c r="X132" s="26"/>
      <c r="Y132" s="26"/>
      <c r="Z132" s="26"/>
      <c r="AA132" s="19"/>
      <c r="AB132" s="19"/>
    </row>
    <row r="133" spans="1:28" ht="21">
      <c r="A133" s="5" t="s">
        <v>772</v>
      </c>
      <c r="B133" s="5" t="s">
        <v>773</v>
      </c>
      <c r="C133" s="13"/>
      <c r="D133" s="13"/>
      <c r="E133" s="13"/>
      <c r="F133" s="13"/>
      <c r="G133" s="13"/>
      <c r="H133" s="7"/>
      <c r="I133" s="7"/>
      <c r="K133" s="24" t="s">
        <v>774</v>
      </c>
      <c r="L133" s="25" t="s">
        <v>775</v>
      </c>
      <c r="M133" s="19"/>
      <c r="N133" s="19"/>
      <c r="O133" s="19"/>
      <c r="P133" s="19"/>
      <c r="Q133" s="19" t="str">
        <f>IF(AND(ISNUMBER(MATCH(M133,{"F","E","D","D+","C","C+","B","B+","A","A+","S"},0)),ISNUMBER(MATCH(N133,{"F","E","D","D+","C","C+","B","B+","A","A+","S"},0)),ISNUMBER(MATCH(O133,{"F","E","D","D+","C","C+","B","B+","A","A+","S"},0)),ISNUMBER(MATCH(P133,{"F","E","D","D+","C","C+","B","B+","A","A+","S"},0))),LOOKUP(AVERAGE(_xlfn.SWITCH(M133,"F",0,"E",10,"D",20,"D+",30,"C",40,"C+",50,"B",60,"B+",70,"A",80,"A+",90,"S",100),_xlfn.SWITCH(N133,"F",0,"E",10,"D",20,"D+",30,"C",40,"C+",50,"B",60,"B+",70,"A",80,"A+",90,"S",100),_xlfn.SWITCH(O133,"F",0,"E",10,"D",20,"D+",30,"C",40,"C+",50,"B",60,"B+",70,"A",80,"A+",90,"S",100),_xlfn.SWITCH(P133,"F",0,"E",10,"D",20,"D+",30,"C",40,"C+",50,"B",60,"B+",70,"A",80,"A+",90,"S",100)),{0,15,25,35,45,55,65,75,85,95},{"D","D","D+","C","C+","B","B+","A","A+","S"}),"?")</f>
        <v>?</v>
      </c>
      <c r="U133" s="27" t="s">
        <v>776</v>
      </c>
      <c r="V133" s="28" t="s">
        <v>777</v>
      </c>
      <c r="W133" s="29" t="s">
        <v>778</v>
      </c>
      <c r="X133" s="26"/>
      <c r="Y133" s="26"/>
      <c r="Z133" s="26"/>
      <c r="AA133" s="19"/>
      <c r="AB133" s="19"/>
    </row>
    <row r="134" spans="1:28" ht="21">
      <c r="A134" s="5" t="s">
        <v>779</v>
      </c>
      <c r="B134" s="5" t="s">
        <v>780</v>
      </c>
      <c r="C134" s="13"/>
      <c r="D134" s="13"/>
      <c r="E134" s="13"/>
      <c r="F134" s="13"/>
      <c r="G134" s="13"/>
      <c r="H134" s="7"/>
      <c r="I134" s="7"/>
      <c r="K134" s="24" t="s">
        <v>781</v>
      </c>
      <c r="L134" s="25" t="s">
        <v>544</v>
      </c>
      <c r="M134" s="19"/>
      <c r="N134" s="19"/>
      <c r="O134" s="19"/>
      <c r="P134" s="19"/>
      <c r="Q134" s="19" t="str">
        <f>IF(AND(ISNUMBER(MATCH(M134,{"F","E","D","D+","C","C+","B","B+","A","A+","S"},0)),ISNUMBER(MATCH(N134,{"F","E","D","D+","C","C+","B","B+","A","A+","S"},0)),ISNUMBER(MATCH(O134,{"F","E","D","D+","C","C+","B","B+","A","A+","S"},0)),ISNUMBER(MATCH(P134,{"F","E","D","D+","C","C+","B","B+","A","A+","S"},0))),LOOKUP(AVERAGE(_xlfn.SWITCH(M134,"F",0,"E",10,"D",20,"D+",30,"C",40,"C+",50,"B",60,"B+",70,"A",80,"A+",90,"S",100),_xlfn.SWITCH(N134,"F",0,"E",10,"D",20,"D+",30,"C",40,"C+",50,"B",60,"B+",70,"A",80,"A+",90,"S",100),_xlfn.SWITCH(O134,"F",0,"E",10,"D",20,"D+",30,"C",40,"C+",50,"B",60,"B+",70,"A",80,"A+",90,"S",100),_xlfn.SWITCH(P134,"F",0,"E",10,"D",20,"D+",30,"C",40,"C+",50,"B",60,"B+",70,"A",80,"A+",90,"S",100)),{0,15,25,35,45,55,65,75,85,95},{"D","D","D+","C","C+","B","B+","A","A+","S"}),"?")</f>
        <v>?</v>
      </c>
      <c r="U134" s="27" t="s">
        <v>782</v>
      </c>
      <c r="V134" s="28" t="s">
        <v>783</v>
      </c>
      <c r="W134" s="29" t="s">
        <v>784</v>
      </c>
      <c r="X134" s="26"/>
      <c r="Y134" s="26"/>
      <c r="Z134" s="26"/>
      <c r="AA134" s="19"/>
      <c r="AB134" s="19"/>
    </row>
    <row r="135" spans="1:28" ht="21">
      <c r="A135" s="5" t="s">
        <v>785</v>
      </c>
      <c r="B135" s="23" t="s">
        <v>786</v>
      </c>
      <c r="C135" s="13"/>
      <c r="D135" s="13"/>
      <c r="E135" s="13"/>
      <c r="F135" s="13"/>
      <c r="G135" s="13"/>
      <c r="H135" s="7"/>
      <c r="I135" s="7"/>
      <c r="K135" s="541" t="s">
        <v>787</v>
      </c>
      <c r="L135" s="542"/>
      <c r="M135" s="543"/>
      <c r="N135" s="543"/>
      <c r="O135" s="543"/>
      <c r="P135" s="543"/>
      <c r="Q135" s="543"/>
      <c r="R135" s="543"/>
      <c r="S135" s="543"/>
      <c r="U135" s="27" t="s">
        <v>788</v>
      </c>
      <c r="V135" s="28" t="s">
        <v>789</v>
      </c>
      <c r="W135" s="29" t="s">
        <v>790</v>
      </c>
      <c r="X135" s="26"/>
      <c r="Y135" s="26"/>
      <c r="Z135" s="26"/>
      <c r="AA135" s="19"/>
      <c r="AB135" s="19"/>
    </row>
    <row r="136" spans="1:28" ht="21">
      <c r="A136" s="5" t="s">
        <v>791</v>
      </c>
      <c r="B136" s="5" t="s">
        <v>792</v>
      </c>
      <c r="C136" s="13"/>
      <c r="D136" s="13"/>
      <c r="E136" s="13"/>
      <c r="F136" s="13"/>
      <c r="G136" s="13"/>
      <c r="H136" s="7"/>
      <c r="I136" s="7"/>
      <c r="K136" s="538"/>
      <c r="L136" s="533"/>
      <c r="M136" s="533"/>
      <c r="N136" s="533"/>
      <c r="O136" s="533"/>
      <c r="P136" s="533"/>
      <c r="Q136" s="533"/>
      <c r="R136" s="533"/>
      <c r="S136" s="539"/>
      <c r="U136" s="27" t="s">
        <v>793</v>
      </c>
      <c r="V136" s="28" t="s">
        <v>794</v>
      </c>
      <c r="W136" s="29" t="s">
        <v>795</v>
      </c>
      <c r="X136" s="26"/>
      <c r="Y136" s="26"/>
      <c r="Z136" s="26"/>
      <c r="AA136" s="19"/>
      <c r="AB136" s="19"/>
    </row>
    <row r="137" spans="1:28" ht="21">
      <c r="A137" s="5" t="s">
        <v>796</v>
      </c>
      <c r="B137" s="5" t="s">
        <v>797</v>
      </c>
      <c r="C137" s="13"/>
      <c r="D137" s="13"/>
      <c r="E137" s="13"/>
      <c r="F137" s="13"/>
      <c r="G137" s="13"/>
      <c r="H137" s="7"/>
      <c r="I137" s="7"/>
      <c r="K137" s="5" t="s">
        <v>4</v>
      </c>
      <c r="L137" s="6" t="s">
        <v>5</v>
      </c>
      <c r="M137" s="7" t="s">
        <v>6</v>
      </c>
      <c r="N137" s="7" t="s">
        <v>7</v>
      </c>
      <c r="O137" s="7" t="s">
        <v>8</v>
      </c>
      <c r="P137" s="7" t="s">
        <v>9</v>
      </c>
      <c r="Q137" s="7" t="s">
        <v>10</v>
      </c>
      <c r="R137" s="7" t="s">
        <v>11</v>
      </c>
      <c r="S137" s="11" t="s">
        <v>12</v>
      </c>
      <c r="U137" s="27" t="s">
        <v>798</v>
      </c>
      <c r="V137" s="28" t="s">
        <v>799</v>
      </c>
      <c r="W137" s="29" t="s">
        <v>659</v>
      </c>
      <c r="X137" s="26"/>
      <c r="Y137" s="26"/>
      <c r="Z137" s="26"/>
      <c r="AA137" s="19"/>
      <c r="AB137" s="19"/>
    </row>
    <row r="138" spans="1:28" ht="21">
      <c r="A138" s="5" t="s">
        <v>800</v>
      </c>
      <c r="B138" s="23" t="s">
        <v>801</v>
      </c>
      <c r="C138" s="13"/>
      <c r="D138" s="13"/>
      <c r="E138" s="13"/>
      <c r="F138" s="13"/>
      <c r="G138" s="13"/>
      <c r="H138" s="7"/>
      <c r="I138" s="7"/>
      <c r="K138" s="24" t="s">
        <v>802</v>
      </c>
      <c r="L138" s="25" t="s">
        <v>803</v>
      </c>
      <c r="M138" s="19"/>
      <c r="N138" s="19"/>
      <c r="O138" s="19"/>
      <c r="P138" s="19"/>
      <c r="Q138" s="19" t="str">
        <f>IF(AND(ISNUMBER(MATCH(M138,{"F","E","D","D+","C","C+","B","B+","A","A+","S"},0)),ISNUMBER(MATCH(N138,{"F","E","D","D+","C","C+","B","B+","A","A+","S"},0)),ISNUMBER(MATCH(O138,{"F","E","D","D+","C","C+","B","B+","A","A+","S"},0)),ISNUMBER(MATCH(P138,{"F","E","D","D+","C","C+","B","B+","A","A+","S"},0))),LOOKUP(AVERAGE(_xlfn.SWITCH(M138,"F",0,"E",10,"D",20,"D+",30,"C",40,"C+",50,"B",60,"B+",70,"A",80,"A+",90,"S",100),_xlfn.SWITCH(N138,"F",0,"E",10,"D",20,"D+",30,"C",40,"C+",50,"B",60,"B+",70,"A",80,"A+",90,"S",100),_xlfn.SWITCH(O138,"F",0,"E",10,"D",20,"D+",30,"C",40,"C+",50,"B",60,"B+",70,"A",80,"A+",90,"S",100),_xlfn.SWITCH(P138,"F",0,"E",10,"D",20,"D+",30,"C",40,"C+",50,"B",60,"B+",70,"A",80,"A+",90,"S",100)),{0,15,25,35,45,55,65,75,85,95},{"D","D","D+","C","C+","B","B+","A","A+","S"}),"?")</f>
        <v>?</v>
      </c>
      <c r="U138" s="27" t="s">
        <v>804</v>
      </c>
      <c r="V138" s="28" t="s">
        <v>805</v>
      </c>
      <c r="W138" s="29" t="s">
        <v>806</v>
      </c>
      <c r="X138" s="26"/>
      <c r="Y138" s="26"/>
      <c r="Z138" s="26"/>
      <c r="AA138" s="19"/>
      <c r="AB138" s="19"/>
    </row>
    <row r="139" spans="1:28" ht="21">
      <c r="A139" s="5" t="s">
        <v>807</v>
      </c>
      <c r="B139" s="5" t="s">
        <v>808</v>
      </c>
      <c r="C139" s="13"/>
      <c r="D139" s="13"/>
      <c r="E139" s="13"/>
      <c r="F139" s="13"/>
      <c r="G139" s="13"/>
      <c r="H139" s="7"/>
      <c r="I139" s="7"/>
      <c r="K139" s="24" t="s">
        <v>809</v>
      </c>
      <c r="L139" s="25" t="s">
        <v>810</v>
      </c>
      <c r="M139" s="19"/>
      <c r="N139" s="19"/>
      <c r="O139" s="19"/>
      <c r="P139" s="19"/>
      <c r="Q139" s="19" t="str">
        <f>IF(AND(ISNUMBER(MATCH(M139,{"F","E","D","D+","C","C+","B","B+","A","A+","S"},0)),ISNUMBER(MATCH(N139,{"F","E","D","D+","C","C+","B","B+","A","A+","S"},0)),ISNUMBER(MATCH(O139,{"F","E","D","D+","C","C+","B","B+","A","A+","S"},0)),ISNUMBER(MATCH(P139,{"F","E","D","D+","C","C+","B","B+","A","A+","S"},0))),LOOKUP(AVERAGE(_xlfn.SWITCH(M139,"F",0,"E",10,"D",20,"D+",30,"C",40,"C+",50,"B",60,"B+",70,"A",80,"A+",90,"S",100),_xlfn.SWITCH(N139,"F",0,"E",10,"D",20,"D+",30,"C",40,"C+",50,"B",60,"B+",70,"A",80,"A+",90,"S",100),_xlfn.SWITCH(O139,"F",0,"E",10,"D",20,"D+",30,"C",40,"C+",50,"B",60,"B+",70,"A",80,"A+",90,"S",100),_xlfn.SWITCH(P139,"F",0,"E",10,"D",20,"D+",30,"C",40,"C+",50,"B",60,"B+",70,"A",80,"A+",90,"S",100)),{0,15,25,35,45,55,65,75,85,95},{"D","D","D+","C","C+","B","B+","A","A+","S"}),"?")</f>
        <v>?</v>
      </c>
      <c r="U139" s="27" t="s">
        <v>811</v>
      </c>
      <c r="V139" s="28" t="s">
        <v>812</v>
      </c>
      <c r="W139" s="29" t="s">
        <v>813</v>
      </c>
      <c r="X139" s="26"/>
      <c r="Y139" s="26"/>
      <c r="Z139" s="26"/>
      <c r="AA139" s="19"/>
      <c r="AB139" s="19"/>
    </row>
    <row r="140" spans="1:28" ht="21">
      <c r="A140" s="5" t="s">
        <v>814</v>
      </c>
      <c r="B140" s="5" t="s">
        <v>736</v>
      </c>
      <c r="C140" s="13"/>
      <c r="D140" s="13"/>
      <c r="E140" s="13"/>
      <c r="F140" s="13"/>
      <c r="G140" s="13"/>
      <c r="H140" s="7"/>
      <c r="I140" s="7"/>
      <c r="K140" s="24" t="s">
        <v>755</v>
      </c>
      <c r="L140" s="25" t="s">
        <v>756</v>
      </c>
      <c r="M140" s="19"/>
      <c r="N140" s="19"/>
      <c r="O140" s="19"/>
      <c r="P140" s="19"/>
      <c r="Q140" s="19" t="str">
        <f>IF(AND(ISNUMBER(MATCH(M140,{"F","E","D","D+","C","C+","B","B+","A","A+","S"},0)),ISNUMBER(MATCH(N140,{"F","E","D","D+","C","C+","B","B+","A","A+","S"},0)),ISNUMBER(MATCH(O140,{"F","E","D","D+","C","C+","B","B+","A","A+","S"},0)),ISNUMBER(MATCH(P140,{"F","E","D","D+","C","C+","B","B+","A","A+","S"},0))),LOOKUP(AVERAGE(_xlfn.SWITCH(M140,"F",0,"E",10,"D",20,"D+",30,"C",40,"C+",50,"B",60,"B+",70,"A",80,"A+",90,"S",100),_xlfn.SWITCH(N140,"F",0,"E",10,"D",20,"D+",30,"C",40,"C+",50,"B",60,"B+",70,"A",80,"A+",90,"S",100),_xlfn.SWITCH(O140,"F",0,"E",10,"D",20,"D+",30,"C",40,"C+",50,"B",60,"B+",70,"A",80,"A+",90,"S",100),_xlfn.SWITCH(P140,"F",0,"E",10,"D",20,"D+",30,"C",40,"C+",50,"B",60,"B+",70,"A",80,"A+",90,"S",100)),{0,15,25,35,45,55,65,75,85,95},{"D","D","D+","C","C+","B","B+","A","A+","S"}),"?")</f>
        <v>?</v>
      </c>
      <c r="U140" s="27" t="s">
        <v>815</v>
      </c>
      <c r="V140" s="28" t="s">
        <v>816</v>
      </c>
      <c r="W140" s="29" t="s">
        <v>817</v>
      </c>
      <c r="X140" s="26"/>
      <c r="Y140" s="26"/>
      <c r="Z140" s="26"/>
      <c r="AA140" s="19"/>
      <c r="AB140" s="19"/>
    </row>
    <row r="141" spans="1:28" ht="21">
      <c r="A141" s="5" t="s">
        <v>818</v>
      </c>
      <c r="B141" s="5" t="s">
        <v>819</v>
      </c>
      <c r="C141" s="13"/>
      <c r="D141" s="13"/>
      <c r="E141" s="13"/>
      <c r="F141" s="13"/>
      <c r="G141" s="13"/>
      <c r="H141" s="7"/>
      <c r="I141" s="7"/>
      <c r="K141" s="24" t="s">
        <v>820</v>
      </c>
      <c r="L141" s="25" t="s">
        <v>821</v>
      </c>
      <c r="M141" s="19"/>
      <c r="N141" s="19"/>
      <c r="O141" s="19"/>
      <c r="P141" s="19"/>
      <c r="Q141" s="19" t="str">
        <f>IF(AND(ISNUMBER(MATCH(M141,{"F","E","D","D+","C","C+","B","B+","A","A+","S"},0)),ISNUMBER(MATCH(N141,{"F","E","D","D+","C","C+","B","B+","A","A+","S"},0)),ISNUMBER(MATCH(O141,{"F","E","D","D+","C","C+","B","B+","A","A+","S"},0)),ISNUMBER(MATCH(P141,{"F","E","D","D+","C","C+","B","B+","A","A+","S"},0))),LOOKUP(AVERAGE(_xlfn.SWITCH(M141,"F",0,"E",10,"D",20,"D+",30,"C",40,"C+",50,"B",60,"B+",70,"A",80,"A+",90,"S",100),_xlfn.SWITCH(N141,"F",0,"E",10,"D",20,"D+",30,"C",40,"C+",50,"B",60,"B+",70,"A",80,"A+",90,"S",100),_xlfn.SWITCH(O141,"F",0,"E",10,"D",20,"D+",30,"C",40,"C+",50,"B",60,"B+",70,"A",80,"A+",90,"S",100),_xlfn.SWITCH(P141,"F",0,"E",10,"D",20,"D+",30,"C",40,"C+",50,"B",60,"B+",70,"A",80,"A+",90,"S",100)),{0,15,25,35,45,55,65,75,85,95},{"D","D","D+","C","C+","B","B+","A","A+","S"}),"?")</f>
        <v>?</v>
      </c>
      <c r="U141" s="27" t="s">
        <v>822</v>
      </c>
      <c r="V141" s="28" t="s">
        <v>823</v>
      </c>
      <c r="W141" s="29" t="s">
        <v>824</v>
      </c>
      <c r="X141" s="26"/>
      <c r="Y141" s="26"/>
      <c r="Z141" s="26"/>
      <c r="AA141" s="19"/>
      <c r="AB141" s="19"/>
    </row>
    <row r="142" spans="1:28" ht="21">
      <c r="A142" s="5" t="s">
        <v>825</v>
      </c>
      <c r="B142" s="23" t="s">
        <v>826</v>
      </c>
      <c r="C142" s="13"/>
      <c r="D142" s="13"/>
      <c r="E142" s="13"/>
      <c r="F142" s="13"/>
      <c r="G142" s="13"/>
      <c r="H142" s="7"/>
      <c r="I142" s="7"/>
      <c r="K142" s="24" t="s">
        <v>827</v>
      </c>
      <c r="L142" s="25" t="s">
        <v>828</v>
      </c>
      <c r="M142" s="19"/>
      <c r="N142" s="19"/>
      <c r="O142" s="19"/>
      <c r="P142" s="19"/>
      <c r="Q142" s="19" t="str">
        <f>IF(AND(ISNUMBER(MATCH(M142,{"F","E","D","D+","C","C+","B","B+","A","A+","S"},0)),ISNUMBER(MATCH(N142,{"F","E","D","D+","C","C+","B","B+","A","A+","S"},0)),ISNUMBER(MATCH(O142,{"F","E","D","D+","C","C+","B","B+","A","A+","S"},0)),ISNUMBER(MATCH(P142,{"F","E","D","D+","C","C+","B","B+","A","A+","S"},0))),LOOKUP(AVERAGE(_xlfn.SWITCH(M142,"F",0,"E",10,"D",20,"D+",30,"C",40,"C+",50,"B",60,"B+",70,"A",80,"A+",90,"S",100),_xlfn.SWITCH(N142,"F",0,"E",10,"D",20,"D+",30,"C",40,"C+",50,"B",60,"B+",70,"A",80,"A+",90,"S",100),_xlfn.SWITCH(O142,"F",0,"E",10,"D",20,"D+",30,"C",40,"C+",50,"B",60,"B+",70,"A",80,"A+",90,"S",100),_xlfn.SWITCH(P142,"F",0,"E",10,"D",20,"D+",30,"C",40,"C+",50,"B",60,"B+",70,"A",80,"A+",90,"S",100)),{0,15,25,35,45,55,65,75,85,95},{"D","D","D+","C","C+","B","B+","A","A+","S"}),"?")</f>
        <v>?</v>
      </c>
      <c r="U142" s="27" t="s">
        <v>829</v>
      </c>
      <c r="V142" s="28" t="s">
        <v>830</v>
      </c>
      <c r="W142" s="29" t="s">
        <v>831</v>
      </c>
      <c r="X142" s="26"/>
      <c r="Y142" s="26"/>
      <c r="Z142" s="26"/>
      <c r="AA142" s="19"/>
      <c r="AB142" s="19"/>
    </row>
    <row r="143" spans="1:28" ht="21">
      <c r="A143" s="5" t="s">
        <v>832</v>
      </c>
      <c r="B143" s="5" t="s">
        <v>833</v>
      </c>
      <c r="C143" s="13"/>
      <c r="D143" s="13"/>
      <c r="E143" s="13"/>
      <c r="F143" s="13"/>
      <c r="G143" s="13"/>
      <c r="H143" s="7"/>
      <c r="I143" s="7"/>
      <c r="K143" s="24" t="s">
        <v>812</v>
      </c>
      <c r="L143" s="25" t="s">
        <v>813</v>
      </c>
      <c r="M143" s="19"/>
      <c r="N143" s="19"/>
      <c r="O143" s="19"/>
      <c r="P143" s="19"/>
      <c r="Q143" s="19" t="str">
        <f>IF(AND(ISNUMBER(MATCH(M143,{"F","E","D","D+","C","C+","B","B+","A","A+","S"},0)),ISNUMBER(MATCH(N143,{"F","E","D","D+","C","C+","B","B+","A","A+","S"},0)),ISNUMBER(MATCH(O143,{"F","E","D","D+","C","C+","B","B+","A","A+","S"},0)),ISNUMBER(MATCH(P143,{"F","E","D","D+","C","C+","B","B+","A","A+","S"},0))),LOOKUP(AVERAGE(_xlfn.SWITCH(M143,"F",0,"E",10,"D",20,"D+",30,"C",40,"C+",50,"B",60,"B+",70,"A",80,"A+",90,"S",100),_xlfn.SWITCH(N143,"F",0,"E",10,"D",20,"D+",30,"C",40,"C+",50,"B",60,"B+",70,"A",80,"A+",90,"S",100),_xlfn.SWITCH(O143,"F",0,"E",10,"D",20,"D+",30,"C",40,"C+",50,"B",60,"B+",70,"A",80,"A+",90,"S",100),_xlfn.SWITCH(P143,"F",0,"E",10,"D",20,"D+",30,"C",40,"C+",50,"B",60,"B+",70,"A",80,"A+",90,"S",100)),{0,15,25,35,45,55,65,75,85,95},{"D","D","D+","C","C+","B","B+","A","A+","S"}),"?")</f>
        <v>?</v>
      </c>
      <c r="U143" s="27" t="s">
        <v>834</v>
      </c>
      <c r="V143" s="28" t="s">
        <v>835</v>
      </c>
      <c r="W143" s="29" t="s">
        <v>836</v>
      </c>
      <c r="X143" s="26"/>
      <c r="Y143" s="26"/>
      <c r="Z143" s="26"/>
      <c r="AA143" s="19"/>
      <c r="AB143" s="19"/>
    </row>
    <row r="144" spans="1:28" ht="21">
      <c r="A144" s="5" t="s">
        <v>837</v>
      </c>
      <c r="B144" s="5" t="s">
        <v>838</v>
      </c>
      <c r="C144" s="13"/>
      <c r="D144" s="13"/>
      <c r="E144" s="13"/>
      <c r="F144" s="13"/>
      <c r="G144" s="13"/>
      <c r="H144" s="7"/>
      <c r="I144" s="7"/>
      <c r="K144" s="24" t="s">
        <v>839</v>
      </c>
      <c r="L144" s="25" t="s">
        <v>840</v>
      </c>
      <c r="M144" s="19"/>
      <c r="N144" s="19"/>
      <c r="O144" s="19"/>
      <c r="P144" s="19"/>
      <c r="Q144" s="19" t="str">
        <f>IF(AND(ISNUMBER(MATCH(M144,{"F","E","D","D+","C","C+","B","B+","A","A+","S"},0)),ISNUMBER(MATCH(N144,{"F","E","D","D+","C","C+","B","B+","A","A+","S"},0)),ISNUMBER(MATCH(O144,{"F","E","D","D+","C","C+","B","B+","A","A+","S"},0)),ISNUMBER(MATCH(P144,{"F","E","D","D+","C","C+","B","B+","A","A+","S"},0))),LOOKUP(AVERAGE(_xlfn.SWITCH(M144,"F",0,"E",10,"D",20,"D+",30,"C",40,"C+",50,"B",60,"B+",70,"A",80,"A+",90,"S",100),_xlfn.SWITCH(N144,"F",0,"E",10,"D",20,"D+",30,"C",40,"C+",50,"B",60,"B+",70,"A",80,"A+",90,"S",100),_xlfn.SWITCH(O144,"F",0,"E",10,"D",20,"D+",30,"C",40,"C+",50,"B",60,"B+",70,"A",80,"A+",90,"S",100),_xlfn.SWITCH(P144,"F",0,"E",10,"D",20,"D+",30,"C",40,"C+",50,"B",60,"B+",70,"A",80,"A+",90,"S",100)),{0,15,25,35,45,55,65,75,85,95},{"D","D","D+","C","C+","B","B+","A","A+","S"}),"?")</f>
        <v>?</v>
      </c>
      <c r="U144" s="27" t="s">
        <v>841</v>
      </c>
      <c r="V144" s="28" t="s">
        <v>842</v>
      </c>
      <c r="W144" s="29" t="s">
        <v>843</v>
      </c>
      <c r="X144" s="26"/>
      <c r="Y144" s="26"/>
      <c r="Z144" s="26"/>
      <c r="AA144" s="19"/>
      <c r="AB144" s="19"/>
    </row>
    <row r="145" spans="1:30" ht="21">
      <c r="A145" s="5" t="s">
        <v>844</v>
      </c>
      <c r="B145" s="23" t="s">
        <v>627</v>
      </c>
      <c r="C145" s="13"/>
      <c r="D145" s="13"/>
      <c r="E145" s="13"/>
      <c r="F145" s="13"/>
      <c r="G145" s="13"/>
      <c r="H145" s="7"/>
      <c r="I145" s="7"/>
      <c r="K145" s="24" t="s">
        <v>845</v>
      </c>
      <c r="L145" s="25" t="s">
        <v>846</v>
      </c>
      <c r="M145" s="19"/>
      <c r="N145" s="19"/>
      <c r="O145" s="19"/>
      <c r="P145" s="19"/>
      <c r="Q145" s="19" t="str">
        <f>IF(AND(ISNUMBER(MATCH(M145,{"F","E","D","D+","C","C+","B","B+","A","A+","S"},0)),ISNUMBER(MATCH(N145,{"F","E","D","D+","C","C+","B","B+","A","A+","S"},0)),ISNUMBER(MATCH(O145,{"F","E","D","D+","C","C+","B","B+","A","A+","S"},0)),ISNUMBER(MATCH(P145,{"F","E","D","D+","C","C+","B","B+","A","A+","S"},0))),LOOKUP(AVERAGE(_xlfn.SWITCH(M145,"F",0,"E",10,"D",20,"D+",30,"C",40,"C+",50,"B",60,"B+",70,"A",80,"A+",90,"S",100),_xlfn.SWITCH(N145,"F",0,"E",10,"D",20,"D+",30,"C",40,"C+",50,"B",60,"B+",70,"A",80,"A+",90,"S",100),_xlfn.SWITCH(O145,"F",0,"E",10,"D",20,"D+",30,"C",40,"C+",50,"B",60,"B+",70,"A",80,"A+",90,"S",100),_xlfn.SWITCH(P145,"F",0,"E",10,"D",20,"D+",30,"C",40,"C+",50,"B",60,"B+",70,"A",80,"A+",90,"S",100)),{0,15,25,35,45,55,65,75,85,95},{"D","D","D+","C","C+","B","B+","A","A+","S"}),"?")</f>
        <v>?</v>
      </c>
      <c r="U145" s="27" t="s">
        <v>847</v>
      </c>
      <c r="V145" s="28" t="s">
        <v>848</v>
      </c>
      <c r="W145" s="29" t="s">
        <v>849</v>
      </c>
      <c r="X145" s="26"/>
      <c r="Y145" s="26"/>
      <c r="Z145" s="26"/>
      <c r="AA145" s="19"/>
      <c r="AB145" s="19"/>
    </row>
    <row r="146" spans="1:30" ht="21">
      <c r="A146" s="5" t="s">
        <v>850</v>
      </c>
      <c r="B146" s="5" t="s">
        <v>851</v>
      </c>
      <c r="C146" s="13"/>
      <c r="D146" s="13"/>
      <c r="E146" s="13"/>
      <c r="F146" s="13"/>
      <c r="G146" s="13"/>
      <c r="H146" s="7"/>
      <c r="I146" s="7"/>
      <c r="K146" s="24" t="s">
        <v>617</v>
      </c>
      <c r="L146" s="25" t="s">
        <v>618</v>
      </c>
      <c r="M146" s="19"/>
      <c r="N146" s="19"/>
      <c r="O146" s="19"/>
      <c r="P146" s="19"/>
      <c r="Q146" s="19" t="str">
        <f>IF(AND(ISNUMBER(MATCH(M146,{"F","E","D","D+","C","C+","B","B+","A","A+","S"},0)),ISNUMBER(MATCH(N146,{"F","E","D","D+","C","C+","B","B+","A","A+","S"},0)),ISNUMBER(MATCH(O146,{"F","E","D","D+","C","C+","B","B+","A","A+","S"},0)),ISNUMBER(MATCH(P146,{"F","E","D","D+","C","C+","B","B+","A","A+","S"},0))),LOOKUP(AVERAGE(_xlfn.SWITCH(M146,"F",0,"E",10,"D",20,"D+",30,"C",40,"C+",50,"B",60,"B+",70,"A",80,"A+",90,"S",100),_xlfn.SWITCH(N146,"F",0,"E",10,"D",20,"D+",30,"C",40,"C+",50,"B",60,"B+",70,"A",80,"A+",90,"S",100),_xlfn.SWITCH(O146,"F",0,"E",10,"D",20,"D+",30,"C",40,"C+",50,"B",60,"B+",70,"A",80,"A+",90,"S",100),_xlfn.SWITCH(P146,"F",0,"E",10,"D",20,"D+",30,"C",40,"C+",50,"B",60,"B+",70,"A",80,"A+",90,"S",100)),{0,15,25,35,45,55,65,75,85,95},{"D","D","D+","C","C+","B","B+","A","A+","S"}),"?")</f>
        <v>?</v>
      </c>
      <c r="U146" s="27" t="s">
        <v>852</v>
      </c>
      <c r="V146" s="28" t="s">
        <v>853</v>
      </c>
      <c r="W146" s="29" t="s">
        <v>854</v>
      </c>
      <c r="X146" s="26"/>
      <c r="Y146" s="26"/>
      <c r="Z146" s="26"/>
      <c r="AA146" s="19"/>
      <c r="AB146" s="19"/>
    </row>
    <row r="147" spans="1:30">
      <c r="A147" s="5" t="s">
        <v>855</v>
      </c>
      <c r="B147" s="23" t="s">
        <v>662</v>
      </c>
      <c r="C147" s="13"/>
      <c r="D147" s="13"/>
      <c r="E147" s="13"/>
      <c r="F147" s="13"/>
      <c r="G147" s="13"/>
      <c r="H147" s="7"/>
      <c r="I147" s="7"/>
      <c r="K147" s="24" t="s">
        <v>856</v>
      </c>
      <c r="L147" s="25" t="s">
        <v>857</v>
      </c>
      <c r="M147" s="19"/>
      <c r="N147" s="19"/>
      <c r="O147" s="19"/>
      <c r="P147" s="19"/>
      <c r="Q147" s="19" t="str">
        <f>IF(AND(ISNUMBER(MATCH(M147,{"F","E","D","D+","C","C+","B","B+","A","A+","S"},0)),ISNUMBER(MATCH(N147,{"F","E","D","D+","C","C+","B","B+","A","A+","S"},0)),ISNUMBER(MATCH(O147,{"F","E","D","D+","C","C+","B","B+","A","A+","S"},0)),ISNUMBER(MATCH(P147,{"F","E","D","D+","C","C+","B","B+","A","A+","S"},0))),LOOKUP(AVERAGE(_xlfn.SWITCH(M147,"F",0,"E",10,"D",20,"D+",30,"C",40,"C+",50,"B",60,"B+",70,"A",80,"A+",90,"S",100),_xlfn.SWITCH(N147,"F",0,"E",10,"D",20,"D+",30,"C",40,"C+",50,"B",60,"B+",70,"A",80,"A+",90,"S",100),_xlfn.SWITCH(O147,"F",0,"E",10,"D",20,"D+",30,"C",40,"C+",50,"B",60,"B+",70,"A",80,"A+",90,"S",100),_xlfn.SWITCH(P147,"F",0,"E",10,"D",20,"D+",30,"C",40,"C+",50,"B",60,"B+",70,"A",80,"A+",90,"S",100)),{0,15,25,35,45,55,65,75,85,95},{"D","D","D+","C","C+","B","B+","A","A+","S"}),"?")</f>
        <v>?</v>
      </c>
      <c r="U147" s="528" t="s">
        <v>858</v>
      </c>
      <c r="V147" s="531"/>
      <c r="W147" s="531"/>
      <c r="X147" s="534"/>
      <c r="Y147" s="534"/>
      <c r="Z147" s="534"/>
      <c r="AA147" s="526"/>
      <c r="AB147" s="526"/>
      <c r="AC147" s="527"/>
      <c r="AD147" s="527"/>
    </row>
    <row r="148" spans="1:30">
      <c r="A148" s="5" t="s">
        <v>859</v>
      </c>
      <c r="B148" s="5" t="s">
        <v>860</v>
      </c>
      <c r="C148" s="13"/>
      <c r="D148" s="13"/>
      <c r="E148" s="13"/>
      <c r="F148" s="13"/>
      <c r="G148" s="13"/>
      <c r="H148" s="7"/>
      <c r="I148" s="7"/>
      <c r="K148" s="24" t="s">
        <v>783</v>
      </c>
      <c r="L148" s="25" t="s">
        <v>784</v>
      </c>
      <c r="M148" s="19"/>
      <c r="N148" s="19"/>
      <c r="O148" s="19"/>
      <c r="P148" s="19"/>
      <c r="Q148" s="19" t="str">
        <f>IF(AND(ISNUMBER(MATCH(M148,{"F","E","D","D+","C","C+","B","B+","A","A+","S"},0)),ISNUMBER(MATCH(N148,{"F","E","D","D+","C","C+","B","B+","A","A+","S"},0)),ISNUMBER(MATCH(O148,{"F","E","D","D+","C","C+","B","B+","A","A+","S"},0)),ISNUMBER(MATCH(P148,{"F","E","D","D+","C","C+","B","B+","A","A+","S"},0))),LOOKUP(AVERAGE(_xlfn.SWITCH(M148,"F",0,"E",10,"D",20,"D+",30,"C",40,"C+",50,"B",60,"B+",70,"A",80,"A+",90,"S",100),_xlfn.SWITCH(N148,"F",0,"E",10,"D",20,"D+",30,"C",40,"C+",50,"B",60,"B+",70,"A",80,"A+",90,"S",100),_xlfn.SWITCH(O148,"F",0,"E",10,"D",20,"D+",30,"C",40,"C+",50,"B",60,"B+",70,"A",80,"A+",90,"S",100),_xlfn.SWITCH(P148,"F",0,"E",10,"D",20,"D+",30,"C",40,"C+",50,"B",60,"B+",70,"A",80,"A+",90,"S",100)),{0,15,25,35,45,55,65,75,85,95},{"D","D","D+","C","C+","B","B+","A","A+","S"}),"?")</f>
        <v>?</v>
      </c>
      <c r="U148" s="532"/>
      <c r="V148" s="529"/>
      <c r="W148" s="530"/>
      <c r="X148" s="534"/>
      <c r="Y148" s="534"/>
      <c r="Z148" s="534"/>
      <c r="AA148" s="526"/>
      <c r="AB148" s="526"/>
      <c r="AC148" s="527"/>
      <c r="AD148" s="527"/>
    </row>
    <row r="149" spans="1:30">
      <c r="A149" s="5" t="s">
        <v>861</v>
      </c>
      <c r="B149" s="5" t="s">
        <v>862</v>
      </c>
      <c r="C149" s="13"/>
      <c r="D149" s="13"/>
      <c r="E149" s="13"/>
      <c r="F149" s="13"/>
      <c r="G149" s="13"/>
      <c r="H149" s="7"/>
      <c r="I149" s="7"/>
      <c r="K149" s="24" t="s">
        <v>863</v>
      </c>
      <c r="L149" s="25" t="s">
        <v>864</v>
      </c>
      <c r="M149" s="19"/>
      <c r="N149" s="19"/>
      <c r="O149" s="19"/>
      <c r="P149" s="19"/>
      <c r="Q149" s="19" t="str">
        <f>IF(AND(ISNUMBER(MATCH(M149,{"F","E","D","D+","C","C+","B","B+","A","A+","S"},0)),ISNUMBER(MATCH(N149,{"F","E","D","D+","C","C+","B","B+","A","A+","S"},0)),ISNUMBER(MATCH(O149,{"F","E","D","D+","C","C+","B","B+","A","A+","S"},0)),ISNUMBER(MATCH(P149,{"F","E","D","D+","C","C+","B","B+","A","A+","S"},0))),LOOKUP(AVERAGE(_xlfn.SWITCH(M149,"F",0,"E",10,"D",20,"D+",30,"C",40,"C+",50,"B",60,"B+",70,"A",80,"A+",90,"S",100),_xlfn.SWITCH(N149,"F",0,"E",10,"D",20,"D+",30,"C",40,"C+",50,"B",60,"B+",70,"A",80,"A+",90,"S",100),_xlfn.SWITCH(O149,"F",0,"E",10,"D",20,"D+",30,"C",40,"C+",50,"B",60,"B+",70,"A",80,"A+",90,"S",100),_xlfn.SWITCH(P149,"F",0,"E",10,"D",20,"D+",30,"C",40,"C+",50,"B",60,"B+",70,"A",80,"A+",90,"S",100)),{0,15,25,35,45,55,65,75,85,95},{"D","D","D+","C","C+","B","B+","A","A+","S"}),"?")</f>
        <v>?</v>
      </c>
      <c r="U149" s="8" t="s">
        <v>4</v>
      </c>
      <c r="V149" s="8" t="s">
        <v>13</v>
      </c>
      <c r="W149" s="9" t="s">
        <v>5</v>
      </c>
      <c r="X149" s="7" t="s">
        <v>6</v>
      </c>
      <c r="Y149" s="7" t="s">
        <v>7</v>
      </c>
      <c r="Z149" s="7" t="s">
        <v>8</v>
      </c>
      <c r="AA149" s="7" t="s">
        <v>9</v>
      </c>
      <c r="AB149" s="7" t="s">
        <v>10</v>
      </c>
      <c r="AC149" s="5" t="s">
        <v>11</v>
      </c>
      <c r="AD149" s="5" t="s">
        <v>12</v>
      </c>
    </row>
    <row r="150" spans="1:30" ht="21">
      <c r="A150" s="5" t="s">
        <v>865</v>
      </c>
      <c r="B150" s="5" t="s">
        <v>866</v>
      </c>
      <c r="C150" s="13"/>
      <c r="D150" s="13"/>
      <c r="E150" s="13"/>
      <c r="F150" s="13"/>
      <c r="G150" s="13"/>
      <c r="H150" s="7"/>
      <c r="I150" s="7"/>
      <c r="K150" s="24" t="s">
        <v>551</v>
      </c>
      <c r="L150" s="25" t="s">
        <v>552</v>
      </c>
      <c r="M150" s="19"/>
      <c r="N150" s="19"/>
      <c r="O150" s="19"/>
      <c r="P150" s="19"/>
      <c r="Q150" s="19" t="str">
        <f>IF(AND(ISNUMBER(MATCH(M150,{"F","E","D","D+","C","C+","B","B+","A","A+","S"},0)),ISNUMBER(MATCH(N150,{"F","E","D","D+","C","C+","B","B+","A","A+","S"},0)),ISNUMBER(MATCH(O150,{"F","E","D","D+","C","C+","B","B+","A","A+","S"},0)),ISNUMBER(MATCH(P150,{"F","E","D","D+","C","C+","B","B+","A","A+","S"},0))),LOOKUP(AVERAGE(_xlfn.SWITCH(M150,"F",0,"E",10,"D",20,"D+",30,"C",40,"C+",50,"B",60,"B+",70,"A",80,"A+",90,"S",100),_xlfn.SWITCH(N150,"F",0,"E",10,"D",20,"D+",30,"C",40,"C+",50,"B",60,"B+",70,"A",80,"A+",90,"S",100),_xlfn.SWITCH(O150,"F",0,"E",10,"D",20,"D+",30,"C",40,"C+",50,"B",60,"B+",70,"A",80,"A+",90,"S",100),_xlfn.SWITCH(P150,"F",0,"E",10,"D",20,"D+",30,"C",40,"C+",50,"B",60,"B+",70,"A",80,"A+",90,"S",100)),{0,15,25,35,45,55,65,75,85,95},{"D","D","D+","C","C+","B","B+","A","A+","S"}),"?")</f>
        <v>?</v>
      </c>
      <c r="U150" s="27" t="s">
        <v>867</v>
      </c>
      <c r="V150" s="28" t="s">
        <v>868</v>
      </c>
      <c r="W150" s="29" t="s">
        <v>869</v>
      </c>
      <c r="X150" s="26"/>
      <c r="Y150" s="26"/>
      <c r="Z150" s="26"/>
      <c r="AA150" s="19"/>
      <c r="AB150" s="19"/>
    </row>
    <row r="151" spans="1:30" ht="21">
      <c r="A151" s="5" t="s">
        <v>870</v>
      </c>
      <c r="B151" s="5" t="s">
        <v>843</v>
      </c>
      <c r="C151" s="13"/>
      <c r="D151" s="13"/>
      <c r="E151" s="13"/>
      <c r="F151" s="13"/>
      <c r="G151" s="13"/>
      <c r="H151" s="7"/>
      <c r="I151" s="7"/>
      <c r="K151" s="24" t="s">
        <v>871</v>
      </c>
      <c r="L151" s="25" t="s">
        <v>872</v>
      </c>
      <c r="M151" s="19"/>
      <c r="N151" s="19"/>
      <c r="O151" s="19"/>
      <c r="P151" s="19"/>
      <c r="Q151" s="19" t="str">
        <f>IF(AND(ISNUMBER(MATCH(M151,{"F","E","D","D+","C","C+","B","B+","A","A+","S"},0)),ISNUMBER(MATCH(N151,{"F","E","D","D+","C","C+","B","B+","A","A+","S"},0)),ISNUMBER(MATCH(O151,{"F","E","D","D+","C","C+","B","B+","A","A+","S"},0)),ISNUMBER(MATCH(P151,{"F","E","D","D+","C","C+","B","B+","A","A+","S"},0))),LOOKUP(AVERAGE(_xlfn.SWITCH(M151,"F",0,"E",10,"D",20,"D+",30,"C",40,"C+",50,"B",60,"B+",70,"A",80,"A+",90,"S",100),_xlfn.SWITCH(N151,"F",0,"E",10,"D",20,"D+",30,"C",40,"C+",50,"B",60,"B+",70,"A",80,"A+",90,"S",100),_xlfn.SWITCH(O151,"F",0,"E",10,"D",20,"D+",30,"C",40,"C+",50,"B",60,"B+",70,"A",80,"A+",90,"S",100),_xlfn.SWITCH(P151,"F",0,"E",10,"D",20,"D+",30,"C",40,"C+",50,"B",60,"B+",70,"A",80,"A+",90,"S",100)),{0,15,25,35,45,55,65,75,85,95},{"D","D","D+","C","C+","B","B+","A","A+","S"}),"?")</f>
        <v>?</v>
      </c>
      <c r="U151" s="27" t="s">
        <v>873</v>
      </c>
      <c r="V151" s="28" t="s">
        <v>874</v>
      </c>
      <c r="W151" s="29" t="s">
        <v>875</v>
      </c>
      <c r="X151" s="26"/>
      <c r="Y151" s="26"/>
      <c r="Z151" s="26"/>
      <c r="AA151" s="19"/>
      <c r="AB151" s="19"/>
    </row>
    <row r="152" spans="1:30" ht="21">
      <c r="A152" s="5" t="s">
        <v>876</v>
      </c>
      <c r="B152" s="23" t="s">
        <v>877</v>
      </c>
      <c r="C152" s="13"/>
      <c r="D152" s="13"/>
      <c r="E152" s="13"/>
      <c r="F152" s="13"/>
      <c r="G152" s="13"/>
      <c r="H152" s="7"/>
      <c r="I152" s="7"/>
      <c r="K152" s="24" t="s">
        <v>760</v>
      </c>
      <c r="L152" s="25" t="s">
        <v>761</v>
      </c>
      <c r="M152" s="19"/>
      <c r="N152" s="19"/>
      <c r="O152" s="19"/>
      <c r="P152" s="19"/>
      <c r="Q152" s="19" t="str">
        <f>IF(AND(ISNUMBER(MATCH(M152,{"F","E","D","D+","C","C+","B","B+","A","A+","S"},0)),ISNUMBER(MATCH(N152,{"F","E","D","D+","C","C+","B","B+","A","A+","S"},0)),ISNUMBER(MATCH(O152,{"F","E","D","D+","C","C+","B","B+","A","A+","S"},0)),ISNUMBER(MATCH(P152,{"F","E","D","D+","C","C+","B","B+","A","A+","S"},0))),LOOKUP(AVERAGE(_xlfn.SWITCH(M152,"F",0,"E",10,"D",20,"D+",30,"C",40,"C+",50,"B",60,"B+",70,"A",80,"A+",90,"S",100),_xlfn.SWITCH(N152,"F",0,"E",10,"D",20,"D+",30,"C",40,"C+",50,"B",60,"B+",70,"A",80,"A+",90,"S",100),_xlfn.SWITCH(O152,"F",0,"E",10,"D",20,"D+",30,"C",40,"C+",50,"B",60,"B+",70,"A",80,"A+",90,"S",100),_xlfn.SWITCH(P152,"F",0,"E",10,"D",20,"D+",30,"C",40,"C+",50,"B",60,"B+",70,"A",80,"A+",90,"S",100)),{0,15,25,35,45,55,65,75,85,95},{"D","D","D+","C","C+","B","B+","A","A+","S"}),"?")</f>
        <v>?</v>
      </c>
      <c r="U152" s="27" t="s">
        <v>878</v>
      </c>
      <c r="V152" s="28" t="s">
        <v>879</v>
      </c>
      <c r="W152" s="29" t="s">
        <v>880</v>
      </c>
      <c r="X152" s="26"/>
      <c r="Y152" s="26"/>
      <c r="Z152" s="26"/>
      <c r="AA152" s="19"/>
      <c r="AB152" s="19"/>
    </row>
    <row r="153" spans="1:30" ht="21">
      <c r="A153" s="5" t="s">
        <v>881</v>
      </c>
      <c r="B153" s="23" t="s">
        <v>882</v>
      </c>
      <c r="C153" s="13"/>
      <c r="D153" s="13"/>
      <c r="E153" s="13"/>
      <c r="F153" s="13"/>
      <c r="G153" s="13"/>
      <c r="H153" s="7"/>
      <c r="I153" s="7"/>
      <c r="K153" s="24" t="s">
        <v>883</v>
      </c>
      <c r="L153" s="25" t="s">
        <v>884</v>
      </c>
      <c r="M153" s="19"/>
      <c r="N153" s="19"/>
      <c r="O153" s="19"/>
      <c r="P153" s="19"/>
      <c r="Q153" s="19" t="str">
        <f>IF(AND(ISNUMBER(MATCH(M153,{"F","E","D","D+","C","C+","B","B+","A","A+","S"},0)),ISNUMBER(MATCH(N153,{"F","E","D","D+","C","C+","B","B+","A","A+","S"},0)),ISNUMBER(MATCH(O153,{"F","E","D","D+","C","C+","B","B+","A","A+","S"},0)),ISNUMBER(MATCH(P153,{"F","E","D","D+","C","C+","B","B+","A","A+","S"},0))),LOOKUP(AVERAGE(_xlfn.SWITCH(M153,"F",0,"E",10,"D",20,"D+",30,"C",40,"C+",50,"B",60,"B+",70,"A",80,"A+",90,"S",100),_xlfn.SWITCH(N153,"F",0,"E",10,"D",20,"D+",30,"C",40,"C+",50,"B",60,"B+",70,"A",80,"A+",90,"S",100),_xlfn.SWITCH(O153,"F",0,"E",10,"D",20,"D+",30,"C",40,"C+",50,"B",60,"B+",70,"A",80,"A+",90,"S",100),_xlfn.SWITCH(P153,"F",0,"E",10,"D",20,"D+",30,"C",40,"C+",50,"B",60,"B+",70,"A",80,"A+",90,"S",100)),{0,15,25,35,45,55,65,75,85,95},{"D","D","D+","C","C+","B","B+","A","A+","S"}),"?")</f>
        <v>?</v>
      </c>
      <c r="U153" s="27" t="s">
        <v>885</v>
      </c>
      <c r="V153" s="28" t="s">
        <v>886</v>
      </c>
      <c r="W153" s="29" t="s">
        <v>887</v>
      </c>
      <c r="X153" s="26"/>
      <c r="Y153" s="26"/>
      <c r="Z153" s="26"/>
      <c r="AA153" s="19"/>
      <c r="AB153" s="19"/>
    </row>
    <row r="154" spans="1:30" ht="21">
      <c r="A154" s="5" t="s">
        <v>888</v>
      </c>
      <c r="B154" s="23" t="s">
        <v>889</v>
      </c>
      <c r="C154" s="13"/>
      <c r="D154" s="13"/>
      <c r="E154" s="13"/>
      <c r="F154" s="13"/>
      <c r="G154" s="13"/>
      <c r="H154" s="7"/>
      <c r="I154" s="7"/>
      <c r="K154" s="24" t="s">
        <v>890</v>
      </c>
      <c r="L154" s="25" t="s">
        <v>891</v>
      </c>
      <c r="M154" s="19"/>
      <c r="N154" s="19"/>
      <c r="O154" s="19"/>
      <c r="P154" s="19"/>
      <c r="Q154" s="19" t="str">
        <f>IF(AND(ISNUMBER(MATCH(M154,{"F","E","D","D+","C","C+","B","B+","A","A+","S"},0)),ISNUMBER(MATCH(N154,{"F","E","D","D+","C","C+","B","B+","A","A+","S"},0)),ISNUMBER(MATCH(O154,{"F","E","D","D+","C","C+","B","B+","A","A+","S"},0)),ISNUMBER(MATCH(P154,{"F","E","D","D+","C","C+","B","B+","A","A+","S"},0))),LOOKUP(AVERAGE(_xlfn.SWITCH(M154,"F",0,"E",10,"D",20,"D+",30,"C",40,"C+",50,"B",60,"B+",70,"A",80,"A+",90,"S",100),_xlfn.SWITCH(N154,"F",0,"E",10,"D",20,"D+",30,"C",40,"C+",50,"B",60,"B+",70,"A",80,"A+",90,"S",100),_xlfn.SWITCH(O154,"F",0,"E",10,"D",20,"D+",30,"C",40,"C+",50,"B",60,"B+",70,"A",80,"A+",90,"S",100),_xlfn.SWITCH(P154,"F",0,"E",10,"D",20,"D+",30,"C",40,"C+",50,"B",60,"B+",70,"A",80,"A+",90,"S",100)),{0,15,25,35,45,55,65,75,85,95},{"D","D","D+","C","C+","B","B+","A","A+","S"}),"?")</f>
        <v>?</v>
      </c>
      <c r="U154" s="27" t="s">
        <v>892</v>
      </c>
      <c r="V154" s="28" t="s">
        <v>893</v>
      </c>
      <c r="W154" s="29" t="s">
        <v>894</v>
      </c>
      <c r="X154" s="26"/>
      <c r="Y154" s="26"/>
      <c r="Z154" s="26"/>
      <c r="AA154" s="19"/>
      <c r="AB154" s="19"/>
    </row>
    <row r="155" spans="1:30" ht="21">
      <c r="A155" s="5" t="s">
        <v>895</v>
      </c>
      <c r="B155" s="23" t="s">
        <v>849</v>
      </c>
      <c r="C155" s="13"/>
      <c r="D155" s="13"/>
      <c r="E155" s="13"/>
      <c r="F155" s="13"/>
      <c r="G155" s="13"/>
      <c r="H155" s="7"/>
      <c r="I155" s="7"/>
      <c r="K155" s="24" t="s">
        <v>750</v>
      </c>
      <c r="L155" s="25" t="s">
        <v>751</v>
      </c>
      <c r="M155" s="19"/>
      <c r="N155" s="19"/>
      <c r="O155" s="19"/>
      <c r="P155" s="19"/>
      <c r="Q155" s="19" t="str">
        <f>IF(AND(ISNUMBER(MATCH(M155,{"F","E","D","D+","C","C+","B","B+","A","A+","S"},0)),ISNUMBER(MATCH(N155,{"F","E","D","D+","C","C+","B","B+","A","A+","S"},0)),ISNUMBER(MATCH(O155,{"F","E","D","D+","C","C+","B","B+","A","A+","S"},0)),ISNUMBER(MATCH(P155,{"F","E","D","D+","C","C+","B","B+","A","A+","S"},0))),LOOKUP(AVERAGE(_xlfn.SWITCH(M155,"F",0,"E",10,"D",20,"D+",30,"C",40,"C+",50,"B",60,"B+",70,"A",80,"A+",90,"S",100),_xlfn.SWITCH(N155,"F",0,"E",10,"D",20,"D+",30,"C",40,"C+",50,"B",60,"B+",70,"A",80,"A+",90,"S",100),_xlfn.SWITCH(O155,"F",0,"E",10,"D",20,"D+",30,"C",40,"C+",50,"B",60,"B+",70,"A",80,"A+",90,"S",100),_xlfn.SWITCH(P155,"F",0,"E",10,"D",20,"D+",30,"C",40,"C+",50,"B",60,"B+",70,"A",80,"A+",90,"S",100)),{0,15,25,35,45,55,65,75,85,95},{"D","D","D+","C","C+","B","B+","A","A+","S"}),"?")</f>
        <v>?</v>
      </c>
      <c r="U155" s="27" t="s">
        <v>896</v>
      </c>
      <c r="V155" s="28" t="s">
        <v>897</v>
      </c>
      <c r="W155" s="29" t="s">
        <v>159</v>
      </c>
      <c r="X155" s="26"/>
      <c r="Y155" s="26"/>
      <c r="Z155" s="26"/>
      <c r="AA155" s="19"/>
      <c r="AB155" s="19"/>
    </row>
    <row r="156" spans="1:30" ht="21">
      <c r="A156" s="5" t="s">
        <v>898</v>
      </c>
      <c r="B156" s="23" t="s">
        <v>899</v>
      </c>
      <c r="C156" s="13"/>
      <c r="D156" s="13"/>
      <c r="E156" s="13"/>
      <c r="F156" s="13"/>
      <c r="G156" s="13"/>
      <c r="H156" s="7"/>
      <c r="I156" s="7"/>
      <c r="K156" s="24" t="s">
        <v>900</v>
      </c>
      <c r="L156" s="25" t="s">
        <v>901</v>
      </c>
      <c r="M156" s="19"/>
      <c r="N156" s="19"/>
      <c r="O156" s="19"/>
      <c r="P156" s="19"/>
      <c r="Q156" s="19" t="str">
        <f>IF(AND(ISNUMBER(MATCH(M156,{"F","E","D","D+","C","C+","B","B+","A","A+","S"},0)),ISNUMBER(MATCH(N156,{"F","E","D","D+","C","C+","B","B+","A","A+","S"},0)),ISNUMBER(MATCH(O156,{"F","E","D","D+","C","C+","B","B+","A","A+","S"},0)),ISNUMBER(MATCH(P156,{"F","E","D","D+","C","C+","B","B+","A","A+","S"},0))),LOOKUP(AVERAGE(_xlfn.SWITCH(M156,"F",0,"E",10,"D",20,"D+",30,"C",40,"C+",50,"B",60,"B+",70,"A",80,"A+",90,"S",100),_xlfn.SWITCH(N156,"F",0,"E",10,"D",20,"D+",30,"C",40,"C+",50,"B",60,"B+",70,"A",80,"A+",90,"S",100),_xlfn.SWITCH(O156,"F",0,"E",10,"D",20,"D+",30,"C",40,"C+",50,"B",60,"B+",70,"A",80,"A+",90,"S",100),_xlfn.SWITCH(P156,"F",0,"E",10,"D",20,"D+",30,"C",40,"C+",50,"B",60,"B+",70,"A",80,"A+",90,"S",100)),{0,15,25,35,45,55,65,75,85,95},{"D","D","D+","C","C+","B","B+","A","A+","S"}),"?")</f>
        <v>?</v>
      </c>
      <c r="U156" s="27" t="s">
        <v>902</v>
      </c>
      <c r="V156" s="28" t="s">
        <v>903</v>
      </c>
      <c r="W156" s="29" t="s">
        <v>904</v>
      </c>
      <c r="X156" s="26"/>
      <c r="Y156" s="26"/>
      <c r="Z156" s="26"/>
      <c r="AA156" s="19"/>
      <c r="AB156" s="19"/>
    </row>
    <row r="157" spans="1:30" ht="21">
      <c r="A157" s="5" t="s">
        <v>905</v>
      </c>
      <c r="B157" s="5" t="s">
        <v>906</v>
      </c>
      <c r="C157" s="13"/>
      <c r="D157" s="13"/>
      <c r="E157" s="13"/>
      <c r="F157" s="13"/>
      <c r="G157" s="13"/>
      <c r="H157" s="7"/>
      <c r="I157" s="7"/>
      <c r="K157" s="24" t="s">
        <v>907</v>
      </c>
      <c r="L157" s="25" t="s">
        <v>908</v>
      </c>
      <c r="M157" s="19"/>
      <c r="N157" s="19"/>
      <c r="O157" s="19"/>
      <c r="P157" s="19"/>
      <c r="Q157" s="19" t="str">
        <f>IF(AND(ISNUMBER(MATCH(M157,{"F","E","D","D+","C","C+","B","B+","A","A+","S"},0)),ISNUMBER(MATCH(N157,{"F","E","D","D+","C","C+","B","B+","A","A+","S"},0)),ISNUMBER(MATCH(O157,{"F","E","D","D+","C","C+","B","B+","A","A+","S"},0)),ISNUMBER(MATCH(P157,{"F","E","D","D+","C","C+","B","B+","A","A+","S"},0))),LOOKUP(AVERAGE(_xlfn.SWITCH(M157,"F",0,"E",10,"D",20,"D+",30,"C",40,"C+",50,"B",60,"B+",70,"A",80,"A+",90,"S",100),_xlfn.SWITCH(N157,"F",0,"E",10,"D",20,"D+",30,"C",40,"C+",50,"B",60,"B+",70,"A",80,"A+",90,"S",100),_xlfn.SWITCH(O157,"F",0,"E",10,"D",20,"D+",30,"C",40,"C+",50,"B",60,"B+",70,"A",80,"A+",90,"S",100),_xlfn.SWITCH(P157,"F",0,"E",10,"D",20,"D+",30,"C",40,"C+",50,"B",60,"B+",70,"A",80,"A+",90,"S",100)),{0,15,25,35,45,55,65,75,85,95},{"D","D","D+","C","C+","B","B+","A","A+","S"}),"?")</f>
        <v>?</v>
      </c>
      <c r="U157" s="27" t="s">
        <v>909</v>
      </c>
      <c r="V157" s="28" t="s">
        <v>910</v>
      </c>
      <c r="W157" s="29" t="s">
        <v>911</v>
      </c>
      <c r="X157" s="26"/>
      <c r="Y157" s="26"/>
      <c r="Z157" s="26"/>
      <c r="AA157" s="19"/>
      <c r="AB157" s="19"/>
    </row>
    <row r="158" spans="1:30" ht="21">
      <c r="A158" s="5" t="s">
        <v>912</v>
      </c>
      <c r="B158" s="5" t="s">
        <v>913</v>
      </c>
      <c r="C158" s="13"/>
      <c r="D158" s="13"/>
      <c r="E158" s="13"/>
      <c r="F158" s="13"/>
      <c r="G158" s="13"/>
      <c r="H158" s="7"/>
      <c r="I158" s="7"/>
      <c r="K158" s="24" t="s">
        <v>914</v>
      </c>
      <c r="L158" s="25" t="s">
        <v>915</v>
      </c>
      <c r="M158" s="19"/>
      <c r="N158" s="19"/>
      <c r="O158" s="19"/>
      <c r="P158" s="19"/>
      <c r="Q158" s="19" t="str">
        <f>IF(AND(ISNUMBER(MATCH(M158,{"F","E","D","D+","C","C+","B","B+","A","A+","S"},0)),ISNUMBER(MATCH(N158,{"F","E","D","D+","C","C+","B","B+","A","A+","S"},0)),ISNUMBER(MATCH(O158,{"F","E","D","D+","C","C+","B","B+","A","A+","S"},0)),ISNUMBER(MATCH(P158,{"F","E","D","D+","C","C+","B","B+","A","A+","S"},0))),LOOKUP(AVERAGE(_xlfn.SWITCH(M158,"F",0,"E",10,"D",20,"D+",30,"C",40,"C+",50,"B",60,"B+",70,"A",80,"A+",90,"S",100),_xlfn.SWITCH(N158,"F",0,"E",10,"D",20,"D+",30,"C",40,"C+",50,"B",60,"B+",70,"A",80,"A+",90,"S",100),_xlfn.SWITCH(O158,"F",0,"E",10,"D",20,"D+",30,"C",40,"C+",50,"B",60,"B+",70,"A",80,"A+",90,"S",100),_xlfn.SWITCH(P158,"F",0,"E",10,"D",20,"D+",30,"C",40,"C+",50,"B",60,"B+",70,"A",80,"A+",90,"S",100)),{0,15,25,35,45,55,65,75,85,95},{"D","D","D+","C","C+","B","B+","A","A+","S"}),"?")</f>
        <v>?</v>
      </c>
      <c r="U158" s="27" t="s">
        <v>916</v>
      </c>
      <c r="V158" s="28" t="s">
        <v>917</v>
      </c>
      <c r="W158" s="29" t="s">
        <v>918</v>
      </c>
      <c r="X158" s="26"/>
      <c r="Y158" s="26"/>
      <c r="Z158" s="26"/>
      <c r="AA158" s="19"/>
      <c r="AB158" s="19"/>
    </row>
    <row r="159" spans="1:30" ht="21">
      <c r="A159" s="5" t="s">
        <v>919</v>
      </c>
      <c r="B159" s="5" t="s">
        <v>920</v>
      </c>
      <c r="C159" s="13"/>
      <c r="D159" s="13"/>
      <c r="E159" s="13"/>
      <c r="F159" s="13"/>
      <c r="G159" s="13"/>
      <c r="H159" s="7"/>
      <c r="I159" s="7"/>
      <c r="K159" s="24" t="s">
        <v>515</v>
      </c>
      <c r="L159" s="25" t="s">
        <v>516</v>
      </c>
      <c r="M159" s="19"/>
      <c r="N159" s="19"/>
      <c r="O159" s="19"/>
      <c r="P159" s="19"/>
      <c r="Q159" s="19" t="str">
        <f>IF(AND(ISNUMBER(MATCH(M159,{"F","E","D","D+","C","C+","B","B+","A","A+","S"},0)),ISNUMBER(MATCH(N159,{"F","E","D","D+","C","C+","B","B+","A","A+","S"},0)),ISNUMBER(MATCH(O159,{"F","E","D","D+","C","C+","B","B+","A","A+","S"},0)),ISNUMBER(MATCH(P159,{"F","E","D","D+","C","C+","B","B+","A","A+","S"},0))),LOOKUP(AVERAGE(_xlfn.SWITCH(M159,"F",0,"E",10,"D",20,"D+",30,"C",40,"C+",50,"B",60,"B+",70,"A",80,"A+",90,"S",100),_xlfn.SWITCH(N159,"F",0,"E",10,"D",20,"D+",30,"C",40,"C+",50,"B",60,"B+",70,"A",80,"A+",90,"S",100),_xlfn.SWITCH(O159,"F",0,"E",10,"D",20,"D+",30,"C",40,"C+",50,"B",60,"B+",70,"A",80,"A+",90,"S",100),_xlfn.SWITCH(P159,"F",0,"E",10,"D",20,"D+",30,"C",40,"C+",50,"B",60,"B+",70,"A",80,"A+",90,"S",100)),{0,15,25,35,45,55,65,75,85,95},{"D","D","D+","C","C+","B","B+","A","A+","S"}),"?")</f>
        <v>?</v>
      </c>
      <c r="U159" s="27" t="s">
        <v>921</v>
      </c>
      <c r="V159" s="28" t="s">
        <v>922</v>
      </c>
      <c r="W159" s="29" t="s">
        <v>923</v>
      </c>
      <c r="X159" s="26"/>
      <c r="Y159" s="26"/>
      <c r="Z159" s="26"/>
      <c r="AA159" s="19"/>
      <c r="AB159" s="19"/>
    </row>
    <row r="160" spans="1:30" ht="21">
      <c r="A160" s="5" t="s">
        <v>924</v>
      </c>
      <c r="B160" s="5" t="s">
        <v>925</v>
      </c>
      <c r="C160" s="13"/>
      <c r="D160" s="13"/>
      <c r="E160" s="13"/>
      <c r="F160" s="13"/>
      <c r="G160" s="13"/>
      <c r="H160" s="7"/>
      <c r="I160" s="7"/>
      <c r="K160" s="24" t="s">
        <v>679</v>
      </c>
      <c r="L160" s="25" t="s">
        <v>680</v>
      </c>
      <c r="M160" s="19"/>
      <c r="N160" s="19"/>
      <c r="O160" s="19"/>
      <c r="P160" s="19"/>
      <c r="Q160" s="19" t="str">
        <f>IF(AND(ISNUMBER(MATCH(M160,{"F","E","D","D+","C","C+","B","B+","A","A+","S"},0)),ISNUMBER(MATCH(N160,{"F","E","D","D+","C","C+","B","B+","A","A+","S"},0)),ISNUMBER(MATCH(O160,{"F","E","D","D+","C","C+","B","B+","A","A+","S"},0)),ISNUMBER(MATCH(P160,{"F","E","D","D+","C","C+","B","B+","A","A+","S"},0))),LOOKUP(AVERAGE(_xlfn.SWITCH(M160,"F",0,"E",10,"D",20,"D+",30,"C",40,"C+",50,"B",60,"B+",70,"A",80,"A+",90,"S",100),_xlfn.SWITCH(N160,"F",0,"E",10,"D",20,"D+",30,"C",40,"C+",50,"B",60,"B+",70,"A",80,"A+",90,"S",100),_xlfn.SWITCH(O160,"F",0,"E",10,"D",20,"D+",30,"C",40,"C+",50,"B",60,"B+",70,"A",80,"A+",90,"S",100),_xlfn.SWITCH(P160,"F",0,"E",10,"D",20,"D+",30,"C",40,"C+",50,"B",60,"B+",70,"A",80,"A+",90,"S",100)),{0,15,25,35,45,55,65,75,85,95},{"D","D","D+","C","C+","B","B+","A","A+","S"}),"?")</f>
        <v>?</v>
      </c>
      <c r="U160" s="27" t="s">
        <v>926</v>
      </c>
      <c r="V160" s="28" t="s">
        <v>927</v>
      </c>
      <c r="W160" s="29" t="s">
        <v>928</v>
      </c>
      <c r="X160" s="26"/>
      <c r="Y160" s="26"/>
      <c r="Z160" s="26"/>
      <c r="AA160" s="19"/>
      <c r="AB160" s="19"/>
    </row>
    <row r="161" spans="1:28" ht="21">
      <c r="A161" s="5" t="s">
        <v>929</v>
      </c>
      <c r="B161" s="5" t="s">
        <v>930</v>
      </c>
      <c r="C161" s="13"/>
      <c r="D161" s="13"/>
      <c r="E161" s="13"/>
      <c r="F161" s="13"/>
      <c r="G161" s="13"/>
      <c r="H161" s="7"/>
      <c r="I161" s="7"/>
      <c r="K161" s="24" t="s">
        <v>611</v>
      </c>
      <c r="L161" s="25" t="s">
        <v>612</v>
      </c>
      <c r="M161" s="19"/>
      <c r="N161" s="19"/>
      <c r="O161" s="19"/>
      <c r="P161" s="19"/>
      <c r="Q161" s="19" t="str">
        <f>IF(AND(ISNUMBER(MATCH(M161,{"F","E","D","D+","C","C+","B","B+","A","A+","S"},0)),ISNUMBER(MATCH(N161,{"F","E","D","D+","C","C+","B","B+","A","A+","S"},0)),ISNUMBER(MATCH(O161,{"F","E","D","D+","C","C+","B","B+","A","A+","S"},0)),ISNUMBER(MATCH(P161,{"F","E","D","D+","C","C+","B","B+","A","A+","S"},0))),LOOKUP(AVERAGE(_xlfn.SWITCH(M161,"F",0,"E",10,"D",20,"D+",30,"C",40,"C+",50,"B",60,"B+",70,"A",80,"A+",90,"S",100),_xlfn.SWITCH(N161,"F",0,"E",10,"D",20,"D+",30,"C",40,"C+",50,"B",60,"B+",70,"A",80,"A+",90,"S",100),_xlfn.SWITCH(O161,"F",0,"E",10,"D",20,"D+",30,"C",40,"C+",50,"B",60,"B+",70,"A",80,"A+",90,"S",100),_xlfn.SWITCH(P161,"F",0,"E",10,"D",20,"D+",30,"C",40,"C+",50,"B",60,"B+",70,"A",80,"A+",90,"S",100)),{0,15,25,35,45,55,65,75,85,95},{"D","D","D+","C","C+","B","B+","A","A+","S"}),"?")</f>
        <v>?</v>
      </c>
      <c r="U161" s="27" t="s">
        <v>931</v>
      </c>
      <c r="V161" s="28" t="s">
        <v>932</v>
      </c>
      <c r="W161" s="29" t="s">
        <v>933</v>
      </c>
      <c r="X161" s="26"/>
      <c r="Y161" s="26"/>
      <c r="Z161" s="26"/>
      <c r="AA161" s="19"/>
      <c r="AB161" s="19"/>
    </row>
    <row r="162" spans="1:28" ht="21">
      <c r="A162" s="5" t="s">
        <v>934</v>
      </c>
      <c r="B162" s="5" t="s">
        <v>522</v>
      </c>
      <c r="C162" s="13"/>
      <c r="D162" s="13"/>
      <c r="E162" s="13"/>
      <c r="F162" s="13"/>
      <c r="G162" s="13"/>
      <c r="H162" s="7"/>
      <c r="I162" s="7"/>
      <c r="K162" s="24" t="s">
        <v>713</v>
      </c>
      <c r="L162" s="25" t="s">
        <v>714</v>
      </c>
      <c r="M162" s="19"/>
      <c r="N162" s="19"/>
      <c r="O162" s="19"/>
      <c r="P162" s="19"/>
      <c r="Q162" s="19" t="str">
        <f>IF(AND(ISNUMBER(MATCH(M162,{"F","E","D","D+","C","C+","B","B+","A","A+","S"},0)),ISNUMBER(MATCH(N162,{"F","E","D","D+","C","C+","B","B+","A","A+","S"},0)),ISNUMBER(MATCH(O162,{"F","E","D","D+","C","C+","B","B+","A","A+","S"},0)),ISNUMBER(MATCH(P162,{"F","E","D","D+","C","C+","B","B+","A","A+","S"},0))),LOOKUP(AVERAGE(_xlfn.SWITCH(M162,"F",0,"E",10,"D",20,"D+",30,"C",40,"C+",50,"B",60,"B+",70,"A",80,"A+",90,"S",100),_xlfn.SWITCH(N162,"F",0,"E",10,"D",20,"D+",30,"C",40,"C+",50,"B",60,"B+",70,"A",80,"A+",90,"S",100),_xlfn.SWITCH(O162,"F",0,"E",10,"D",20,"D+",30,"C",40,"C+",50,"B",60,"B+",70,"A",80,"A+",90,"S",100),_xlfn.SWITCH(P162,"F",0,"E",10,"D",20,"D+",30,"C",40,"C+",50,"B",60,"B+",70,"A",80,"A+",90,"S",100)),{0,15,25,35,45,55,65,75,85,95},{"D","D","D+","C","C+","B","B+","A","A+","S"}),"?")</f>
        <v>?</v>
      </c>
      <c r="U162" s="27" t="s">
        <v>935</v>
      </c>
      <c r="V162" s="28" t="s">
        <v>936</v>
      </c>
      <c r="W162" s="29" t="s">
        <v>33</v>
      </c>
      <c r="X162" s="26"/>
      <c r="Y162" s="26"/>
      <c r="Z162" s="26"/>
      <c r="AA162" s="19"/>
      <c r="AB162" s="19"/>
    </row>
    <row r="163" spans="1:28" ht="21">
      <c r="A163" s="5" t="s">
        <v>937</v>
      </c>
      <c r="B163" s="5" t="s">
        <v>547</v>
      </c>
      <c r="C163" s="13"/>
      <c r="D163" s="13"/>
      <c r="E163" s="13"/>
      <c r="F163" s="13"/>
      <c r="G163" s="13"/>
      <c r="H163" s="7"/>
      <c r="I163" s="7"/>
      <c r="K163" s="24" t="s">
        <v>938</v>
      </c>
      <c r="L163" s="25" t="s">
        <v>939</v>
      </c>
      <c r="M163" s="19"/>
      <c r="N163" s="19"/>
      <c r="O163" s="19"/>
      <c r="P163" s="19"/>
      <c r="Q163" s="19" t="str">
        <f>IF(AND(ISNUMBER(MATCH(M163,{"F","E","D","D+","C","C+","B","B+","A","A+","S"},0)),ISNUMBER(MATCH(N163,{"F","E","D","D+","C","C+","B","B+","A","A+","S"},0)),ISNUMBER(MATCH(O163,{"F","E","D","D+","C","C+","B","B+","A","A+","S"},0)),ISNUMBER(MATCH(P163,{"F","E","D","D+","C","C+","B","B+","A","A+","S"},0))),LOOKUP(AVERAGE(_xlfn.SWITCH(M163,"F",0,"E",10,"D",20,"D+",30,"C",40,"C+",50,"B",60,"B+",70,"A",80,"A+",90,"S",100),_xlfn.SWITCH(N163,"F",0,"E",10,"D",20,"D+",30,"C",40,"C+",50,"B",60,"B+",70,"A",80,"A+",90,"S",100),_xlfn.SWITCH(O163,"F",0,"E",10,"D",20,"D+",30,"C",40,"C+",50,"B",60,"B+",70,"A",80,"A+",90,"S",100),_xlfn.SWITCH(P163,"F",0,"E",10,"D",20,"D+",30,"C",40,"C+",50,"B",60,"B+",70,"A",80,"A+",90,"S",100)),{0,15,25,35,45,55,65,75,85,95},{"D","D","D+","C","C+","B","B+","A","A+","S"}),"?")</f>
        <v>?</v>
      </c>
      <c r="U163" s="27" t="s">
        <v>940</v>
      </c>
      <c r="V163" s="28" t="s">
        <v>941</v>
      </c>
      <c r="W163" s="29" t="s">
        <v>942</v>
      </c>
      <c r="X163" s="26"/>
      <c r="Y163" s="26"/>
      <c r="Z163" s="26"/>
      <c r="AA163" s="19"/>
      <c r="AB163" s="19"/>
    </row>
    <row r="164" spans="1:28" ht="21">
      <c r="A164" s="5" t="s">
        <v>943</v>
      </c>
      <c r="B164" s="5" t="s">
        <v>944</v>
      </c>
      <c r="C164" s="13"/>
      <c r="D164" s="13"/>
      <c r="E164" s="13"/>
      <c r="F164" s="13"/>
      <c r="G164" s="13"/>
      <c r="H164" s="7"/>
      <c r="I164" s="7"/>
      <c r="K164" s="24" t="s">
        <v>945</v>
      </c>
      <c r="L164" s="25" t="s">
        <v>946</v>
      </c>
      <c r="M164" s="19"/>
      <c r="N164" s="19"/>
      <c r="O164" s="19"/>
      <c r="P164" s="19"/>
      <c r="Q164" s="19" t="str">
        <f>IF(AND(ISNUMBER(MATCH(M164,{"F","E","D","D+","C","C+","B","B+","A","A+","S"},0)),ISNUMBER(MATCH(N164,{"F","E","D","D+","C","C+","B","B+","A","A+","S"},0)),ISNUMBER(MATCH(O164,{"F","E","D","D+","C","C+","B","B+","A","A+","S"},0)),ISNUMBER(MATCH(P164,{"F","E","D","D+","C","C+","B","B+","A","A+","S"},0))),LOOKUP(AVERAGE(_xlfn.SWITCH(M164,"F",0,"E",10,"D",20,"D+",30,"C",40,"C+",50,"B",60,"B+",70,"A",80,"A+",90,"S",100),_xlfn.SWITCH(N164,"F",0,"E",10,"D",20,"D+",30,"C",40,"C+",50,"B",60,"B+",70,"A",80,"A+",90,"S",100),_xlfn.SWITCH(O164,"F",0,"E",10,"D",20,"D+",30,"C",40,"C+",50,"B",60,"B+",70,"A",80,"A+",90,"S",100),_xlfn.SWITCH(P164,"F",0,"E",10,"D",20,"D+",30,"C",40,"C+",50,"B",60,"B+",70,"A",80,"A+",90,"S",100)),{0,15,25,35,45,55,65,75,85,95},{"D","D","D+","C","C+","B","B+","A","A+","S"}),"?")</f>
        <v>?</v>
      </c>
      <c r="U164" s="27" t="s">
        <v>947</v>
      </c>
      <c r="V164" s="28" t="s">
        <v>948</v>
      </c>
      <c r="W164" s="29" t="s">
        <v>949</v>
      </c>
      <c r="X164" s="26"/>
      <c r="Y164" s="26"/>
      <c r="Z164" s="26"/>
      <c r="AA164" s="19"/>
      <c r="AB164" s="19"/>
    </row>
    <row r="165" spans="1:28" ht="21">
      <c r="A165" s="5" t="s">
        <v>950</v>
      </c>
      <c r="B165" s="5" t="s">
        <v>951</v>
      </c>
      <c r="C165" s="13"/>
      <c r="D165" s="13"/>
      <c r="E165" s="13"/>
      <c r="F165" s="13"/>
      <c r="G165" s="13"/>
      <c r="H165" s="7"/>
      <c r="I165" s="7"/>
      <c r="K165" s="24" t="s">
        <v>952</v>
      </c>
      <c r="L165" s="25" t="s">
        <v>953</v>
      </c>
      <c r="M165" s="19"/>
      <c r="N165" s="19"/>
      <c r="O165" s="19"/>
      <c r="P165" s="19"/>
      <c r="Q165" s="19" t="str">
        <f>IF(AND(ISNUMBER(MATCH(M165,{"F","E","D","D+","C","C+","B","B+","A","A+","S"},0)),ISNUMBER(MATCH(N165,{"F","E","D","D+","C","C+","B","B+","A","A+","S"},0)),ISNUMBER(MATCH(O165,{"F","E","D","D+","C","C+","B","B+","A","A+","S"},0)),ISNUMBER(MATCH(P165,{"F","E","D","D+","C","C+","B","B+","A","A+","S"},0))),LOOKUP(AVERAGE(_xlfn.SWITCH(M165,"F",0,"E",10,"D",20,"D+",30,"C",40,"C+",50,"B",60,"B+",70,"A",80,"A+",90,"S",100),_xlfn.SWITCH(N165,"F",0,"E",10,"D",20,"D+",30,"C",40,"C+",50,"B",60,"B+",70,"A",80,"A+",90,"S",100),_xlfn.SWITCH(O165,"F",0,"E",10,"D",20,"D+",30,"C",40,"C+",50,"B",60,"B+",70,"A",80,"A+",90,"S",100),_xlfn.SWITCH(P165,"F",0,"E",10,"D",20,"D+",30,"C",40,"C+",50,"B",60,"B+",70,"A",80,"A+",90,"S",100)),{0,15,25,35,45,55,65,75,85,95},{"D","D","D+","C","C+","B","B+","A","A+","S"}),"?")</f>
        <v>?</v>
      </c>
      <c r="U165" s="27" t="s">
        <v>954</v>
      </c>
      <c r="V165" s="28" t="s">
        <v>955</v>
      </c>
      <c r="W165" s="29" t="s">
        <v>956</v>
      </c>
      <c r="X165" s="26"/>
      <c r="Y165" s="26"/>
      <c r="Z165" s="26"/>
      <c r="AA165" s="19"/>
      <c r="AB165" s="19"/>
    </row>
    <row r="166" spans="1:28" ht="21">
      <c r="A166" s="5" t="s">
        <v>957</v>
      </c>
      <c r="B166" s="5" t="s">
        <v>958</v>
      </c>
      <c r="C166" s="13"/>
      <c r="D166" s="13"/>
      <c r="E166" s="13"/>
      <c r="F166" s="13"/>
      <c r="G166" s="13"/>
      <c r="H166" s="7"/>
      <c r="I166" s="7"/>
      <c r="K166" s="24" t="s">
        <v>959</v>
      </c>
      <c r="L166" s="25" t="s">
        <v>960</v>
      </c>
      <c r="M166" s="19"/>
      <c r="N166" s="19"/>
      <c r="O166" s="19"/>
      <c r="P166" s="19"/>
      <c r="Q166" s="19" t="str">
        <f>IF(AND(ISNUMBER(MATCH(M166,{"F","E","D","D+","C","C+","B","B+","A","A+","S"},0)),ISNUMBER(MATCH(N166,{"F","E","D","D+","C","C+","B","B+","A","A+","S"},0)),ISNUMBER(MATCH(O166,{"F","E","D","D+","C","C+","B","B+","A","A+","S"},0)),ISNUMBER(MATCH(P166,{"F","E","D","D+","C","C+","B","B+","A","A+","S"},0))),LOOKUP(AVERAGE(_xlfn.SWITCH(M166,"F",0,"E",10,"D",20,"D+",30,"C",40,"C+",50,"B",60,"B+",70,"A",80,"A+",90,"S",100),_xlfn.SWITCH(N166,"F",0,"E",10,"D",20,"D+",30,"C",40,"C+",50,"B",60,"B+",70,"A",80,"A+",90,"S",100),_xlfn.SWITCH(O166,"F",0,"E",10,"D",20,"D+",30,"C",40,"C+",50,"B",60,"B+",70,"A",80,"A+",90,"S",100),_xlfn.SWITCH(P166,"F",0,"E",10,"D",20,"D+",30,"C",40,"C+",50,"B",60,"B+",70,"A",80,"A+",90,"S",100)),{0,15,25,35,45,55,65,75,85,95},{"D","D","D+","C","C+","B","B+","A","A+","S"}),"?")</f>
        <v>?</v>
      </c>
      <c r="U166" s="27" t="s">
        <v>961</v>
      </c>
      <c r="V166" s="28" t="s">
        <v>962</v>
      </c>
      <c r="W166" s="29" t="s">
        <v>963</v>
      </c>
      <c r="X166" s="26"/>
      <c r="Y166" s="26"/>
      <c r="Z166" s="26"/>
      <c r="AA166" s="19"/>
      <c r="AB166" s="19"/>
    </row>
    <row r="167" spans="1:28" ht="21">
      <c r="A167" s="5" t="s">
        <v>964</v>
      </c>
      <c r="B167" s="5" t="s">
        <v>965</v>
      </c>
      <c r="C167" s="13"/>
      <c r="D167" s="13"/>
      <c r="E167" s="13"/>
      <c r="F167" s="13"/>
      <c r="G167" s="13"/>
      <c r="H167" s="7"/>
      <c r="I167" s="7"/>
      <c r="K167" s="24" t="s">
        <v>966</v>
      </c>
      <c r="L167" s="33" t="s">
        <v>967</v>
      </c>
      <c r="M167" s="19"/>
      <c r="N167" s="19"/>
      <c r="O167" s="19"/>
      <c r="P167" s="19"/>
      <c r="Q167" s="19" t="str">
        <f>IF(AND(ISNUMBER(MATCH(M167,{"F","E","D","D+","C","C+","B","B+","A","A+","S"},0)),ISNUMBER(MATCH(N167,{"F","E","D","D+","C","C+","B","B+","A","A+","S"},0)),ISNUMBER(MATCH(O167,{"F","E","D","D+","C","C+","B","B+","A","A+","S"},0)),ISNUMBER(MATCH(P167,{"F","E","D","D+","C","C+","B","B+","A","A+","S"},0))),LOOKUP(AVERAGE(_xlfn.SWITCH(M167,"F",0,"E",10,"D",20,"D+",30,"C",40,"C+",50,"B",60,"B+",70,"A",80,"A+",90,"S",100),_xlfn.SWITCH(N167,"F",0,"E",10,"D",20,"D+",30,"C",40,"C+",50,"B",60,"B+",70,"A",80,"A+",90,"S",100),_xlfn.SWITCH(O167,"F",0,"E",10,"D",20,"D+",30,"C",40,"C+",50,"B",60,"B+",70,"A",80,"A+",90,"S",100),_xlfn.SWITCH(P167,"F",0,"E",10,"D",20,"D+",30,"C",40,"C+",50,"B",60,"B+",70,"A",80,"A+",90,"S",100)),{0,15,25,35,45,55,65,75,85,95},{"D","D","D+","C","C+","B","B+","A","A+","S"}),"?")</f>
        <v>?</v>
      </c>
      <c r="U167" s="27" t="s">
        <v>968</v>
      </c>
      <c r="V167" s="28" t="s">
        <v>969</v>
      </c>
      <c r="W167" s="29" t="s">
        <v>970</v>
      </c>
      <c r="X167" s="26"/>
      <c r="Y167" s="26"/>
      <c r="Z167" s="26"/>
      <c r="AA167" s="19"/>
      <c r="AB167" s="19"/>
    </row>
    <row r="168" spans="1:28" ht="21">
      <c r="A168" s="5" t="s">
        <v>971</v>
      </c>
      <c r="B168" s="23" t="s">
        <v>972</v>
      </c>
      <c r="C168" s="13"/>
      <c r="D168" s="13"/>
      <c r="E168" s="13"/>
      <c r="F168" s="13"/>
      <c r="G168" s="13"/>
      <c r="H168" s="7"/>
      <c r="I168" s="7"/>
      <c r="K168" s="24" t="s">
        <v>649</v>
      </c>
      <c r="L168" s="25" t="s">
        <v>650</v>
      </c>
      <c r="M168" s="19"/>
      <c r="N168" s="19"/>
      <c r="O168" s="19"/>
      <c r="P168" s="19"/>
      <c r="Q168" s="19" t="str">
        <f>IF(AND(ISNUMBER(MATCH(M168,{"F","E","D","D+","C","C+","B","B+","A","A+","S"},0)),ISNUMBER(MATCH(N168,{"F","E","D","D+","C","C+","B","B+","A","A+","S"},0)),ISNUMBER(MATCH(O168,{"F","E","D","D+","C","C+","B","B+","A","A+","S"},0)),ISNUMBER(MATCH(P168,{"F","E","D","D+","C","C+","B","B+","A","A+","S"},0))),LOOKUP(AVERAGE(_xlfn.SWITCH(M168,"F",0,"E",10,"D",20,"D+",30,"C",40,"C+",50,"B",60,"B+",70,"A",80,"A+",90,"S",100),_xlfn.SWITCH(N168,"F",0,"E",10,"D",20,"D+",30,"C",40,"C+",50,"B",60,"B+",70,"A",80,"A+",90,"S",100),_xlfn.SWITCH(O168,"F",0,"E",10,"D",20,"D+",30,"C",40,"C+",50,"B",60,"B+",70,"A",80,"A+",90,"S",100),_xlfn.SWITCH(P168,"F",0,"E",10,"D",20,"D+",30,"C",40,"C+",50,"B",60,"B+",70,"A",80,"A+",90,"S",100)),{0,15,25,35,45,55,65,75,85,95},{"D","D","D+","C","C+","B","B+","A","A+","S"}),"?")</f>
        <v>?</v>
      </c>
      <c r="U168" s="27" t="s">
        <v>973</v>
      </c>
      <c r="V168" s="28" t="s">
        <v>974</v>
      </c>
      <c r="W168" s="29" t="s">
        <v>975</v>
      </c>
      <c r="X168" s="26"/>
      <c r="Y168" s="26"/>
      <c r="Z168" s="26"/>
      <c r="AA168" s="19"/>
      <c r="AB168" s="19"/>
    </row>
    <row r="169" spans="1:28" ht="21">
      <c r="A169" s="5" t="s">
        <v>976</v>
      </c>
      <c r="B169" s="5" t="s">
        <v>977</v>
      </c>
      <c r="C169" s="13"/>
      <c r="D169" s="13"/>
      <c r="E169" s="13"/>
      <c r="F169" s="13"/>
      <c r="G169" s="13"/>
      <c r="H169" s="7"/>
      <c r="I169" s="7"/>
      <c r="K169" s="24" t="s">
        <v>631</v>
      </c>
      <c r="L169" s="25" t="s">
        <v>632</v>
      </c>
      <c r="M169" s="19"/>
      <c r="N169" s="19"/>
      <c r="O169" s="19"/>
      <c r="P169" s="19"/>
      <c r="Q169" s="19" t="str">
        <f>IF(AND(ISNUMBER(MATCH(M169,{"F","E","D","D+","C","C+","B","B+","A","A+","S"},0)),ISNUMBER(MATCH(N169,{"F","E","D","D+","C","C+","B","B+","A","A+","S"},0)),ISNUMBER(MATCH(O169,{"F","E","D","D+","C","C+","B","B+","A","A+","S"},0)),ISNUMBER(MATCH(P169,{"F","E","D","D+","C","C+","B","B+","A","A+","S"},0))),LOOKUP(AVERAGE(_xlfn.SWITCH(M169,"F",0,"E",10,"D",20,"D+",30,"C",40,"C+",50,"B",60,"B+",70,"A",80,"A+",90,"S",100),_xlfn.SWITCH(N169,"F",0,"E",10,"D",20,"D+",30,"C",40,"C+",50,"B",60,"B+",70,"A",80,"A+",90,"S",100),_xlfn.SWITCH(O169,"F",0,"E",10,"D",20,"D+",30,"C",40,"C+",50,"B",60,"B+",70,"A",80,"A+",90,"S",100),_xlfn.SWITCH(P169,"F",0,"E",10,"D",20,"D+",30,"C",40,"C+",50,"B",60,"B+",70,"A",80,"A+",90,"S",100)),{0,15,25,35,45,55,65,75,85,95},{"D","D","D+","C","C+","B","B+","A","A+","S"}),"?")</f>
        <v>?</v>
      </c>
      <c r="U169" s="27" t="s">
        <v>978</v>
      </c>
      <c r="V169" s="28" t="s">
        <v>979</v>
      </c>
      <c r="W169" s="29" t="s">
        <v>980</v>
      </c>
      <c r="X169" s="26"/>
      <c r="Y169" s="26"/>
      <c r="Z169" s="26"/>
      <c r="AA169" s="19"/>
      <c r="AB169" s="19"/>
    </row>
    <row r="170" spans="1:28" ht="21">
      <c r="A170" s="5" t="s">
        <v>981</v>
      </c>
      <c r="B170" s="23" t="s">
        <v>624</v>
      </c>
      <c r="C170" s="13"/>
      <c r="D170" s="13"/>
      <c r="E170" s="13"/>
      <c r="F170" s="13"/>
      <c r="G170" s="13"/>
      <c r="H170" s="7"/>
      <c r="I170" s="7"/>
      <c r="K170" s="24" t="s">
        <v>982</v>
      </c>
      <c r="L170" s="25" t="s">
        <v>983</v>
      </c>
      <c r="M170" s="19"/>
      <c r="N170" s="19"/>
      <c r="O170" s="19"/>
      <c r="P170" s="19"/>
      <c r="Q170" s="19" t="str">
        <f>IF(AND(ISNUMBER(MATCH(M170,{"F","E","D","D+","C","C+","B","B+","A","A+","S"},0)),ISNUMBER(MATCH(N170,{"F","E","D","D+","C","C+","B","B+","A","A+","S"},0)),ISNUMBER(MATCH(O170,{"F","E","D","D+","C","C+","B","B+","A","A+","S"},0)),ISNUMBER(MATCH(P170,{"F","E","D","D+","C","C+","B","B+","A","A+","S"},0))),LOOKUP(AVERAGE(_xlfn.SWITCH(M170,"F",0,"E",10,"D",20,"D+",30,"C",40,"C+",50,"B",60,"B+",70,"A",80,"A+",90,"S",100),_xlfn.SWITCH(N170,"F",0,"E",10,"D",20,"D+",30,"C",40,"C+",50,"B",60,"B+",70,"A",80,"A+",90,"S",100),_xlfn.SWITCH(O170,"F",0,"E",10,"D",20,"D+",30,"C",40,"C+",50,"B",60,"B+",70,"A",80,"A+",90,"S",100),_xlfn.SWITCH(P170,"F",0,"E",10,"D",20,"D+",30,"C",40,"C+",50,"B",60,"B+",70,"A",80,"A+",90,"S",100)),{0,15,25,35,45,55,65,75,85,95},{"D","D","D+","C","C+","B","B+","A","A+","S"}),"?")</f>
        <v>?</v>
      </c>
      <c r="U170" s="27" t="s">
        <v>984</v>
      </c>
      <c r="V170" s="28" t="s">
        <v>985</v>
      </c>
      <c r="W170" s="29" t="s">
        <v>151</v>
      </c>
      <c r="X170" s="26"/>
      <c r="Y170" s="26"/>
      <c r="Z170" s="26"/>
      <c r="AA170" s="19"/>
      <c r="AB170" s="19"/>
    </row>
    <row r="171" spans="1:28" ht="21">
      <c r="A171" s="5" t="s">
        <v>986</v>
      </c>
      <c r="B171" s="23" t="s">
        <v>657</v>
      </c>
      <c r="C171" s="13"/>
      <c r="D171" s="13"/>
      <c r="E171" s="13"/>
      <c r="F171" s="13"/>
      <c r="G171" s="13"/>
      <c r="H171" s="7"/>
      <c r="I171" s="7"/>
      <c r="K171" s="24" t="s">
        <v>765</v>
      </c>
      <c r="L171" s="25" t="s">
        <v>766</v>
      </c>
      <c r="M171" s="19"/>
      <c r="N171" s="19"/>
      <c r="O171" s="19"/>
      <c r="P171" s="19"/>
      <c r="Q171" s="19" t="str">
        <f>IF(AND(ISNUMBER(MATCH(M171,{"F","E","D","D+","C","C+","B","B+","A","A+","S"},0)),ISNUMBER(MATCH(N171,{"F","E","D","D+","C","C+","B","B+","A","A+","S"},0)),ISNUMBER(MATCH(O171,{"F","E","D","D+","C","C+","B","B+","A","A+","S"},0)),ISNUMBER(MATCH(P171,{"F","E","D","D+","C","C+","B","B+","A","A+","S"},0))),LOOKUP(AVERAGE(_xlfn.SWITCH(M171,"F",0,"E",10,"D",20,"D+",30,"C",40,"C+",50,"B",60,"B+",70,"A",80,"A+",90,"S",100),_xlfn.SWITCH(N171,"F",0,"E",10,"D",20,"D+",30,"C",40,"C+",50,"B",60,"B+",70,"A",80,"A+",90,"S",100),_xlfn.SWITCH(O171,"F",0,"E",10,"D",20,"D+",30,"C",40,"C+",50,"B",60,"B+",70,"A",80,"A+",90,"S",100),_xlfn.SWITCH(P171,"F",0,"E",10,"D",20,"D+",30,"C",40,"C+",50,"B",60,"B+",70,"A",80,"A+",90,"S",100)),{0,15,25,35,45,55,65,75,85,95},{"D","D","D+","C","C+","B","B+","A","A+","S"}),"?")</f>
        <v>?</v>
      </c>
      <c r="U171" s="27" t="s">
        <v>987</v>
      </c>
      <c r="V171" s="28" t="s">
        <v>988</v>
      </c>
      <c r="W171" s="29" t="s">
        <v>989</v>
      </c>
      <c r="X171" s="26"/>
      <c r="Y171" s="26"/>
      <c r="Z171" s="26"/>
      <c r="AA171" s="19"/>
      <c r="AB171" s="19"/>
    </row>
    <row r="172" spans="1:28" ht="21">
      <c r="A172" s="5" t="s">
        <v>990</v>
      </c>
      <c r="B172" s="23" t="s">
        <v>836</v>
      </c>
      <c r="C172" s="13"/>
      <c r="D172" s="13"/>
      <c r="E172" s="13"/>
      <c r="F172" s="13"/>
      <c r="G172" s="13"/>
      <c r="H172" s="7"/>
      <c r="I172" s="7"/>
      <c r="K172" s="24" t="s">
        <v>991</v>
      </c>
      <c r="L172" s="25" t="s">
        <v>992</v>
      </c>
      <c r="M172" s="19"/>
      <c r="N172" s="19"/>
      <c r="O172" s="19"/>
      <c r="P172" s="19"/>
      <c r="Q172" s="19" t="str">
        <f>IF(AND(ISNUMBER(MATCH(M172,{"F","E","D","D+","C","C+","B","B+","A","A+","S"},0)),ISNUMBER(MATCH(N172,{"F","E","D","D+","C","C+","B","B+","A","A+","S"},0)),ISNUMBER(MATCH(O172,{"F","E","D","D+","C","C+","B","B+","A","A+","S"},0)),ISNUMBER(MATCH(P172,{"F","E","D","D+","C","C+","B","B+","A","A+","S"},0))),LOOKUP(AVERAGE(_xlfn.SWITCH(M172,"F",0,"E",10,"D",20,"D+",30,"C",40,"C+",50,"B",60,"B+",70,"A",80,"A+",90,"S",100),_xlfn.SWITCH(N172,"F",0,"E",10,"D",20,"D+",30,"C",40,"C+",50,"B",60,"B+",70,"A",80,"A+",90,"S",100),_xlfn.SWITCH(O172,"F",0,"E",10,"D",20,"D+",30,"C",40,"C+",50,"B",60,"B+",70,"A",80,"A+",90,"S",100),_xlfn.SWITCH(P172,"F",0,"E",10,"D",20,"D+",30,"C",40,"C+",50,"B",60,"B+",70,"A",80,"A+",90,"S",100)),{0,15,25,35,45,55,65,75,85,95},{"D","D","D+","C","C+","B","B+","A","A+","S"}),"?")</f>
        <v>?</v>
      </c>
      <c r="U172" s="27" t="s">
        <v>993</v>
      </c>
      <c r="V172" s="28" t="s">
        <v>994</v>
      </c>
      <c r="W172" s="29" t="s">
        <v>995</v>
      </c>
      <c r="X172" s="26"/>
      <c r="Y172" s="26"/>
      <c r="Z172" s="26"/>
      <c r="AA172" s="19"/>
      <c r="AB172" s="19"/>
    </row>
    <row r="173" spans="1:28" ht="21">
      <c r="A173" s="5" t="s">
        <v>996</v>
      </c>
      <c r="B173" s="5" t="s">
        <v>806</v>
      </c>
      <c r="C173" s="13"/>
      <c r="D173" s="13"/>
      <c r="E173" s="13"/>
      <c r="F173" s="13"/>
      <c r="G173" s="13"/>
      <c r="H173" s="7"/>
      <c r="I173" s="7"/>
      <c r="K173" s="24" t="s">
        <v>997</v>
      </c>
      <c r="L173" s="25" t="s">
        <v>998</v>
      </c>
      <c r="M173" s="19"/>
      <c r="N173" s="19"/>
      <c r="O173" s="19"/>
      <c r="P173" s="19"/>
      <c r="Q173" s="19" t="str">
        <f>IF(AND(ISNUMBER(MATCH(M173,{"F","E","D","D+","C","C+","B","B+","A","A+","S"},0)),ISNUMBER(MATCH(N173,{"F","E","D","D+","C","C+","B","B+","A","A+","S"},0)),ISNUMBER(MATCH(O173,{"F","E","D","D+","C","C+","B","B+","A","A+","S"},0)),ISNUMBER(MATCH(P173,{"F","E","D","D+","C","C+","B","B+","A","A+","S"},0))),LOOKUP(AVERAGE(_xlfn.SWITCH(M173,"F",0,"E",10,"D",20,"D+",30,"C",40,"C+",50,"B",60,"B+",70,"A",80,"A+",90,"S",100),_xlfn.SWITCH(N173,"F",0,"E",10,"D",20,"D+",30,"C",40,"C+",50,"B",60,"B+",70,"A",80,"A+",90,"S",100),_xlfn.SWITCH(O173,"F",0,"E",10,"D",20,"D+",30,"C",40,"C+",50,"B",60,"B+",70,"A",80,"A+",90,"S",100),_xlfn.SWITCH(P173,"F",0,"E",10,"D",20,"D+",30,"C",40,"C+",50,"B",60,"B+",70,"A",80,"A+",90,"S",100)),{0,15,25,35,45,55,65,75,85,95},{"D","D","D+","C","C+","B","B+","A","A+","S"}),"?")</f>
        <v>?</v>
      </c>
      <c r="U173" s="27" t="s">
        <v>999</v>
      </c>
      <c r="V173" s="28" t="s">
        <v>1000</v>
      </c>
      <c r="W173" s="29" t="s">
        <v>1001</v>
      </c>
      <c r="X173" s="26"/>
      <c r="Y173" s="26"/>
      <c r="Z173" s="26"/>
      <c r="AA173" s="19"/>
      <c r="AB173" s="19"/>
    </row>
    <row r="174" spans="1:28" ht="21">
      <c r="A174" s="5" t="s">
        <v>1002</v>
      </c>
      <c r="B174" s="23" t="s">
        <v>1003</v>
      </c>
      <c r="C174" s="13"/>
      <c r="D174" s="13"/>
      <c r="E174" s="13"/>
      <c r="F174" s="13"/>
      <c r="G174" s="13"/>
      <c r="H174" s="7"/>
      <c r="I174" s="7"/>
      <c r="K174" s="24" t="s">
        <v>1004</v>
      </c>
      <c r="L174" s="25" t="s">
        <v>1005</v>
      </c>
      <c r="M174" s="19"/>
      <c r="N174" s="19"/>
      <c r="O174" s="19"/>
      <c r="P174" s="19"/>
      <c r="Q174" s="19" t="str">
        <f>IF(AND(ISNUMBER(MATCH(M174,{"F","E","D","D+","C","C+","B","B+","A","A+","S"},0)),ISNUMBER(MATCH(N174,{"F","E","D","D+","C","C+","B","B+","A","A+","S"},0)),ISNUMBER(MATCH(O174,{"F","E","D","D+","C","C+","B","B+","A","A+","S"},0)),ISNUMBER(MATCH(P174,{"F","E","D","D+","C","C+","B","B+","A","A+","S"},0))),LOOKUP(AVERAGE(_xlfn.SWITCH(M174,"F",0,"E",10,"D",20,"D+",30,"C",40,"C+",50,"B",60,"B+",70,"A",80,"A+",90,"S",100),_xlfn.SWITCH(N174,"F",0,"E",10,"D",20,"D+",30,"C",40,"C+",50,"B",60,"B+",70,"A",80,"A+",90,"S",100),_xlfn.SWITCH(O174,"F",0,"E",10,"D",20,"D+",30,"C",40,"C+",50,"B",60,"B+",70,"A",80,"A+",90,"S",100),_xlfn.SWITCH(P174,"F",0,"E",10,"D",20,"D+",30,"C",40,"C+",50,"B",60,"B+",70,"A",80,"A+",90,"S",100)),{0,15,25,35,45,55,65,75,85,95},{"D","D","D+","C","C+","B","B+","A","A+","S"}),"?")</f>
        <v>?</v>
      </c>
      <c r="U174" s="27" t="s">
        <v>1006</v>
      </c>
      <c r="V174" s="28" t="s">
        <v>1007</v>
      </c>
      <c r="W174" s="29" t="s">
        <v>1008</v>
      </c>
      <c r="X174" s="26"/>
      <c r="Y174" s="26"/>
      <c r="Z174" s="26"/>
      <c r="AA174" s="19"/>
      <c r="AB174" s="19"/>
    </row>
    <row r="175" spans="1:28" ht="21">
      <c r="A175" s="5" t="s">
        <v>1009</v>
      </c>
      <c r="B175" s="5" t="s">
        <v>795</v>
      </c>
      <c r="C175" s="13"/>
      <c r="D175" s="13"/>
      <c r="E175" s="13"/>
      <c r="F175" s="13"/>
      <c r="G175" s="13"/>
      <c r="H175" s="7"/>
      <c r="I175" s="7"/>
      <c r="K175" s="24" t="s">
        <v>830</v>
      </c>
      <c r="L175" s="25" t="s">
        <v>831</v>
      </c>
      <c r="M175" s="19"/>
      <c r="N175" s="19"/>
      <c r="O175" s="19"/>
      <c r="P175" s="19"/>
      <c r="Q175" s="19" t="str">
        <f>IF(AND(ISNUMBER(MATCH(M175,{"F","E","D","D+","C","C+","B","B+","A","A+","S"},0)),ISNUMBER(MATCH(N175,{"F","E","D","D+","C","C+","B","B+","A","A+","S"},0)),ISNUMBER(MATCH(O175,{"F","E","D","D+","C","C+","B","B+","A","A+","S"},0)),ISNUMBER(MATCH(P175,{"F","E","D","D+","C","C+","B","B+","A","A+","S"},0))),LOOKUP(AVERAGE(_xlfn.SWITCH(M175,"F",0,"E",10,"D",20,"D+",30,"C",40,"C+",50,"B",60,"B+",70,"A",80,"A+",90,"S",100),_xlfn.SWITCH(N175,"F",0,"E",10,"D",20,"D+",30,"C",40,"C+",50,"B",60,"B+",70,"A",80,"A+",90,"S",100),_xlfn.SWITCH(O175,"F",0,"E",10,"D",20,"D+",30,"C",40,"C+",50,"B",60,"B+",70,"A",80,"A+",90,"S",100),_xlfn.SWITCH(P175,"F",0,"E",10,"D",20,"D+",30,"C",40,"C+",50,"B",60,"B+",70,"A",80,"A+",90,"S",100)),{0,15,25,35,45,55,65,75,85,95},{"D","D","D+","C","C+","B","B+","A","A+","S"}),"?")</f>
        <v>?</v>
      </c>
      <c r="U175" s="27" t="s">
        <v>1010</v>
      </c>
      <c r="V175" s="28" t="s">
        <v>1011</v>
      </c>
      <c r="W175" s="29" t="s">
        <v>1012</v>
      </c>
      <c r="X175" s="26"/>
      <c r="Y175" s="26"/>
      <c r="Z175" s="26"/>
      <c r="AA175" s="19"/>
      <c r="AB175" s="19"/>
    </row>
    <row r="176" spans="1:28" ht="21">
      <c r="A176" s="5" t="s">
        <v>1013</v>
      </c>
      <c r="B176" s="23" t="s">
        <v>1014</v>
      </c>
      <c r="C176" s="13"/>
      <c r="D176" s="13"/>
      <c r="E176" s="13"/>
      <c r="F176" s="13"/>
      <c r="G176" s="13"/>
      <c r="H176" s="7"/>
      <c r="I176" s="7"/>
      <c r="K176" s="24" t="s">
        <v>789</v>
      </c>
      <c r="L176" s="25" t="s">
        <v>790</v>
      </c>
      <c r="M176" s="19"/>
      <c r="N176" s="19"/>
      <c r="O176" s="19"/>
      <c r="P176" s="19"/>
      <c r="Q176" s="19" t="str">
        <f>IF(AND(ISNUMBER(MATCH(M176,{"F","E","D","D+","C","C+","B","B+","A","A+","S"},0)),ISNUMBER(MATCH(N176,{"F","E","D","D+","C","C+","B","B+","A","A+","S"},0)),ISNUMBER(MATCH(O176,{"F","E","D","D+","C","C+","B","B+","A","A+","S"},0)),ISNUMBER(MATCH(P176,{"F","E","D","D+","C","C+","B","B+","A","A+","S"},0))),LOOKUP(AVERAGE(_xlfn.SWITCH(M176,"F",0,"E",10,"D",20,"D+",30,"C",40,"C+",50,"B",60,"B+",70,"A",80,"A+",90,"S",100),_xlfn.SWITCH(N176,"F",0,"E",10,"D",20,"D+",30,"C",40,"C+",50,"B",60,"B+",70,"A",80,"A+",90,"S",100),_xlfn.SWITCH(O176,"F",0,"E",10,"D",20,"D+",30,"C",40,"C+",50,"B",60,"B+",70,"A",80,"A+",90,"S",100),_xlfn.SWITCH(P176,"F",0,"E",10,"D",20,"D+",30,"C",40,"C+",50,"B",60,"B+",70,"A",80,"A+",90,"S",100)),{0,15,25,35,45,55,65,75,85,95},{"D","D","D+","C","C+","B","B+","A","A+","S"}),"?")</f>
        <v>?</v>
      </c>
      <c r="U176" s="27" t="s">
        <v>1015</v>
      </c>
      <c r="V176" s="28" t="s">
        <v>1016</v>
      </c>
      <c r="W176" s="29" t="s">
        <v>1017</v>
      </c>
      <c r="X176" s="26"/>
      <c r="Y176" s="26"/>
      <c r="Z176" s="26"/>
      <c r="AA176" s="19"/>
      <c r="AB176" s="19"/>
    </row>
    <row r="177" spans="1:30" ht="21">
      <c r="A177" s="5" t="s">
        <v>1018</v>
      </c>
      <c r="B177" s="5" t="s">
        <v>1019</v>
      </c>
      <c r="C177" s="13"/>
      <c r="D177" s="13"/>
      <c r="E177" s="13"/>
      <c r="F177" s="13"/>
      <c r="G177" s="13"/>
      <c r="H177" s="7"/>
      <c r="I177" s="7"/>
      <c r="K177" s="24" t="s">
        <v>527</v>
      </c>
      <c r="L177" s="25" t="s">
        <v>528</v>
      </c>
      <c r="M177" s="19"/>
      <c r="N177" s="19"/>
      <c r="O177" s="19"/>
      <c r="P177" s="19"/>
      <c r="Q177" s="19" t="str">
        <f>IF(AND(ISNUMBER(MATCH(M177,{"F","E","D","D+","C","C+","B","B+","A","A+","S"},0)),ISNUMBER(MATCH(N177,{"F","E","D","D+","C","C+","B","B+","A","A+","S"},0)),ISNUMBER(MATCH(O177,{"F","E","D","D+","C","C+","B","B+","A","A+","S"},0)),ISNUMBER(MATCH(P177,{"F","E","D","D+","C","C+","B","B+","A","A+","S"},0))),LOOKUP(AVERAGE(_xlfn.SWITCH(M177,"F",0,"E",10,"D",20,"D+",30,"C",40,"C+",50,"B",60,"B+",70,"A",80,"A+",90,"S",100),_xlfn.SWITCH(N177,"F",0,"E",10,"D",20,"D+",30,"C",40,"C+",50,"B",60,"B+",70,"A",80,"A+",90,"S",100),_xlfn.SWITCH(O177,"F",0,"E",10,"D",20,"D+",30,"C",40,"C+",50,"B",60,"B+",70,"A",80,"A+",90,"S",100),_xlfn.SWITCH(P177,"F",0,"E",10,"D",20,"D+",30,"C",40,"C+",50,"B",60,"B+",70,"A",80,"A+",90,"S",100)),{0,15,25,35,45,55,65,75,85,95},{"D","D","D+","C","C+","B","B+","A","A+","S"}),"?")</f>
        <v>?</v>
      </c>
      <c r="U177" s="27" t="s">
        <v>1020</v>
      </c>
      <c r="V177" s="28" t="s">
        <v>1021</v>
      </c>
      <c r="W177" s="29" t="s">
        <v>1022</v>
      </c>
      <c r="X177" s="26"/>
      <c r="Y177" s="26"/>
      <c r="Z177" s="26"/>
      <c r="AA177" s="19"/>
      <c r="AB177" s="19"/>
    </row>
    <row r="178" spans="1:30" ht="21">
      <c r="A178" s="5" t="s">
        <v>1023</v>
      </c>
      <c r="B178" s="5" t="s">
        <v>540</v>
      </c>
      <c r="C178" s="13"/>
      <c r="D178" s="13"/>
      <c r="E178" s="13"/>
      <c r="F178" s="13"/>
      <c r="G178" s="13"/>
      <c r="H178" s="7"/>
      <c r="I178" s="7"/>
      <c r="K178" s="24" t="s">
        <v>1024</v>
      </c>
      <c r="L178" s="25" t="s">
        <v>1025</v>
      </c>
      <c r="M178" s="19"/>
      <c r="N178" s="19"/>
      <c r="O178" s="19"/>
      <c r="P178" s="19"/>
      <c r="Q178" s="19" t="str">
        <f>IF(AND(ISNUMBER(MATCH(M178,{"F","E","D","D+","C","C+","B","B+","A","A+","S"},0)),ISNUMBER(MATCH(N178,{"F","E","D","D+","C","C+","B","B+","A","A+","S"},0)),ISNUMBER(MATCH(O178,{"F","E","D","D+","C","C+","B","B+","A","A+","S"},0)),ISNUMBER(MATCH(P178,{"F","E","D","D+","C","C+","B","B+","A","A+","S"},0))),LOOKUP(AVERAGE(_xlfn.SWITCH(M178,"F",0,"E",10,"D",20,"D+",30,"C",40,"C+",50,"B",60,"B+",70,"A",80,"A+",90,"S",100),_xlfn.SWITCH(N178,"F",0,"E",10,"D",20,"D+",30,"C",40,"C+",50,"B",60,"B+",70,"A",80,"A+",90,"S",100),_xlfn.SWITCH(O178,"F",0,"E",10,"D",20,"D+",30,"C",40,"C+",50,"B",60,"B+",70,"A",80,"A+",90,"S",100),_xlfn.SWITCH(P178,"F",0,"E",10,"D",20,"D+",30,"C",40,"C+",50,"B",60,"B+",70,"A",80,"A+",90,"S",100)),{0,15,25,35,45,55,65,75,85,95},{"D","D","D+","C","C+","B","B+","A","A+","S"}),"?")</f>
        <v>?</v>
      </c>
      <c r="U178" s="27" t="s">
        <v>1026</v>
      </c>
      <c r="V178" s="28" t="s">
        <v>1027</v>
      </c>
      <c r="W178" s="29" t="s">
        <v>1028</v>
      </c>
      <c r="X178" s="26"/>
      <c r="Y178" s="26"/>
      <c r="Z178" s="26"/>
      <c r="AA178" s="19"/>
      <c r="AB178" s="19"/>
    </row>
    <row r="179" spans="1:30">
      <c r="A179" s="5" t="s">
        <v>1029</v>
      </c>
      <c r="B179" s="5" t="s">
        <v>1030</v>
      </c>
      <c r="C179" s="13"/>
      <c r="D179" s="13"/>
      <c r="E179" s="13"/>
      <c r="F179" s="13"/>
      <c r="G179" s="13"/>
      <c r="H179" s="7"/>
      <c r="I179" s="7"/>
      <c r="K179" s="24" t="s">
        <v>1031</v>
      </c>
      <c r="L179" s="25" t="s">
        <v>1032</v>
      </c>
      <c r="M179" s="19"/>
      <c r="N179" s="19"/>
      <c r="O179" s="19"/>
      <c r="P179" s="19"/>
      <c r="Q179" s="19" t="str">
        <f>IF(AND(ISNUMBER(MATCH(M179,{"F","E","D","D+","C","C+","B","B+","A","A+","S"},0)),ISNUMBER(MATCH(N179,{"F","E","D","D+","C","C+","B","B+","A","A+","S"},0)),ISNUMBER(MATCH(O179,{"F","E","D","D+","C","C+","B","B+","A","A+","S"},0)),ISNUMBER(MATCH(P179,{"F","E","D","D+","C","C+","B","B+","A","A+","S"},0))),LOOKUP(AVERAGE(_xlfn.SWITCH(M179,"F",0,"E",10,"D",20,"D+",30,"C",40,"C+",50,"B",60,"B+",70,"A",80,"A+",90,"S",100),_xlfn.SWITCH(N179,"F",0,"E",10,"D",20,"D+",30,"C",40,"C+",50,"B",60,"B+",70,"A",80,"A+",90,"S",100),_xlfn.SWITCH(O179,"F",0,"E",10,"D",20,"D+",30,"C",40,"C+",50,"B",60,"B+",70,"A",80,"A+",90,"S",100),_xlfn.SWITCH(P179,"F",0,"E",10,"D",20,"D+",30,"C",40,"C+",50,"B",60,"B+",70,"A",80,"A+",90,"S",100)),{0,15,25,35,45,55,65,75,85,95},{"D","D","D+","C","C+","B","B+","A","A+","S"}),"?")</f>
        <v>?</v>
      </c>
      <c r="U179" s="528" t="s">
        <v>1033</v>
      </c>
      <c r="V179" s="531"/>
      <c r="W179" s="531"/>
      <c r="X179" s="534"/>
      <c r="Y179" s="534"/>
      <c r="Z179" s="534"/>
      <c r="AA179" s="526"/>
      <c r="AB179" s="526"/>
      <c r="AC179" s="527"/>
      <c r="AD179" s="527"/>
    </row>
    <row r="180" spans="1:30" ht="18" customHeight="1">
      <c r="A180" s="550" t="s">
        <v>1034</v>
      </c>
      <c r="B180" s="531"/>
      <c r="C180" s="531"/>
      <c r="D180" s="531"/>
      <c r="E180" s="531"/>
      <c r="F180" s="531"/>
      <c r="G180" s="531"/>
      <c r="H180" s="531"/>
      <c r="I180" s="537"/>
      <c r="K180" s="24" t="s">
        <v>816</v>
      </c>
      <c r="L180" s="25" t="s">
        <v>817</v>
      </c>
      <c r="M180" s="19"/>
      <c r="N180" s="19"/>
      <c r="O180" s="19"/>
      <c r="P180" s="19"/>
      <c r="Q180" s="19" t="str">
        <f>IF(AND(ISNUMBER(MATCH(M180,{"F","E","D","D+","C","C+","B","B+","A","A+","S"},0)),ISNUMBER(MATCH(N180,{"F","E","D","D+","C","C+","B","B+","A","A+","S"},0)),ISNUMBER(MATCH(O180,{"F","E","D","D+","C","C+","B","B+","A","A+","S"},0)),ISNUMBER(MATCH(P180,{"F","E","D","D+","C","C+","B","B+","A","A+","S"},0))),LOOKUP(AVERAGE(_xlfn.SWITCH(M180,"F",0,"E",10,"D",20,"D+",30,"C",40,"C+",50,"B",60,"B+",70,"A",80,"A+",90,"S",100),_xlfn.SWITCH(N180,"F",0,"E",10,"D",20,"D+",30,"C",40,"C+",50,"B",60,"B+",70,"A",80,"A+",90,"S",100),_xlfn.SWITCH(O180,"F",0,"E",10,"D",20,"D+",30,"C",40,"C+",50,"B",60,"B+",70,"A",80,"A+",90,"S",100),_xlfn.SWITCH(P180,"F",0,"E",10,"D",20,"D+",30,"C",40,"C+",50,"B",60,"B+",70,"A",80,"A+",90,"S",100)),{0,15,25,35,45,55,65,75,85,95},{"D","D","D+","C","C+","B","B+","A","A+","S"}),"?")</f>
        <v>?</v>
      </c>
      <c r="U180" s="532"/>
      <c r="V180" s="529"/>
      <c r="W180" s="530"/>
      <c r="X180" s="534"/>
      <c r="Y180" s="534"/>
      <c r="Z180" s="534"/>
      <c r="AA180" s="526"/>
      <c r="AB180" s="526"/>
      <c r="AC180" s="527"/>
      <c r="AD180" s="527"/>
    </row>
    <row r="181" spans="1:30" ht="12.75" customHeight="1">
      <c r="A181" s="538"/>
      <c r="B181" s="533"/>
      <c r="C181" s="533"/>
      <c r="D181" s="533"/>
      <c r="E181" s="533"/>
      <c r="F181" s="533"/>
      <c r="G181" s="533"/>
      <c r="H181" s="533"/>
      <c r="I181" s="539"/>
      <c r="K181" s="24" t="s">
        <v>1035</v>
      </c>
      <c r="L181" s="25" t="s">
        <v>1036</v>
      </c>
      <c r="M181" s="19"/>
      <c r="N181" s="19"/>
      <c r="O181" s="19"/>
      <c r="P181" s="19"/>
      <c r="Q181" s="19" t="str">
        <f>IF(AND(ISNUMBER(MATCH(M181,{"F","E","D","D+","C","C+","B","B+","A","A+","S"},0)),ISNUMBER(MATCH(N181,{"F","E","D","D+","C","C+","B","B+","A","A+","S"},0)),ISNUMBER(MATCH(O181,{"F","E","D","D+","C","C+","B","B+","A","A+","S"},0)),ISNUMBER(MATCH(P181,{"F","E","D","D+","C","C+","B","B+","A","A+","S"},0))),LOOKUP(AVERAGE(_xlfn.SWITCH(M181,"F",0,"E",10,"D",20,"D+",30,"C",40,"C+",50,"B",60,"B+",70,"A",80,"A+",90,"S",100),_xlfn.SWITCH(N181,"F",0,"E",10,"D",20,"D+",30,"C",40,"C+",50,"B",60,"B+",70,"A",80,"A+",90,"S",100),_xlfn.SWITCH(O181,"F",0,"E",10,"D",20,"D+",30,"C",40,"C+",50,"B",60,"B+",70,"A",80,"A+",90,"S",100),_xlfn.SWITCH(P181,"F",0,"E",10,"D",20,"D+",30,"C",40,"C+",50,"B",60,"B+",70,"A",80,"A+",90,"S",100)),{0,15,25,35,45,55,65,75,85,95},{"D","D","D+","C","C+","B","B+","A","A+","S"}),"?")</f>
        <v>?</v>
      </c>
      <c r="U181" s="8" t="s">
        <v>4</v>
      </c>
      <c r="V181" s="8" t="s">
        <v>13</v>
      </c>
      <c r="W181" s="9" t="s">
        <v>5</v>
      </c>
      <c r="X181" s="7" t="s">
        <v>6</v>
      </c>
      <c r="Y181" s="7" t="s">
        <v>7</v>
      </c>
      <c r="Z181" s="7" t="s">
        <v>8</v>
      </c>
      <c r="AA181" s="7" t="s">
        <v>9</v>
      </c>
      <c r="AB181" s="7" t="s">
        <v>10</v>
      </c>
      <c r="AC181" s="5" t="s">
        <v>11</v>
      </c>
      <c r="AD181" s="5" t="s">
        <v>12</v>
      </c>
    </row>
    <row r="182" spans="1:30" ht="21">
      <c r="A182" s="5" t="s">
        <v>4</v>
      </c>
      <c r="B182" s="6" t="s">
        <v>5</v>
      </c>
      <c r="C182" s="7" t="s">
        <v>6</v>
      </c>
      <c r="D182" s="7" t="s">
        <v>7</v>
      </c>
      <c r="E182" s="7" t="s">
        <v>8</v>
      </c>
      <c r="F182" s="7" t="s">
        <v>9</v>
      </c>
      <c r="G182" s="7" t="s">
        <v>10</v>
      </c>
      <c r="H182" s="7" t="s">
        <v>11</v>
      </c>
      <c r="I182" s="7" t="s">
        <v>12</v>
      </c>
      <c r="K182" s="24" t="s">
        <v>672</v>
      </c>
      <c r="L182" s="25" t="s">
        <v>673</v>
      </c>
      <c r="M182" s="19"/>
      <c r="N182" s="19"/>
      <c r="O182" s="19"/>
      <c r="P182" s="19"/>
      <c r="Q182" s="19" t="str">
        <f>IF(AND(ISNUMBER(MATCH(M182,{"F","E","D","D+","C","C+","B","B+","A","A+","S"},0)),ISNUMBER(MATCH(N182,{"F","E","D","D+","C","C+","B","B+","A","A+","S"},0)),ISNUMBER(MATCH(O182,{"F","E","D","D+","C","C+","B","B+","A","A+","S"},0)),ISNUMBER(MATCH(P182,{"F","E","D","D+","C","C+","B","B+","A","A+","S"},0))),LOOKUP(AVERAGE(_xlfn.SWITCH(M182,"F",0,"E",10,"D",20,"D+",30,"C",40,"C+",50,"B",60,"B+",70,"A",80,"A+",90,"S",100),_xlfn.SWITCH(N182,"F",0,"E",10,"D",20,"D+",30,"C",40,"C+",50,"B",60,"B+",70,"A",80,"A+",90,"S",100),_xlfn.SWITCH(O182,"F",0,"E",10,"D",20,"D+",30,"C",40,"C+",50,"B",60,"B+",70,"A",80,"A+",90,"S",100),_xlfn.SWITCH(P182,"F",0,"E",10,"D",20,"D+",30,"C",40,"C+",50,"B",60,"B+",70,"A",80,"A+",90,"S",100)),{0,15,25,35,45,55,65,75,85,95},{"D","D","D+","C","C+","B","B+","A","A+","S"}),"?")</f>
        <v>?</v>
      </c>
      <c r="U182" s="27" t="s">
        <v>1037</v>
      </c>
      <c r="V182" s="28" t="s">
        <v>1038</v>
      </c>
      <c r="W182" s="29" t="s">
        <v>1039</v>
      </c>
      <c r="X182" s="26"/>
      <c r="Y182" s="26"/>
      <c r="Z182" s="26"/>
      <c r="AA182" s="19"/>
      <c r="AB182" s="19"/>
    </row>
    <row r="183" spans="1:30" ht="21">
      <c r="A183" s="5" t="s">
        <v>1040</v>
      </c>
      <c r="B183" s="5" t="s">
        <v>1041</v>
      </c>
      <c r="C183" s="13"/>
      <c r="D183" s="13"/>
      <c r="E183" s="13"/>
      <c r="F183" s="13"/>
      <c r="G183" s="13"/>
      <c r="H183" s="7"/>
      <c r="I183" s="7" t="s">
        <v>1042</v>
      </c>
      <c r="K183" s="24" t="s">
        <v>706</v>
      </c>
      <c r="L183" s="25" t="s">
        <v>707</v>
      </c>
      <c r="M183" s="19"/>
      <c r="N183" s="19"/>
      <c r="O183" s="19"/>
      <c r="P183" s="19"/>
      <c r="Q183" s="19" t="str">
        <f>IF(AND(ISNUMBER(MATCH(M183,{"F","E","D","D+","C","C+","B","B+","A","A+","S"},0)),ISNUMBER(MATCH(N183,{"F","E","D","D+","C","C+","B","B+","A","A+","S"},0)),ISNUMBER(MATCH(O183,{"F","E","D","D+","C","C+","B","B+","A","A+","S"},0)),ISNUMBER(MATCH(P183,{"F","E","D","D+","C","C+","B","B+","A","A+","S"},0))),LOOKUP(AVERAGE(_xlfn.SWITCH(M183,"F",0,"E",10,"D",20,"D+",30,"C",40,"C+",50,"B",60,"B+",70,"A",80,"A+",90,"S",100),_xlfn.SWITCH(N183,"F",0,"E",10,"D",20,"D+",30,"C",40,"C+",50,"B",60,"B+",70,"A",80,"A+",90,"S",100),_xlfn.SWITCH(O183,"F",0,"E",10,"D",20,"D+",30,"C",40,"C+",50,"B",60,"B+",70,"A",80,"A+",90,"S",100),_xlfn.SWITCH(P183,"F",0,"E",10,"D",20,"D+",30,"C",40,"C+",50,"B",60,"B+",70,"A",80,"A+",90,"S",100)),{0,15,25,35,45,55,65,75,85,95},{"D","D","D+","C","C+","B","B+","A","A+","S"}),"?")</f>
        <v>?</v>
      </c>
      <c r="U183" s="27" t="s">
        <v>1043</v>
      </c>
      <c r="V183" s="28" t="s">
        <v>1044</v>
      </c>
      <c r="W183" s="29" t="s">
        <v>1045</v>
      </c>
      <c r="X183" s="26"/>
      <c r="Y183" s="26"/>
      <c r="Z183" s="26"/>
      <c r="AA183" s="19"/>
      <c r="AB183" s="19"/>
    </row>
    <row r="184" spans="1:30" ht="21">
      <c r="A184" s="5" t="s">
        <v>1046</v>
      </c>
      <c r="B184" s="5" t="s">
        <v>1047</v>
      </c>
      <c r="C184" s="13"/>
      <c r="D184" s="13"/>
      <c r="E184" s="13"/>
      <c r="F184" s="13"/>
      <c r="G184" s="13"/>
      <c r="H184" s="7"/>
      <c r="I184" s="7"/>
      <c r="K184" s="24" t="s">
        <v>1048</v>
      </c>
      <c r="L184" s="25" t="s">
        <v>1049</v>
      </c>
      <c r="M184" s="19"/>
      <c r="N184" s="19"/>
      <c r="O184" s="19"/>
      <c r="P184" s="19"/>
      <c r="Q184" s="19" t="str">
        <f>IF(AND(ISNUMBER(MATCH(M184,{"F","E","D","D+","C","C+","B","B+","A","A+","S"},0)),ISNUMBER(MATCH(N184,{"F","E","D","D+","C","C+","B","B+","A","A+","S"},0)),ISNUMBER(MATCH(O184,{"F","E","D","D+","C","C+","B","B+","A","A+","S"},0)),ISNUMBER(MATCH(P184,{"F","E","D","D+","C","C+","B","B+","A","A+","S"},0))),LOOKUP(AVERAGE(_xlfn.SWITCH(M184,"F",0,"E",10,"D",20,"D+",30,"C",40,"C+",50,"B",60,"B+",70,"A",80,"A+",90,"S",100),_xlfn.SWITCH(N184,"F",0,"E",10,"D",20,"D+",30,"C",40,"C+",50,"B",60,"B+",70,"A",80,"A+",90,"S",100),_xlfn.SWITCH(O184,"F",0,"E",10,"D",20,"D+",30,"C",40,"C+",50,"B",60,"B+",70,"A",80,"A+",90,"S",100),_xlfn.SWITCH(P184,"F",0,"E",10,"D",20,"D+",30,"C",40,"C+",50,"B",60,"B+",70,"A",80,"A+",90,"S",100)),{0,15,25,35,45,55,65,75,85,95},{"D","D","D+","C","C+","B","B+","A","A+","S"}),"?")</f>
        <v>?</v>
      </c>
      <c r="U184" s="27" t="s">
        <v>1050</v>
      </c>
      <c r="V184" s="28" t="s">
        <v>1051</v>
      </c>
      <c r="W184" s="29" t="s">
        <v>1052</v>
      </c>
      <c r="X184" s="26"/>
      <c r="Y184" s="26"/>
      <c r="Z184" s="26"/>
      <c r="AA184" s="19"/>
      <c r="AB184" s="19"/>
    </row>
    <row r="185" spans="1:30" ht="21">
      <c r="A185" s="5" t="s">
        <v>1053</v>
      </c>
      <c r="B185" s="5" t="s">
        <v>975</v>
      </c>
      <c r="C185" s="13"/>
      <c r="D185" s="13"/>
      <c r="E185" s="13"/>
      <c r="F185" s="13"/>
      <c r="G185" s="13"/>
      <c r="H185" s="7"/>
      <c r="I185" s="7"/>
      <c r="K185" s="24" t="s">
        <v>1054</v>
      </c>
      <c r="L185" s="25" t="s">
        <v>1055</v>
      </c>
      <c r="M185" s="19"/>
      <c r="N185" s="19"/>
      <c r="O185" s="19"/>
      <c r="P185" s="19"/>
      <c r="Q185" s="19" t="str">
        <f>IF(AND(ISNUMBER(MATCH(M185,{"F","E","D","D+","C","C+","B","B+","A","A+","S"},0)),ISNUMBER(MATCH(N185,{"F","E","D","D+","C","C+","B","B+","A","A+","S"},0)),ISNUMBER(MATCH(O185,{"F","E","D","D+","C","C+","B","B+","A","A+","S"},0)),ISNUMBER(MATCH(P185,{"F","E","D","D+","C","C+","B","B+","A","A+","S"},0))),LOOKUP(AVERAGE(_xlfn.SWITCH(M185,"F",0,"E",10,"D",20,"D+",30,"C",40,"C+",50,"B",60,"B+",70,"A",80,"A+",90,"S",100),_xlfn.SWITCH(N185,"F",0,"E",10,"D",20,"D+",30,"C",40,"C+",50,"B",60,"B+",70,"A",80,"A+",90,"S",100),_xlfn.SWITCH(O185,"F",0,"E",10,"D",20,"D+",30,"C",40,"C+",50,"B",60,"B+",70,"A",80,"A+",90,"S",100),_xlfn.SWITCH(P185,"F",0,"E",10,"D",20,"D+",30,"C",40,"C+",50,"B",60,"B+",70,"A",80,"A+",90,"S",100)),{0,15,25,35,45,55,65,75,85,95},{"D","D","D+","C","C+","B","B+","A","A+","S"}),"?")</f>
        <v>?</v>
      </c>
      <c r="U185" s="27" t="s">
        <v>1056</v>
      </c>
      <c r="V185" s="28" t="s">
        <v>1057</v>
      </c>
      <c r="W185" s="29" t="s">
        <v>1058</v>
      </c>
      <c r="X185" s="26"/>
      <c r="Y185" s="26"/>
      <c r="Z185" s="26"/>
      <c r="AA185" s="19"/>
      <c r="AB185" s="19"/>
    </row>
    <row r="186" spans="1:30" ht="21">
      <c r="A186" s="5" t="s">
        <v>1059</v>
      </c>
      <c r="B186" s="5" t="s">
        <v>1060</v>
      </c>
      <c r="C186" s="13"/>
      <c r="D186" s="13"/>
      <c r="E186" s="13"/>
      <c r="F186" s="13"/>
      <c r="G186" s="13"/>
      <c r="H186" s="7"/>
      <c r="I186" s="7"/>
      <c r="K186" s="24" t="s">
        <v>569</v>
      </c>
      <c r="L186" s="25" t="s">
        <v>707</v>
      </c>
      <c r="M186" s="19"/>
      <c r="N186" s="19"/>
      <c r="O186" s="19"/>
      <c r="P186" s="19"/>
      <c r="Q186" s="19" t="str">
        <f>IF(AND(ISNUMBER(MATCH(M186,{"F","E","D","D+","C","C+","B","B+","A","A+","S"},0)),ISNUMBER(MATCH(N186,{"F","E","D","D+","C","C+","B","B+","A","A+","S"},0)),ISNUMBER(MATCH(O186,{"F","E","D","D+","C","C+","B","B+","A","A+","S"},0)),ISNUMBER(MATCH(P186,{"F","E","D","D+","C","C+","B","B+","A","A+","S"},0))),LOOKUP(AVERAGE(_xlfn.SWITCH(M186,"F",0,"E",10,"D",20,"D+",30,"C",40,"C+",50,"B",60,"B+",70,"A",80,"A+",90,"S",100),_xlfn.SWITCH(N186,"F",0,"E",10,"D",20,"D+",30,"C",40,"C+",50,"B",60,"B+",70,"A",80,"A+",90,"S",100),_xlfn.SWITCH(O186,"F",0,"E",10,"D",20,"D+",30,"C",40,"C+",50,"B",60,"B+",70,"A",80,"A+",90,"S",100),_xlfn.SWITCH(P186,"F",0,"E",10,"D",20,"D+",30,"C",40,"C+",50,"B",60,"B+",70,"A",80,"A+",90,"S",100)),{0,15,25,35,45,55,65,75,85,95},{"D","D","D+","C","C+","B","B+","A","A+","S"}),"?")</f>
        <v>?</v>
      </c>
      <c r="U186" s="27" t="s">
        <v>1061</v>
      </c>
      <c r="V186" s="28" t="s">
        <v>1062</v>
      </c>
      <c r="W186" s="29" t="s">
        <v>1063</v>
      </c>
      <c r="X186" s="26"/>
      <c r="Y186" s="26"/>
      <c r="Z186" s="26"/>
      <c r="AA186" s="19"/>
      <c r="AB186" s="19"/>
    </row>
    <row r="187" spans="1:30" ht="21">
      <c r="A187" s="5" t="s">
        <v>1064</v>
      </c>
      <c r="B187" s="34" t="s">
        <v>1017</v>
      </c>
      <c r="C187" s="13"/>
      <c r="D187" s="13"/>
      <c r="E187" s="13"/>
      <c r="F187" s="13"/>
      <c r="G187" s="13"/>
      <c r="H187" s="7"/>
      <c r="I187" s="7"/>
      <c r="K187" s="24" t="s">
        <v>1065</v>
      </c>
      <c r="L187" s="25" t="s">
        <v>1066</v>
      </c>
      <c r="M187" s="19"/>
      <c r="N187" s="19"/>
      <c r="O187" s="19"/>
      <c r="P187" s="19"/>
      <c r="Q187" s="19" t="str">
        <f>IF(AND(ISNUMBER(MATCH(M187,{"F","E","D","D+","C","C+","B","B+","A","A+","S"},0)),ISNUMBER(MATCH(N187,{"F","E","D","D+","C","C+","B","B+","A","A+","S"},0)),ISNUMBER(MATCH(O187,{"F","E","D","D+","C","C+","B","B+","A","A+","S"},0)),ISNUMBER(MATCH(P187,{"F","E","D","D+","C","C+","B","B+","A","A+","S"},0))),LOOKUP(AVERAGE(_xlfn.SWITCH(M187,"F",0,"E",10,"D",20,"D+",30,"C",40,"C+",50,"B",60,"B+",70,"A",80,"A+",90,"S",100),_xlfn.SWITCH(N187,"F",0,"E",10,"D",20,"D+",30,"C",40,"C+",50,"B",60,"B+",70,"A",80,"A+",90,"S",100),_xlfn.SWITCH(O187,"F",0,"E",10,"D",20,"D+",30,"C",40,"C+",50,"B",60,"B+",70,"A",80,"A+",90,"S",100),_xlfn.SWITCH(P187,"F",0,"E",10,"D",20,"D+",30,"C",40,"C+",50,"B",60,"B+",70,"A",80,"A+",90,"S",100)),{0,15,25,35,45,55,65,75,85,95},{"D","D","D+","C","C+","B","B+","A","A+","S"}),"?")</f>
        <v>?</v>
      </c>
      <c r="U187" s="27" t="s">
        <v>1067</v>
      </c>
      <c r="V187" s="28" t="s">
        <v>1068</v>
      </c>
      <c r="W187" s="29" t="s">
        <v>726</v>
      </c>
      <c r="X187" s="26"/>
      <c r="Y187" s="26"/>
      <c r="Z187" s="26"/>
      <c r="AA187" s="19"/>
      <c r="AB187" s="19"/>
    </row>
    <row r="188" spans="1:30" ht="21">
      <c r="A188" s="5" t="s">
        <v>1069</v>
      </c>
      <c r="B188" s="34" t="s">
        <v>1017</v>
      </c>
      <c r="C188" s="13"/>
      <c r="D188" s="13"/>
      <c r="E188" s="13"/>
      <c r="F188" s="13"/>
      <c r="G188" s="13"/>
      <c r="H188" s="7"/>
      <c r="I188" s="7"/>
      <c r="K188" s="24" t="s">
        <v>1070</v>
      </c>
      <c r="L188" s="25" t="s">
        <v>1071</v>
      </c>
      <c r="M188" s="19"/>
      <c r="N188" s="19"/>
      <c r="O188" s="19"/>
      <c r="P188" s="19"/>
      <c r="Q188" s="19" t="str">
        <f>IF(AND(ISNUMBER(MATCH(M188,{"F","E","D","D+","C","C+","B","B+","A","A+","S"},0)),ISNUMBER(MATCH(N188,{"F","E","D","D+","C","C+","B","B+","A","A+","S"},0)),ISNUMBER(MATCH(O188,{"F","E","D","D+","C","C+","B","B+","A","A+","S"},0)),ISNUMBER(MATCH(P188,{"F","E","D","D+","C","C+","B","B+","A","A+","S"},0))),LOOKUP(AVERAGE(_xlfn.SWITCH(M188,"F",0,"E",10,"D",20,"D+",30,"C",40,"C+",50,"B",60,"B+",70,"A",80,"A+",90,"S",100),_xlfn.SWITCH(N188,"F",0,"E",10,"D",20,"D+",30,"C",40,"C+",50,"B",60,"B+",70,"A",80,"A+",90,"S",100),_xlfn.SWITCH(O188,"F",0,"E",10,"D",20,"D+",30,"C",40,"C+",50,"B",60,"B+",70,"A",80,"A+",90,"S",100),_xlfn.SWITCH(P188,"F",0,"E",10,"D",20,"D+",30,"C",40,"C+",50,"B",60,"B+",70,"A",80,"A+",90,"S",100)),{0,15,25,35,45,55,65,75,85,95},{"D","D","D+","C","C+","B","B+","A","A+","S"}),"?")</f>
        <v>?</v>
      </c>
      <c r="U188" s="27" t="s">
        <v>1072</v>
      </c>
      <c r="V188" s="28" t="s">
        <v>1073</v>
      </c>
      <c r="W188" s="29" t="s">
        <v>1074</v>
      </c>
      <c r="X188" s="26"/>
      <c r="Y188" s="26"/>
      <c r="Z188" s="26"/>
      <c r="AA188" s="19"/>
      <c r="AB188" s="19"/>
    </row>
    <row r="189" spans="1:30" ht="21">
      <c r="A189" s="5" t="s">
        <v>1075</v>
      </c>
      <c r="B189" s="5" t="s">
        <v>1076</v>
      </c>
      <c r="C189" s="13"/>
      <c r="D189" s="13"/>
      <c r="E189" s="13"/>
      <c r="F189" s="13"/>
      <c r="G189" s="13"/>
      <c r="H189" s="7"/>
      <c r="I189" s="7"/>
      <c r="K189" s="24" t="s">
        <v>605</v>
      </c>
      <c r="L189" s="25" t="s">
        <v>606</v>
      </c>
      <c r="M189" s="19"/>
      <c r="N189" s="19"/>
      <c r="O189" s="19"/>
      <c r="P189" s="19"/>
      <c r="Q189" s="19" t="str">
        <f>IF(AND(ISNUMBER(MATCH(M189,{"F","E","D","D+","C","C+","B","B+","A","A+","S"},0)),ISNUMBER(MATCH(N189,{"F","E","D","D+","C","C+","B","B+","A","A+","S"},0)),ISNUMBER(MATCH(O189,{"F","E","D","D+","C","C+","B","B+","A","A+","S"},0)),ISNUMBER(MATCH(P189,{"F","E","D","D+","C","C+","B","B+","A","A+","S"},0))),LOOKUP(AVERAGE(_xlfn.SWITCH(M189,"F",0,"E",10,"D",20,"D+",30,"C",40,"C+",50,"B",60,"B+",70,"A",80,"A+",90,"S",100),_xlfn.SWITCH(N189,"F",0,"E",10,"D",20,"D+",30,"C",40,"C+",50,"B",60,"B+",70,"A",80,"A+",90,"S",100),_xlfn.SWITCH(O189,"F",0,"E",10,"D",20,"D+",30,"C",40,"C+",50,"B",60,"B+",70,"A",80,"A+",90,"S",100),_xlfn.SWITCH(P189,"F",0,"E",10,"D",20,"D+",30,"C",40,"C+",50,"B",60,"B+",70,"A",80,"A+",90,"S",100)),{0,15,25,35,45,55,65,75,85,95},{"D","D","D+","C","C+","B","B+","A","A+","S"}),"?")</f>
        <v>?</v>
      </c>
      <c r="U189" s="27" t="s">
        <v>1077</v>
      </c>
      <c r="V189" s="28" t="s">
        <v>1078</v>
      </c>
      <c r="W189" s="29" t="s">
        <v>1079</v>
      </c>
      <c r="X189" s="26"/>
      <c r="Y189" s="26"/>
      <c r="Z189" s="26"/>
      <c r="AA189" s="19"/>
      <c r="AB189" s="19"/>
    </row>
    <row r="190" spans="1:30" ht="21">
      <c r="A190" s="5" t="s">
        <v>1080</v>
      </c>
      <c r="B190" s="5" t="s">
        <v>923</v>
      </c>
      <c r="C190" s="13"/>
      <c r="D190" s="13"/>
      <c r="E190" s="13"/>
      <c r="F190" s="13"/>
      <c r="G190" s="13"/>
      <c r="H190" s="7"/>
      <c r="I190" s="7"/>
      <c r="K190" s="24" t="s">
        <v>1081</v>
      </c>
      <c r="L190" s="25" t="s">
        <v>1082</v>
      </c>
      <c r="M190" s="19"/>
      <c r="N190" s="19"/>
      <c r="O190" s="19"/>
      <c r="P190" s="19"/>
      <c r="Q190" s="19" t="str">
        <f>IF(AND(ISNUMBER(MATCH(M190,{"F","E","D","D+","C","C+","B","B+","A","A+","S"},0)),ISNUMBER(MATCH(N190,{"F","E","D","D+","C","C+","B","B+","A","A+","S"},0)),ISNUMBER(MATCH(O190,{"F","E","D","D+","C","C+","B","B+","A","A+","S"},0)),ISNUMBER(MATCH(P190,{"F","E","D","D+","C","C+","B","B+","A","A+","S"},0))),LOOKUP(AVERAGE(_xlfn.SWITCH(M190,"F",0,"E",10,"D",20,"D+",30,"C",40,"C+",50,"B",60,"B+",70,"A",80,"A+",90,"S",100),_xlfn.SWITCH(N190,"F",0,"E",10,"D",20,"D+",30,"C",40,"C+",50,"B",60,"B+",70,"A",80,"A+",90,"S",100),_xlfn.SWITCH(O190,"F",0,"E",10,"D",20,"D+",30,"C",40,"C+",50,"B",60,"B+",70,"A",80,"A+",90,"S",100),_xlfn.SWITCH(P190,"F",0,"E",10,"D",20,"D+",30,"C",40,"C+",50,"B",60,"B+",70,"A",80,"A+",90,"S",100)),{0,15,25,35,45,55,65,75,85,95},{"D","D","D+","C","C+","B","B+","A","A+","S"}),"?")</f>
        <v>?</v>
      </c>
      <c r="U190" s="27" t="s">
        <v>1083</v>
      </c>
      <c r="V190" s="28" t="s">
        <v>1084</v>
      </c>
      <c r="W190" s="29" t="s">
        <v>1085</v>
      </c>
      <c r="X190" s="26"/>
      <c r="Y190" s="26"/>
      <c r="Z190" s="26"/>
      <c r="AA190" s="19"/>
      <c r="AB190" s="19"/>
    </row>
    <row r="191" spans="1:30" ht="21">
      <c r="A191" s="5" t="s">
        <v>1086</v>
      </c>
      <c r="B191" s="5" t="s">
        <v>918</v>
      </c>
      <c r="C191" s="13"/>
      <c r="D191" s="13"/>
      <c r="E191" s="13"/>
      <c r="F191" s="13"/>
      <c r="G191" s="13"/>
      <c r="H191" s="7"/>
      <c r="I191" s="7"/>
      <c r="K191" s="24" t="s">
        <v>1087</v>
      </c>
      <c r="L191" s="25" t="s">
        <v>1088</v>
      </c>
      <c r="M191" s="19"/>
      <c r="N191" s="19"/>
      <c r="O191" s="19"/>
      <c r="P191" s="19"/>
      <c r="Q191" s="19" t="str">
        <f>IF(AND(ISNUMBER(MATCH(M191,{"F","E","D","D+","C","C+","B","B+","A","A+","S"},0)),ISNUMBER(MATCH(N191,{"F","E","D","D+","C","C+","B","B+","A","A+","S"},0)),ISNUMBER(MATCH(O191,{"F","E","D","D+","C","C+","B","B+","A","A+","S"},0)),ISNUMBER(MATCH(P191,{"F","E","D","D+","C","C+","B","B+","A","A+","S"},0))),LOOKUP(AVERAGE(_xlfn.SWITCH(M191,"F",0,"E",10,"D",20,"D+",30,"C",40,"C+",50,"B",60,"B+",70,"A",80,"A+",90,"S",100),_xlfn.SWITCH(N191,"F",0,"E",10,"D",20,"D+",30,"C",40,"C+",50,"B",60,"B+",70,"A",80,"A+",90,"S",100),_xlfn.SWITCH(O191,"F",0,"E",10,"D",20,"D+",30,"C",40,"C+",50,"B",60,"B+",70,"A",80,"A+",90,"S",100),_xlfn.SWITCH(P191,"F",0,"E",10,"D",20,"D+",30,"C",40,"C+",50,"B",60,"B+",70,"A",80,"A+",90,"S",100)),{0,15,25,35,45,55,65,75,85,95},{"D","D","D+","C","C+","B","B+","A","A+","S"}),"?")</f>
        <v>?</v>
      </c>
      <c r="U191" s="27" t="s">
        <v>1089</v>
      </c>
      <c r="V191" s="28" t="s">
        <v>1090</v>
      </c>
      <c r="W191" s="29" t="s">
        <v>1091</v>
      </c>
      <c r="X191" s="26"/>
      <c r="Y191" s="26"/>
      <c r="Z191" s="26"/>
      <c r="AA191" s="19"/>
      <c r="AB191" s="19"/>
    </row>
    <row r="192" spans="1:30" ht="21">
      <c r="A192" s="5" t="s">
        <v>1092</v>
      </c>
      <c r="B192" s="5" t="s">
        <v>151</v>
      </c>
      <c r="C192" s="13"/>
      <c r="D192" s="13"/>
      <c r="E192" s="13"/>
      <c r="F192" s="13"/>
      <c r="G192" s="13"/>
      <c r="H192" s="7"/>
      <c r="I192" s="7"/>
      <c r="K192" s="24" t="s">
        <v>1093</v>
      </c>
      <c r="L192" s="25" t="s">
        <v>1094</v>
      </c>
      <c r="M192" s="19"/>
      <c r="N192" s="19"/>
      <c r="O192" s="19"/>
      <c r="P192" s="19"/>
      <c r="Q192" s="19" t="str">
        <f>IF(AND(ISNUMBER(MATCH(M192,{"F","E","D","D+","C","C+","B","B+","A","A+","S"},0)),ISNUMBER(MATCH(N192,{"F","E","D","D+","C","C+","B","B+","A","A+","S"},0)),ISNUMBER(MATCH(O192,{"F","E","D","D+","C","C+","B","B+","A","A+","S"},0)),ISNUMBER(MATCH(P192,{"F","E","D","D+","C","C+","B","B+","A","A+","S"},0))),LOOKUP(AVERAGE(_xlfn.SWITCH(M192,"F",0,"E",10,"D",20,"D+",30,"C",40,"C+",50,"B",60,"B+",70,"A",80,"A+",90,"S",100),_xlfn.SWITCH(N192,"F",0,"E",10,"D",20,"D+",30,"C",40,"C+",50,"B",60,"B+",70,"A",80,"A+",90,"S",100),_xlfn.SWITCH(O192,"F",0,"E",10,"D",20,"D+",30,"C",40,"C+",50,"B",60,"B+",70,"A",80,"A+",90,"S",100),_xlfn.SWITCH(P192,"F",0,"E",10,"D",20,"D+",30,"C",40,"C+",50,"B",60,"B+",70,"A",80,"A+",90,"S",100)),{0,15,25,35,45,55,65,75,85,95},{"D","D","D+","C","C+","B","B+","A","A+","S"}),"?")</f>
        <v>?</v>
      </c>
      <c r="U192" s="27" t="s">
        <v>1095</v>
      </c>
      <c r="V192" s="28" t="s">
        <v>1096</v>
      </c>
      <c r="W192" s="29" t="s">
        <v>1097</v>
      </c>
      <c r="X192" s="26"/>
      <c r="Y192" s="26"/>
      <c r="Z192" s="26"/>
      <c r="AA192" s="19"/>
      <c r="AB192" s="19"/>
    </row>
    <row r="193" spans="1:28" ht="21">
      <c r="A193" s="5" t="s">
        <v>1098</v>
      </c>
      <c r="B193" s="5" t="s">
        <v>1099</v>
      </c>
      <c r="C193" s="13"/>
      <c r="D193" s="13"/>
      <c r="E193" s="13"/>
      <c r="F193" s="13"/>
      <c r="G193" s="13"/>
      <c r="H193" s="7"/>
      <c r="I193" s="7"/>
      <c r="K193" s="24" t="s">
        <v>853</v>
      </c>
      <c r="L193" s="25" t="s">
        <v>854</v>
      </c>
      <c r="M193" s="19"/>
      <c r="N193" s="19"/>
      <c r="O193" s="19"/>
      <c r="P193" s="19"/>
      <c r="Q193" s="19" t="str">
        <f>IF(AND(ISNUMBER(MATCH(M193,{"F","E","D","D+","C","C+","B","B+","A","A+","S"},0)),ISNUMBER(MATCH(N193,{"F","E","D","D+","C","C+","B","B+","A","A+","S"},0)),ISNUMBER(MATCH(O193,{"F","E","D","D+","C","C+","B","B+","A","A+","S"},0)),ISNUMBER(MATCH(P193,{"F","E","D","D+","C","C+","B","B+","A","A+","S"},0))),LOOKUP(AVERAGE(_xlfn.SWITCH(M193,"F",0,"E",10,"D",20,"D+",30,"C",40,"C+",50,"B",60,"B+",70,"A",80,"A+",90,"S",100),_xlfn.SWITCH(N193,"F",0,"E",10,"D",20,"D+",30,"C",40,"C+",50,"B",60,"B+",70,"A",80,"A+",90,"S",100),_xlfn.SWITCH(O193,"F",0,"E",10,"D",20,"D+",30,"C",40,"C+",50,"B",60,"B+",70,"A",80,"A+",90,"S",100),_xlfn.SWITCH(P193,"F",0,"E",10,"D",20,"D+",30,"C",40,"C+",50,"B",60,"B+",70,"A",80,"A+",90,"S",100)),{0,15,25,35,45,55,65,75,85,95},{"D","D","D+","C","C+","B","B+","A","A+","S"}),"?")</f>
        <v>?</v>
      </c>
      <c r="U193" s="27" t="s">
        <v>1100</v>
      </c>
      <c r="V193" s="28" t="s">
        <v>1101</v>
      </c>
      <c r="W193" s="29" t="s">
        <v>1102</v>
      </c>
      <c r="X193" s="26"/>
      <c r="Y193" s="26"/>
      <c r="Z193" s="26"/>
      <c r="AA193" s="19"/>
      <c r="AB193" s="19"/>
    </row>
    <row r="194" spans="1:28" ht="21">
      <c r="A194" s="5" t="s">
        <v>1103</v>
      </c>
      <c r="B194" s="5" t="s">
        <v>1104</v>
      </c>
      <c r="C194" s="13"/>
      <c r="D194" s="13"/>
      <c r="E194" s="13"/>
      <c r="F194" s="13"/>
      <c r="G194" s="13"/>
      <c r="H194" s="7"/>
      <c r="I194" s="7"/>
      <c r="K194" s="24" t="s">
        <v>725</v>
      </c>
      <c r="L194" s="25" t="s">
        <v>726</v>
      </c>
      <c r="M194" s="19"/>
      <c r="N194" s="19"/>
      <c r="O194" s="19"/>
      <c r="P194" s="19"/>
      <c r="Q194" s="19" t="str">
        <f>IF(AND(ISNUMBER(MATCH(M194,{"F","E","D","D+","C","C+","B","B+","A","A+","S"},0)),ISNUMBER(MATCH(N194,{"F","E","D","D+","C","C+","B","B+","A","A+","S"},0)),ISNUMBER(MATCH(O194,{"F","E","D","D+","C","C+","B","B+","A","A+","S"},0)),ISNUMBER(MATCH(P194,{"F","E","D","D+","C","C+","B","B+","A","A+","S"},0))),LOOKUP(AVERAGE(_xlfn.SWITCH(M194,"F",0,"E",10,"D",20,"D+",30,"C",40,"C+",50,"B",60,"B+",70,"A",80,"A+",90,"S",100),_xlfn.SWITCH(N194,"F",0,"E",10,"D",20,"D+",30,"C",40,"C+",50,"B",60,"B+",70,"A",80,"A+",90,"S",100),_xlfn.SWITCH(O194,"F",0,"E",10,"D",20,"D+",30,"C",40,"C+",50,"B",60,"B+",70,"A",80,"A+",90,"S",100),_xlfn.SWITCH(P194,"F",0,"E",10,"D",20,"D+",30,"C",40,"C+",50,"B",60,"B+",70,"A",80,"A+",90,"S",100)),{0,15,25,35,45,55,65,75,85,95},{"D","D","D+","C","C+","B","B+","A","A+","S"}),"?")</f>
        <v>?</v>
      </c>
      <c r="U194" s="27" t="s">
        <v>1105</v>
      </c>
      <c r="V194" s="28" t="s">
        <v>1106</v>
      </c>
      <c r="W194" s="29" t="s">
        <v>1107</v>
      </c>
      <c r="X194" s="26"/>
      <c r="Y194" s="26"/>
      <c r="Z194" s="26"/>
      <c r="AA194" s="19"/>
      <c r="AB194" s="19"/>
    </row>
    <row r="195" spans="1:28" ht="21">
      <c r="A195" s="5" t="s">
        <v>1108</v>
      </c>
      <c r="B195" s="5" t="s">
        <v>970</v>
      </c>
      <c r="C195" s="13"/>
      <c r="D195" s="13"/>
      <c r="E195" s="13"/>
      <c r="F195" s="13"/>
      <c r="G195" s="13"/>
      <c r="H195" s="7"/>
      <c r="I195" s="7"/>
      <c r="K195" s="24" t="s">
        <v>731</v>
      </c>
      <c r="L195" s="25" t="s">
        <v>732</v>
      </c>
      <c r="M195" s="19"/>
      <c r="N195" s="19"/>
      <c r="O195" s="19"/>
      <c r="P195" s="19"/>
      <c r="Q195" s="19" t="str">
        <f>IF(AND(ISNUMBER(MATCH(M195,{"F","E","D","D+","C","C+","B","B+","A","A+","S"},0)),ISNUMBER(MATCH(N195,{"F","E","D","D+","C","C+","B","B+","A","A+","S"},0)),ISNUMBER(MATCH(O195,{"F","E","D","D+","C","C+","B","B+","A","A+","S"},0)),ISNUMBER(MATCH(P195,{"F","E","D","D+","C","C+","B","B+","A","A+","S"},0))),LOOKUP(AVERAGE(_xlfn.SWITCH(M195,"F",0,"E",10,"D",20,"D+",30,"C",40,"C+",50,"B",60,"B+",70,"A",80,"A+",90,"S",100),_xlfn.SWITCH(N195,"F",0,"E",10,"D",20,"D+",30,"C",40,"C+",50,"B",60,"B+",70,"A",80,"A+",90,"S",100),_xlfn.SWITCH(O195,"F",0,"E",10,"D",20,"D+",30,"C",40,"C+",50,"B",60,"B+",70,"A",80,"A+",90,"S",100),_xlfn.SWITCH(P195,"F",0,"E",10,"D",20,"D+",30,"C",40,"C+",50,"B",60,"B+",70,"A",80,"A+",90,"S",100)),{0,15,25,35,45,55,65,75,85,95},{"D","D","D+","C","C+","B","B+","A","A+","S"}),"?")</f>
        <v>?</v>
      </c>
      <c r="U195" s="27" t="s">
        <v>1109</v>
      </c>
      <c r="V195" s="28" t="s">
        <v>1110</v>
      </c>
      <c r="W195" s="29" t="s">
        <v>726</v>
      </c>
      <c r="X195" s="26"/>
      <c r="Y195" s="26"/>
      <c r="Z195" s="26"/>
      <c r="AA195" s="19"/>
      <c r="AB195" s="19"/>
    </row>
    <row r="196" spans="1:28" ht="21">
      <c r="A196" s="5" t="s">
        <v>1111</v>
      </c>
      <c r="B196" s="5" t="s">
        <v>1112</v>
      </c>
      <c r="C196" s="13"/>
      <c r="D196" s="13"/>
      <c r="E196" s="13"/>
      <c r="F196" s="13"/>
      <c r="G196" s="13"/>
      <c r="H196" s="7"/>
      <c r="I196" s="7"/>
      <c r="K196" s="24" t="s">
        <v>1113</v>
      </c>
      <c r="L196" s="25" t="s">
        <v>1114</v>
      </c>
      <c r="M196" s="19"/>
      <c r="N196" s="19"/>
      <c r="O196" s="19"/>
      <c r="P196" s="19"/>
      <c r="Q196" s="19" t="str">
        <f>IF(AND(ISNUMBER(MATCH(M196,{"F","E","D","D+","C","C+","B","B+","A","A+","S"},0)),ISNUMBER(MATCH(N196,{"F","E","D","D+","C","C+","B","B+","A","A+","S"},0)),ISNUMBER(MATCH(O196,{"F","E","D","D+","C","C+","B","B+","A","A+","S"},0)),ISNUMBER(MATCH(P196,{"F","E","D","D+","C","C+","B","B+","A","A+","S"},0))),LOOKUP(AVERAGE(_xlfn.SWITCH(M196,"F",0,"E",10,"D",20,"D+",30,"C",40,"C+",50,"B",60,"B+",70,"A",80,"A+",90,"S",100),_xlfn.SWITCH(N196,"F",0,"E",10,"D",20,"D+",30,"C",40,"C+",50,"B",60,"B+",70,"A",80,"A+",90,"S",100),_xlfn.SWITCH(O196,"F",0,"E",10,"D",20,"D+",30,"C",40,"C+",50,"B",60,"B+",70,"A",80,"A+",90,"S",100),_xlfn.SWITCH(P196,"F",0,"E",10,"D",20,"D+",30,"C",40,"C+",50,"B",60,"B+",70,"A",80,"A+",90,"S",100)),{0,15,25,35,45,55,65,75,85,95},{"D","D","D+","C","C+","B","B+","A","A+","S"}),"?")</f>
        <v>?</v>
      </c>
      <c r="U196" s="27" t="s">
        <v>1115</v>
      </c>
      <c r="V196" s="28" t="s">
        <v>1116</v>
      </c>
      <c r="W196" s="29" t="s">
        <v>1117</v>
      </c>
      <c r="X196" s="26"/>
      <c r="Y196" s="26"/>
      <c r="Z196" s="26"/>
      <c r="AA196" s="19"/>
      <c r="AB196" s="19"/>
    </row>
    <row r="197" spans="1:28" ht="21">
      <c r="A197" s="5" t="s">
        <v>1118</v>
      </c>
      <c r="B197" s="5" t="s">
        <v>1119</v>
      </c>
      <c r="C197" s="13"/>
      <c r="D197" s="13"/>
      <c r="E197" s="13"/>
      <c r="F197" s="13"/>
      <c r="G197" s="13"/>
      <c r="H197" s="7"/>
      <c r="I197" s="7"/>
      <c r="K197" s="24" t="s">
        <v>642</v>
      </c>
      <c r="L197" s="25" t="s">
        <v>643</v>
      </c>
      <c r="M197" s="19"/>
      <c r="N197" s="19"/>
      <c r="O197" s="19"/>
      <c r="P197" s="19"/>
      <c r="Q197" s="19" t="str">
        <f>IF(AND(ISNUMBER(MATCH(M197,{"F","E","D","D+","C","C+","B","B+","A","A+","S"},0)),ISNUMBER(MATCH(N197,{"F","E","D","D+","C","C+","B","B+","A","A+","S"},0)),ISNUMBER(MATCH(O197,{"F","E","D","D+","C","C+","B","B+","A","A+","S"},0)),ISNUMBER(MATCH(P197,{"F","E","D","D+","C","C+","B","B+","A","A+","S"},0))),LOOKUP(AVERAGE(_xlfn.SWITCH(M197,"F",0,"E",10,"D",20,"D+",30,"C",40,"C+",50,"B",60,"B+",70,"A",80,"A+",90,"S",100),_xlfn.SWITCH(N197,"F",0,"E",10,"D",20,"D+",30,"C",40,"C+",50,"B",60,"B+",70,"A",80,"A+",90,"S",100),_xlfn.SWITCH(O197,"F",0,"E",10,"D",20,"D+",30,"C",40,"C+",50,"B",60,"B+",70,"A",80,"A+",90,"S",100),_xlfn.SWITCH(P197,"F",0,"E",10,"D",20,"D+",30,"C",40,"C+",50,"B",60,"B+",70,"A",80,"A+",90,"S",100)),{0,15,25,35,45,55,65,75,85,95},{"D","D","D+","C","C+","B","B+","A","A+","S"}),"?")</f>
        <v>?</v>
      </c>
      <c r="U197" s="27" t="s">
        <v>1120</v>
      </c>
      <c r="V197" s="28" t="s">
        <v>1121</v>
      </c>
      <c r="W197" s="29" t="s">
        <v>1122</v>
      </c>
      <c r="X197" s="26"/>
      <c r="Y197" s="26"/>
      <c r="Z197" s="26"/>
      <c r="AA197" s="19"/>
      <c r="AB197" s="19"/>
    </row>
    <row r="198" spans="1:28" ht="21">
      <c r="A198" s="5" t="s">
        <v>1123</v>
      </c>
      <c r="B198" s="5" t="s">
        <v>1124</v>
      </c>
      <c r="C198" s="13"/>
      <c r="D198" s="13"/>
      <c r="E198" s="13"/>
      <c r="F198" s="13"/>
      <c r="G198" s="13"/>
      <c r="H198" s="7"/>
      <c r="I198" s="7"/>
      <c r="K198" s="24" t="s">
        <v>1125</v>
      </c>
      <c r="L198" s="25" t="s">
        <v>1126</v>
      </c>
      <c r="M198" s="19"/>
      <c r="N198" s="19"/>
      <c r="O198" s="19"/>
      <c r="P198" s="19"/>
      <c r="Q198" s="19" t="str">
        <f>IF(AND(ISNUMBER(MATCH(M198,{"F","E","D","D+","C","C+","B","B+","A","A+","S"},0)),ISNUMBER(MATCH(N198,{"F","E","D","D+","C","C+","B","B+","A","A+","S"},0)),ISNUMBER(MATCH(O198,{"F","E","D","D+","C","C+","B","B+","A","A+","S"},0)),ISNUMBER(MATCH(P198,{"F","E","D","D+","C","C+","B","B+","A","A+","S"},0))),LOOKUP(AVERAGE(_xlfn.SWITCH(M198,"F",0,"E",10,"D",20,"D+",30,"C",40,"C+",50,"B",60,"B+",70,"A",80,"A+",90,"S",100),_xlfn.SWITCH(N198,"F",0,"E",10,"D",20,"D+",30,"C",40,"C+",50,"B",60,"B+",70,"A",80,"A+",90,"S",100),_xlfn.SWITCH(O198,"F",0,"E",10,"D",20,"D+",30,"C",40,"C+",50,"B",60,"B+",70,"A",80,"A+",90,"S",100),_xlfn.SWITCH(P198,"F",0,"E",10,"D",20,"D+",30,"C",40,"C+",50,"B",60,"B+",70,"A",80,"A+",90,"S",100)),{0,15,25,35,45,55,65,75,85,95},{"D","D","D+","C","C+","B","B+","A","A+","S"}),"?")</f>
        <v>?</v>
      </c>
      <c r="U198" s="27" t="s">
        <v>1127</v>
      </c>
      <c r="V198" s="28" t="s">
        <v>1128</v>
      </c>
      <c r="W198" s="29" t="s">
        <v>1129</v>
      </c>
      <c r="X198" s="26"/>
      <c r="Y198" s="26"/>
      <c r="Z198" s="26"/>
      <c r="AA198" s="19"/>
      <c r="AB198" s="19"/>
    </row>
    <row r="199" spans="1:28" ht="21">
      <c r="A199" s="5" t="s">
        <v>1130</v>
      </c>
      <c r="B199" s="5" t="s">
        <v>1131</v>
      </c>
      <c r="C199" s="13"/>
      <c r="D199" s="13"/>
      <c r="E199" s="13"/>
      <c r="F199" s="13"/>
      <c r="G199" s="13"/>
      <c r="H199" s="7"/>
      <c r="I199" s="7"/>
      <c r="K199" s="24" t="s">
        <v>1132</v>
      </c>
      <c r="L199" s="25" t="s">
        <v>1133</v>
      </c>
      <c r="M199" s="19"/>
      <c r="N199" s="19"/>
      <c r="O199" s="19"/>
      <c r="P199" s="19"/>
      <c r="Q199" s="19" t="str">
        <f>IF(AND(ISNUMBER(MATCH(M199,{"F","E","D","D+","C","C+","B","B+","A","A+","S"},0)),ISNUMBER(MATCH(N199,{"F","E","D","D+","C","C+","B","B+","A","A+","S"},0)),ISNUMBER(MATCH(O199,{"F","E","D","D+","C","C+","B","B+","A","A+","S"},0)),ISNUMBER(MATCH(P199,{"F","E","D","D+","C","C+","B","B+","A","A+","S"},0))),LOOKUP(AVERAGE(_xlfn.SWITCH(M199,"F",0,"E",10,"D",20,"D+",30,"C",40,"C+",50,"B",60,"B+",70,"A",80,"A+",90,"S",100),_xlfn.SWITCH(N199,"F",0,"E",10,"D",20,"D+",30,"C",40,"C+",50,"B",60,"B+",70,"A",80,"A+",90,"S",100),_xlfn.SWITCH(O199,"F",0,"E",10,"D",20,"D+",30,"C",40,"C+",50,"B",60,"B+",70,"A",80,"A+",90,"S",100),_xlfn.SWITCH(P199,"F",0,"E",10,"D",20,"D+",30,"C",40,"C+",50,"B",60,"B+",70,"A",80,"A+",90,"S",100)),{0,15,25,35,45,55,65,75,85,95},{"D","D","D+","C","C+","B","B+","A","A+","S"}),"?")</f>
        <v>?</v>
      </c>
      <c r="U199" s="27" t="s">
        <v>1134</v>
      </c>
      <c r="V199" s="28" t="s">
        <v>1135</v>
      </c>
      <c r="W199" s="29" t="s">
        <v>1136</v>
      </c>
      <c r="X199" s="26"/>
      <c r="Y199" s="26"/>
      <c r="Z199" s="26"/>
      <c r="AA199" s="19"/>
      <c r="AB199" s="19"/>
    </row>
    <row r="200" spans="1:28" ht="21">
      <c r="A200" s="5" t="s">
        <v>1137</v>
      </c>
      <c r="B200" s="5" t="s">
        <v>1138</v>
      </c>
      <c r="C200" s="13"/>
      <c r="D200" s="13"/>
      <c r="E200" s="13"/>
      <c r="F200" s="13"/>
      <c r="G200" s="13"/>
      <c r="H200" s="7"/>
      <c r="I200" s="7"/>
      <c r="K200" s="24" t="s">
        <v>1139</v>
      </c>
      <c r="L200" s="25" t="s">
        <v>1140</v>
      </c>
      <c r="M200" s="19"/>
      <c r="N200" s="19"/>
      <c r="O200" s="19"/>
      <c r="P200" s="19"/>
      <c r="Q200" s="19" t="str">
        <f>IF(AND(ISNUMBER(MATCH(M200,{"F","E","D","D+","C","C+","B","B+","A","A+","S"},0)),ISNUMBER(MATCH(N200,{"F","E","D","D+","C","C+","B","B+","A","A+","S"},0)),ISNUMBER(MATCH(O200,{"F","E","D","D+","C","C+","B","B+","A","A+","S"},0)),ISNUMBER(MATCH(P200,{"F","E","D","D+","C","C+","B","B+","A","A+","S"},0))),LOOKUP(AVERAGE(_xlfn.SWITCH(M200,"F",0,"E",10,"D",20,"D+",30,"C",40,"C+",50,"B",60,"B+",70,"A",80,"A+",90,"S",100),_xlfn.SWITCH(N200,"F",0,"E",10,"D",20,"D+",30,"C",40,"C+",50,"B",60,"B+",70,"A",80,"A+",90,"S",100),_xlfn.SWITCH(O200,"F",0,"E",10,"D",20,"D+",30,"C",40,"C+",50,"B",60,"B+",70,"A",80,"A+",90,"S",100),_xlfn.SWITCH(P200,"F",0,"E",10,"D",20,"D+",30,"C",40,"C+",50,"B",60,"B+",70,"A",80,"A+",90,"S",100)),{0,15,25,35,45,55,65,75,85,95},{"D","D","D+","C","C+","B","B+","A","A+","S"}),"?")</f>
        <v>?</v>
      </c>
      <c r="U200" s="27" t="s">
        <v>1141</v>
      </c>
      <c r="V200" s="28" t="s">
        <v>1142</v>
      </c>
      <c r="W200" s="29" t="s">
        <v>1143</v>
      </c>
      <c r="X200" s="26"/>
      <c r="Y200" s="26"/>
      <c r="Z200" s="26"/>
      <c r="AA200" s="19"/>
      <c r="AB200" s="19"/>
    </row>
    <row r="201" spans="1:28" ht="21">
      <c r="A201" s="5" t="s">
        <v>1144</v>
      </c>
      <c r="B201" s="5" t="s">
        <v>1145</v>
      </c>
      <c r="C201" s="13"/>
      <c r="D201" s="13"/>
      <c r="E201" s="13"/>
      <c r="F201" s="13"/>
      <c r="G201" s="13"/>
      <c r="H201" s="7"/>
      <c r="I201" s="7"/>
      <c r="K201" s="24" t="s">
        <v>600</v>
      </c>
      <c r="L201" s="25" t="s">
        <v>601</v>
      </c>
      <c r="M201" s="19"/>
      <c r="N201" s="19"/>
      <c r="O201" s="19"/>
      <c r="P201" s="19"/>
      <c r="Q201" s="19" t="str">
        <f>IF(AND(ISNUMBER(MATCH(M201,{"F","E","D","D+","C","C+","B","B+","A","A+","S"},0)),ISNUMBER(MATCH(N201,{"F","E","D","D+","C","C+","B","B+","A","A+","S"},0)),ISNUMBER(MATCH(O201,{"F","E","D","D+","C","C+","B","B+","A","A+","S"},0)),ISNUMBER(MATCH(P201,{"F","E","D","D+","C","C+","B","B+","A","A+","S"},0))),LOOKUP(AVERAGE(_xlfn.SWITCH(M201,"F",0,"E",10,"D",20,"D+",30,"C",40,"C+",50,"B",60,"B+",70,"A",80,"A+",90,"S",100),_xlfn.SWITCH(N201,"F",0,"E",10,"D",20,"D+",30,"C",40,"C+",50,"B",60,"B+",70,"A",80,"A+",90,"S",100),_xlfn.SWITCH(O201,"F",0,"E",10,"D",20,"D+",30,"C",40,"C+",50,"B",60,"B+",70,"A",80,"A+",90,"S",100),_xlfn.SWITCH(P201,"F",0,"E",10,"D",20,"D+",30,"C",40,"C+",50,"B",60,"B+",70,"A",80,"A+",90,"S",100)),{0,15,25,35,45,55,65,75,85,95},{"D","D","D+","C","C+","B","B+","A","A+","S"}),"?")</f>
        <v>?</v>
      </c>
      <c r="U201" s="27" t="s">
        <v>1146</v>
      </c>
      <c r="V201" s="28" t="s">
        <v>1147</v>
      </c>
      <c r="W201" s="29" t="s">
        <v>1148</v>
      </c>
      <c r="X201" s="26"/>
      <c r="Y201" s="26"/>
      <c r="Z201" s="26"/>
      <c r="AA201" s="19"/>
      <c r="AB201" s="19"/>
    </row>
    <row r="202" spans="1:28" ht="21">
      <c r="A202" s="5" t="s">
        <v>1149</v>
      </c>
      <c r="B202" s="5" t="s">
        <v>918</v>
      </c>
      <c r="C202" s="13"/>
      <c r="D202" s="13"/>
      <c r="E202" s="13"/>
      <c r="F202" s="13"/>
      <c r="G202" s="13"/>
      <c r="H202" s="7"/>
      <c r="I202" s="7"/>
      <c r="K202" s="24" t="s">
        <v>1150</v>
      </c>
      <c r="L202" s="25" t="s">
        <v>1151</v>
      </c>
      <c r="M202" s="19"/>
      <c r="N202" s="19"/>
      <c r="O202" s="19"/>
      <c r="P202" s="19"/>
      <c r="Q202" s="19" t="str">
        <f>IF(AND(ISNUMBER(MATCH(M202,{"F","E","D","D+","C","C+","B","B+","A","A+","S"},0)),ISNUMBER(MATCH(N202,{"F","E","D","D+","C","C+","B","B+","A","A+","S"},0)),ISNUMBER(MATCH(O202,{"F","E","D","D+","C","C+","B","B+","A","A+","S"},0)),ISNUMBER(MATCH(P202,{"F","E","D","D+","C","C+","B","B+","A","A+","S"},0))),LOOKUP(AVERAGE(_xlfn.SWITCH(M202,"F",0,"E",10,"D",20,"D+",30,"C",40,"C+",50,"B",60,"B+",70,"A",80,"A+",90,"S",100),_xlfn.SWITCH(N202,"F",0,"E",10,"D",20,"D+",30,"C",40,"C+",50,"B",60,"B+",70,"A",80,"A+",90,"S",100),_xlfn.SWITCH(O202,"F",0,"E",10,"D",20,"D+",30,"C",40,"C+",50,"B",60,"B+",70,"A",80,"A+",90,"S",100),_xlfn.SWITCH(P202,"F",0,"E",10,"D",20,"D+",30,"C",40,"C+",50,"B",60,"B+",70,"A",80,"A+",90,"S",100)),{0,15,25,35,45,55,65,75,85,95},{"D","D","D+","C","C+","B","B+","A","A+","S"}),"?")</f>
        <v>?</v>
      </c>
      <c r="U202" s="27" t="s">
        <v>1152</v>
      </c>
      <c r="V202" s="28" t="s">
        <v>1153</v>
      </c>
      <c r="W202" s="29" t="s">
        <v>1154</v>
      </c>
      <c r="X202" s="26"/>
      <c r="Y202" s="26"/>
      <c r="Z202" s="26"/>
      <c r="AA202" s="19"/>
      <c r="AB202" s="19"/>
    </row>
    <row r="203" spans="1:28" ht="21">
      <c r="A203" s="5" t="s">
        <v>1155</v>
      </c>
      <c r="B203" s="5" t="s">
        <v>942</v>
      </c>
      <c r="C203" s="13"/>
      <c r="D203" s="13"/>
      <c r="E203" s="13"/>
      <c r="F203" s="13"/>
      <c r="G203" s="13"/>
      <c r="H203" s="7"/>
      <c r="I203" s="7"/>
      <c r="K203" s="24" t="s">
        <v>637</v>
      </c>
      <c r="L203" s="25" t="s">
        <v>638</v>
      </c>
      <c r="M203" s="19"/>
      <c r="N203" s="19"/>
      <c r="O203" s="19"/>
      <c r="P203" s="19"/>
      <c r="Q203" s="19" t="str">
        <f>IF(AND(ISNUMBER(MATCH(M203,{"F","E","D","D+","C","C+","B","B+","A","A+","S"},0)),ISNUMBER(MATCH(N203,{"F","E","D","D+","C","C+","B","B+","A","A+","S"},0)),ISNUMBER(MATCH(O203,{"F","E","D","D+","C","C+","B","B+","A","A+","S"},0)),ISNUMBER(MATCH(P203,{"F","E","D","D+","C","C+","B","B+","A","A+","S"},0))),LOOKUP(AVERAGE(_xlfn.SWITCH(M203,"F",0,"E",10,"D",20,"D+",30,"C",40,"C+",50,"B",60,"B+",70,"A",80,"A+",90,"S",100),_xlfn.SWITCH(N203,"F",0,"E",10,"D",20,"D+",30,"C",40,"C+",50,"B",60,"B+",70,"A",80,"A+",90,"S",100),_xlfn.SWITCH(O203,"F",0,"E",10,"D",20,"D+",30,"C",40,"C+",50,"B",60,"B+",70,"A",80,"A+",90,"S",100),_xlfn.SWITCH(P203,"F",0,"E",10,"D",20,"D+",30,"C",40,"C+",50,"B",60,"B+",70,"A",80,"A+",90,"S",100)),{0,15,25,35,45,55,65,75,85,95},{"D","D","D+","C","C+","B","B+","A","A+","S"}),"?")</f>
        <v>?</v>
      </c>
      <c r="U203" s="27" t="s">
        <v>1156</v>
      </c>
      <c r="V203" s="28" t="s">
        <v>1157</v>
      </c>
      <c r="W203" s="29" t="s">
        <v>1158</v>
      </c>
      <c r="X203" s="26"/>
      <c r="Y203" s="26"/>
      <c r="Z203" s="26"/>
      <c r="AA203" s="19"/>
      <c r="AB203" s="19"/>
    </row>
    <row r="204" spans="1:28" ht="21">
      <c r="A204" s="5" t="s">
        <v>1159</v>
      </c>
      <c r="B204" s="5" t="s">
        <v>159</v>
      </c>
      <c r="C204" s="13"/>
      <c r="D204" s="13"/>
      <c r="E204" s="13"/>
      <c r="F204" s="13"/>
      <c r="G204" s="13"/>
      <c r="H204" s="7"/>
      <c r="I204" s="7"/>
      <c r="K204" s="24" t="s">
        <v>1160</v>
      </c>
      <c r="L204" s="25" t="s">
        <v>1161</v>
      </c>
      <c r="M204" s="19"/>
      <c r="N204" s="19"/>
      <c r="O204" s="19"/>
      <c r="P204" s="19"/>
      <c r="Q204" s="19" t="str">
        <f>IF(AND(ISNUMBER(MATCH(M204,{"F","E","D","D+","C","C+","B","B+","A","A+","S"},0)),ISNUMBER(MATCH(N204,{"F","E","D","D+","C","C+","B","B+","A","A+","S"},0)),ISNUMBER(MATCH(O204,{"F","E","D","D+","C","C+","B","B+","A","A+","S"},0)),ISNUMBER(MATCH(P204,{"F","E","D","D+","C","C+","B","B+","A","A+","S"},0))),LOOKUP(AVERAGE(_xlfn.SWITCH(M204,"F",0,"E",10,"D",20,"D+",30,"C",40,"C+",50,"B",60,"B+",70,"A",80,"A+",90,"S",100),_xlfn.SWITCH(N204,"F",0,"E",10,"D",20,"D+",30,"C",40,"C+",50,"B",60,"B+",70,"A",80,"A+",90,"S",100),_xlfn.SWITCH(O204,"F",0,"E",10,"D",20,"D+",30,"C",40,"C+",50,"B",60,"B+",70,"A",80,"A+",90,"S",100),_xlfn.SWITCH(P204,"F",0,"E",10,"D",20,"D+",30,"C",40,"C+",50,"B",60,"B+",70,"A",80,"A+",90,"S",100)),{0,15,25,35,45,55,65,75,85,95},{"D","D","D+","C","C+","B","B+","A","A+","S"}),"?")</f>
        <v>?</v>
      </c>
      <c r="U204" s="27" t="s">
        <v>1162</v>
      </c>
      <c r="V204" s="28" t="s">
        <v>1163</v>
      </c>
      <c r="W204" s="29" t="s">
        <v>1164</v>
      </c>
      <c r="X204" s="26"/>
      <c r="Y204" s="26"/>
      <c r="Z204" s="26"/>
      <c r="AA204" s="19"/>
      <c r="AB204" s="19"/>
    </row>
    <row r="205" spans="1:28" ht="21">
      <c r="A205" s="5" t="s">
        <v>1165</v>
      </c>
      <c r="B205" s="5" t="s">
        <v>288</v>
      </c>
      <c r="C205" s="13"/>
      <c r="D205" s="13"/>
      <c r="E205" s="13"/>
      <c r="F205" s="13"/>
      <c r="G205" s="13"/>
      <c r="H205" s="7"/>
      <c r="I205" s="7"/>
      <c r="K205" s="24" t="s">
        <v>777</v>
      </c>
      <c r="L205" s="25" t="s">
        <v>778</v>
      </c>
      <c r="M205" s="19"/>
      <c r="N205" s="19"/>
      <c r="O205" s="19"/>
      <c r="P205" s="19"/>
      <c r="Q205" s="19" t="str">
        <f>IF(AND(ISNUMBER(MATCH(M205,{"F","E","D","D+","C","C+","B","B+","A","A+","S"},0)),ISNUMBER(MATCH(N205,{"F","E","D","D+","C","C+","B","B+","A","A+","S"},0)),ISNUMBER(MATCH(O205,{"F","E","D","D+","C","C+","B","B+","A","A+","S"},0)),ISNUMBER(MATCH(P205,{"F","E","D","D+","C","C+","B","B+","A","A+","S"},0))),LOOKUP(AVERAGE(_xlfn.SWITCH(M205,"F",0,"E",10,"D",20,"D+",30,"C",40,"C+",50,"B",60,"B+",70,"A",80,"A+",90,"S",100),_xlfn.SWITCH(N205,"F",0,"E",10,"D",20,"D+",30,"C",40,"C+",50,"B",60,"B+",70,"A",80,"A+",90,"S",100),_xlfn.SWITCH(O205,"F",0,"E",10,"D",20,"D+",30,"C",40,"C+",50,"B",60,"B+",70,"A",80,"A+",90,"S",100),_xlfn.SWITCH(P205,"F",0,"E",10,"D",20,"D+",30,"C",40,"C+",50,"B",60,"B+",70,"A",80,"A+",90,"S",100)),{0,15,25,35,45,55,65,75,85,95},{"D","D","D+","C","C+","B","B+","A","A+","S"}),"?")</f>
        <v>?</v>
      </c>
      <c r="U205" s="27" t="s">
        <v>1166</v>
      </c>
      <c r="V205" s="28" t="s">
        <v>1167</v>
      </c>
      <c r="W205" s="29" t="s">
        <v>1168</v>
      </c>
      <c r="X205" s="26"/>
      <c r="Y205" s="26"/>
      <c r="Z205" s="26"/>
      <c r="AA205" s="19"/>
      <c r="AB205" s="19"/>
    </row>
    <row r="206" spans="1:28" ht="21">
      <c r="A206" s="5" t="s">
        <v>1169</v>
      </c>
      <c r="B206" s="5" t="s">
        <v>933</v>
      </c>
      <c r="C206" s="13"/>
      <c r="D206" s="13"/>
      <c r="E206" s="13"/>
      <c r="F206" s="13"/>
      <c r="G206" s="13"/>
      <c r="H206" s="7"/>
      <c r="I206" s="7"/>
      <c r="K206" s="24" t="s">
        <v>1170</v>
      </c>
      <c r="L206" s="25" t="s">
        <v>1171</v>
      </c>
      <c r="M206" s="19"/>
      <c r="N206" s="19"/>
      <c r="O206" s="19"/>
      <c r="P206" s="19"/>
      <c r="Q206" s="19" t="str">
        <f>IF(AND(ISNUMBER(MATCH(M206,{"F","E","D","D+","C","C+","B","B+","A","A+","S"},0)),ISNUMBER(MATCH(N206,{"F","E","D","D+","C","C+","B","B+","A","A+","S"},0)),ISNUMBER(MATCH(O206,{"F","E","D","D+","C","C+","B","B+","A","A+","S"},0)),ISNUMBER(MATCH(P206,{"F","E","D","D+","C","C+","B","B+","A","A+","S"},0))),LOOKUP(AVERAGE(_xlfn.SWITCH(M206,"F",0,"E",10,"D",20,"D+",30,"C",40,"C+",50,"B",60,"B+",70,"A",80,"A+",90,"S",100),_xlfn.SWITCH(N206,"F",0,"E",10,"D",20,"D+",30,"C",40,"C+",50,"B",60,"B+",70,"A",80,"A+",90,"S",100),_xlfn.SWITCH(O206,"F",0,"E",10,"D",20,"D+",30,"C",40,"C+",50,"B",60,"B+",70,"A",80,"A+",90,"S",100),_xlfn.SWITCH(P206,"F",0,"E",10,"D",20,"D+",30,"C",40,"C+",50,"B",60,"B+",70,"A",80,"A+",90,"S",100)),{0,15,25,35,45,55,65,75,85,95},{"D","D","D+","C","C+","B","B+","A","A+","S"}),"?")</f>
        <v>?</v>
      </c>
      <c r="U206" s="27" t="s">
        <v>1172</v>
      </c>
      <c r="V206" s="28" t="s">
        <v>1173</v>
      </c>
      <c r="W206" s="29" t="s">
        <v>1174</v>
      </c>
      <c r="X206" s="26"/>
      <c r="Y206" s="26"/>
      <c r="Z206" s="26"/>
      <c r="AA206" s="19"/>
      <c r="AB206" s="19"/>
    </row>
    <row r="207" spans="1:28" ht="21">
      <c r="A207" s="5" t="s">
        <v>1175</v>
      </c>
      <c r="B207" s="5" t="s">
        <v>875</v>
      </c>
      <c r="C207" s="13"/>
      <c r="D207" s="13"/>
      <c r="E207" s="13"/>
      <c r="F207" s="13"/>
      <c r="G207" s="13"/>
      <c r="H207" s="7"/>
      <c r="I207" s="7"/>
      <c r="K207" s="24" t="s">
        <v>1176</v>
      </c>
      <c r="L207" s="25" t="s">
        <v>1177</v>
      </c>
      <c r="M207" s="19"/>
      <c r="N207" s="19"/>
      <c r="O207" s="19"/>
      <c r="P207" s="19"/>
      <c r="Q207" s="19" t="str">
        <f>IF(AND(ISNUMBER(MATCH(M207,{"F","E","D","D+","C","C+","B","B+","A","A+","S"},0)),ISNUMBER(MATCH(N207,{"F","E","D","D+","C","C+","B","B+","A","A+","S"},0)),ISNUMBER(MATCH(O207,{"F","E","D","D+","C","C+","B","B+","A","A+","S"},0)),ISNUMBER(MATCH(P207,{"F","E","D","D+","C","C+","B","B+","A","A+","S"},0))),LOOKUP(AVERAGE(_xlfn.SWITCH(M207,"F",0,"E",10,"D",20,"D+",30,"C",40,"C+",50,"B",60,"B+",70,"A",80,"A+",90,"S",100),_xlfn.SWITCH(N207,"F",0,"E",10,"D",20,"D+",30,"C",40,"C+",50,"B",60,"B+",70,"A",80,"A+",90,"S",100),_xlfn.SWITCH(O207,"F",0,"E",10,"D",20,"D+",30,"C",40,"C+",50,"B",60,"B+",70,"A",80,"A+",90,"S",100),_xlfn.SWITCH(P207,"F",0,"E",10,"D",20,"D+",30,"C",40,"C+",50,"B",60,"B+",70,"A",80,"A+",90,"S",100)),{0,15,25,35,45,55,65,75,85,95},{"D","D","D+","C","C+","B","B+","A","A+","S"}),"?")</f>
        <v>?</v>
      </c>
      <c r="U207" s="27" t="s">
        <v>1178</v>
      </c>
      <c r="V207" s="28" t="s">
        <v>1179</v>
      </c>
      <c r="W207" s="29" t="s">
        <v>1180</v>
      </c>
      <c r="X207" s="26"/>
      <c r="Y207" s="26"/>
      <c r="Z207" s="26"/>
      <c r="AA207" s="19"/>
      <c r="AB207" s="19"/>
    </row>
    <row r="208" spans="1:28" ht="21">
      <c r="A208" s="5" t="s">
        <v>1181</v>
      </c>
      <c r="B208" s="5" t="s">
        <v>1182</v>
      </c>
      <c r="C208" s="13"/>
      <c r="D208" s="13"/>
      <c r="E208" s="13"/>
      <c r="F208" s="13"/>
      <c r="G208" s="13"/>
      <c r="H208" s="7"/>
      <c r="I208" s="7"/>
      <c r="K208" s="24" t="s">
        <v>1183</v>
      </c>
      <c r="L208" s="25" t="s">
        <v>1184</v>
      </c>
      <c r="M208" s="19"/>
      <c r="N208" s="19"/>
      <c r="O208" s="19"/>
      <c r="P208" s="19"/>
      <c r="Q208" s="19" t="str">
        <f>IF(AND(ISNUMBER(MATCH(M208,{"F","E","D","D+","C","C+","B","B+","A","A+","S"},0)),ISNUMBER(MATCH(N208,{"F","E","D","D+","C","C+","B","B+","A","A+","S"},0)),ISNUMBER(MATCH(O208,{"F","E","D","D+","C","C+","B","B+","A","A+","S"},0)),ISNUMBER(MATCH(P208,{"F","E","D","D+","C","C+","B","B+","A","A+","S"},0))),LOOKUP(AVERAGE(_xlfn.SWITCH(M208,"F",0,"E",10,"D",20,"D+",30,"C",40,"C+",50,"B",60,"B+",70,"A",80,"A+",90,"S",100),_xlfn.SWITCH(N208,"F",0,"E",10,"D",20,"D+",30,"C",40,"C+",50,"B",60,"B+",70,"A",80,"A+",90,"S",100),_xlfn.SWITCH(O208,"F",0,"E",10,"D",20,"D+",30,"C",40,"C+",50,"B",60,"B+",70,"A",80,"A+",90,"S",100),_xlfn.SWITCH(P208,"F",0,"E",10,"D",20,"D+",30,"C",40,"C+",50,"B",60,"B+",70,"A",80,"A+",90,"S",100)),{0,15,25,35,45,55,65,75,85,95},{"D","D","D+","C","C+","B","B+","A","A+","S"}),"?")</f>
        <v>?</v>
      </c>
      <c r="U208" s="27" t="s">
        <v>1185</v>
      </c>
      <c r="V208" s="28" t="s">
        <v>1186</v>
      </c>
      <c r="W208" s="29" t="s">
        <v>1187</v>
      </c>
      <c r="X208" s="26"/>
      <c r="Y208" s="26"/>
      <c r="Z208" s="26"/>
      <c r="AA208" s="19"/>
      <c r="AB208" s="19"/>
    </row>
    <row r="209" spans="1:28" ht="21">
      <c r="A209" s="5" t="s">
        <v>1188</v>
      </c>
      <c r="B209" s="5" t="s">
        <v>911</v>
      </c>
      <c r="C209" s="13"/>
      <c r="D209" s="13"/>
      <c r="E209" s="13"/>
      <c r="F209" s="13"/>
      <c r="G209" s="13"/>
      <c r="H209" s="7"/>
      <c r="I209" s="7"/>
      <c r="K209" s="24" t="s">
        <v>739</v>
      </c>
      <c r="L209" s="25" t="s">
        <v>740</v>
      </c>
      <c r="M209" s="19"/>
      <c r="N209" s="19"/>
      <c r="O209" s="19"/>
      <c r="P209" s="19"/>
      <c r="Q209" s="19" t="str">
        <f>IF(AND(ISNUMBER(MATCH(M209,{"F","E","D","D+","C","C+","B","B+","A","A+","S"},0)),ISNUMBER(MATCH(N209,{"F","E","D","D+","C","C+","B","B+","A","A+","S"},0)),ISNUMBER(MATCH(O209,{"F","E","D","D+","C","C+","B","B+","A","A+","S"},0)),ISNUMBER(MATCH(P209,{"F","E","D","D+","C","C+","B","B+","A","A+","S"},0))),LOOKUP(AVERAGE(_xlfn.SWITCH(M209,"F",0,"E",10,"D",20,"D+",30,"C",40,"C+",50,"B",60,"B+",70,"A",80,"A+",90,"S",100),_xlfn.SWITCH(N209,"F",0,"E",10,"D",20,"D+",30,"C",40,"C+",50,"B",60,"B+",70,"A",80,"A+",90,"S",100),_xlfn.SWITCH(O209,"F",0,"E",10,"D",20,"D+",30,"C",40,"C+",50,"B",60,"B+",70,"A",80,"A+",90,"S",100),_xlfn.SWITCH(P209,"F",0,"E",10,"D",20,"D+",30,"C",40,"C+",50,"B",60,"B+",70,"A",80,"A+",90,"S",100)),{0,15,25,35,45,55,65,75,85,95},{"D","D","D+","C","C+","B","B+","A","A+","S"}),"?")</f>
        <v>?</v>
      </c>
      <c r="U209" s="27" t="s">
        <v>1189</v>
      </c>
      <c r="V209" s="28" t="s">
        <v>1190</v>
      </c>
      <c r="W209" s="29" t="s">
        <v>1191</v>
      </c>
      <c r="X209" s="26"/>
      <c r="Y209" s="26"/>
      <c r="Z209" s="26"/>
      <c r="AA209" s="19"/>
      <c r="AB209" s="19"/>
    </row>
    <row r="210" spans="1:28" ht="21">
      <c r="A210" s="5" t="s">
        <v>1192</v>
      </c>
      <c r="B210" s="5" t="s">
        <v>1193</v>
      </c>
      <c r="C210" s="13"/>
      <c r="D210" s="13"/>
      <c r="E210" s="13"/>
      <c r="F210" s="13"/>
      <c r="G210" s="13"/>
      <c r="H210" s="7"/>
      <c r="I210" s="7"/>
      <c r="K210" s="24" t="s">
        <v>720</v>
      </c>
      <c r="L210" s="25" t="s">
        <v>721</v>
      </c>
      <c r="M210" s="19"/>
      <c r="N210" s="19"/>
      <c r="O210" s="19"/>
      <c r="P210" s="19"/>
      <c r="Q210" s="19" t="str">
        <f>IF(AND(ISNUMBER(MATCH(M210,{"F","E","D","D+","C","C+","B","B+","A","A+","S"},0)),ISNUMBER(MATCH(N210,{"F","E","D","D+","C","C+","B","B+","A","A+","S"},0)),ISNUMBER(MATCH(O210,{"F","E","D","D+","C","C+","B","B+","A","A+","S"},0)),ISNUMBER(MATCH(P210,{"F","E","D","D+","C","C+","B","B+","A","A+","S"},0))),LOOKUP(AVERAGE(_xlfn.SWITCH(M210,"F",0,"E",10,"D",20,"D+",30,"C",40,"C+",50,"B",60,"B+",70,"A",80,"A+",90,"S",100),_xlfn.SWITCH(N210,"F",0,"E",10,"D",20,"D+",30,"C",40,"C+",50,"B",60,"B+",70,"A",80,"A+",90,"S",100),_xlfn.SWITCH(O210,"F",0,"E",10,"D",20,"D+",30,"C",40,"C+",50,"B",60,"B+",70,"A",80,"A+",90,"S",100),_xlfn.SWITCH(P210,"F",0,"E",10,"D",20,"D+",30,"C",40,"C+",50,"B",60,"B+",70,"A",80,"A+",90,"S",100)),{0,15,25,35,45,55,65,75,85,95},{"D","D","D+","C","C+","B","B+","A","A+","S"}),"?")</f>
        <v>?</v>
      </c>
      <c r="U210" s="27" t="s">
        <v>1194</v>
      </c>
      <c r="V210" s="28" t="s">
        <v>1195</v>
      </c>
      <c r="W210" s="29" t="s">
        <v>1196</v>
      </c>
      <c r="X210" s="26"/>
      <c r="Y210" s="26"/>
      <c r="Z210" s="26"/>
      <c r="AA210" s="19"/>
      <c r="AB210" s="19"/>
    </row>
    <row r="211" spans="1:28" ht="21">
      <c r="A211" s="5" t="s">
        <v>1197</v>
      </c>
      <c r="B211" s="5" t="s">
        <v>1198</v>
      </c>
      <c r="C211" s="13"/>
      <c r="D211" s="13"/>
      <c r="E211" s="13"/>
      <c r="F211" s="13"/>
      <c r="G211" s="13"/>
      <c r="H211" s="7"/>
      <c r="I211" s="7"/>
      <c r="K211" s="24" t="s">
        <v>563</v>
      </c>
      <c r="L211" s="25" t="s">
        <v>564</v>
      </c>
      <c r="M211" s="19"/>
      <c r="N211" s="19"/>
      <c r="O211" s="19"/>
      <c r="P211" s="19"/>
      <c r="Q211" s="19" t="str">
        <f>IF(AND(ISNUMBER(MATCH(M211,{"F","E","D","D+","C","C+","B","B+","A","A+","S"},0)),ISNUMBER(MATCH(N211,{"F","E","D","D+","C","C+","B","B+","A","A+","S"},0)),ISNUMBER(MATCH(O211,{"F","E","D","D+","C","C+","B","B+","A","A+","S"},0)),ISNUMBER(MATCH(P211,{"F","E","D","D+","C","C+","B","B+","A","A+","S"},0))),LOOKUP(AVERAGE(_xlfn.SWITCH(M211,"F",0,"E",10,"D",20,"D+",30,"C",40,"C+",50,"B",60,"B+",70,"A",80,"A+",90,"S",100),_xlfn.SWITCH(N211,"F",0,"E",10,"D",20,"D+",30,"C",40,"C+",50,"B",60,"B+",70,"A",80,"A+",90,"S",100),_xlfn.SWITCH(O211,"F",0,"E",10,"D",20,"D+",30,"C",40,"C+",50,"B",60,"B+",70,"A",80,"A+",90,"S",100),_xlfn.SWITCH(P211,"F",0,"E",10,"D",20,"D+",30,"C",40,"C+",50,"B",60,"B+",70,"A",80,"A+",90,"S",100)),{0,15,25,35,45,55,65,75,85,95},{"D","D","D+","C","C+","B","B+","A","A+","S"}),"?")</f>
        <v>?</v>
      </c>
      <c r="U211" s="27" t="s">
        <v>1199</v>
      </c>
      <c r="V211" s="28" t="s">
        <v>1200</v>
      </c>
      <c r="W211" s="29" t="s">
        <v>1201</v>
      </c>
      <c r="X211" s="26"/>
      <c r="Y211" s="26"/>
      <c r="Z211" s="26"/>
      <c r="AA211" s="19"/>
      <c r="AB211" s="19"/>
    </row>
    <row r="212" spans="1:28" ht="21">
      <c r="A212" s="5" t="s">
        <v>1202</v>
      </c>
      <c r="B212" s="5" t="s">
        <v>869</v>
      </c>
      <c r="C212" s="13"/>
      <c r="D212" s="13"/>
      <c r="E212" s="13"/>
      <c r="F212" s="13"/>
      <c r="G212" s="13"/>
      <c r="H212" s="7"/>
      <c r="I212" s="7"/>
      <c r="K212" s="24" t="s">
        <v>1203</v>
      </c>
      <c r="L212" s="35" t="s">
        <v>1204</v>
      </c>
      <c r="M212" s="19"/>
      <c r="N212" s="19"/>
      <c r="O212" s="19"/>
      <c r="P212" s="19"/>
      <c r="Q212" s="19" t="str">
        <f>IF(AND(ISNUMBER(MATCH(M212,{"F","E","D","D+","C","C+","B","B+","A","A+","S"},0)),ISNUMBER(MATCH(N212,{"F","E","D","D+","C","C+","B","B+","A","A+","S"},0)),ISNUMBER(MATCH(O212,{"F","E","D","D+","C","C+","B","B+","A","A+","S"},0)),ISNUMBER(MATCH(P212,{"F","E","D","D+","C","C+","B","B+","A","A+","S"},0))),LOOKUP(AVERAGE(_xlfn.SWITCH(M212,"F",0,"E",10,"D",20,"D+",30,"C",40,"C+",50,"B",60,"B+",70,"A",80,"A+",90,"S",100),_xlfn.SWITCH(N212,"F",0,"E",10,"D",20,"D+",30,"C",40,"C+",50,"B",60,"B+",70,"A",80,"A+",90,"S",100),_xlfn.SWITCH(O212,"F",0,"E",10,"D",20,"D+",30,"C",40,"C+",50,"B",60,"B+",70,"A",80,"A+",90,"S",100),_xlfn.SWITCH(P212,"F",0,"E",10,"D",20,"D+",30,"C",40,"C+",50,"B",60,"B+",70,"A",80,"A+",90,"S",100)),{0,15,25,35,45,55,65,75,85,95},{"D","D","D+","C","C+","B","B+","A","A+","S"}),"?")</f>
        <v>?</v>
      </c>
      <c r="U212" s="27" t="s">
        <v>1205</v>
      </c>
      <c r="V212" s="28" t="s">
        <v>1206</v>
      </c>
      <c r="W212" s="29" t="s">
        <v>1207</v>
      </c>
      <c r="X212" s="26"/>
      <c r="Y212" s="26"/>
      <c r="Z212" s="26"/>
      <c r="AA212" s="19"/>
      <c r="AB212" s="19"/>
    </row>
    <row r="213" spans="1:28" ht="21">
      <c r="A213" s="5" t="s">
        <v>1208</v>
      </c>
      <c r="B213" s="5" t="s">
        <v>1012</v>
      </c>
      <c r="C213" s="13"/>
      <c r="D213" s="13"/>
      <c r="E213" s="13"/>
      <c r="F213" s="13"/>
      <c r="G213" s="13"/>
      <c r="H213" s="7"/>
      <c r="I213" s="7"/>
      <c r="K213" s="24" t="s">
        <v>1209</v>
      </c>
      <c r="L213" s="25" t="s">
        <v>1210</v>
      </c>
      <c r="M213" s="19"/>
      <c r="N213" s="19"/>
      <c r="O213" s="19"/>
      <c r="P213" s="19"/>
      <c r="Q213" s="19" t="str">
        <f>IF(AND(ISNUMBER(MATCH(M213,{"F","E","D","D+","C","C+","B","B+","A","A+","S"},0)),ISNUMBER(MATCH(N213,{"F","E","D","D+","C","C+","B","B+","A","A+","S"},0)),ISNUMBER(MATCH(O213,{"F","E","D","D+","C","C+","B","B+","A","A+","S"},0)),ISNUMBER(MATCH(P213,{"F","E","D","D+","C","C+","B","B+","A","A+","S"},0))),LOOKUP(AVERAGE(_xlfn.SWITCH(M213,"F",0,"E",10,"D",20,"D+",30,"C",40,"C+",50,"B",60,"B+",70,"A",80,"A+",90,"S",100),_xlfn.SWITCH(N213,"F",0,"E",10,"D",20,"D+",30,"C",40,"C+",50,"B",60,"B+",70,"A",80,"A+",90,"S",100),_xlfn.SWITCH(O213,"F",0,"E",10,"D",20,"D+",30,"C",40,"C+",50,"B",60,"B+",70,"A",80,"A+",90,"S",100),_xlfn.SWITCH(P213,"F",0,"E",10,"D",20,"D+",30,"C",40,"C+",50,"B",60,"B+",70,"A",80,"A+",90,"S",100)),{0,15,25,35,45,55,65,75,85,95},{"D","D","D+","C","C+","B","B+","A","A+","S"}),"?")</f>
        <v>?</v>
      </c>
      <c r="U213" s="27" t="s">
        <v>1211</v>
      </c>
      <c r="V213" s="28" t="s">
        <v>1212</v>
      </c>
      <c r="W213" s="29" t="s">
        <v>1213</v>
      </c>
      <c r="X213" s="26"/>
      <c r="Y213" s="26"/>
      <c r="Z213" s="26"/>
      <c r="AA213" s="19"/>
      <c r="AB213" s="19"/>
    </row>
    <row r="214" spans="1:28" ht="21">
      <c r="A214" s="5" t="s">
        <v>1214</v>
      </c>
      <c r="B214" s="5" t="s">
        <v>108</v>
      </c>
      <c r="C214" s="13"/>
      <c r="D214" s="13"/>
      <c r="E214" s="13"/>
      <c r="F214" s="13"/>
      <c r="G214" s="13"/>
      <c r="H214" s="7"/>
      <c r="I214" s="7"/>
      <c r="K214" s="24" t="s">
        <v>532</v>
      </c>
      <c r="L214" s="25" t="s">
        <v>533</v>
      </c>
      <c r="M214" s="19"/>
      <c r="N214" s="19"/>
      <c r="O214" s="19"/>
      <c r="P214" s="19"/>
      <c r="Q214" s="19" t="str">
        <f>IF(AND(ISNUMBER(MATCH(M214,{"F","E","D","D+","C","C+","B","B+","A","A+","S"},0)),ISNUMBER(MATCH(N214,{"F","E","D","D+","C","C+","B","B+","A","A+","S"},0)),ISNUMBER(MATCH(O214,{"F","E","D","D+","C","C+","B","B+","A","A+","S"},0)),ISNUMBER(MATCH(P214,{"F","E","D","D+","C","C+","B","B+","A","A+","S"},0))),LOOKUP(AVERAGE(_xlfn.SWITCH(M214,"F",0,"E",10,"D",20,"D+",30,"C",40,"C+",50,"B",60,"B+",70,"A",80,"A+",90,"S",100),_xlfn.SWITCH(N214,"F",0,"E",10,"D",20,"D+",30,"C",40,"C+",50,"B",60,"B+",70,"A",80,"A+",90,"S",100),_xlfn.SWITCH(O214,"F",0,"E",10,"D",20,"D+",30,"C",40,"C+",50,"B",60,"B+",70,"A",80,"A+",90,"S",100),_xlfn.SWITCH(P214,"F",0,"E",10,"D",20,"D+",30,"C",40,"C+",50,"B",60,"B+",70,"A",80,"A+",90,"S",100)),{0,15,25,35,45,55,65,75,85,95},{"D","D","D+","C","C+","B","B+","A","A+","S"}),"?")</f>
        <v>?</v>
      </c>
      <c r="U214" s="27" t="s">
        <v>1215</v>
      </c>
      <c r="V214" s="28" t="s">
        <v>1216</v>
      </c>
      <c r="W214" s="29" t="s">
        <v>601</v>
      </c>
      <c r="X214" s="26"/>
      <c r="Y214" s="26"/>
      <c r="Z214" s="26"/>
      <c r="AA214" s="19"/>
      <c r="AB214" s="19"/>
    </row>
    <row r="215" spans="1:28" ht="21">
      <c r="A215" s="5" t="s">
        <v>1217</v>
      </c>
      <c r="B215" s="5" t="s">
        <v>1218</v>
      </c>
      <c r="C215" s="13"/>
      <c r="D215" s="13"/>
      <c r="E215" s="13"/>
      <c r="F215" s="13"/>
      <c r="G215" s="13"/>
      <c r="H215" s="7"/>
      <c r="I215" s="7"/>
      <c r="K215" s="24" t="s">
        <v>770</v>
      </c>
      <c r="L215" s="25" t="s">
        <v>1219</v>
      </c>
      <c r="M215" s="19"/>
      <c r="N215" s="19"/>
      <c r="O215" s="19"/>
      <c r="P215" s="19"/>
      <c r="Q215" s="19" t="str">
        <f>IF(AND(ISNUMBER(MATCH(M215,{"F","E","D","D+","C","C+","B","B+","A","A+","S"},0)),ISNUMBER(MATCH(N215,{"F","E","D","D+","C","C+","B","B+","A","A+","S"},0)),ISNUMBER(MATCH(O215,{"F","E","D","D+","C","C+","B","B+","A","A+","S"},0)),ISNUMBER(MATCH(P215,{"F","E","D","D+","C","C+","B","B+","A","A+","S"},0))),LOOKUP(AVERAGE(_xlfn.SWITCH(M215,"F",0,"E",10,"D",20,"D+",30,"C",40,"C+",50,"B",60,"B+",70,"A",80,"A+",90,"S",100),_xlfn.SWITCH(N215,"F",0,"E",10,"D",20,"D+",30,"C",40,"C+",50,"B",60,"B+",70,"A",80,"A+",90,"S",100),_xlfn.SWITCH(O215,"F",0,"E",10,"D",20,"D+",30,"C",40,"C+",50,"B",60,"B+",70,"A",80,"A+",90,"S",100),_xlfn.SWITCH(P215,"F",0,"E",10,"D",20,"D+",30,"C",40,"C+",50,"B",60,"B+",70,"A",80,"A+",90,"S",100)),{0,15,25,35,45,55,65,75,85,95},{"D","D","D+","C","C+","B","B+","A","A+","S"}),"?")</f>
        <v>?</v>
      </c>
      <c r="U215" s="27" t="s">
        <v>1220</v>
      </c>
      <c r="V215" s="28" t="s">
        <v>1221</v>
      </c>
      <c r="W215" s="29" t="s">
        <v>1222</v>
      </c>
      <c r="X215" s="26"/>
      <c r="Y215" s="26"/>
      <c r="Z215" s="26"/>
      <c r="AA215" s="19"/>
      <c r="AB215" s="19"/>
    </row>
    <row r="216" spans="1:28" ht="21">
      <c r="A216" s="5" t="s">
        <v>1223</v>
      </c>
      <c r="B216" s="5" t="s">
        <v>1224</v>
      </c>
      <c r="C216" s="13"/>
      <c r="D216" s="13"/>
      <c r="E216" s="13"/>
      <c r="F216" s="13"/>
      <c r="G216" s="13"/>
      <c r="H216" s="7"/>
      <c r="I216" s="7"/>
      <c r="K216" s="24" t="s">
        <v>1225</v>
      </c>
      <c r="L216" s="25" t="s">
        <v>1226</v>
      </c>
      <c r="M216" s="19"/>
      <c r="N216" s="19"/>
      <c r="O216" s="19"/>
      <c r="P216" s="19"/>
      <c r="Q216" s="19" t="str">
        <f>IF(AND(ISNUMBER(MATCH(M216,{"F","E","D","D+","C","C+","B","B+","A","A+","S"},0)),ISNUMBER(MATCH(N216,{"F","E","D","D+","C","C+","B","B+","A","A+","S"},0)),ISNUMBER(MATCH(O216,{"F","E","D","D+","C","C+","B","B+","A","A+","S"},0)),ISNUMBER(MATCH(P216,{"F","E","D","D+","C","C+","B","B+","A","A+","S"},0))),LOOKUP(AVERAGE(_xlfn.SWITCH(M216,"F",0,"E",10,"D",20,"D+",30,"C",40,"C+",50,"B",60,"B+",70,"A",80,"A+",90,"S",100),_xlfn.SWITCH(N216,"F",0,"E",10,"D",20,"D+",30,"C",40,"C+",50,"B",60,"B+",70,"A",80,"A+",90,"S",100),_xlfn.SWITCH(O216,"F",0,"E",10,"D",20,"D+",30,"C",40,"C+",50,"B",60,"B+",70,"A",80,"A+",90,"S",100),_xlfn.SWITCH(P216,"F",0,"E",10,"D",20,"D+",30,"C",40,"C+",50,"B",60,"B+",70,"A",80,"A+",90,"S",100)),{0,15,25,35,45,55,65,75,85,95},{"D","D","D+","C","C+","B","B+","A","A+","S"}),"?")</f>
        <v>?</v>
      </c>
      <c r="U216" s="27" t="s">
        <v>1227</v>
      </c>
      <c r="V216" s="28" t="s">
        <v>1228</v>
      </c>
      <c r="W216" s="29" t="s">
        <v>1229</v>
      </c>
      <c r="X216" s="26"/>
      <c r="Y216" s="26"/>
      <c r="Z216" s="26"/>
      <c r="AA216" s="19"/>
      <c r="AB216" s="19"/>
    </row>
    <row r="217" spans="1:28" ht="21">
      <c r="A217" s="5" t="s">
        <v>1230</v>
      </c>
      <c r="B217" s="5" t="s">
        <v>1231</v>
      </c>
      <c r="C217" s="13"/>
      <c r="D217" s="13"/>
      <c r="E217" s="13"/>
      <c r="F217" s="13"/>
      <c r="G217" s="13"/>
      <c r="H217" s="7"/>
      <c r="I217" s="7"/>
      <c r="K217" s="24" t="s">
        <v>1232</v>
      </c>
      <c r="L217" s="25" t="s">
        <v>1233</v>
      </c>
      <c r="M217" s="19"/>
      <c r="N217" s="19"/>
      <c r="O217" s="19"/>
      <c r="P217" s="19"/>
      <c r="Q217" s="19" t="str">
        <f>IF(AND(ISNUMBER(MATCH(M217,{"F","E","D","D+","C","C+","B","B+","A","A+","S"},0)),ISNUMBER(MATCH(N217,{"F","E","D","D+","C","C+","B","B+","A","A+","S"},0)),ISNUMBER(MATCH(O217,{"F","E","D","D+","C","C+","B","B+","A","A+","S"},0)),ISNUMBER(MATCH(P217,{"F","E","D","D+","C","C+","B","B+","A","A+","S"},0))),LOOKUP(AVERAGE(_xlfn.SWITCH(M217,"F",0,"E",10,"D",20,"D+",30,"C",40,"C+",50,"B",60,"B+",70,"A",80,"A+",90,"S",100),_xlfn.SWITCH(N217,"F",0,"E",10,"D",20,"D+",30,"C",40,"C+",50,"B",60,"B+",70,"A",80,"A+",90,"S",100),_xlfn.SWITCH(O217,"F",0,"E",10,"D",20,"D+",30,"C",40,"C+",50,"B",60,"B+",70,"A",80,"A+",90,"S",100),_xlfn.SWITCH(P217,"F",0,"E",10,"D",20,"D+",30,"C",40,"C+",50,"B",60,"B+",70,"A",80,"A+",90,"S",100)),{0,15,25,35,45,55,65,75,85,95},{"D","D","D+","C","C+","B","B+","A","A+","S"}),"?")</f>
        <v>?</v>
      </c>
      <c r="U217" s="27" t="s">
        <v>1234</v>
      </c>
      <c r="V217" s="28" t="s">
        <v>1235</v>
      </c>
      <c r="W217" s="29" t="s">
        <v>1236</v>
      </c>
      <c r="X217" s="26"/>
      <c r="Y217" s="26"/>
      <c r="Z217" s="26"/>
      <c r="AA217" s="19"/>
      <c r="AB217" s="19"/>
    </row>
    <row r="218" spans="1:28" ht="21">
      <c r="A218" s="5" t="s">
        <v>1237</v>
      </c>
      <c r="B218" s="5" t="s">
        <v>1238</v>
      </c>
      <c r="C218" s="13"/>
      <c r="D218" s="13"/>
      <c r="E218" s="13"/>
      <c r="F218" s="13"/>
      <c r="G218" s="13"/>
      <c r="H218" s="7"/>
      <c r="I218" s="7"/>
      <c r="K218" s="24" t="s">
        <v>1239</v>
      </c>
      <c r="L218" s="25" t="s">
        <v>1240</v>
      </c>
      <c r="M218" s="19"/>
      <c r="N218" s="19"/>
      <c r="O218" s="19"/>
      <c r="P218" s="19"/>
      <c r="Q218" s="19" t="str">
        <f>IF(AND(ISNUMBER(MATCH(M218,{"F","E","D","D+","C","C+","B","B+","A","A+","S"},0)),ISNUMBER(MATCH(N218,{"F","E","D","D+","C","C+","B","B+","A","A+","S"},0)),ISNUMBER(MATCH(O218,{"F","E","D","D+","C","C+","B","B+","A","A+","S"},0)),ISNUMBER(MATCH(P218,{"F","E","D","D+","C","C+","B","B+","A","A+","S"},0))),LOOKUP(AVERAGE(_xlfn.SWITCH(M218,"F",0,"E",10,"D",20,"D+",30,"C",40,"C+",50,"B",60,"B+",70,"A",80,"A+",90,"S",100),_xlfn.SWITCH(N218,"F",0,"E",10,"D",20,"D+",30,"C",40,"C+",50,"B",60,"B+",70,"A",80,"A+",90,"S",100),_xlfn.SWITCH(O218,"F",0,"E",10,"D",20,"D+",30,"C",40,"C+",50,"B",60,"B+",70,"A",80,"A+",90,"S",100),_xlfn.SWITCH(P218,"F",0,"E",10,"D",20,"D+",30,"C",40,"C+",50,"B",60,"B+",70,"A",80,"A+",90,"S",100)),{0,15,25,35,45,55,65,75,85,95},{"D","D","D+","C","C+","B","B+","A","A+","S"}),"?")</f>
        <v>?</v>
      </c>
      <c r="U218" s="36"/>
      <c r="V218" s="37"/>
      <c r="W218" s="38"/>
      <c r="X218" s="39"/>
      <c r="Y218" s="39"/>
      <c r="Z218" s="39"/>
    </row>
    <row r="219" spans="1:28" ht="21">
      <c r="A219" s="5" t="s">
        <v>1241</v>
      </c>
      <c r="B219" s="5" t="s">
        <v>1242</v>
      </c>
      <c r="C219" s="13"/>
      <c r="D219" s="13"/>
      <c r="E219" s="13"/>
      <c r="F219" s="13"/>
      <c r="G219" s="13"/>
      <c r="H219" s="7"/>
      <c r="I219" s="7"/>
      <c r="K219" s="24" t="s">
        <v>1243</v>
      </c>
      <c r="L219" s="25" t="s">
        <v>1244</v>
      </c>
      <c r="M219" s="19"/>
      <c r="N219" s="19"/>
      <c r="O219" s="19"/>
      <c r="P219" s="19"/>
      <c r="Q219" s="19" t="str">
        <f>IF(AND(ISNUMBER(MATCH(M219,{"F","E","D","D+","C","C+","B","B+","A","A+","S"},0)),ISNUMBER(MATCH(N219,{"F","E","D","D+","C","C+","B","B+","A","A+","S"},0)),ISNUMBER(MATCH(O219,{"F","E","D","D+","C","C+","B","B+","A","A+","S"},0)),ISNUMBER(MATCH(P219,{"F","E","D","D+","C","C+","B","B+","A","A+","S"},0))),LOOKUP(AVERAGE(_xlfn.SWITCH(M219,"F",0,"E",10,"D",20,"D+",30,"C",40,"C+",50,"B",60,"B+",70,"A",80,"A+",90,"S",100),_xlfn.SWITCH(N219,"F",0,"E",10,"D",20,"D+",30,"C",40,"C+",50,"B",60,"B+",70,"A",80,"A+",90,"S",100),_xlfn.SWITCH(O219,"F",0,"E",10,"D",20,"D+",30,"C",40,"C+",50,"B",60,"B+",70,"A",80,"A+",90,"S",100),_xlfn.SWITCH(P219,"F",0,"E",10,"D",20,"D+",30,"C",40,"C+",50,"B",60,"B+",70,"A",80,"A+",90,"S",100)),{0,15,25,35,45,55,65,75,85,95},{"D","D","D+","C","C+","B","B+","A","A+","S"}),"?")</f>
        <v>?</v>
      </c>
      <c r="U219" s="36"/>
      <c r="V219" s="37"/>
      <c r="W219" s="38"/>
      <c r="X219" s="39"/>
      <c r="Y219" s="39"/>
      <c r="Z219" s="39"/>
    </row>
    <row r="220" spans="1:28" ht="21">
      <c r="A220" s="5" t="s">
        <v>1245</v>
      </c>
      <c r="B220" s="5" t="s">
        <v>1246</v>
      </c>
      <c r="C220" s="13"/>
      <c r="D220" s="13"/>
      <c r="E220" s="13"/>
      <c r="F220" s="13"/>
      <c r="G220" s="13"/>
      <c r="H220" s="7"/>
      <c r="I220" s="7"/>
      <c r="K220" s="24" t="s">
        <v>1247</v>
      </c>
      <c r="L220" s="25" t="s">
        <v>1248</v>
      </c>
      <c r="M220" s="19"/>
      <c r="N220" s="19"/>
      <c r="O220" s="19"/>
      <c r="P220" s="19"/>
      <c r="Q220" s="19" t="str">
        <f>IF(AND(ISNUMBER(MATCH(M220,{"F","E","D","D+","C","C+","B","B+","A","A+","S"},0)),ISNUMBER(MATCH(N220,{"F","E","D","D+","C","C+","B","B+","A","A+","S"},0)),ISNUMBER(MATCH(O220,{"F","E","D","D+","C","C+","B","B+","A","A+","S"},0)),ISNUMBER(MATCH(P220,{"F","E","D","D+","C","C+","B","B+","A","A+","S"},0))),LOOKUP(AVERAGE(_xlfn.SWITCH(M220,"F",0,"E",10,"D",20,"D+",30,"C",40,"C+",50,"B",60,"B+",70,"A",80,"A+",90,"S",100),_xlfn.SWITCH(N220,"F",0,"E",10,"D",20,"D+",30,"C",40,"C+",50,"B",60,"B+",70,"A",80,"A+",90,"S",100),_xlfn.SWITCH(O220,"F",0,"E",10,"D",20,"D+",30,"C",40,"C+",50,"B",60,"B+",70,"A",80,"A+",90,"S",100),_xlfn.SWITCH(P220,"F",0,"E",10,"D",20,"D+",30,"C",40,"C+",50,"B",60,"B+",70,"A",80,"A+",90,"S",100)),{0,15,25,35,45,55,65,75,85,95},{"D","D","D+","C","C+","B","B+","A","A+","S"}),"?")</f>
        <v>?</v>
      </c>
      <c r="U220" s="36"/>
      <c r="V220" s="37"/>
      <c r="W220" s="38"/>
      <c r="X220" s="39"/>
      <c r="Y220" s="39"/>
      <c r="Z220" s="39"/>
    </row>
    <row r="221" spans="1:28" ht="21">
      <c r="A221" s="5" t="s">
        <v>1249</v>
      </c>
      <c r="B221" s="5" t="s">
        <v>1250</v>
      </c>
      <c r="C221" s="13"/>
      <c r="D221" s="13"/>
      <c r="E221" s="13"/>
      <c r="F221" s="13"/>
      <c r="G221" s="13"/>
      <c r="H221" s="7"/>
      <c r="I221" s="7"/>
      <c r="K221" s="24" t="s">
        <v>1251</v>
      </c>
      <c r="L221" s="25" t="s">
        <v>1252</v>
      </c>
      <c r="M221" s="19"/>
      <c r="N221" s="19"/>
      <c r="O221" s="19"/>
      <c r="P221" s="19"/>
      <c r="Q221" s="19" t="str">
        <f>IF(AND(ISNUMBER(MATCH(M221,{"F","E","D","D+","C","C+","B","B+","A","A+","S"},0)),ISNUMBER(MATCH(N221,{"F","E","D","D+","C","C+","B","B+","A","A+","S"},0)),ISNUMBER(MATCH(O221,{"F","E","D","D+","C","C+","B","B+","A","A+","S"},0)),ISNUMBER(MATCH(P221,{"F","E","D","D+","C","C+","B","B+","A","A+","S"},0))),LOOKUP(AVERAGE(_xlfn.SWITCH(M221,"F",0,"E",10,"D",20,"D+",30,"C",40,"C+",50,"B",60,"B+",70,"A",80,"A+",90,"S",100),_xlfn.SWITCH(N221,"F",0,"E",10,"D",20,"D+",30,"C",40,"C+",50,"B",60,"B+",70,"A",80,"A+",90,"S",100),_xlfn.SWITCH(O221,"F",0,"E",10,"D",20,"D+",30,"C",40,"C+",50,"B",60,"B+",70,"A",80,"A+",90,"S",100),_xlfn.SWITCH(P221,"F",0,"E",10,"D",20,"D+",30,"C",40,"C+",50,"B",60,"B+",70,"A",80,"A+",90,"S",100)),{0,15,25,35,45,55,65,75,85,95},{"D","D","D+","C","C+","B","B+","A","A+","S"}),"?")</f>
        <v>?</v>
      </c>
      <c r="U221" s="36"/>
      <c r="V221" s="37"/>
      <c r="W221" s="38"/>
      <c r="X221" s="39"/>
      <c r="Y221" s="39"/>
      <c r="Z221" s="39"/>
    </row>
    <row r="222" spans="1:28" ht="15" customHeight="1">
      <c r="A222" s="536" t="s">
        <v>1253</v>
      </c>
      <c r="B222" s="531"/>
      <c r="C222" s="531"/>
      <c r="D222" s="531"/>
      <c r="E222" s="531"/>
      <c r="F222" s="531"/>
      <c r="G222" s="531"/>
      <c r="H222" s="531"/>
      <c r="I222" s="537"/>
      <c r="K222" s="24" t="s">
        <v>1254</v>
      </c>
      <c r="L222" s="25" t="s">
        <v>659</v>
      </c>
      <c r="M222" s="19"/>
      <c r="N222" s="19"/>
      <c r="O222" s="19"/>
      <c r="P222" s="19"/>
      <c r="Q222" s="19" t="str">
        <f>IF(AND(ISNUMBER(MATCH(M222,{"F","E","D","D+","C","C+","B","B+","A","A+","S"},0)),ISNUMBER(MATCH(N222,{"F","E","D","D+","C","C+","B","B+","A","A+","S"},0)),ISNUMBER(MATCH(O222,{"F","E","D","D+","C","C+","B","B+","A","A+","S"},0)),ISNUMBER(MATCH(P222,{"F","E","D","D+","C","C+","B","B+","A","A+","S"},0))),LOOKUP(AVERAGE(_xlfn.SWITCH(M222,"F",0,"E",10,"D",20,"D+",30,"C",40,"C+",50,"B",60,"B+",70,"A",80,"A+",90,"S",100),_xlfn.SWITCH(N222,"F",0,"E",10,"D",20,"D+",30,"C",40,"C+",50,"B",60,"B+",70,"A",80,"A+",90,"S",100),_xlfn.SWITCH(O222,"F",0,"E",10,"D",20,"D+",30,"C",40,"C+",50,"B",60,"B+",70,"A",80,"A+",90,"S",100),_xlfn.SWITCH(P222,"F",0,"E",10,"D",20,"D+",30,"C",40,"C+",50,"B",60,"B+",70,"A",80,"A+",90,"S",100)),{0,15,25,35,45,55,65,75,85,95},{"D","D","D+","C","C+","B","B+","A","A+","S"}),"?")</f>
        <v>?</v>
      </c>
      <c r="U222" s="36"/>
      <c r="V222" s="37"/>
      <c r="W222" s="38"/>
      <c r="X222" s="39"/>
      <c r="Y222" s="39"/>
      <c r="Z222" s="39"/>
    </row>
    <row r="223" spans="1:28" ht="16.5" customHeight="1">
      <c r="A223" s="538"/>
      <c r="B223" s="533"/>
      <c r="C223" s="533"/>
      <c r="D223" s="533"/>
      <c r="E223" s="533"/>
      <c r="F223" s="533"/>
      <c r="G223" s="533"/>
      <c r="H223" s="533"/>
      <c r="I223" s="539"/>
      <c r="K223" s="24" t="s">
        <v>1255</v>
      </c>
      <c r="L223" s="25" t="s">
        <v>1256</v>
      </c>
      <c r="M223" s="19"/>
      <c r="N223" s="19"/>
      <c r="O223" s="19"/>
      <c r="P223" s="19"/>
      <c r="Q223" s="19" t="str">
        <f>IF(AND(ISNUMBER(MATCH(M223,{"F","E","D","D+","C","C+","B","B+","A","A+","S"},0)),ISNUMBER(MATCH(N223,{"F","E","D","D+","C","C+","B","B+","A","A+","S"},0)),ISNUMBER(MATCH(O223,{"F","E","D","D+","C","C+","B","B+","A","A+","S"},0)),ISNUMBER(MATCH(P223,{"F","E","D","D+","C","C+","B","B+","A","A+","S"},0))),LOOKUP(AVERAGE(_xlfn.SWITCH(M223,"F",0,"E",10,"D",20,"D+",30,"C",40,"C+",50,"B",60,"B+",70,"A",80,"A+",90,"S",100),_xlfn.SWITCH(N223,"F",0,"E",10,"D",20,"D+",30,"C",40,"C+",50,"B",60,"B+",70,"A",80,"A+",90,"S",100),_xlfn.SWITCH(O223,"F",0,"E",10,"D",20,"D+",30,"C",40,"C+",50,"B",60,"B+",70,"A",80,"A+",90,"S",100),_xlfn.SWITCH(P223,"F",0,"E",10,"D",20,"D+",30,"C",40,"C+",50,"B",60,"B+",70,"A",80,"A+",90,"S",100)),{0,15,25,35,45,55,65,75,85,95},{"D","D","D+","C","C+","B","B+","A","A+","S"}),"?")</f>
        <v>?</v>
      </c>
      <c r="U223" s="36"/>
      <c r="V223" s="37"/>
      <c r="W223" s="38"/>
      <c r="X223" s="39"/>
      <c r="Y223" s="39"/>
      <c r="Z223" s="39"/>
    </row>
    <row r="224" spans="1:28" ht="21">
      <c r="A224" s="5" t="s">
        <v>4</v>
      </c>
      <c r="B224" s="6" t="s">
        <v>5</v>
      </c>
      <c r="C224" s="7" t="s">
        <v>6</v>
      </c>
      <c r="D224" s="7" t="s">
        <v>7</v>
      </c>
      <c r="E224" s="7" t="s">
        <v>8</v>
      </c>
      <c r="F224" s="7" t="s">
        <v>9</v>
      </c>
      <c r="G224" s="7" t="s">
        <v>10</v>
      </c>
      <c r="H224" s="7" t="s">
        <v>11</v>
      </c>
      <c r="I224" s="7" t="s">
        <v>12</v>
      </c>
      <c r="K224" s="24" t="s">
        <v>1257</v>
      </c>
      <c r="L224" s="25" t="s">
        <v>1258</v>
      </c>
      <c r="M224" s="19"/>
      <c r="N224" s="19"/>
      <c r="O224" s="19"/>
      <c r="P224" s="19"/>
      <c r="Q224" s="19" t="str">
        <f>IF(AND(ISNUMBER(MATCH(M224,{"F","E","D","D+","C","C+","B","B+","A","A+","S"},0)),ISNUMBER(MATCH(N224,{"F","E","D","D+","C","C+","B","B+","A","A+","S"},0)),ISNUMBER(MATCH(O224,{"F","E","D","D+","C","C+","B","B+","A","A+","S"},0)),ISNUMBER(MATCH(P224,{"F","E","D","D+","C","C+","B","B+","A","A+","S"},0))),LOOKUP(AVERAGE(_xlfn.SWITCH(M224,"F",0,"E",10,"D",20,"D+",30,"C",40,"C+",50,"B",60,"B+",70,"A",80,"A+",90,"S",100),_xlfn.SWITCH(N224,"F",0,"E",10,"D",20,"D+",30,"C",40,"C+",50,"B",60,"B+",70,"A",80,"A+",90,"S",100),_xlfn.SWITCH(O224,"F",0,"E",10,"D",20,"D+",30,"C",40,"C+",50,"B",60,"B+",70,"A",80,"A+",90,"S",100),_xlfn.SWITCH(P224,"F",0,"E",10,"D",20,"D+",30,"C",40,"C+",50,"B",60,"B+",70,"A",80,"A+",90,"S",100)),{0,15,25,35,45,55,65,75,85,95},{"D","D","D+","C","C+","B","B+","A","A+","S"}),"?")</f>
        <v>?</v>
      </c>
      <c r="U224" s="36"/>
      <c r="V224" s="37"/>
      <c r="W224" s="38"/>
      <c r="X224" s="39"/>
      <c r="Y224" s="39"/>
      <c r="Z224" s="39"/>
    </row>
    <row r="225" spans="1:26" ht="21">
      <c r="A225" s="5" t="s">
        <v>1259</v>
      </c>
      <c r="B225" s="5" t="s">
        <v>1201</v>
      </c>
      <c r="C225" s="13"/>
      <c r="D225" s="13"/>
      <c r="E225" s="13"/>
      <c r="F225" s="13"/>
      <c r="G225" s="13"/>
      <c r="H225" s="7"/>
      <c r="I225" s="7"/>
      <c r="K225" s="24" t="s">
        <v>1260</v>
      </c>
      <c r="L225" s="25" t="s">
        <v>1261</v>
      </c>
      <c r="M225" s="19"/>
      <c r="N225" s="19"/>
      <c r="O225" s="19"/>
      <c r="P225" s="19"/>
      <c r="Q225" s="19" t="str">
        <f>IF(AND(ISNUMBER(MATCH(M225,{"F","E","D","D+","C","C+","B","B+","A","A+","S"},0)),ISNUMBER(MATCH(N225,{"F","E","D","D+","C","C+","B","B+","A","A+","S"},0)),ISNUMBER(MATCH(O225,{"F","E","D","D+","C","C+","B","B+","A","A+","S"},0)),ISNUMBER(MATCH(P225,{"F","E","D","D+","C","C+","B","B+","A","A+","S"},0))),LOOKUP(AVERAGE(_xlfn.SWITCH(M225,"F",0,"E",10,"D",20,"D+",30,"C",40,"C+",50,"B",60,"B+",70,"A",80,"A+",90,"S",100),_xlfn.SWITCH(N225,"F",0,"E",10,"D",20,"D+",30,"C",40,"C+",50,"B",60,"B+",70,"A",80,"A+",90,"S",100),_xlfn.SWITCH(O225,"F",0,"E",10,"D",20,"D+",30,"C",40,"C+",50,"B",60,"B+",70,"A",80,"A+",90,"S",100),_xlfn.SWITCH(P225,"F",0,"E",10,"D",20,"D+",30,"C",40,"C+",50,"B",60,"B+",70,"A",80,"A+",90,"S",100)),{0,15,25,35,45,55,65,75,85,95},{"D","D","D+","C","C+","B","B+","A","A+","S"}),"?")</f>
        <v>?</v>
      </c>
      <c r="U225" s="36"/>
      <c r="V225" s="37"/>
      <c r="W225" s="38"/>
      <c r="X225" s="39"/>
      <c r="Y225" s="39"/>
      <c r="Z225" s="39"/>
    </row>
    <row r="226" spans="1:26" ht="21">
      <c r="A226" s="5" t="s">
        <v>1262</v>
      </c>
      <c r="B226" s="5" t="s">
        <v>1263</v>
      </c>
      <c r="C226" s="13"/>
      <c r="D226" s="13"/>
      <c r="E226" s="13"/>
      <c r="F226" s="13"/>
      <c r="G226" s="13"/>
      <c r="H226" s="7"/>
      <c r="I226" s="7"/>
      <c r="K226" s="24" t="s">
        <v>1264</v>
      </c>
      <c r="L226" s="25" t="s">
        <v>1265</v>
      </c>
      <c r="M226" s="19"/>
      <c r="N226" s="19"/>
      <c r="O226" s="19"/>
      <c r="P226" s="19"/>
      <c r="Q226" s="19" t="str">
        <f>IF(AND(ISNUMBER(MATCH(M226,{"F","E","D","D+","C","C+","B","B+","A","A+","S"},0)),ISNUMBER(MATCH(N226,{"F","E","D","D+","C","C+","B","B+","A","A+","S"},0)),ISNUMBER(MATCH(O226,{"F","E","D","D+","C","C+","B","B+","A","A+","S"},0)),ISNUMBER(MATCH(P226,{"F","E","D","D+","C","C+","B","B+","A","A+","S"},0))),LOOKUP(AVERAGE(_xlfn.SWITCH(M226,"F",0,"E",10,"D",20,"D+",30,"C",40,"C+",50,"B",60,"B+",70,"A",80,"A+",90,"S",100),_xlfn.SWITCH(N226,"F",0,"E",10,"D",20,"D+",30,"C",40,"C+",50,"B",60,"B+",70,"A",80,"A+",90,"S",100),_xlfn.SWITCH(O226,"F",0,"E",10,"D",20,"D+",30,"C",40,"C+",50,"B",60,"B+",70,"A",80,"A+",90,"S",100),_xlfn.SWITCH(P226,"F",0,"E",10,"D",20,"D+",30,"C",40,"C+",50,"B",60,"B+",70,"A",80,"A+",90,"S",100)),{0,15,25,35,45,55,65,75,85,95},{"D","D","D+","C","C+","B","B+","A","A+","S"}),"?")</f>
        <v>?</v>
      </c>
      <c r="U226" s="36"/>
      <c r="V226" s="37"/>
      <c r="W226" s="38"/>
      <c r="X226" s="39"/>
      <c r="Y226" s="39"/>
      <c r="Z226" s="39"/>
    </row>
    <row r="227" spans="1:26" ht="21">
      <c r="A227" s="5" t="s">
        <v>1266</v>
      </c>
      <c r="B227" s="23" t="s">
        <v>1267</v>
      </c>
      <c r="C227" s="13"/>
      <c r="D227" s="13"/>
      <c r="E227" s="13"/>
      <c r="F227" s="13"/>
      <c r="G227" s="13"/>
      <c r="H227" s="7"/>
      <c r="I227" s="7"/>
      <c r="K227" s="5" t="s">
        <v>583</v>
      </c>
      <c r="L227" s="12" t="s">
        <v>584</v>
      </c>
      <c r="M227" s="13"/>
      <c r="N227" s="13"/>
      <c r="O227" s="13"/>
      <c r="P227" s="13"/>
      <c r="Q227" s="13" t="str">
        <f>IF(AND(ISNUMBER(MATCH(M227,{"F","E","D","D+","C","C+","B","B+","A","A+","S"},0)),ISNUMBER(MATCH(N227,{"F","E","D","D+","C","C+","B","B+","A","A+","S"},0)),ISNUMBER(MATCH(O227,{"F","E","D","D+","C","C+","B","B+","A","A+","S"},0)),ISNUMBER(MATCH(P227,{"F","E","D","D+","C","C+","B","B+","A","A+","S"},0))),LOOKUP(AVERAGE(_xlfn.SWITCH(M227,"F",0,"E",10,"D",20,"D+",30,"C",40,"C+",50,"B",60,"B+",70,"A",80,"A+",90,"S",100),_xlfn.SWITCH(N227,"F",0,"E",10,"D",20,"D+",30,"C",40,"C+",50,"B",60,"B+",70,"A",80,"A+",90,"S",100),_xlfn.SWITCH(O227,"F",0,"E",10,"D",20,"D+",30,"C",40,"C+",50,"B",60,"B+",70,"A",80,"A+",90,"S",100),_xlfn.SWITCH(P227,"F",0,"E",10,"D",20,"D+",30,"C",40,"C+",50,"B",60,"B+",70,"A",80,"A+",90,"S",100)),{0,15,25,35,45,55,65,75,85,95},{"D","D","D+","C","C+","B","B+","A","A+","S"}),"?")</f>
        <v>?</v>
      </c>
      <c r="T227" s="1"/>
      <c r="U227" s="36"/>
      <c r="V227" s="37"/>
      <c r="W227" s="38"/>
      <c r="X227" s="39"/>
      <c r="Y227" s="39"/>
      <c r="Z227" s="39"/>
    </row>
    <row r="228" spans="1:26" ht="21">
      <c r="A228" s="5" t="s">
        <v>1268</v>
      </c>
      <c r="B228" s="5" t="s">
        <v>1269</v>
      </c>
      <c r="C228" s="13"/>
      <c r="D228" s="13"/>
      <c r="E228" s="13"/>
      <c r="F228" s="13"/>
      <c r="G228" s="13"/>
      <c r="H228" s="7"/>
      <c r="I228" s="7"/>
      <c r="K228" s="540" t="s">
        <v>1270</v>
      </c>
      <c r="L228" s="544"/>
      <c r="M228" s="545"/>
      <c r="N228" s="545"/>
      <c r="O228" s="545"/>
      <c r="P228" s="545"/>
      <c r="Q228" s="545" t="str">
        <f>IF(AND(ISNUMBER(MATCH(M228,{"F","E","D","D+","C","C+","B","B+","A","A+","S"},0)),ISNUMBER(MATCH(N229,{"F","E","D","D+","C","C+","B","B+","A","A+","S"},0)),ISNUMBER(MATCH(O231,{"F","E","D","D+","C","C+","B","B+","A","A+","S"},0)),ISNUMBER(MATCH(P232,{"F","E","D","D+","C","C+","B","B+","A","A+","S"},0))),LOOKUP(AVERAGE(_xlfn.SWITCH(M233,"F",0,"E",10,"D",20,"D+",30,"C",40,"C+",50,"B",60,"B+",70,"A",80,"A+",90,"S",100),_xlfn.SWITCH(N234,"F",0,"E",10,"D",20,"D+",30,"C",40,"C+",50,"B",60,"B+",70,"A",80,"A+",90,"S",100),_xlfn.SWITCH(O235,"F",0,"E",10,"D",20,"D+",30,"C",40,"C+",50,"B",60,"B+",70,"A",80,"A+",90,"S",100),_xlfn.SWITCH(P236,"F",0,"E",10,"D",20,"D+",30,"C",40,"C+",50,"B",60,"B+",70,"A",80,"A+",90,"S",100)),{0,15,25,35,45,55,65,75,85,95},{"D","D","D+","C","C+","B","B+","A","A+","S"}),"?")</f>
        <v>?</v>
      </c>
      <c r="R228" s="543"/>
      <c r="S228" s="543"/>
      <c r="T228" s="1"/>
      <c r="U228" s="36"/>
      <c r="V228" s="37"/>
      <c r="W228" s="38"/>
      <c r="X228" s="39"/>
      <c r="Y228" s="39"/>
      <c r="Z228" s="39"/>
    </row>
    <row r="229" spans="1:26" ht="21">
      <c r="A229" s="5" t="s">
        <v>1271</v>
      </c>
      <c r="B229" s="5" t="s">
        <v>1272</v>
      </c>
      <c r="C229" s="13"/>
      <c r="D229" s="13"/>
      <c r="E229" s="13"/>
      <c r="F229" s="13"/>
      <c r="G229" s="13"/>
      <c r="H229" s="7"/>
      <c r="I229" s="7"/>
      <c r="K229" s="546"/>
      <c r="L229" s="547"/>
      <c r="M229" s="548"/>
      <c r="N229" s="548"/>
      <c r="O229" s="548"/>
      <c r="P229" s="548"/>
      <c r="Q229" s="548" t="str">
        <f>IF(AND(ISNUMBER(MATCH(M229,{"F","E","D","D+","C","C+","B","B+","A","A+","S"},0)),ISNUMBER(MATCH(N231,{"F","E","D","D+","C","C+","B","B+","A","A+","S"},0)),ISNUMBER(MATCH(O232,{"F","E","D","D+","C","C+","B","B+","A","A+","S"},0)),ISNUMBER(MATCH(P233,{"F","E","D","D+","C","C+","B","B+","A","A+","S"},0))),LOOKUP(AVERAGE(_xlfn.SWITCH(M234,"F",0,"E",10,"D",20,"D+",30,"C",40,"C+",50,"B",60,"B+",70,"A",80,"A+",90,"S",100),_xlfn.SWITCH(N235,"F",0,"E",10,"D",20,"D+",30,"C",40,"C+",50,"B",60,"B+",70,"A",80,"A+",90,"S",100),_xlfn.SWITCH(O236,"F",0,"E",10,"D",20,"D+",30,"C",40,"C+",50,"B",60,"B+",70,"A",80,"A+",90,"S",100),_xlfn.SWITCH(P237,"F",0,"E",10,"D",20,"D+",30,"C",40,"C+",50,"B",60,"B+",70,"A",80,"A+",90,"S",100)),{0,15,25,35,45,55,65,75,85,95},{"D","D","D+","C","C+","B","B+","A","A+","S"}),"?")</f>
        <v>?</v>
      </c>
      <c r="R229" s="543"/>
      <c r="S229" s="543"/>
      <c r="U229" s="36"/>
      <c r="V229" s="37"/>
      <c r="W229" s="38"/>
      <c r="X229" s="39"/>
      <c r="Y229" s="39"/>
      <c r="Z229" s="39"/>
    </row>
    <row r="230" spans="1:26" ht="21">
      <c r="A230" s="5" t="s">
        <v>1273</v>
      </c>
      <c r="B230" s="23" t="s">
        <v>1274</v>
      </c>
      <c r="C230" s="13"/>
      <c r="D230" s="13"/>
      <c r="E230" s="13"/>
      <c r="F230" s="13"/>
      <c r="G230" s="13"/>
      <c r="H230" s="7"/>
      <c r="I230" s="7"/>
      <c r="K230" s="5" t="s">
        <v>4</v>
      </c>
      <c r="L230" s="6" t="s">
        <v>5</v>
      </c>
      <c r="M230" s="7" t="s">
        <v>6</v>
      </c>
      <c r="N230" s="7" t="s">
        <v>7</v>
      </c>
      <c r="O230" s="7" t="s">
        <v>8</v>
      </c>
      <c r="P230" s="7" t="s">
        <v>9</v>
      </c>
      <c r="Q230" s="7" t="s">
        <v>10</v>
      </c>
      <c r="R230" s="7" t="s">
        <v>11</v>
      </c>
      <c r="S230" s="7" t="s">
        <v>12</v>
      </c>
      <c r="U230" s="36"/>
      <c r="V230" s="37"/>
      <c r="W230" s="38"/>
      <c r="X230" s="39"/>
      <c r="Y230" s="39"/>
      <c r="Z230" s="39"/>
    </row>
    <row r="231" spans="1:26" ht="21">
      <c r="A231" s="5" t="s">
        <v>1275</v>
      </c>
      <c r="B231" s="5" t="s">
        <v>939</v>
      </c>
      <c r="C231" s="13"/>
      <c r="D231" s="13"/>
      <c r="E231" s="13"/>
      <c r="F231" s="13"/>
      <c r="G231" s="13"/>
      <c r="H231" s="7"/>
      <c r="I231" s="7"/>
      <c r="K231" s="24" t="s">
        <v>1276</v>
      </c>
      <c r="L231" s="25" t="s">
        <v>1277</v>
      </c>
      <c r="M231" s="19"/>
      <c r="N231" s="19"/>
      <c r="O231" s="19"/>
      <c r="P231" s="19"/>
      <c r="Q231" s="19" t="str">
        <f>IF(AND(ISNUMBER(MATCH(M231,{"F","E","D","D+","C","C+","B","B+","A","A+","S"},0)),ISNUMBER(MATCH(N232,{"F","E","D","D+","C","C+","B","B+","A","A+","S"},0)),ISNUMBER(MATCH(O233,{"F","E","D","D+","C","C+","B","B+","A","A+","S"},0)),ISNUMBER(MATCH(P234,{"F","E","D","D+","C","C+","B","B+","A","A+","S"},0))),LOOKUP(AVERAGE(_xlfn.SWITCH(M235,"F",0,"E",10,"D",20,"D+",30,"C",40,"C+",50,"B",60,"B+",70,"A",80,"A+",90,"S",100),_xlfn.SWITCH(N236,"F",0,"E",10,"D",20,"D+",30,"C",40,"C+",50,"B",60,"B+",70,"A",80,"A+",90,"S",100),_xlfn.SWITCH(O237,"F",0,"E",10,"D",20,"D+",30,"C",40,"C+",50,"B",60,"B+",70,"A",80,"A+",90,"S",100),_xlfn.SWITCH(P238,"F",0,"E",10,"D",20,"D+",30,"C",40,"C+",50,"B",60,"B+",70,"A",80,"A+",90,"S",100)),{0,15,25,35,45,55,65,75,85,95},{"D","D","D+","C","C+","B","B+","A","A+","S"}),"?")</f>
        <v>?</v>
      </c>
      <c r="U231" s="36"/>
      <c r="V231" s="37"/>
      <c r="W231" s="38"/>
      <c r="X231" s="39"/>
      <c r="Y231" s="39"/>
      <c r="Z231" s="39"/>
    </row>
    <row r="232" spans="1:26" ht="21">
      <c r="A232" s="5" t="s">
        <v>1278</v>
      </c>
      <c r="B232" s="5" t="s">
        <v>1279</v>
      </c>
      <c r="C232" s="13"/>
      <c r="D232" s="13"/>
      <c r="E232" s="13"/>
      <c r="F232" s="13"/>
      <c r="G232" s="13"/>
      <c r="H232" s="7"/>
      <c r="I232" s="7"/>
      <c r="K232" s="24" t="s">
        <v>1280</v>
      </c>
      <c r="L232" s="25" t="s">
        <v>1281</v>
      </c>
      <c r="M232" s="19"/>
      <c r="N232" s="19"/>
      <c r="O232" s="19"/>
      <c r="P232" s="19"/>
      <c r="Q232" s="19" t="str">
        <f>IF(AND(ISNUMBER(MATCH(M232,{"F","E","D","D+","C","C+","B","B+","A","A+","S"},0)),ISNUMBER(MATCH(N233,{"F","E","D","D+","C","C+","B","B+","A","A+","S"},0)),ISNUMBER(MATCH(O234,{"F","E","D","D+","C","C+","B","B+","A","A+","S"},0)),ISNUMBER(MATCH(P235,{"F","E","D","D+","C","C+","B","B+","A","A+","S"},0))),LOOKUP(AVERAGE(_xlfn.SWITCH(M236,"F",0,"E",10,"D",20,"D+",30,"C",40,"C+",50,"B",60,"B+",70,"A",80,"A+",90,"S",100),_xlfn.SWITCH(N237,"F",0,"E",10,"D",20,"D+",30,"C",40,"C+",50,"B",60,"B+",70,"A",80,"A+",90,"S",100),_xlfn.SWITCH(O238,"F",0,"E",10,"D",20,"D+",30,"C",40,"C+",50,"B",60,"B+",70,"A",80,"A+",90,"S",100),_xlfn.SWITCH(P239,"F",0,"E",10,"D",20,"D+",30,"C",40,"C+",50,"B",60,"B+",70,"A",80,"A+",90,"S",100)),{0,15,25,35,45,55,65,75,85,95},{"D","D","D+","C","C+","B","B+","A","A+","S"}),"?")</f>
        <v>?</v>
      </c>
      <c r="U232" s="36"/>
      <c r="V232" s="37"/>
      <c r="W232" s="38"/>
      <c r="X232" s="39"/>
      <c r="Y232" s="39"/>
      <c r="Z232" s="39"/>
    </row>
    <row r="233" spans="1:26" ht="21">
      <c r="A233" s="5" t="s">
        <v>1282</v>
      </c>
      <c r="B233" s="5" t="s">
        <v>1283</v>
      </c>
      <c r="C233" s="13"/>
      <c r="D233" s="13"/>
      <c r="E233" s="13"/>
      <c r="F233" s="13"/>
      <c r="G233" s="13"/>
      <c r="H233" s="7"/>
      <c r="I233" s="7"/>
      <c r="K233" s="24" t="s">
        <v>893</v>
      </c>
      <c r="L233" s="25" t="s">
        <v>894</v>
      </c>
      <c r="M233" s="19"/>
      <c r="N233" s="19"/>
      <c r="O233" s="19"/>
      <c r="P233" s="19"/>
      <c r="Q233" s="19" t="str">
        <f>IF(AND(ISNUMBER(MATCH(M233,{"F","E","D","D+","C","C+","B","B+","A","A+","S"},0)),ISNUMBER(MATCH(N234,{"F","E","D","D+","C","C+","B","B+","A","A+","S"},0)),ISNUMBER(MATCH(O235,{"F","E","D","D+","C","C+","B","B+","A","A+","S"},0)),ISNUMBER(MATCH(P236,{"F","E","D","D+","C","C+","B","B+","A","A+","S"},0))),LOOKUP(AVERAGE(_xlfn.SWITCH(M237,"F",0,"E",10,"D",20,"D+",30,"C",40,"C+",50,"B",60,"B+",70,"A",80,"A+",90,"S",100),_xlfn.SWITCH(N238,"F",0,"E",10,"D",20,"D+",30,"C",40,"C+",50,"B",60,"B+",70,"A",80,"A+",90,"S",100),_xlfn.SWITCH(O239,"F",0,"E",10,"D",20,"D+",30,"C",40,"C+",50,"B",60,"B+",70,"A",80,"A+",90,"S",100),_xlfn.SWITCH(P240,"F",0,"E",10,"D",20,"D+",30,"C",40,"C+",50,"B",60,"B+",70,"A",80,"A+",90,"S",100)),{0,15,25,35,45,55,65,75,85,95},{"D","D","D+","C","C+","B","B+","A","A+","S"}),"?")</f>
        <v>?</v>
      </c>
      <c r="U233" s="36"/>
      <c r="V233" s="37"/>
      <c r="W233" s="38"/>
      <c r="X233" s="39"/>
      <c r="Y233" s="39"/>
      <c r="Z233" s="39"/>
    </row>
    <row r="234" spans="1:26" ht="21">
      <c r="A234" s="5" t="s">
        <v>1284</v>
      </c>
      <c r="B234" s="5" t="s">
        <v>1285</v>
      </c>
      <c r="C234" s="13"/>
      <c r="D234" s="13"/>
      <c r="E234" s="13"/>
      <c r="F234" s="13"/>
      <c r="G234" s="13"/>
      <c r="H234" s="7"/>
      <c r="I234" s="7"/>
      <c r="K234" s="24" t="s">
        <v>1286</v>
      </c>
      <c r="L234" s="25" t="s">
        <v>1287</v>
      </c>
      <c r="M234" s="19"/>
      <c r="N234" s="19"/>
      <c r="O234" s="19"/>
      <c r="P234" s="19"/>
      <c r="Q234" s="19" t="str">
        <f>IF(AND(ISNUMBER(MATCH(M234,{"F","E","D","D+","C","C+","B","B+","A","A+","S"},0)),ISNUMBER(MATCH(N235,{"F","E","D","D+","C","C+","B","B+","A","A+","S"},0)),ISNUMBER(MATCH(O236,{"F","E","D","D+","C","C+","B","B+","A","A+","S"},0)),ISNUMBER(MATCH(P237,{"F","E","D","D+","C","C+","B","B+","A","A+","S"},0))),LOOKUP(AVERAGE(_xlfn.SWITCH(M238,"F",0,"E",10,"D",20,"D+",30,"C",40,"C+",50,"B",60,"B+",70,"A",80,"A+",90,"S",100),_xlfn.SWITCH(N239,"F",0,"E",10,"D",20,"D+",30,"C",40,"C+",50,"B",60,"B+",70,"A",80,"A+",90,"S",100),_xlfn.SWITCH(O240,"F",0,"E",10,"D",20,"D+",30,"C",40,"C+",50,"B",60,"B+",70,"A",80,"A+",90,"S",100),_xlfn.SWITCH(P241,"F",0,"E",10,"D",20,"D+",30,"C",40,"C+",50,"B",60,"B+",70,"A",80,"A+",90,"S",100)),{0,15,25,35,45,55,65,75,85,95},{"D","D","D+","C","C+","B","B+","A","A+","S"}),"?")</f>
        <v>?</v>
      </c>
      <c r="U234" s="36"/>
      <c r="V234" s="37"/>
      <c r="W234" s="38"/>
      <c r="X234" s="39"/>
      <c r="Y234" s="39"/>
      <c r="Z234" s="39"/>
    </row>
    <row r="235" spans="1:26" ht="21">
      <c r="A235" s="5" t="s">
        <v>1288</v>
      </c>
      <c r="B235" s="23" t="s">
        <v>1129</v>
      </c>
      <c r="C235" s="13"/>
      <c r="D235" s="13"/>
      <c r="E235" s="13"/>
      <c r="F235" s="13"/>
      <c r="G235" s="13"/>
      <c r="H235" s="7"/>
      <c r="I235" s="7"/>
      <c r="K235" s="24" t="s">
        <v>1289</v>
      </c>
      <c r="L235" s="25" t="s">
        <v>598</v>
      </c>
      <c r="M235" s="19"/>
      <c r="N235" s="19"/>
      <c r="O235" s="19"/>
      <c r="P235" s="19"/>
      <c r="Q235" s="19" t="str">
        <f>IF(AND(ISNUMBER(MATCH(M235,{"F","E","D","D+","C","C+","B","B+","A","A+","S"},0)),ISNUMBER(MATCH(N236,{"F","E","D","D+","C","C+","B","B+","A","A+","S"},0)),ISNUMBER(MATCH(O237,{"F","E","D","D+","C","C+","B","B+","A","A+","S"},0)),ISNUMBER(MATCH(P238,{"F","E","D","D+","C","C+","B","B+","A","A+","S"},0))),LOOKUP(AVERAGE(_xlfn.SWITCH(M239,"F",0,"E",10,"D",20,"D+",30,"C",40,"C+",50,"B",60,"B+",70,"A",80,"A+",90,"S",100),_xlfn.SWITCH(N240,"F",0,"E",10,"D",20,"D+",30,"C",40,"C+",50,"B",60,"B+",70,"A",80,"A+",90,"S",100),_xlfn.SWITCH(O241,"F",0,"E",10,"D",20,"D+",30,"C",40,"C+",50,"B",60,"B+",70,"A",80,"A+",90,"S",100),_xlfn.SWITCH(P242,"F",0,"E",10,"D",20,"D+",30,"C",40,"C+",50,"B",60,"B+",70,"A",80,"A+",90,"S",100)),{0,15,25,35,45,55,65,75,85,95},{"D","D","D+","C","C+","B","B+","A","A+","S"}),"?")</f>
        <v>?</v>
      </c>
      <c r="U235" s="36"/>
      <c r="V235" s="37"/>
      <c r="W235" s="38"/>
      <c r="X235" s="39"/>
      <c r="Y235" s="39"/>
      <c r="Z235" s="39"/>
    </row>
    <row r="236" spans="1:26" ht="21">
      <c r="A236" s="5" t="s">
        <v>1290</v>
      </c>
      <c r="B236" s="23" t="s">
        <v>1158</v>
      </c>
      <c r="C236" s="13"/>
      <c r="D236" s="13"/>
      <c r="E236" s="13"/>
      <c r="F236" s="13"/>
      <c r="G236" s="13"/>
      <c r="H236" s="7"/>
      <c r="I236" s="7"/>
      <c r="K236" s="24" t="s">
        <v>955</v>
      </c>
      <c r="L236" s="25" t="s">
        <v>1291</v>
      </c>
      <c r="M236" s="19"/>
      <c r="N236" s="19"/>
      <c r="O236" s="19"/>
      <c r="P236" s="19"/>
      <c r="Q236" s="19" t="str">
        <f>IF(AND(ISNUMBER(MATCH(M236,{"F","E","D","D+","C","C+","B","B+","A","A+","S"},0)),ISNUMBER(MATCH(N237,{"F","E","D","D+","C","C+","B","B+","A","A+","S"},0)),ISNUMBER(MATCH(O238,{"F","E","D","D+","C","C+","B","B+","A","A+","S"},0)),ISNUMBER(MATCH(P239,{"F","E","D","D+","C","C+","B","B+","A","A+","S"},0))),LOOKUP(AVERAGE(_xlfn.SWITCH(M240,"F",0,"E",10,"D",20,"D+",30,"C",40,"C+",50,"B",60,"B+",70,"A",80,"A+",90,"S",100),_xlfn.SWITCH(N241,"F",0,"E",10,"D",20,"D+",30,"C",40,"C+",50,"B",60,"B+",70,"A",80,"A+",90,"S",100),_xlfn.SWITCH(O242,"F",0,"E",10,"D",20,"D+",30,"C",40,"C+",50,"B",60,"B+",70,"A",80,"A+",90,"S",100),_xlfn.SWITCH(P243,"F",0,"E",10,"D",20,"D+",30,"C",40,"C+",50,"B",60,"B+",70,"A",80,"A+",90,"S",100)),{0,15,25,35,45,55,65,75,85,95},{"D","D","D+","C","C+","B","B+","A","A+","S"}),"?")</f>
        <v>?</v>
      </c>
      <c r="U236" s="36"/>
      <c r="V236" s="37"/>
      <c r="W236" s="38"/>
      <c r="X236" s="39"/>
      <c r="Y236" s="39"/>
      <c r="Z236" s="39"/>
    </row>
    <row r="237" spans="1:26" ht="21">
      <c r="A237" s="5" t="s">
        <v>1292</v>
      </c>
      <c r="B237" s="23" t="s">
        <v>1293</v>
      </c>
      <c r="C237" s="13"/>
      <c r="D237" s="13"/>
      <c r="E237" s="13"/>
      <c r="F237" s="13"/>
      <c r="G237" s="13"/>
      <c r="H237" s="7"/>
      <c r="I237" s="7"/>
      <c r="K237" s="24" t="s">
        <v>936</v>
      </c>
      <c r="L237" s="25" t="s">
        <v>33</v>
      </c>
      <c r="M237" s="19"/>
      <c r="N237" s="19"/>
      <c r="O237" s="19"/>
      <c r="P237" s="19"/>
      <c r="Q237" s="19" t="str">
        <f>IF(AND(ISNUMBER(MATCH(M237,{"F","E","D","D+","C","C+","B","B+","A","A+","S"},0)),ISNUMBER(MATCH(N238,{"F","E","D","D+","C","C+","B","B+","A","A+","S"},0)),ISNUMBER(MATCH(O239,{"F","E","D","D+","C","C+","B","B+","A","A+","S"},0)),ISNUMBER(MATCH(P240,{"F","E","D","D+","C","C+","B","B+","A","A+","S"},0))),LOOKUP(AVERAGE(_xlfn.SWITCH(M241,"F",0,"E",10,"D",20,"D+",30,"C",40,"C+",50,"B",60,"B+",70,"A",80,"A+",90,"S",100),_xlfn.SWITCH(N242,"F",0,"E",10,"D",20,"D+",30,"C",40,"C+",50,"B",60,"B+",70,"A",80,"A+",90,"S",100),_xlfn.SWITCH(O243,"F",0,"E",10,"D",20,"D+",30,"C",40,"C+",50,"B",60,"B+",70,"A",80,"A+",90,"S",100),_xlfn.SWITCH(P244,"F",0,"E",10,"D",20,"D+",30,"C",40,"C+",50,"B",60,"B+",70,"A",80,"A+",90,"S",100)),{0,15,25,35,45,55,65,75,85,95},{"D","D","D+","C","C+","B","B+","A","A+","S"}),"?")</f>
        <v>?</v>
      </c>
      <c r="U237" s="36"/>
      <c r="V237" s="37"/>
      <c r="W237" s="38"/>
      <c r="X237" s="39"/>
      <c r="Y237" s="39"/>
      <c r="Z237" s="39"/>
    </row>
    <row r="238" spans="1:26" ht="21">
      <c r="A238" s="5" t="s">
        <v>1294</v>
      </c>
      <c r="B238" s="23" t="s">
        <v>1295</v>
      </c>
      <c r="C238" s="13"/>
      <c r="D238" s="13"/>
      <c r="E238" s="13"/>
      <c r="F238" s="13"/>
      <c r="G238" s="13"/>
      <c r="H238" s="7"/>
      <c r="I238" s="7"/>
      <c r="K238" s="24" t="s">
        <v>1296</v>
      </c>
      <c r="L238" s="25" t="s">
        <v>501</v>
      </c>
      <c r="M238" s="19"/>
      <c r="N238" s="19"/>
      <c r="O238" s="19"/>
      <c r="P238" s="19"/>
      <c r="Q238" s="19" t="str">
        <f>IF(AND(ISNUMBER(MATCH(M238,{"F","E","D","D+","C","C+","B","B+","A","A+","S"},0)),ISNUMBER(MATCH(N239,{"F","E","D","D+","C","C+","B","B+","A","A+","S"},0)),ISNUMBER(MATCH(O240,{"F","E","D","D+","C","C+","B","B+","A","A+","S"},0)),ISNUMBER(MATCH(P241,{"F","E","D","D+","C","C+","B","B+","A","A+","S"},0))),LOOKUP(AVERAGE(_xlfn.SWITCH(M242,"F",0,"E",10,"D",20,"D+",30,"C",40,"C+",50,"B",60,"B+",70,"A",80,"A+",90,"S",100),_xlfn.SWITCH(N243,"F",0,"E",10,"D",20,"D+",30,"C",40,"C+",50,"B",60,"B+",70,"A",80,"A+",90,"S",100),_xlfn.SWITCH(O244,"F",0,"E",10,"D",20,"D+",30,"C",40,"C+",50,"B",60,"B+",70,"A",80,"A+",90,"S",100),_xlfn.SWITCH(P245,"F",0,"E",10,"D",20,"D+",30,"C",40,"C+",50,"B",60,"B+",70,"A",80,"A+",90,"S",100)),{0,15,25,35,45,55,65,75,85,95},{"D","D","D+","C","C+","B","B+","A","A+","S"}),"?")</f>
        <v>?</v>
      </c>
      <c r="U238" s="36"/>
      <c r="V238" s="37"/>
      <c r="W238" s="38"/>
      <c r="X238" s="39"/>
      <c r="Y238" s="39"/>
      <c r="Z238" s="39"/>
    </row>
    <row r="239" spans="1:26" ht="21">
      <c r="A239" s="5" t="s">
        <v>1297</v>
      </c>
      <c r="B239" s="5" t="s">
        <v>1298</v>
      </c>
      <c r="C239" s="13"/>
      <c r="D239" s="13"/>
      <c r="E239" s="13"/>
      <c r="F239" s="13"/>
      <c r="G239" s="13"/>
      <c r="H239" s="7"/>
      <c r="I239" s="7"/>
      <c r="K239" s="24" t="s">
        <v>1299</v>
      </c>
      <c r="L239" s="25" t="s">
        <v>1300</v>
      </c>
      <c r="M239" s="19"/>
      <c r="N239" s="19"/>
      <c r="O239" s="19"/>
      <c r="P239" s="19"/>
      <c r="Q239" s="19" t="str">
        <f>IF(AND(ISNUMBER(MATCH(M239,{"F","E","D","D+","C","C+","B","B+","A","A+","S"},0)),ISNUMBER(MATCH(N240,{"F","E","D","D+","C","C+","B","B+","A","A+","S"},0)),ISNUMBER(MATCH(O241,{"F","E","D","D+","C","C+","B","B+","A","A+","S"},0)),ISNUMBER(MATCH(P242,{"F","E","D","D+","C","C+","B","B+","A","A+","S"},0))),LOOKUP(AVERAGE(_xlfn.SWITCH(M243,"F",0,"E",10,"D",20,"D+",30,"C",40,"C+",50,"B",60,"B+",70,"A",80,"A+",90,"S",100),_xlfn.SWITCH(N244,"F",0,"E",10,"D",20,"D+",30,"C",40,"C+",50,"B",60,"B+",70,"A",80,"A+",90,"S",100),_xlfn.SWITCH(O245,"F",0,"E",10,"D",20,"D+",30,"C",40,"C+",50,"B",60,"B+",70,"A",80,"A+",90,"S",100),_xlfn.SWITCH(P246,"F",0,"E",10,"D",20,"D+",30,"C",40,"C+",50,"B",60,"B+",70,"A",80,"A+",90,"S",100)),{0,15,25,35,45,55,65,75,85,95},{"D","D","D+","C","C+","B","B+","A","A+","S"}),"?")</f>
        <v>?</v>
      </c>
      <c r="U239" s="36"/>
      <c r="V239" s="37"/>
      <c r="W239" s="38"/>
      <c r="X239" s="39"/>
      <c r="Y239" s="39"/>
      <c r="Z239" s="39"/>
    </row>
    <row r="240" spans="1:26" ht="21">
      <c r="A240" s="5" t="s">
        <v>1301</v>
      </c>
      <c r="B240" s="5" t="s">
        <v>1302</v>
      </c>
      <c r="C240" s="13"/>
      <c r="D240" s="13"/>
      <c r="E240" s="13"/>
      <c r="F240" s="13"/>
      <c r="G240" s="13"/>
      <c r="H240" s="7"/>
      <c r="I240" s="7"/>
      <c r="K240" s="24" t="s">
        <v>1303</v>
      </c>
      <c r="L240" s="25" t="s">
        <v>1304</v>
      </c>
      <c r="M240" s="19"/>
      <c r="N240" s="19"/>
      <c r="O240" s="19"/>
      <c r="P240" s="19"/>
      <c r="Q240" s="19" t="str">
        <f>IF(AND(ISNUMBER(MATCH(M240,{"F","E","D","D+","C","C+","B","B+","A","A+","S"},0)),ISNUMBER(MATCH(N241,{"F","E","D","D+","C","C+","B","B+","A","A+","S"},0)),ISNUMBER(MATCH(O242,{"F","E","D","D+","C","C+","B","B+","A","A+","S"},0)),ISNUMBER(MATCH(P243,{"F","E","D","D+","C","C+","B","B+","A","A+","S"},0))),LOOKUP(AVERAGE(_xlfn.SWITCH(M244,"F",0,"E",10,"D",20,"D+",30,"C",40,"C+",50,"B",60,"B+",70,"A",80,"A+",90,"S",100),_xlfn.SWITCH(N245,"F",0,"E",10,"D",20,"D+",30,"C",40,"C+",50,"B",60,"B+",70,"A",80,"A+",90,"S",100),_xlfn.SWITCH(O246,"F",0,"E",10,"D",20,"D+",30,"C",40,"C+",50,"B",60,"B+",70,"A",80,"A+",90,"S",100),_xlfn.SWITCH(P247,"F",0,"E",10,"D",20,"D+",30,"C",40,"C+",50,"B",60,"B+",70,"A",80,"A+",90,"S",100)),{0,15,25,35,45,55,65,75,85,95},{"D","D","D+","C","C+","B","B+","A","A+","S"}),"?")</f>
        <v>?</v>
      </c>
      <c r="U240" s="36"/>
      <c r="V240" s="37"/>
      <c r="W240" s="38"/>
      <c r="X240" s="39"/>
      <c r="Y240" s="39"/>
      <c r="Z240" s="39"/>
    </row>
    <row r="241" spans="1:26" ht="21">
      <c r="A241" s="5" t="s">
        <v>1305</v>
      </c>
      <c r="B241" s="5" t="s">
        <v>1306</v>
      </c>
      <c r="C241" s="13"/>
      <c r="D241" s="13"/>
      <c r="E241" s="13"/>
      <c r="F241" s="13"/>
      <c r="G241" s="13"/>
      <c r="H241" s="7"/>
      <c r="I241" s="7"/>
      <c r="K241" s="24" t="s">
        <v>948</v>
      </c>
      <c r="L241" s="25" t="s">
        <v>949</v>
      </c>
      <c r="M241" s="19"/>
      <c r="N241" s="19"/>
      <c r="O241" s="19"/>
      <c r="P241" s="19"/>
      <c r="Q241" s="19" t="str">
        <f>IF(AND(ISNUMBER(MATCH(M241,{"F","E","D","D+","C","C+","B","B+","A","A+","S"},0)),ISNUMBER(MATCH(N242,{"F","E","D","D+","C","C+","B","B+","A","A+","S"},0)),ISNUMBER(MATCH(O243,{"F","E","D","D+","C","C+","B","B+","A","A+","S"},0)),ISNUMBER(MATCH(P244,{"F","E","D","D+","C","C+","B","B+","A","A+","S"},0))),LOOKUP(AVERAGE(_xlfn.SWITCH(M245,"F",0,"E",10,"D",20,"D+",30,"C",40,"C+",50,"B",60,"B+",70,"A",80,"A+",90,"S",100),_xlfn.SWITCH(N246,"F",0,"E",10,"D",20,"D+",30,"C",40,"C+",50,"B",60,"B+",70,"A",80,"A+",90,"S",100),_xlfn.SWITCH(O247,"F",0,"E",10,"D",20,"D+",30,"C",40,"C+",50,"B",60,"B+",70,"A",80,"A+",90,"S",100),_xlfn.SWITCH(P248,"F",0,"E",10,"D",20,"D+",30,"C",40,"C+",50,"B",60,"B+",70,"A",80,"A+",90,"S",100)),{0,15,25,35,45,55,65,75,85,95},{"D","D","D+","C","C+","B","B+","A","A+","S"}),"?")</f>
        <v>?</v>
      </c>
      <c r="U241" s="36"/>
      <c r="V241" s="37"/>
      <c r="W241" s="38"/>
      <c r="X241" s="39"/>
      <c r="Y241" s="39"/>
      <c r="Z241" s="39"/>
    </row>
    <row r="242" spans="1:26" ht="21">
      <c r="A242" s="5" t="s">
        <v>1307</v>
      </c>
      <c r="B242" s="5" t="s">
        <v>1308</v>
      </c>
      <c r="C242" s="13"/>
      <c r="D242" s="13"/>
      <c r="E242" s="13"/>
      <c r="F242" s="13"/>
      <c r="G242" s="13"/>
      <c r="H242" s="7"/>
      <c r="I242" s="7"/>
      <c r="K242" s="24" t="s">
        <v>1309</v>
      </c>
      <c r="L242" s="25" t="s">
        <v>291</v>
      </c>
      <c r="M242" s="19"/>
      <c r="N242" s="19"/>
      <c r="O242" s="19"/>
      <c r="P242" s="19"/>
      <c r="Q242" s="19" t="str">
        <f>IF(AND(ISNUMBER(MATCH(M242,{"F","E","D","D+","C","C+","B","B+","A","A+","S"},0)),ISNUMBER(MATCH(N243,{"F","E","D","D+","C","C+","B","B+","A","A+","S"},0)),ISNUMBER(MATCH(O244,{"F","E","D","D+","C","C+","B","B+","A","A+","S"},0)),ISNUMBER(MATCH(P245,{"F","E","D","D+","C","C+","B","B+","A","A+","S"},0))),LOOKUP(AVERAGE(_xlfn.SWITCH(M246,"F",0,"E",10,"D",20,"D+",30,"C",40,"C+",50,"B",60,"B+",70,"A",80,"A+",90,"S",100),_xlfn.SWITCH(N247,"F",0,"E",10,"D",20,"D+",30,"C",40,"C+",50,"B",60,"B+",70,"A",80,"A+",90,"S",100),_xlfn.SWITCH(O248,"F",0,"E",10,"D",20,"D+",30,"C",40,"C+",50,"B",60,"B+",70,"A",80,"A+",90,"S",100),_xlfn.SWITCH(P249,"F",0,"E",10,"D",20,"D+",30,"C",40,"C+",50,"B",60,"B+",70,"A",80,"A+",90,"S",100)),{0,15,25,35,45,55,65,75,85,95},{"D","D","D+","C","C+","B","B+","A","A+","S"}),"?")</f>
        <v>?</v>
      </c>
      <c r="U242" s="36"/>
      <c r="V242" s="37"/>
      <c r="W242" s="38"/>
      <c r="X242" s="39"/>
      <c r="Y242" s="39"/>
      <c r="Z242" s="39"/>
    </row>
    <row r="243" spans="1:26" ht="21">
      <c r="A243" s="5" t="s">
        <v>1310</v>
      </c>
      <c r="B243" s="5" t="s">
        <v>1085</v>
      </c>
      <c r="C243" s="13"/>
      <c r="D243" s="13"/>
      <c r="E243" s="13"/>
      <c r="F243" s="13"/>
      <c r="G243" s="13"/>
      <c r="H243" s="7"/>
      <c r="I243" s="7"/>
      <c r="K243" s="24" t="s">
        <v>1311</v>
      </c>
      <c r="L243" s="25" t="s">
        <v>1312</v>
      </c>
      <c r="M243" s="19"/>
      <c r="N243" s="19"/>
      <c r="O243" s="19"/>
      <c r="P243" s="19"/>
      <c r="Q243" s="19" t="str">
        <f>IF(AND(ISNUMBER(MATCH(M243,{"F","E","D","D+","C","C+","B","B+","A","A+","S"},0)),ISNUMBER(MATCH(N244,{"F","E","D","D+","C","C+","B","B+","A","A+","S"},0)),ISNUMBER(MATCH(O245,{"F","E","D","D+","C","C+","B","B+","A","A+","S"},0)),ISNUMBER(MATCH(P246,{"F","E","D","D+","C","C+","B","B+","A","A+","S"},0))),LOOKUP(AVERAGE(_xlfn.SWITCH(M247,"F",0,"E",10,"D",20,"D+",30,"C",40,"C+",50,"B",60,"B+",70,"A",80,"A+",90,"S",100),_xlfn.SWITCH(N248,"F",0,"E",10,"D",20,"D+",30,"C",40,"C+",50,"B",60,"B+",70,"A",80,"A+",90,"S",100),_xlfn.SWITCH(O249,"F",0,"E",10,"D",20,"D+",30,"C",40,"C+",50,"B",60,"B+",70,"A",80,"A+",90,"S",100),_xlfn.SWITCH(P250,"F",0,"E",10,"D",20,"D+",30,"C",40,"C+",50,"B",60,"B+",70,"A",80,"A+",90,"S",100)),{0,15,25,35,45,55,65,75,85,95},{"D","D","D+","C","C+","B","B+","A","A+","S"}),"?")</f>
        <v>?</v>
      </c>
      <c r="U243" s="36"/>
      <c r="V243" s="37"/>
      <c r="W243" s="38"/>
      <c r="X243" s="39"/>
      <c r="Y243" s="39"/>
      <c r="Z243" s="39"/>
    </row>
    <row r="244" spans="1:26" ht="21">
      <c r="A244" s="5" t="s">
        <v>1313</v>
      </c>
      <c r="B244" s="5" t="s">
        <v>1314</v>
      </c>
      <c r="C244" s="13"/>
      <c r="D244" s="13"/>
      <c r="E244" s="13"/>
      <c r="F244" s="13"/>
      <c r="G244" s="13"/>
      <c r="H244" s="7"/>
      <c r="I244" s="7"/>
      <c r="K244" s="24" t="s">
        <v>1021</v>
      </c>
      <c r="L244" s="25" t="s">
        <v>1022</v>
      </c>
      <c r="M244" s="19"/>
      <c r="N244" s="19"/>
      <c r="O244" s="19"/>
      <c r="P244" s="19"/>
      <c r="Q244" s="19" t="str">
        <f>IF(AND(ISNUMBER(MATCH(M244,{"F","E","D","D+","C","C+","B","B+","A","A+","S"},0)),ISNUMBER(MATCH(N245,{"F","E","D","D+","C","C+","B","B+","A","A+","S"},0)),ISNUMBER(MATCH(O246,{"F","E","D","D+","C","C+","B","B+","A","A+","S"},0)),ISNUMBER(MATCH(P247,{"F","E","D","D+","C","C+","B","B+","A","A+","S"},0))),LOOKUP(AVERAGE(_xlfn.SWITCH(M248,"F",0,"E",10,"D",20,"D+",30,"C",40,"C+",50,"B",60,"B+",70,"A",80,"A+",90,"S",100),_xlfn.SWITCH(N249,"F",0,"E",10,"D",20,"D+",30,"C",40,"C+",50,"B",60,"B+",70,"A",80,"A+",90,"S",100),_xlfn.SWITCH(O250,"F",0,"E",10,"D",20,"D+",30,"C",40,"C+",50,"B",60,"B+",70,"A",80,"A+",90,"S",100),_xlfn.SWITCH(P251,"F",0,"E",10,"D",20,"D+",30,"C",40,"C+",50,"B",60,"B+",70,"A",80,"A+",90,"S",100)),{0,15,25,35,45,55,65,75,85,95},{"D","D","D+","C","C+","B","B+","A","A+","S"}),"?")</f>
        <v>?</v>
      </c>
      <c r="U244" s="36"/>
      <c r="V244" s="37"/>
      <c r="W244" s="38"/>
      <c r="X244" s="39"/>
      <c r="Y244" s="39"/>
      <c r="Z244" s="39"/>
    </row>
    <row r="245" spans="1:26" ht="21">
      <c r="A245" s="5" t="s">
        <v>1315</v>
      </c>
      <c r="B245" s="5" t="s">
        <v>1316</v>
      </c>
      <c r="C245" s="13"/>
      <c r="D245" s="13"/>
      <c r="E245" s="13"/>
      <c r="F245" s="13"/>
      <c r="G245" s="13"/>
      <c r="H245" s="7"/>
      <c r="I245" s="7"/>
      <c r="K245" s="24" t="s">
        <v>1317</v>
      </c>
      <c r="L245" s="25" t="s">
        <v>1318</v>
      </c>
      <c r="M245" s="19"/>
      <c r="N245" s="19"/>
      <c r="O245" s="19"/>
      <c r="P245" s="19"/>
      <c r="Q245" s="19" t="str">
        <f>IF(AND(ISNUMBER(MATCH(M245,{"F","E","D","D+","C","C+","B","B+","A","A+","S"},0)),ISNUMBER(MATCH(N246,{"F","E","D","D+","C","C+","B","B+","A","A+","S"},0)),ISNUMBER(MATCH(O247,{"F","E","D","D+","C","C+","B","B+","A","A+","S"},0)),ISNUMBER(MATCH(P248,{"F","E","D","D+","C","C+","B","B+","A","A+","S"},0))),LOOKUP(AVERAGE(_xlfn.SWITCH(M249,"F",0,"E",10,"D",20,"D+",30,"C",40,"C+",50,"B",60,"B+",70,"A",80,"A+",90,"S",100),_xlfn.SWITCH(N250,"F",0,"E",10,"D",20,"D+",30,"C",40,"C+",50,"B",60,"B+",70,"A",80,"A+",90,"S",100),_xlfn.SWITCH(O251,"F",0,"E",10,"D",20,"D+",30,"C",40,"C+",50,"B",60,"B+",70,"A",80,"A+",90,"S",100),_xlfn.SWITCH(P252,"F",0,"E",10,"D",20,"D+",30,"C",40,"C+",50,"B",60,"B+",70,"A",80,"A+",90,"S",100)),{0,15,25,35,45,55,65,75,85,95},{"D","D","D+","C","C+","B","B+","A","A+","S"}),"?")</f>
        <v>?</v>
      </c>
      <c r="U245" s="36"/>
      <c r="V245" s="37"/>
      <c r="W245" s="38"/>
      <c r="X245" s="39"/>
      <c r="Y245" s="39"/>
      <c r="Z245" s="39"/>
    </row>
    <row r="246" spans="1:26" ht="21">
      <c r="A246" s="5" t="s">
        <v>1319</v>
      </c>
      <c r="B246" s="5" t="s">
        <v>1320</v>
      </c>
      <c r="C246" s="13"/>
      <c r="D246" s="13"/>
      <c r="E246" s="13"/>
      <c r="F246" s="13"/>
      <c r="G246" s="13"/>
      <c r="H246" s="7"/>
      <c r="I246" s="7"/>
      <c r="K246" s="24" t="s">
        <v>1321</v>
      </c>
      <c r="L246" s="25" t="s">
        <v>1322</v>
      </c>
      <c r="M246" s="19"/>
      <c r="N246" s="19"/>
      <c r="O246" s="19"/>
      <c r="P246" s="19"/>
      <c r="Q246" s="19" t="str">
        <f>IF(AND(ISNUMBER(MATCH(M246,{"F","E","D","D+","C","C+","B","B+","A","A+","S"},0)),ISNUMBER(MATCH(N247,{"F","E","D","D+","C","C+","B","B+","A","A+","S"},0)),ISNUMBER(MATCH(O248,{"F","E","D","D+","C","C+","B","B+","A","A+","S"},0)),ISNUMBER(MATCH(P249,{"F","E","D","D+","C","C+","B","B+","A","A+","S"},0))),LOOKUP(AVERAGE(_xlfn.SWITCH(M250,"F",0,"E",10,"D",20,"D+",30,"C",40,"C+",50,"B",60,"B+",70,"A",80,"A+",90,"S",100),_xlfn.SWITCH(N251,"F",0,"E",10,"D",20,"D+",30,"C",40,"C+",50,"B",60,"B+",70,"A",80,"A+",90,"S",100),_xlfn.SWITCH(O252,"F",0,"E",10,"D",20,"D+",30,"C",40,"C+",50,"B",60,"B+",70,"A",80,"A+",90,"S",100),_xlfn.SWITCH(P253,"F",0,"E",10,"D",20,"D+",30,"C",40,"C+",50,"B",60,"B+",70,"A",80,"A+",90,"S",100)),{0,15,25,35,45,55,65,75,85,95},{"D","D","D+","C","C+","B","B+","A","A+","S"}),"?")</f>
        <v>?</v>
      </c>
      <c r="U246" s="36"/>
      <c r="V246" s="37"/>
      <c r="W246" s="38"/>
      <c r="X246" s="39"/>
      <c r="Y246" s="39"/>
      <c r="Z246" s="39"/>
    </row>
    <row r="247" spans="1:26" ht="21">
      <c r="A247" s="5" t="s">
        <v>1323</v>
      </c>
      <c r="B247" s="5" t="s">
        <v>1079</v>
      </c>
      <c r="C247" s="13"/>
      <c r="D247" s="13"/>
      <c r="E247" s="13"/>
      <c r="F247" s="13"/>
      <c r="G247" s="13"/>
      <c r="H247" s="7"/>
      <c r="I247" s="7"/>
      <c r="K247" s="24" t="s">
        <v>1000</v>
      </c>
      <c r="L247" s="25" t="s">
        <v>1001</v>
      </c>
      <c r="M247" s="19"/>
      <c r="N247" s="19"/>
      <c r="O247" s="19"/>
      <c r="P247" s="19"/>
      <c r="Q247" s="19" t="str">
        <f>IF(AND(ISNUMBER(MATCH(M247,{"F","E","D","D+","C","C+","B","B+","A","A+","S"},0)),ISNUMBER(MATCH(N248,{"F","E","D","D+","C","C+","B","B+","A","A+","S"},0)),ISNUMBER(MATCH(O249,{"F","E","D","D+","C","C+","B","B+","A","A+","S"},0)),ISNUMBER(MATCH(P250,{"F","E","D","D+","C","C+","B","B+","A","A+","S"},0))),LOOKUP(AVERAGE(_xlfn.SWITCH(M251,"F",0,"E",10,"D",20,"D+",30,"C",40,"C+",50,"B",60,"B+",70,"A",80,"A+",90,"S",100),_xlfn.SWITCH(N252,"F",0,"E",10,"D",20,"D+",30,"C",40,"C+",50,"B",60,"B+",70,"A",80,"A+",90,"S",100),_xlfn.SWITCH(O253,"F",0,"E",10,"D",20,"D+",30,"C",40,"C+",50,"B",60,"B+",70,"A",80,"A+",90,"S",100),_xlfn.SWITCH(P254,"F",0,"E",10,"D",20,"D+",30,"C",40,"C+",50,"B",60,"B+",70,"A",80,"A+",90,"S",100)),{0,15,25,35,45,55,65,75,85,95},{"D","D","D+","C","C+","B","B+","A","A+","S"}),"?")</f>
        <v>?</v>
      </c>
      <c r="U247" s="36"/>
      <c r="V247" s="37"/>
      <c r="W247" s="38"/>
      <c r="X247" s="39"/>
      <c r="Y247" s="39"/>
      <c r="Z247" s="39"/>
    </row>
    <row r="248" spans="1:26" ht="21">
      <c r="A248" s="5" t="s">
        <v>1324</v>
      </c>
      <c r="B248" s="23" t="s">
        <v>1091</v>
      </c>
      <c r="C248" s="13"/>
      <c r="D248" s="13"/>
      <c r="E248" s="13"/>
      <c r="F248" s="13"/>
      <c r="G248" s="13"/>
      <c r="H248" s="7"/>
      <c r="I248" s="7"/>
      <c r="K248" s="24" t="s">
        <v>1325</v>
      </c>
      <c r="L248" s="25" t="s">
        <v>1326</v>
      </c>
      <c r="M248" s="19"/>
      <c r="N248" s="19"/>
      <c r="O248" s="19"/>
      <c r="P248" s="19"/>
      <c r="Q248" s="19" t="str">
        <f>IF(AND(ISNUMBER(MATCH(M248,{"F","E","D","D+","C","C+","B","B+","A","A+","S"},0)),ISNUMBER(MATCH(N249,{"F","E","D","D+","C","C+","B","B+","A","A+","S"},0)),ISNUMBER(MATCH(O250,{"F","E","D","D+","C","C+","B","B+","A","A+","S"},0)),ISNUMBER(MATCH(P251,{"F","E","D","D+","C","C+","B","B+","A","A+","S"},0))),LOOKUP(AVERAGE(_xlfn.SWITCH(M252,"F",0,"E",10,"D",20,"D+",30,"C",40,"C+",50,"B",60,"B+",70,"A",80,"A+",90,"S",100),_xlfn.SWITCH(N253,"F",0,"E",10,"D",20,"D+",30,"C",40,"C+",50,"B",60,"B+",70,"A",80,"A+",90,"S",100),_xlfn.SWITCH(O254,"F",0,"E",10,"D",20,"D+",30,"C",40,"C+",50,"B",60,"B+",70,"A",80,"A+",90,"S",100),_xlfn.SWITCH(P255,"F",0,"E",10,"D",20,"D+",30,"C",40,"C+",50,"B",60,"B+",70,"A",80,"A+",90,"S",100)),{0,15,25,35,45,55,65,75,85,95},{"D","D","D+","C","C+","B","B+","A","A+","S"}),"?")</f>
        <v>?</v>
      </c>
      <c r="U248" s="36"/>
      <c r="V248" s="37"/>
      <c r="W248" s="38"/>
      <c r="X248" s="39"/>
      <c r="Y248" s="39"/>
      <c r="Z248" s="39"/>
    </row>
    <row r="249" spans="1:26" ht="21">
      <c r="A249" s="5" t="s">
        <v>1327</v>
      </c>
      <c r="B249" s="5" t="s">
        <v>726</v>
      </c>
      <c r="C249" s="13"/>
      <c r="D249" s="13"/>
      <c r="E249" s="13"/>
      <c r="F249" s="13"/>
      <c r="G249" s="13"/>
      <c r="H249" s="7"/>
      <c r="I249" s="7"/>
      <c r="K249" s="24" t="s">
        <v>1328</v>
      </c>
      <c r="L249" s="25" t="s">
        <v>1329</v>
      </c>
      <c r="M249" s="19"/>
      <c r="N249" s="19"/>
      <c r="O249" s="19"/>
      <c r="P249" s="19"/>
      <c r="Q249" s="19" t="str">
        <f>IF(AND(ISNUMBER(MATCH(M249,{"F","E","D","D+","C","C+","B","B+","A","A+","S"},0)),ISNUMBER(MATCH(N250,{"F","E","D","D+","C","C+","B","B+","A","A+","S"},0)),ISNUMBER(MATCH(O251,{"F","E","D","D+","C","C+","B","B+","A","A+","S"},0)),ISNUMBER(MATCH(P252,{"F","E","D","D+","C","C+","B","B+","A","A+","S"},0))),LOOKUP(AVERAGE(_xlfn.SWITCH(M253,"F",0,"E",10,"D",20,"D+",30,"C",40,"C+",50,"B",60,"B+",70,"A",80,"A+",90,"S",100),_xlfn.SWITCH(N254,"F",0,"E",10,"D",20,"D+",30,"C",40,"C+",50,"B",60,"B+",70,"A",80,"A+",90,"S",100),_xlfn.SWITCH(O255,"F",0,"E",10,"D",20,"D+",30,"C",40,"C+",50,"B",60,"B+",70,"A",80,"A+",90,"S",100),_xlfn.SWITCH(P256,"F",0,"E",10,"D",20,"D+",30,"C",40,"C+",50,"B",60,"B+",70,"A",80,"A+",90,"S",100)),{0,15,25,35,45,55,65,75,85,95},{"D","D","D+","C","C+","B","B+","A","A+","S"}),"?")</f>
        <v>?</v>
      </c>
      <c r="U249" s="36"/>
      <c r="V249" s="37"/>
      <c r="W249" s="38"/>
      <c r="X249" s="39"/>
      <c r="Y249" s="39"/>
      <c r="Z249" s="39"/>
    </row>
    <row r="250" spans="1:26" ht="21">
      <c r="A250" s="5" t="s">
        <v>1330</v>
      </c>
      <c r="B250" s="5" t="s">
        <v>1102</v>
      </c>
      <c r="C250" s="13"/>
      <c r="D250" s="13"/>
      <c r="E250" s="13"/>
      <c r="F250" s="13"/>
      <c r="G250" s="13"/>
      <c r="H250" s="7"/>
      <c r="I250" s="7"/>
      <c r="K250" s="24" t="s">
        <v>988</v>
      </c>
      <c r="L250" s="25" t="s">
        <v>989</v>
      </c>
      <c r="M250" s="19"/>
      <c r="N250" s="19"/>
      <c r="O250" s="19"/>
      <c r="P250" s="19"/>
      <c r="Q250" s="19" t="str">
        <f>IF(AND(ISNUMBER(MATCH(M250,{"F","E","D","D+","C","C+","B","B+","A","A+","S"},0)),ISNUMBER(MATCH(N251,{"F","E","D","D+","C","C+","B","B+","A","A+","S"},0)),ISNUMBER(MATCH(O252,{"F","E","D","D+","C","C+","B","B+","A","A+","S"},0)),ISNUMBER(MATCH(P253,{"F","E","D","D+","C","C+","B","B+","A","A+","S"},0))),LOOKUP(AVERAGE(_xlfn.SWITCH(M254,"F",0,"E",10,"D",20,"D+",30,"C",40,"C+",50,"B",60,"B+",70,"A",80,"A+",90,"S",100),_xlfn.SWITCH(N255,"F",0,"E",10,"D",20,"D+",30,"C",40,"C+",50,"B",60,"B+",70,"A",80,"A+",90,"S",100),_xlfn.SWITCH(O256,"F",0,"E",10,"D",20,"D+",30,"C",40,"C+",50,"B",60,"B+",70,"A",80,"A+",90,"S",100),_xlfn.SWITCH(P257,"F",0,"E",10,"D",20,"D+",30,"C",40,"C+",50,"B",60,"B+",70,"A",80,"A+",90,"S",100)),{0,15,25,35,45,55,65,75,85,95},{"D","D","D+","C","C+","B","B+","A","A+","S"}),"?")</f>
        <v>?</v>
      </c>
      <c r="U250" s="36"/>
      <c r="V250" s="37"/>
      <c r="W250" s="38"/>
      <c r="X250" s="39"/>
      <c r="Y250" s="39"/>
      <c r="Z250" s="39"/>
    </row>
    <row r="251" spans="1:26" ht="21">
      <c r="A251" s="5" t="s">
        <v>1331</v>
      </c>
      <c r="B251" s="5" t="s">
        <v>1332</v>
      </c>
      <c r="C251" s="13"/>
      <c r="D251" s="13"/>
      <c r="E251" s="13"/>
      <c r="F251" s="13"/>
      <c r="G251" s="13"/>
      <c r="H251" s="7"/>
      <c r="I251" s="7"/>
      <c r="K251" s="24" t="s">
        <v>1333</v>
      </c>
      <c r="L251" s="25" t="s">
        <v>1334</v>
      </c>
      <c r="M251" s="19"/>
      <c r="N251" s="19"/>
      <c r="O251" s="19"/>
      <c r="P251" s="19"/>
      <c r="Q251" s="19" t="str">
        <f>IF(AND(ISNUMBER(MATCH(M251,{"F","E","D","D+","C","C+","B","B+","A","A+","S"},0)),ISNUMBER(MATCH(N252,{"F","E","D","D+","C","C+","B","B+","A","A+","S"},0)),ISNUMBER(MATCH(O253,{"F","E","D","D+","C","C+","B","B+","A","A+","S"},0)),ISNUMBER(MATCH(P254,{"F","E","D","D+","C","C+","B","B+","A","A+","S"},0))),LOOKUP(AVERAGE(_xlfn.SWITCH(M255,"F",0,"E",10,"D",20,"D+",30,"C",40,"C+",50,"B",60,"B+",70,"A",80,"A+",90,"S",100),_xlfn.SWITCH(N256,"F",0,"E",10,"D",20,"D+",30,"C",40,"C+",50,"B",60,"B+",70,"A",80,"A+",90,"S",100),_xlfn.SWITCH(O257,"F",0,"E",10,"D",20,"D+",30,"C",40,"C+",50,"B",60,"B+",70,"A",80,"A+",90,"S",100),_xlfn.SWITCH(P258,"F",0,"E",10,"D",20,"D+",30,"C",40,"C+",50,"B",60,"B+",70,"A",80,"A+",90,"S",100)),{0,15,25,35,45,55,65,75,85,95},{"D","D","D+","C","C+","B","B+","A","A+","S"}),"?")</f>
        <v>?</v>
      </c>
      <c r="R251" t="s">
        <v>1335</v>
      </c>
      <c r="U251" s="36"/>
      <c r="V251" s="37"/>
      <c r="W251" s="38"/>
      <c r="X251" s="39"/>
      <c r="Y251" s="39"/>
      <c r="Z251" s="39"/>
    </row>
    <row r="252" spans="1:26" ht="21">
      <c r="A252" s="5" t="s">
        <v>1336</v>
      </c>
      <c r="B252" s="5" t="s">
        <v>1168</v>
      </c>
      <c r="C252" s="13"/>
      <c r="D252" s="13"/>
      <c r="E252" s="13"/>
      <c r="F252" s="13"/>
      <c r="G252" s="13"/>
      <c r="H252" s="7"/>
      <c r="I252" s="7"/>
      <c r="K252" s="24" t="s">
        <v>1337</v>
      </c>
      <c r="L252" s="25" t="s">
        <v>1338</v>
      </c>
      <c r="M252" s="19"/>
      <c r="N252" s="19"/>
      <c r="O252" s="19"/>
      <c r="P252" s="19"/>
      <c r="Q252" s="19" t="str">
        <f>IF(AND(ISNUMBER(MATCH(M252,{"F","E","D","D+","C","C+","B","B+","A","A+","S"},0)),ISNUMBER(MATCH(N253,{"F","E","D","D+","C","C+","B","B+","A","A+","S"},0)),ISNUMBER(MATCH(O254,{"F","E","D","D+","C","C+","B","B+","A","A+","S"},0)),ISNUMBER(MATCH(P255,{"F","E","D","D+","C","C+","B","B+","A","A+","S"},0))),LOOKUP(AVERAGE(_xlfn.SWITCH(M256,"F",0,"E",10,"D",20,"D+",30,"C",40,"C+",50,"B",60,"B+",70,"A",80,"A+",90,"S",100),_xlfn.SWITCH(N257,"F",0,"E",10,"D",20,"D+",30,"C",40,"C+",50,"B",60,"B+",70,"A",80,"A+",90,"S",100),_xlfn.SWITCH(O258,"F",0,"E",10,"D",20,"D+",30,"C",40,"C+",50,"B",60,"B+",70,"A",80,"A+",90,"S",100),_xlfn.SWITCH(P259,"F",0,"E",10,"D",20,"D+",30,"C",40,"C+",50,"B",60,"B+",70,"A",80,"A+",90,"S",100)),{0,15,25,35,45,55,65,75,85,95},{"D","D","D+","C","C+","B","B+","A","A+","S"}),"?")</f>
        <v>?</v>
      </c>
      <c r="U252" s="36"/>
      <c r="V252" s="37"/>
      <c r="W252" s="38"/>
      <c r="X252" s="39"/>
      <c r="Y252" s="39"/>
      <c r="Z252" s="39"/>
    </row>
    <row r="253" spans="1:26" ht="21">
      <c r="A253" s="5" t="s">
        <v>1339</v>
      </c>
      <c r="B253" s="23" t="s">
        <v>1340</v>
      </c>
      <c r="C253" s="13"/>
      <c r="D253" s="13"/>
      <c r="E253" s="13"/>
      <c r="F253" s="13"/>
      <c r="G253" s="13"/>
      <c r="H253" s="7"/>
      <c r="I253" s="7"/>
      <c r="K253" s="24" t="s">
        <v>1341</v>
      </c>
      <c r="L253" s="25" t="s">
        <v>1342</v>
      </c>
      <c r="M253" s="19"/>
      <c r="N253" s="19"/>
      <c r="O253" s="19"/>
      <c r="P253" s="19"/>
      <c r="Q253" s="19" t="str">
        <f>IF(AND(ISNUMBER(MATCH(M253,{"F","E","D","D+","C","C+","B","B+","A","A+","S"},0)),ISNUMBER(MATCH(N254,{"F","E","D","D+","C","C+","B","B+","A","A+","S"},0)),ISNUMBER(MATCH(O255,{"F","E","D","D+","C","C+","B","B+","A","A+","S"},0)),ISNUMBER(MATCH(P256,{"F","E","D","D+","C","C+","B","B+","A","A+","S"},0))),LOOKUP(AVERAGE(_xlfn.SWITCH(M257,"F",0,"E",10,"D",20,"D+",30,"C",40,"C+",50,"B",60,"B+",70,"A",80,"A+",90,"S",100),_xlfn.SWITCH(N258,"F",0,"E",10,"D",20,"D+",30,"C",40,"C+",50,"B",60,"B+",70,"A",80,"A+",90,"S",100),_xlfn.SWITCH(O259,"F",0,"E",10,"D",20,"D+",30,"C",40,"C+",50,"B",60,"B+",70,"A",80,"A+",90,"S",100),_xlfn.SWITCH(P260,"F",0,"E",10,"D",20,"D+",30,"C",40,"C+",50,"B",60,"B+",70,"A",80,"A+",90,"S",100)),{0,15,25,35,45,55,65,75,85,95},{"D","D","D+","C","C+","B","B+","A","A+","S"}),"?")</f>
        <v>?</v>
      </c>
      <c r="U253" s="36"/>
      <c r="V253" s="37"/>
      <c r="W253" s="38"/>
      <c r="X253" s="39"/>
      <c r="Y253" s="39"/>
      <c r="Z253" s="39"/>
    </row>
    <row r="254" spans="1:26" ht="21">
      <c r="A254" s="5" t="s">
        <v>1343</v>
      </c>
      <c r="B254" s="5" t="s">
        <v>1063</v>
      </c>
      <c r="C254" s="13"/>
      <c r="D254" s="13"/>
      <c r="E254" s="13"/>
      <c r="F254" s="13"/>
      <c r="G254" s="13"/>
      <c r="H254" s="7"/>
      <c r="I254" s="7"/>
      <c r="K254" s="24" t="s">
        <v>1344</v>
      </c>
      <c r="L254" s="25" t="s">
        <v>1345</v>
      </c>
      <c r="M254" s="19"/>
      <c r="N254" s="19"/>
      <c r="O254" s="19"/>
      <c r="P254" s="19"/>
      <c r="Q254" s="19" t="str">
        <f>IF(AND(ISNUMBER(MATCH(M254,{"F","E","D","D+","C","C+","B","B+","A","A+","S"},0)),ISNUMBER(MATCH(N255,{"F","E","D","D+","C","C+","B","B+","A","A+","S"},0)),ISNUMBER(MATCH(O256,{"F","E","D","D+","C","C+","B","B+","A","A+","S"},0)),ISNUMBER(MATCH(P257,{"F","E","D","D+","C","C+","B","B+","A","A+","S"},0))),LOOKUP(AVERAGE(_xlfn.SWITCH(M258,"F",0,"E",10,"D",20,"D+",30,"C",40,"C+",50,"B",60,"B+",70,"A",80,"A+",90,"S",100),_xlfn.SWITCH(N259,"F",0,"E",10,"D",20,"D+",30,"C",40,"C+",50,"B",60,"B+",70,"A",80,"A+",90,"S",100),_xlfn.SWITCH(O260,"F",0,"E",10,"D",20,"D+",30,"C",40,"C+",50,"B",60,"B+",70,"A",80,"A+",90,"S",100),_xlfn.SWITCH(P261,"F",0,"E",10,"D",20,"D+",30,"C",40,"C+",50,"B",60,"B+",70,"A",80,"A+",90,"S",100)),{0,15,25,35,45,55,65,75,85,95},{"D","D","D+","C","C+","B","B+","A","A+","S"}),"?")</f>
        <v>?</v>
      </c>
      <c r="U254" s="36"/>
      <c r="V254" s="37"/>
      <c r="W254" s="38"/>
      <c r="X254" s="39"/>
      <c r="Y254" s="39"/>
      <c r="Z254" s="39"/>
    </row>
    <row r="255" spans="1:26" ht="21">
      <c r="A255" s="5" t="s">
        <v>1346</v>
      </c>
      <c r="B255" s="5" t="s">
        <v>1347</v>
      </c>
      <c r="C255" s="13"/>
      <c r="D255" s="13"/>
      <c r="E255" s="13"/>
      <c r="F255" s="13"/>
      <c r="G255" s="13"/>
      <c r="H255" s="7"/>
      <c r="I255" s="7"/>
      <c r="K255" s="24" t="s">
        <v>1348</v>
      </c>
      <c r="L255" s="25" t="s">
        <v>1349</v>
      </c>
      <c r="M255" s="19"/>
      <c r="N255" s="19"/>
      <c r="O255" s="19"/>
      <c r="P255" s="19"/>
      <c r="Q255" s="19" t="str">
        <f>IF(AND(ISNUMBER(MATCH(M255,{"F","E","D","D+","C","C+","B","B+","A","A+","S"},0)),ISNUMBER(MATCH(N256,{"F","E","D","D+","C","C+","B","B+","A","A+","S"},0)),ISNUMBER(MATCH(O257,{"F","E","D","D+","C","C+","B","B+","A","A+","S"},0)),ISNUMBER(MATCH(P258,{"F","E","D","D+","C","C+","B","B+","A","A+","S"},0))),LOOKUP(AVERAGE(_xlfn.SWITCH(M259,"F",0,"E",10,"D",20,"D+",30,"C",40,"C+",50,"B",60,"B+",70,"A",80,"A+",90,"S",100),_xlfn.SWITCH(N260,"F",0,"E",10,"D",20,"D+",30,"C",40,"C+",50,"B",60,"B+",70,"A",80,"A+",90,"S",100),_xlfn.SWITCH(O261,"F",0,"E",10,"D",20,"D+",30,"C",40,"C+",50,"B",60,"B+",70,"A",80,"A+",90,"S",100),_xlfn.SWITCH(P262,"F",0,"E",10,"D",20,"D+",30,"C",40,"C+",50,"B",60,"B+",70,"A",80,"A+",90,"S",100)),{0,15,25,35,45,55,65,75,85,95},{"D","D","D+","C","C+","B","B+","A","A+","S"}),"?")</f>
        <v>?</v>
      </c>
      <c r="U255" s="36"/>
      <c r="V255" s="37"/>
      <c r="W255" s="38"/>
      <c r="X255" s="39"/>
      <c r="Y255" s="39"/>
      <c r="Z255" s="39"/>
    </row>
    <row r="256" spans="1:26" ht="21">
      <c r="A256" s="5" t="s">
        <v>1350</v>
      </c>
      <c r="B256" s="5" t="s">
        <v>601</v>
      </c>
      <c r="C256" s="13"/>
      <c r="D256" s="13"/>
      <c r="E256" s="13"/>
      <c r="F256" s="13"/>
      <c r="G256" s="13"/>
      <c r="H256" s="7"/>
      <c r="I256" s="7"/>
      <c r="K256" s="24" t="s">
        <v>927</v>
      </c>
      <c r="L256" s="25" t="s">
        <v>928</v>
      </c>
      <c r="M256" s="19"/>
      <c r="N256" s="19"/>
      <c r="O256" s="19"/>
      <c r="P256" s="19"/>
      <c r="Q256" s="19" t="str">
        <f>IF(AND(ISNUMBER(MATCH(M256,{"F","E","D","D+","C","C+","B","B+","A","A+","S"},0)),ISNUMBER(MATCH(N257,{"F","E","D","D+","C","C+","B","B+","A","A+","S"},0)),ISNUMBER(MATCH(O258,{"F","E","D","D+","C","C+","B","B+","A","A+","S"},0)),ISNUMBER(MATCH(P259,{"F","E","D","D+","C","C+","B","B+","A","A+","S"},0))),LOOKUP(AVERAGE(_xlfn.SWITCH(M260,"F",0,"E",10,"D",20,"D+",30,"C",40,"C+",50,"B",60,"B+",70,"A",80,"A+",90,"S",100),_xlfn.SWITCH(N261,"F",0,"E",10,"D",20,"D+",30,"C",40,"C+",50,"B",60,"B+",70,"A",80,"A+",90,"S",100),_xlfn.SWITCH(O262,"F",0,"E",10,"D",20,"D+",30,"C",40,"C+",50,"B",60,"B+",70,"A",80,"A+",90,"S",100),_xlfn.SWITCH(P263,"F",0,"E",10,"D",20,"D+",30,"C",40,"C+",50,"B",60,"B+",70,"A",80,"A+",90,"S",100)),{0,15,25,35,45,55,65,75,85,95},{"D","D","D+","C","C+","B","B+","A","A+","S"}),"?")</f>
        <v>?</v>
      </c>
      <c r="U256" s="36"/>
      <c r="V256" s="37"/>
      <c r="W256" s="38"/>
      <c r="X256" s="39"/>
      <c r="Y256" s="39"/>
      <c r="Z256" s="39"/>
    </row>
    <row r="257" spans="1:26" ht="21">
      <c r="A257" s="5" t="s">
        <v>1351</v>
      </c>
      <c r="B257" s="5" t="s">
        <v>1352</v>
      </c>
      <c r="C257" s="13"/>
      <c r="D257" s="13"/>
      <c r="E257" s="13"/>
      <c r="F257" s="13"/>
      <c r="G257" s="13"/>
      <c r="H257" s="7"/>
      <c r="I257" s="7"/>
      <c r="K257" s="24" t="s">
        <v>1353</v>
      </c>
      <c r="L257" s="25" t="s">
        <v>1354</v>
      </c>
      <c r="M257" s="19"/>
      <c r="N257" s="19"/>
      <c r="O257" s="19"/>
      <c r="P257" s="19"/>
      <c r="Q257" s="19" t="str">
        <f>IF(AND(ISNUMBER(MATCH(M257,{"F","E","D","D+","C","C+","B","B+","A","A+","S"},0)),ISNUMBER(MATCH(N258,{"F","E","D","D+","C","C+","B","B+","A","A+","S"},0)),ISNUMBER(MATCH(O259,{"F","E","D","D+","C","C+","B","B+","A","A+","S"},0)),ISNUMBER(MATCH(P260,{"F","E","D","D+","C","C+","B","B+","A","A+","S"},0))),LOOKUP(AVERAGE(_xlfn.SWITCH(M261,"F",0,"E",10,"D",20,"D+",30,"C",40,"C+",50,"B",60,"B+",70,"A",80,"A+",90,"S",100),_xlfn.SWITCH(N262,"F",0,"E",10,"D",20,"D+",30,"C",40,"C+",50,"B",60,"B+",70,"A",80,"A+",90,"S",100),_xlfn.SWITCH(O263,"F",0,"E",10,"D",20,"D+",30,"C",40,"C+",50,"B",60,"B+",70,"A",80,"A+",90,"S",100),_xlfn.SWITCH(P264,"F",0,"E",10,"D",20,"D+",30,"C",40,"C+",50,"B",60,"B+",70,"A",80,"A+",90,"S",100)),{0,15,25,35,45,55,65,75,85,95},{"D","D","D+","C","C+","B","B+","A","A+","S"}),"?")</f>
        <v>?</v>
      </c>
      <c r="U257" s="36"/>
      <c r="V257" s="37"/>
      <c r="W257" s="38"/>
      <c r="X257" s="39"/>
      <c r="Y257" s="39"/>
      <c r="Z257" s="39"/>
    </row>
    <row r="258" spans="1:26" ht="21">
      <c r="A258" s="5" t="s">
        <v>1355</v>
      </c>
      <c r="B258" s="5" t="s">
        <v>1356</v>
      </c>
      <c r="C258" s="13"/>
      <c r="D258" s="13"/>
      <c r="E258" s="13"/>
      <c r="F258" s="13"/>
      <c r="G258" s="13"/>
      <c r="H258" s="7"/>
      <c r="I258" s="7"/>
      <c r="K258" s="24" t="s">
        <v>886</v>
      </c>
      <c r="L258" s="25" t="s">
        <v>887</v>
      </c>
      <c r="M258" s="19"/>
      <c r="N258" s="19"/>
      <c r="O258" s="19"/>
      <c r="P258" s="19"/>
      <c r="Q258" s="19" t="str">
        <f>IF(AND(ISNUMBER(MATCH(M258,{"F","E","D","D+","C","C+","B","B+","A","A+","S"},0)),ISNUMBER(MATCH(N259,{"F","E","D","D+","C","C+","B","B+","A","A+","S"},0)),ISNUMBER(MATCH(O260,{"F","E","D","D+","C","C+","B","B+","A","A+","S"},0)),ISNUMBER(MATCH(P261,{"F","E","D","D+","C","C+","B","B+","A","A+","S"},0))),LOOKUP(AVERAGE(_xlfn.SWITCH(M262,"F",0,"E",10,"D",20,"D+",30,"C",40,"C+",50,"B",60,"B+",70,"A",80,"A+",90,"S",100),_xlfn.SWITCH(N263,"F",0,"E",10,"D",20,"D+",30,"C",40,"C+",50,"B",60,"B+",70,"A",80,"A+",90,"S",100),_xlfn.SWITCH(O264,"F",0,"E",10,"D",20,"D+",30,"C",40,"C+",50,"B",60,"B+",70,"A",80,"A+",90,"S",100),_xlfn.SWITCH(P265,"F",0,"E",10,"D",20,"D+",30,"C",40,"C+",50,"B",60,"B+",70,"A",80,"A+",90,"S",100)),{0,15,25,35,45,55,65,75,85,95},{"D","D","D+","C","C+","B","B+","A","A+","S"}),"?")</f>
        <v>?</v>
      </c>
      <c r="U258" s="36"/>
      <c r="V258" s="37"/>
      <c r="W258" s="38"/>
      <c r="X258" s="39"/>
      <c r="Y258" s="39"/>
      <c r="Z258" s="39"/>
    </row>
    <row r="259" spans="1:26" ht="21">
      <c r="A259" s="5" t="s">
        <v>1357</v>
      </c>
      <c r="B259" s="5" t="s">
        <v>1358</v>
      </c>
      <c r="C259" s="13"/>
      <c r="D259" s="13"/>
      <c r="E259" s="13"/>
      <c r="F259" s="13"/>
      <c r="G259" s="13"/>
      <c r="H259" s="7"/>
      <c r="I259" s="7"/>
      <c r="K259" s="24" t="s">
        <v>1359</v>
      </c>
      <c r="L259" s="25" t="s">
        <v>1360</v>
      </c>
      <c r="M259" s="19"/>
      <c r="N259" s="19"/>
      <c r="O259" s="19"/>
      <c r="P259" s="19"/>
      <c r="Q259" s="19" t="str">
        <f>IF(AND(ISNUMBER(MATCH(M259,{"F","E","D","D+","C","C+","B","B+","A","A+","S"},0)),ISNUMBER(MATCH(N260,{"F","E","D","D+","C","C+","B","B+","A","A+","S"},0)),ISNUMBER(MATCH(O261,{"F","E","D","D+","C","C+","B","B+","A","A+","S"},0)),ISNUMBER(MATCH(P262,{"F","E","D","D+","C","C+","B","B+","A","A+","S"},0))),LOOKUP(AVERAGE(_xlfn.SWITCH(M263,"F",0,"E",10,"D",20,"D+",30,"C",40,"C+",50,"B",60,"B+",70,"A",80,"A+",90,"S",100),_xlfn.SWITCH(N264,"F",0,"E",10,"D",20,"D+",30,"C",40,"C+",50,"B",60,"B+",70,"A",80,"A+",90,"S",100),_xlfn.SWITCH(O265,"F",0,"E",10,"D",20,"D+",30,"C",40,"C+",50,"B",60,"B+",70,"A",80,"A+",90,"S",100),_xlfn.SWITCH(P266,"F",0,"E",10,"D",20,"D+",30,"C",40,"C+",50,"B",60,"B+",70,"A",80,"A+",90,"S",100)),{0,15,25,35,45,55,65,75,85,95},{"D","D","D+","C","C+","B","B+","A","A+","S"}),"?")</f>
        <v>?</v>
      </c>
      <c r="U259" s="36"/>
      <c r="V259" s="37"/>
      <c r="W259" s="38"/>
      <c r="X259" s="39"/>
      <c r="Y259" s="39"/>
      <c r="Z259" s="39"/>
    </row>
    <row r="260" spans="1:26" ht="21">
      <c r="A260" s="5" t="s">
        <v>1361</v>
      </c>
      <c r="B260" s="23" t="s">
        <v>1097</v>
      </c>
      <c r="C260" s="13"/>
      <c r="D260" s="13"/>
      <c r="E260" s="13"/>
      <c r="F260" s="13"/>
      <c r="G260" s="13"/>
      <c r="H260" s="7"/>
      <c r="I260" s="7"/>
      <c r="K260" s="24" t="s">
        <v>1362</v>
      </c>
      <c r="L260" s="25" t="s">
        <v>1363</v>
      </c>
      <c r="M260" s="19"/>
      <c r="N260" s="19"/>
      <c r="O260" s="19"/>
      <c r="P260" s="19"/>
      <c r="Q260" s="19" t="str">
        <f>IF(AND(ISNUMBER(MATCH(M260,{"F","E","D","D+","C","C+","B","B+","A","A+","S"},0)),ISNUMBER(MATCH(N261,{"F","E","D","D+","C","C+","B","B+","A","A+","S"},0)),ISNUMBER(MATCH(O262,{"F","E","D","D+","C","C+","B","B+","A","A+","S"},0)),ISNUMBER(MATCH(P263,{"F","E","D","D+","C","C+","B","B+","A","A+","S"},0))),LOOKUP(AVERAGE(_xlfn.SWITCH(M264,"F",0,"E",10,"D",20,"D+",30,"C",40,"C+",50,"B",60,"B+",70,"A",80,"A+",90,"S",100),_xlfn.SWITCH(N265,"F",0,"E",10,"D",20,"D+",30,"C",40,"C+",50,"B",60,"B+",70,"A",80,"A+",90,"S",100),_xlfn.SWITCH(O266,"F",0,"E",10,"D",20,"D+",30,"C",40,"C+",50,"B",60,"B+",70,"A",80,"A+",90,"S",100),_xlfn.SWITCH(P267,"F",0,"E",10,"D",20,"D+",30,"C",40,"C+",50,"B",60,"B+",70,"A",80,"A+",90,"S",100)),{0,15,25,35,45,55,65,75,85,95},{"D","D","D+","C","C+","B","B+","A","A+","S"}),"?")</f>
        <v>?</v>
      </c>
    </row>
    <row r="261" spans="1:26" ht="21">
      <c r="A261" s="5" t="s">
        <v>1364</v>
      </c>
      <c r="B261" s="5" t="s">
        <v>1117</v>
      </c>
      <c r="C261" s="13"/>
      <c r="D261" s="13"/>
      <c r="E261" s="13"/>
      <c r="F261" s="13"/>
      <c r="G261" s="13"/>
      <c r="H261" s="7"/>
      <c r="I261" s="7"/>
      <c r="K261" s="24" t="s">
        <v>1365</v>
      </c>
      <c r="L261" s="25" t="s">
        <v>1366</v>
      </c>
      <c r="M261" s="19"/>
      <c r="N261" s="19"/>
      <c r="O261" s="19"/>
      <c r="P261" s="19"/>
      <c r="Q261" s="19" t="str">
        <f>IF(AND(ISNUMBER(MATCH(M261,{"F","E","D","D+","C","C+","B","B+","A","A+","S"},0)),ISNUMBER(MATCH(N262,{"F","E","D","D+","C","C+","B","B+","A","A+","S"},0)),ISNUMBER(MATCH(O263,{"F","E","D","D+","C","C+","B","B+","A","A+","S"},0)),ISNUMBER(MATCH(P264,{"F","E","D","D+","C","C+","B","B+","A","A+","S"},0))),LOOKUP(AVERAGE(_xlfn.SWITCH(M265,"F",0,"E",10,"D",20,"D+",30,"C",40,"C+",50,"B",60,"B+",70,"A",80,"A+",90,"S",100),_xlfn.SWITCH(N266,"F",0,"E",10,"D",20,"D+",30,"C",40,"C+",50,"B",60,"B+",70,"A",80,"A+",90,"S",100),_xlfn.SWITCH(O267,"F",0,"E",10,"D",20,"D+",30,"C",40,"C+",50,"B",60,"B+",70,"A",80,"A+",90,"S",100),_xlfn.SWITCH(P268,"F",0,"E",10,"D",20,"D+",30,"C",40,"C+",50,"B",60,"B+",70,"A",80,"A+",90,"S",100)),{0,15,25,35,45,55,65,75,85,95},{"D","D","D+","C","C+","B","B+","A","A+","S"}),"?")</f>
        <v>?</v>
      </c>
    </row>
    <row r="262" spans="1:26" ht="21">
      <c r="A262" s="5" t="s">
        <v>1367</v>
      </c>
      <c r="B262" s="5" t="s">
        <v>1368</v>
      </c>
      <c r="C262" s="13"/>
      <c r="D262" s="13"/>
      <c r="E262" s="13"/>
      <c r="F262" s="13"/>
      <c r="G262" s="13"/>
      <c r="H262" s="7"/>
      <c r="I262" s="7"/>
      <c r="K262" s="24" t="s">
        <v>979</v>
      </c>
      <c r="L262" s="25" t="s">
        <v>980</v>
      </c>
      <c r="M262" s="19"/>
      <c r="N262" s="19"/>
      <c r="O262" s="19"/>
      <c r="P262" s="19"/>
      <c r="Q262" s="19" t="str">
        <f>IF(AND(ISNUMBER(MATCH(M262,{"F","E","D","D+","C","C+","B","B+","A","A+","S"},0)),ISNUMBER(MATCH(N263,{"F","E","D","D+","C","C+","B","B+","A","A+","S"},0)),ISNUMBER(MATCH(O264,{"F","E","D","D+","C","C+","B","B+","A","A+","S"},0)),ISNUMBER(MATCH(P265,{"F","E","D","D+","C","C+","B","B+","A","A+","S"},0))),LOOKUP(AVERAGE(_xlfn.SWITCH(M266,"F",0,"E",10,"D",20,"D+",30,"C",40,"C+",50,"B",60,"B+",70,"A",80,"A+",90,"S",100),_xlfn.SWITCH(N267,"F",0,"E",10,"D",20,"D+",30,"C",40,"C+",50,"B",60,"B+",70,"A",80,"A+",90,"S",100),_xlfn.SWITCH(O268,"F",0,"E",10,"D",20,"D+",30,"C",40,"C+",50,"B",60,"B+",70,"A",80,"A+",90,"S",100),_xlfn.SWITCH(P269,"F",0,"E",10,"D",20,"D+",30,"C",40,"C+",50,"B",60,"B+",70,"A",80,"A+",90,"S",100)),{0,15,25,35,45,55,65,75,85,95},{"D","D","D+","C","C+","B","B+","A","A+","S"}),"?")</f>
        <v>?</v>
      </c>
    </row>
    <row r="263" spans="1:26" ht="21">
      <c r="A263" s="5" t="s">
        <v>1369</v>
      </c>
      <c r="B263" s="5" t="s">
        <v>1370</v>
      </c>
      <c r="C263" s="13"/>
      <c r="D263" s="13"/>
      <c r="E263" s="13"/>
      <c r="F263" s="13"/>
      <c r="G263" s="13"/>
      <c r="H263" s="7"/>
      <c r="I263" s="7"/>
      <c r="K263" s="24" t="s">
        <v>1371</v>
      </c>
      <c r="L263" s="25" t="s">
        <v>1372</v>
      </c>
      <c r="M263" s="19"/>
      <c r="N263" s="19"/>
      <c r="O263" s="19"/>
      <c r="P263" s="19"/>
      <c r="Q263" s="19" t="str">
        <f>IF(AND(ISNUMBER(MATCH(M263,{"F","E","D","D+","C","C+","B","B+","A","A+","S"},0)),ISNUMBER(MATCH(N264,{"F","E","D","D+","C","C+","B","B+","A","A+","S"},0)),ISNUMBER(MATCH(O265,{"F","E","D","D+","C","C+","B","B+","A","A+","S"},0)),ISNUMBER(MATCH(P266,{"F","E","D","D+","C","C+","B","B+","A","A+","S"},0))),LOOKUP(AVERAGE(_xlfn.SWITCH(M267,"F",0,"E",10,"D",20,"D+",30,"C",40,"C+",50,"B",60,"B+",70,"A",80,"A+",90,"S",100),_xlfn.SWITCH(N268,"F",0,"E",10,"D",20,"D+",30,"C",40,"C+",50,"B",60,"B+",70,"A",80,"A+",90,"S",100),_xlfn.SWITCH(O269,"F",0,"E",10,"D",20,"D+",30,"C",40,"C+",50,"B",60,"B+",70,"A",80,"A+",90,"S",100),_xlfn.SWITCH(P270,"F",0,"E",10,"D",20,"D+",30,"C",40,"C+",50,"B",60,"B+",70,"A",80,"A+",90,"S",100)),{0,15,25,35,45,55,65,75,85,95},{"D","D","D+","C","C+","B","B+","A","A+","S"}),"?")</f>
        <v>?</v>
      </c>
    </row>
    <row r="264" spans="1:26" ht="21">
      <c r="A264" s="5" t="s">
        <v>1373</v>
      </c>
      <c r="B264" s="5" t="s">
        <v>1180</v>
      </c>
      <c r="C264" s="13"/>
      <c r="D264" s="13"/>
      <c r="E264" s="13"/>
      <c r="F264" s="13"/>
      <c r="G264" s="13"/>
      <c r="H264" s="7"/>
      <c r="I264" s="7"/>
      <c r="K264" s="24" t="s">
        <v>1374</v>
      </c>
      <c r="L264" s="25" t="s">
        <v>1375</v>
      </c>
      <c r="M264" s="19"/>
      <c r="N264" s="19"/>
      <c r="O264" s="19"/>
      <c r="P264" s="19"/>
      <c r="Q264" s="19" t="str">
        <f>IF(AND(ISNUMBER(MATCH(M264,{"F","E","D","D+","C","C+","B","B+","A","A+","S"},0)),ISNUMBER(MATCH(N265,{"F","E","D","D+","C","C+","B","B+","A","A+","S"},0)),ISNUMBER(MATCH(O266,{"F","E","D","D+","C","C+","B","B+","A","A+","S"},0)),ISNUMBER(MATCH(P267,{"F","E","D","D+","C","C+","B","B+","A","A+","S"},0))),LOOKUP(AVERAGE(_xlfn.SWITCH(M268,"F",0,"E",10,"D",20,"D+",30,"C",40,"C+",50,"B",60,"B+",70,"A",80,"A+",90,"S",100),_xlfn.SWITCH(N269,"F",0,"E",10,"D",20,"D+",30,"C",40,"C+",50,"B",60,"B+",70,"A",80,"A+",90,"S",100),_xlfn.SWITCH(O270,"F",0,"E",10,"D",20,"D+",30,"C",40,"C+",50,"B",60,"B+",70,"A",80,"A+",90,"S",100),_xlfn.SWITCH(P271,"F",0,"E",10,"D",20,"D+",30,"C",40,"C+",50,"B",60,"B+",70,"A",80,"A+",90,"S",100)),{0,15,25,35,45,55,65,75,85,95},{"D","D","D+","C","C+","B","B+","A","A+","S"}),"?")</f>
        <v>?</v>
      </c>
    </row>
    <row r="265" spans="1:26" ht="21">
      <c r="A265" s="5" t="s">
        <v>1376</v>
      </c>
      <c r="B265" s="5" t="s">
        <v>1143</v>
      </c>
      <c r="C265" s="13"/>
      <c r="D265" s="13"/>
      <c r="E265" s="13"/>
      <c r="F265" s="13"/>
      <c r="G265" s="13"/>
      <c r="H265" s="7"/>
      <c r="I265" s="7"/>
      <c r="K265" s="24" t="s">
        <v>1377</v>
      </c>
      <c r="L265" s="25" t="s">
        <v>1378</v>
      </c>
      <c r="M265" s="19"/>
      <c r="N265" s="19"/>
      <c r="O265" s="19"/>
      <c r="P265" s="19"/>
      <c r="Q265" s="19" t="str">
        <f>IF(AND(ISNUMBER(MATCH(M265,{"F","E","D","D+","C","C+","B","B+","A","A+","S"},0)),ISNUMBER(MATCH(N266,{"F","E","D","D+","C","C+","B","B+","A","A+","S"},0)),ISNUMBER(MATCH(O267,{"F","E","D","D+","C","C+","B","B+","A","A+","S"},0)),ISNUMBER(MATCH(P268,{"F","E","D","D+","C","C+","B","B+","A","A+","S"},0))),LOOKUP(AVERAGE(_xlfn.SWITCH(M269,"F",0,"E",10,"D",20,"D+",30,"C",40,"C+",50,"B",60,"B+",70,"A",80,"A+",90,"S",100),_xlfn.SWITCH(N270,"F",0,"E",10,"D",20,"D+",30,"C",40,"C+",50,"B",60,"B+",70,"A",80,"A+",90,"S",100),_xlfn.SWITCH(O271,"F",0,"E",10,"D",20,"D+",30,"C",40,"C+",50,"B",60,"B+",70,"A",80,"A+",90,"S",100),_xlfn.SWITCH(P272,"F",0,"E",10,"D",20,"D+",30,"C",40,"C+",50,"B",60,"B+",70,"A",80,"A+",90,"S",100)),{0,15,25,35,45,55,65,75,85,95},{"D","D","D+","C","C+","B","B+","A","A+","S"}),"?")</f>
        <v>?</v>
      </c>
    </row>
    <row r="266" spans="1:26" ht="21">
      <c r="A266" s="5" t="s">
        <v>1379</v>
      </c>
      <c r="B266" s="5" t="s">
        <v>1380</v>
      </c>
      <c r="C266" s="13"/>
      <c r="D266" s="13"/>
      <c r="E266" s="13"/>
      <c r="F266" s="13"/>
      <c r="G266" s="13"/>
      <c r="H266" s="7"/>
      <c r="I266" s="7"/>
      <c r="K266" s="24" t="s">
        <v>1027</v>
      </c>
      <c r="L266" s="25" t="s">
        <v>1028</v>
      </c>
      <c r="M266" s="19"/>
      <c r="N266" s="19"/>
      <c r="O266" s="19"/>
      <c r="P266" s="19"/>
      <c r="Q266" s="19" t="str">
        <f>IF(AND(ISNUMBER(MATCH(M266,{"F","E","D","D+","C","C+","B","B+","A","A+","S"},0)),ISNUMBER(MATCH(N267,{"F","E","D","D+","C","C+","B","B+","A","A+","S"},0)),ISNUMBER(MATCH(O268,{"F","E","D","D+","C","C+","B","B+","A","A+","S"},0)),ISNUMBER(MATCH(P269,{"F","E","D","D+","C","C+","B","B+","A","A+","S"},0))),LOOKUP(AVERAGE(_xlfn.SWITCH(M270,"F",0,"E",10,"D",20,"D+",30,"C",40,"C+",50,"B",60,"B+",70,"A",80,"A+",90,"S",100),_xlfn.SWITCH(N271,"F",0,"E",10,"D",20,"D+",30,"C",40,"C+",50,"B",60,"B+",70,"A",80,"A+",90,"S",100),_xlfn.SWITCH(O272,"F",0,"E",10,"D",20,"D+",30,"C",40,"C+",50,"B",60,"B+",70,"A",80,"A+",90,"S",100),_xlfn.SWITCH(P273,"F",0,"E",10,"D",20,"D+",30,"C",40,"C+",50,"B",60,"B+",70,"A",80,"A+",90,"S",100)),{0,15,25,35,45,55,65,75,85,95},{"D","D","D+","C","C+","B","B+","A","A+","S"}),"?")</f>
        <v>?</v>
      </c>
    </row>
    <row r="267" spans="1:26" ht="21">
      <c r="A267" s="5" t="s">
        <v>1381</v>
      </c>
      <c r="B267" s="5" t="s">
        <v>1039</v>
      </c>
      <c r="C267" s="13"/>
      <c r="D267" s="13"/>
      <c r="E267" s="13"/>
      <c r="F267" s="13"/>
      <c r="G267" s="13"/>
      <c r="H267" s="7"/>
      <c r="I267" s="7"/>
      <c r="K267" s="24" t="s">
        <v>962</v>
      </c>
      <c r="L267" s="25" t="s">
        <v>963</v>
      </c>
      <c r="M267" s="19"/>
      <c r="N267" s="19"/>
      <c r="O267" s="19"/>
      <c r="P267" s="19"/>
      <c r="Q267" s="19" t="str">
        <f>IF(AND(ISNUMBER(MATCH(M267,{"F","E","D","D+","C","C+","B","B+","A","A+","S"},0)),ISNUMBER(MATCH(N268,{"F","E","D","D+","C","C+","B","B+","A","A+","S"},0)),ISNUMBER(MATCH(O269,{"F","E","D","D+","C","C+","B","B+","A","A+","S"},0)),ISNUMBER(MATCH(P270,{"F","E","D","D+","C","C+","B","B+","A","A+","S"},0))),LOOKUP(AVERAGE(_xlfn.SWITCH(M271,"F",0,"E",10,"D",20,"D+",30,"C",40,"C+",50,"B",60,"B+",70,"A",80,"A+",90,"S",100),_xlfn.SWITCH(N272,"F",0,"E",10,"D",20,"D+",30,"C",40,"C+",50,"B",60,"B+",70,"A",80,"A+",90,"S",100),_xlfn.SWITCH(O273,"F",0,"E",10,"D",20,"D+",30,"C",40,"C+",50,"B",60,"B+",70,"A",80,"A+",90,"S",100),_xlfn.SWITCH(P274,"F",0,"E",10,"D",20,"D+",30,"C",40,"C+",50,"B",60,"B+",70,"A",80,"A+",90,"S",100)),{0,15,25,35,45,55,65,75,85,95},{"D","D","D+","C","C+","B","B+","A","A+","S"}),"?")</f>
        <v>?</v>
      </c>
    </row>
    <row r="268" spans="1:26" ht="21">
      <c r="A268" s="5" t="s">
        <v>1382</v>
      </c>
      <c r="B268" s="5" t="s">
        <v>1213</v>
      </c>
      <c r="C268" s="13"/>
      <c r="D268" s="13"/>
      <c r="E268" s="13"/>
      <c r="F268" s="13"/>
      <c r="G268" s="13"/>
      <c r="H268" s="7"/>
      <c r="I268" s="7"/>
      <c r="K268" s="24" t="s">
        <v>994</v>
      </c>
      <c r="L268" s="25" t="s">
        <v>995</v>
      </c>
      <c r="M268" s="19"/>
      <c r="N268" s="19"/>
      <c r="O268" s="19"/>
      <c r="P268" s="19"/>
      <c r="Q268" s="19" t="str">
        <f>IF(AND(ISNUMBER(MATCH(M268,{"F","E","D","D+","C","C+","B","B+","A","A+","S"},0)),ISNUMBER(MATCH(N269,{"F","E","D","D+","C","C+","B","B+","A","A+","S"},0)),ISNUMBER(MATCH(O270,{"F","E","D","D+","C","C+","B","B+","A","A+","S"},0)),ISNUMBER(MATCH(P271,{"F","E","D","D+","C","C+","B","B+","A","A+","S"},0))),LOOKUP(AVERAGE(_xlfn.SWITCH(M272,"F",0,"E",10,"D",20,"D+",30,"C",40,"C+",50,"B",60,"B+",70,"A",80,"A+",90,"S",100),_xlfn.SWITCH(N273,"F",0,"E",10,"D",20,"D+",30,"C",40,"C+",50,"B",60,"B+",70,"A",80,"A+",90,"S",100),_xlfn.SWITCH(O274,"F",0,"E",10,"D",20,"D+",30,"C",40,"C+",50,"B",60,"B+",70,"A",80,"A+",90,"S",100),_xlfn.SWITCH(P275,"F",0,"E",10,"D",20,"D+",30,"C",40,"C+",50,"B",60,"B+",70,"A",80,"A+",90,"S",100)),{0,15,25,35,45,55,65,75,85,95},{"D","D","D+","C","C+","B","B+","A","A+","S"}),"?")</f>
        <v>?</v>
      </c>
    </row>
    <row r="269" spans="1:26" ht="21">
      <c r="A269" s="5" t="s">
        <v>1383</v>
      </c>
      <c r="B269" s="5" t="s">
        <v>1384</v>
      </c>
      <c r="C269" s="13"/>
      <c r="D269" s="13"/>
      <c r="E269" s="13"/>
      <c r="F269" s="13"/>
      <c r="G269" s="13"/>
      <c r="H269" s="7"/>
      <c r="I269" s="7"/>
      <c r="K269" s="24" t="s">
        <v>1385</v>
      </c>
      <c r="L269" s="25" t="s">
        <v>1386</v>
      </c>
      <c r="M269" s="19"/>
      <c r="N269" s="19"/>
      <c r="O269" s="19"/>
      <c r="P269" s="19"/>
      <c r="Q269" s="19" t="str">
        <f>IF(AND(ISNUMBER(MATCH(M269,{"F","E","D","D+","C","C+","B","B+","A","A+","S"},0)),ISNUMBER(MATCH(N270,{"F","E","D","D+","C","C+","B","B+","A","A+","S"},0)),ISNUMBER(MATCH(O271,{"F","E","D","D+","C","C+","B","B+","A","A+","S"},0)),ISNUMBER(MATCH(P272,{"F","E","D","D+","C","C+","B","B+","A","A+","S"},0))),LOOKUP(AVERAGE(_xlfn.SWITCH(M273,"F",0,"E",10,"D",20,"D+",30,"C",40,"C+",50,"B",60,"B+",70,"A",80,"A+",90,"S",100),_xlfn.SWITCH(N274,"F",0,"E",10,"D",20,"D+",30,"C",40,"C+",50,"B",60,"B+",70,"A",80,"A+",90,"S",100),_xlfn.SWITCH(O275,"F",0,"E",10,"D",20,"D+",30,"C",40,"C+",50,"B",60,"B+",70,"A",80,"A+",90,"S",100),_xlfn.SWITCH(P276,"F",0,"E",10,"D",20,"D+",30,"C",40,"C+",50,"B",60,"B+",70,"A",80,"A+",90,"S",100)),{0,15,25,35,45,55,65,75,85,95},{"D","D","D+","C","C+","B","B+","A","A+","S"}),"?")</f>
        <v>?</v>
      </c>
    </row>
    <row r="270" spans="1:26" ht="21">
      <c r="A270" s="5"/>
      <c r="B270" s="5"/>
      <c r="C270" s="13"/>
      <c r="D270" s="13"/>
      <c r="E270" s="13"/>
      <c r="F270" s="13"/>
      <c r="G270" s="13"/>
      <c r="H270" s="7"/>
      <c r="I270" s="7"/>
      <c r="K270" s="24" t="s">
        <v>903</v>
      </c>
      <c r="L270" s="25" t="s">
        <v>904</v>
      </c>
      <c r="M270" s="19"/>
      <c r="N270" s="19"/>
      <c r="O270" s="19"/>
      <c r="P270" s="19"/>
      <c r="Q270" s="19" t="str">
        <f>IF(AND(ISNUMBER(MATCH(M270,{"F","E","D","D+","C","C+","B","B+","A","A+","S"},0)),ISNUMBER(MATCH(N270,{"F","E","D","D+","C","C+","B","B+","A","A+","S"},0)),ISNUMBER(MATCH(O270,{"F","E","D","D+","C","C+","B","B+","A","A+","S"},0)),ISNUMBER(MATCH(P270,{"F","E","D","D+","C","C+","B","B+","A","A+","S"},0))),LOOKUP(AVERAGE(_xlfn.SWITCH(M270,"F",0,"E",10,"D",20,"D+",30,"C",40,"C+",50,"B",60,"B+",70,"A",80,"A+",90,"S",100),_xlfn.SWITCH(N270,"F",0,"E",10,"D",20,"D+",30,"C",40,"C+",50,"B",60,"B+",70,"A",80,"A+",90,"S",100),_xlfn.SWITCH(O270,"F",0,"E",10,"D",20,"D+",30,"C",40,"C+",50,"B",60,"B+",70,"A",80,"A+",90,"S",100),_xlfn.SWITCH(P270,"F",0,"E",10,"D",20,"D+",30,"C",40,"C+",50,"B",60,"B+",70,"A",80,"A+",90,"S",100)),{0,15,25,35,45,55,65,75,85,95},{"D","D","D+","C","C+","B","B+","A","A+","S"}),"?")</f>
        <v>?</v>
      </c>
    </row>
    <row r="271" spans="1:26" ht="21">
      <c r="A271" s="5"/>
      <c r="B271" s="5"/>
      <c r="C271" s="13"/>
      <c r="D271" s="13"/>
      <c r="E271" s="13"/>
      <c r="F271" s="13"/>
      <c r="G271" s="13"/>
      <c r="H271" s="7"/>
      <c r="I271" s="7"/>
      <c r="K271" s="24" t="s">
        <v>1387</v>
      </c>
      <c r="L271" s="25" t="s">
        <v>1388</v>
      </c>
      <c r="M271" s="19"/>
      <c r="N271" s="19"/>
      <c r="O271" s="19"/>
      <c r="P271" s="19"/>
      <c r="Q271" s="19" t="str">
        <f>IF(AND(ISNUMBER(MATCH(M271,{"F","E","D","D+","C","C+","B","B+","A","A+","S"},0)),ISNUMBER(MATCH(N271,{"F","E","D","D+","C","C+","B","B+","A","A+","S"},0)),ISNUMBER(MATCH(O271,{"F","E","D","D+","C","C+","B","B+","A","A+","S"},0)),ISNUMBER(MATCH(P271,{"F","E","D","D+","C","C+","B","B+","A","A+","S"},0))),LOOKUP(AVERAGE(_xlfn.SWITCH(M271,"F",0,"E",10,"D",20,"D+",30,"C",40,"C+",50,"B",60,"B+",70,"A",80,"A+",90,"S",100),_xlfn.SWITCH(N271,"F",0,"E",10,"D",20,"D+",30,"C",40,"C+",50,"B",60,"B+",70,"A",80,"A+",90,"S",100),_xlfn.SWITCH(O271,"F",0,"E",10,"D",20,"D+",30,"C",40,"C+",50,"B",60,"B+",70,"A",80,"A+",90,"S",100),_xlfn.SWITCH(P271,"F",0,"E",10,"D",20,"D+",30,"C",40,"C+",50,"B",60,"B+",70,"A",80,"A+",90,"S",100)),{0,15,25,35,45,55,65,75,85,95},{"D","D","D+","C","C+","B","B+","A","A+","S"}),"?")</f>
        <v>?</v>
      </c>
    </row>
    <row r="272" spans="1:26" ht="21">
      <c r="A272" s="5"/>
      <c r="B272" s="5"/>
      <c r="C272" s="13"/>
      <c r="D272" s="13"/>
      <c r="E272" s="13"/>
      <c r="F272" s="13"/>
      <c r="G272" s="13"/>
      <c r="H272" s="7"/>
      <c r="I272" s="7"/>
      <c r="K272" s="24" t="s">
        <v>1389</v>
      </c>
      <c r="L272" s="25" t="s">
        <v>1390</v>
      </c>
      <c r="M272" s="19"/>
      <c r="N272" s="19"/>
      <c r="O272" s="19"/>
      <c r="P272" s="19"/>
      <c r="Q272" s="19" t="str">
        <f>IF(AND(ISNUMBER(MATCH(M272,{"F","E","D","D+","C","C+","B","B+","A","A+","S"},0)),ISNUMBER(MATCH(N273,{"F","E","D","D+","C","C+","B","B+","A","A+","S"},0)),ISNUMBER(MATCH(O274,{"F","E","D","D+","C","C+","B","B+","A","A+","S"},0)),ISNUMBER(MATCH(P275,{"F","E","D","D+","C","C+","B","B+","A","A+","S"},0))),LOOKUP(AVERAGE(_xlfn.SWITCH(M276,"F",0,"E",10,"D",20,"D+",30,"C",40,"C+",50,"B",60,"B+",70,"A",80,"A+",90,"S",100),_xlfn.SWITCH(N277,"F",0,"E",10,"D",20,"D+",30,"C",40,"C+",50,"B",60,"B+",70,"A",80,"A+",90,"S",100),_xlfn.SWITCH(O278,"F",0,"E",10,"D",20,"D+",30,"C",40,"C+",50,"B",60,"B+",70,"A",80,"A+",90,"S",100),_xlfn.SWITCH(P280,"F",0,"E",10,"D",20,"D+",30,"C",40,"C+",50,"B",60,"B+",70,"A",80,"A+",90,"S",100)),{0,15,25,35,45,55,65,75,85,95},{"D","D","D+","C","C+","B","B+","A","A+","S"}),"?")</f>
        <v>?</v>
      </c>
    </row>
    <row r="273" spans="1:19" ht="21">
      <c r="A273" s="5"/>
      <c r="B273" s="5"/>
      <c r="C273" s="13"/>
      <c r="D273" s="13"/>
      <c r="E273" s="13"/>
      <c r="F273" s="13"/>
      <c r="G273" s="13"/>
      <c r="H273" s="7"/>
      <c r="I273" s="7"/>
      <c r="K273" s="24" t="s">
        <v>879</v>
      </c>
      <c r="L273" s="25" t="s">
        <v>880</v>
      </c>
      <c r="M273" s="19"/>
      <c r="N273" s="19"/>
      <c r="O273" s="19"/>
      <c r="P273" s="19"/>
      <c r="Q273" s="19" t="str">
        <f>IF(AND(ISNUMBER(MATCH(M273,{"F","E","D","D+","C","C+","B","B+","A","A+","S"},0)),ISNUMBER(MATCH(N274,{"F","E","D","D+","C","C+","B","B+","A","A+","S"},0)),ISNUMBER(MATCH(O275,{"F","E","D","D+","C","C+","B","B+","A","A+","S"},0)),ISNUMBER(MATCH(P276,{"F","E","D","D+","C","C+","B","B+","A","A+","S"},0))),LOOKUP(AVERAGE(_xlfn.SWITCH(M277,"F",0,"E",10,"D",20,"D+",30,"C",40,"C+",50,"B",60,"B+",70,"A",80,"A+",90,"S",100),_xlfn.SWITCH(N278,"F",0,"E",10,"D",20,"D+",30,"C",40,"C+",50,"B",60,"B+",70,"A",80,"A+",90,"S",100),_xlfn.SWITCH(O280,"F",0,"E",10,"D",20,"D+",30,"C",40,"C+",50,"B",60,"B+",70,"A",80,"A+",90,"S",100),_xlfn.SWITCH(P281,"F",0,"E",10,"D",20,"D+",30,"C",40,"C+",50,"B",60,"B+",70,"A",80,"A+",90,"S",100)),{0,15,25,35,45,55,65,75,85,95},{"D","D","D+","C","C+","B","B+","A","A+","S"}),"?")</f>
        <v>?</v>
      </c>
    </row>
    <row r="274" spans="1:19" ht="21">
      <c r="A274" s="5"/>
      <c r="B274" s="5"/>
      <c r="C274" s="13"/>
      <c r="D274" s="13"/>
      <c r="E274" s="13"/>
      <c r="F274" s="13"/>
      <c r="G274" s="13"/>
      <c r="H274" s="7"/>
      <c r="I274" s="7"/>
      <c r="K274" s="24" t="s">
        <v>1391</v>
      </c>
      <c r="L274" s="25" t="s">
        <v>1392</v>
      </c>
      <c r="M274" s="19"/>
      <c r="N274" s="19"/>
      <c r="O274" s="19"/>
      <c r="P274" s="19"/>
      <c r="Q274" s="19" t="str">
        <f>IF(AND(ISNUMBER(MATCH(M274,{"F","E","D","D+","C","C+","B","B+","A","A+","S"},0)),ISNUMBER(MATCH(N275,{"F","E","D","D+","C","C+","B","B+","A","A+","S"},0)),ISNUMBER(MATCH(O276,{"F","E","D","D+","C","C+","B","B+","A","A+","S"},0)),ISNUMBER(MATCH(P277,{"F","E","D","D+","C","C+","B","B+","A","A+","S"},0))),LOOKUP(AVERAGE(_xlfn.SWITCH(M278,"F",0,"E",10,"D",20,"D+",30,"C",40,"C+",50,"B",60,"B+",70,"A",80,"A+",90,"S",100),_xlfn.SWITCH(N280,"F",0,"E",10,"D",20,"D+",30,"C",40,"C+",50,"B",60,"B+",70,"A",80,"A+",90,"S",100),_xlfn.SWITCH(O281,"F",0,"E",10,"D",20,"D+",30,"C",40,"C+",50,"B",60,"B+",70,"A",80,"A+",90,"S",100),_xlfn.SWITCH(P282,"F",0,"E",10,"D",20,"D+",30,"C",40,"C+",50,"B",60,"B+",70,"A",80,"A+",90,"S",100)),{0,15,25,35,45,55,65,75,85,95},{"D","D","D+","C","C+","B","B+","A","A+","S"}),"?")</f>
        <v>?</v>
      </c>
    </row>
    <row r="275" spans="1:19" ht="21">
      <c r="A275" s="5"/>
      <c r="B275" s="5"/>
      <c r="C275" s="13"/>
      <c r="D275" s="13"/>
      <c r="E275" s="13"/>
      <c r="F275" s="13"/>
      <c r="G275" s="13"/>
      <c r="H275" s="7"/>
      <c r="I275" s="7"/>
      <c r="K275" s="41" t="s">
        <v>1393</v>
      </c>
      <c r="L275" s="25" t="s">
        <v>215</v>
      </c>
      <c r="M275" s="19"/>
      <c r="N275" s="19"/>
      <c r="O275" s="19"/>
      <c r="P275" s="19"/>
      <c r="Q275" s="19" t="str">
        <f>IF(AND(ISNUMBER(MATCH(M275,{"F","E","D","D+","C","C+","B","B+","A","A+","S"},0)),ISNUMBER(MATCH(N276,{"F","E","D","D+","C","C+","B","B+","A","A+","S"},0)),ISNUMBER(MATCH(O277,{"F","E","D","D+","C","C+","B","B+","A","A+","S"},0)),ISNUMBER(MATCH(P278,{"F","E","D","D+","C","C+","B","B+","A","A+","S"},0))),LOOKUP(AVERAGE(_xlfn.SWITCH(M280,"F",0,"E",10,"D",20,"D+",30,"C",40,"C+",50,"B",60,"B+",70,"A",80,"A+",90,"S",100),_xlfn.SWITCH(N281,"F",0,"E",10,"D",20,"D+",30,"C",40,"C+",50,"B",60,"B+",70,"A",80,"A+",90,"S",100),_xlfn.SWITCH(O282,"F",0,"E",10,"D",20,"D+",30,"C",40,"C+",50,"B",60,"B+",70,"A",80,"A+",90,"S",100),_xlfn.SWITCH(P283,"F",0,"E",10,"D",20,"D+",30,"C",40,"C+",50,"B",60,"B+",70,"A",80,"A+",90,"S",100)),{0,15,25,35,45,55,65,75,85,95},{"D","D","D+","C","C+","B","B+","A","A+","S"}),"?")</f>
        <v>?</v>
      </c>
    </row>
    <row r="276" spans="1:19" ht="21">
      <c r="A276" s="5"/>
      <c r="B276" s="5"/>
      <c r="C276" s="13"/>
      <c r="D276" s="13"/>
      <c r="E276" s="13"/>
      <c r="F276" s="13"/>
      <c r="G276" s="13"/>
      <c r="H276" s="7"/>
      <c r="I276" s="7"/>
      <c r="K276" s="41" t="s">
        <v>1007</v>
      </c>
      <c r="L276" s="25" t="s">
        <v>1008</v>
      </c>
      <c r="M276" s="19"/>
      <c r="N276" s="19"/>
      <c r="O276" s="19"/>
      <c r="P276" s="19"/>
      <c r="Q276" s="19" t="str">
        <f>IF(AND(ISNUMBER(MATCH(M276,{"F","E","D","D+","C","C+","B","B+","A","A+","S"},0)),ISNUMBER(MATCH(N277,{"F","E","D","D+","C","C+","B","B+","A","A+","S"},0)),ISNUMBER(MATCH(O278,{"F","E","D","D+","C","C+","B","B+","A","A+","S"},0)),ISNUMBER(MATCH(P280,{"F","E","D","D+","C","C+","B","B+","A","A+","S"},0))),LOOKUP(AVERAGE(_xlfn.SWITCH(M281,"F",0,"E",10,"D",20,"D+",30,"C",40,"C+",50,"B",60,"B+",70,"A",80,"A+",90,"S",100),_xlfn.SWITCH(N282,"F",0,"E",10,"D",20,"D+",30,"C",40,"C+",50,"B",60,"B+",70,"A",80,"A+",90,"S",100),_xlfn.SWITCH(O283,"F",0,"E",10,"D",20,"D+",30,"C",40,"C+",50,"B",60,"B+",70,"A",80,"A+",90,"S",100),_xlfn.SWITCH(P284,"F",0,"E",10,"D",20,"D+",30,"C",40,"C+",50,"B",60,"B+",70,"A",80,"A+",90,"S",100)),{0,15,25,35,45,55,65,75,85,95},{"D","D","D+","C","C+","B","B+","A","A+","S"}),"?")</f>
        <v>?</v>
      </c>
    </row>
    <row r="277" spans="1:19" ht="21">
      <c r="A277" s="5"/>
      <c r="B277" s="5"/>
      <c r="C277" s="13"/>
      <c r="D277" s="13"/>
      <c r="E277" s="13"/>
      <c r="F277" s="13"/>
      <c r="G277" s="13"/>
      <c r="H277" s="7"/>
      <c r="I277" s="7"/>
      <c r="K277" s="549" t="s">
        <v>1394</v>
      </c>
      <c r="L277" s="547"/>
      <c r="M277" s="548"/>
      <c r="N277" s="548"/>
      <c r="O277" s="548"/>
      <c r="P277" s="548"/>
      <c r="Q277" s="548" t="str">
        <f>IF(AND(ISNUMBER(MATCH(M277,{"F","E","D","D+","C","C+","B","B+","A","A+","S"},0)),ISNUMBER(MATCH(N278,{"F","E","D","D+","C","C+","B","B+","A","A+","S"},0)),ISNUMBER(MATCH(O280,{"F","E","D","D+","C","C+","B","B+","A","A+","S"},0)),ISNUMBER(MATCH(P281,{"F","E","D","D+","C","C+","B","B+","A","A+","S"},0))),LOOKUP(AVERAGE(_xlfn.SWITCH(M282,"F",0,"E",10,"D",20,"D+",30,"C",40,"C+",50,"B",60,"B+",70,"A",80,"A+",90,"S",100),_xlfn.SWITCH(N283,"F",0,"E",10,"D",20,"D+",30,"C",40,"C+",50,"B",60,"B+",70,"A",80,"A+",90,"S",100),_xlfn.SWITCH(O284,"F",0,"E",10,"D",20,"D+",30,"C",40,"C+",50,"B",60,"B+",70,"A",80,"A+",90,"S",100),_xlfn.SWITCH(P285,"F",0,"E",10,"D",20,"D+",30,"C",40,"C+",50,"B",60,"B+",70,"A",80,"A+",90,"S",100)),{0,15,25,35,45,55,65,75,85,95},{"D","D","D+","C","C+","B","B+","A","A+","S"}),"?")</f>
        <v>?</v>
      </c>
      <c r="R277" s="543"/>
      <c r="S277" s="543"/>
    </row>
    <row r="278" spans="1:19" ht="21">
      <c r="A278" s="5"/>
      <c r="B278" s="5"/>
      <c r="C278" s="13"/>
      <c r="D278" s="13"/>
      <c r="E278" s="13"/>
      <c r="F278" s="13"/>
      <c r="G278" s="13"/>
      <c r="H278" s="7"/>
      <c r="I278" s="7"/>
      <c r="K278" s="548"/>
      <c r="L278" s="547"/>
      <c r="M278" s="548"/>
      <c r="N278" s="548"/>
      <c r="O278" s="548"/>
      <c r="P278" s="548"/>
      <c r="Q278" s="548" t="str">
        <f>IF(AND(ISNUMBER(MATCH(M278,{"F","E","D","D+","C","C+","B","B+","A","A+","S"},0)),ISNUMBER(MATCH(N280,{"F","E","D","D+","C","C+","B","B+","A","A+","S"},0)),ISNUMBER(MATCH(O281,{"F","E","D","D+","C","C+","B","B+","A","A+","S"},0)),ISNUMBER(MATCH(P282,{"F","E","D","D+","C","C+","B","B+","A","A+","S"},0))),LOOKUP(AVERAGE(_xlfn.SWITCH(M283,"F",0,"E",10,"D",20,"D+",30,"C",40,"C+",50,"B",60,"B+",70,"A",80,"A+",90,"S",100),_xlfn.SWITCH(N284,"F",0,"E",10,"D",20,"D+",30,"C",40,"C+",50,"B",60,"B+",70,"A",80,"A+",90,"S",100),_xlfn.SWITCH(O285,"F",0,"E",10,"D",20,"D+",30,"C",40,"C+",50,"B",60,"B+",70,"A",80,"A+",90,"S",100),_xlfn.SWITCH(P286,"F",0,"E",10,"D",20,"D+",30,"C",40,"C+",50,"B",60,"B+",70,"A",80,"A+",90,"S",100)),{0,15,25,35,45,55,65,75,85,95},{"D","D","D+","C","C+","B","B+","A","A+","S"}),"?")</f>
        <v>?</v>
      </c>
      <c r="R278" s="543"/>
      <c r="S278" s="543"/>
    </row>
    <row r="279" spans="1:19" ht="21">
      <c r="A279" s="5"/>
      <c r="B279" s="5"/>
      <c r="C279" s="13"/>
      <c r="D279" s="13"/>
      <c r="E279" s="13"/>
      <c r="F279" s="13"/>
      <c r="G279" s="13"/>
      <c r="H279" s="7"/>
      <c r="I279" s="7"/>
      <c r="K279" s="5" t="s">
        <v>4</v>
      </c>
      <c r="L279" s="6" t="s">
        <v>5</v>
      </c>
      <c r="M279" s="7" t="s">
        <v>6</v>
      </c>
      <c r="N279" s="7" t="s">
        <v>7</v>
      </c>
      <c r="O279" s="7" t="s">
        <v>8</v>
      </c>
      <c r="P279" s="7" t="s">
        <v>9</v>
      </c>
      <c r="Q279" s="7" t="s">
        <v>10</v>
      </c>
      <c r="R279" s="7" t="s">
        <v>11</v>
      </c>
      <c r="S279" s="7" t="s">
        <v>12</v>
      </c>
    </row>
    <row r="280" spans="1:19" ht="21">
      <c r="A280" s="5"/>
      <c r="B280" s="5"/>
      <c r="C280" s="13"/>
      <c r="D280" s="13"/>
      <c r="E280" s="13"/>
      <c r="F280" s="13"/>
      <c r="G280" s="13"/>
      <c r="H280" s="7"/>
      <c r="I280" s="7"/>
      <c r="K280" s="24" t="s">
        <v>1395</v>
      </c>
      <c r="L280" s="25" t="s">
        <v>1396</v>
      </c>
      <c r="M280" s="19"/>
      <c r="N280" s="19"/>
      <c r="O280" s="19"/>
      <c r="P280" s="19"/>
      <c r="Q280" s="19" t="str">
        <f>IF(AND(ISNUMBER(MATCH(M280,{"F","E","D","D+","C","C+","B","B+","A","A+","S"},0)),ISNUMBER(MATCH(N281,{"F","E","D","D+","C","C+","B","B+","A","A+","S"},0)),ISNUMBER(MATCH(O282,{"F","E","D","D+","C","C+","B","B+","A","A+","S"},0)),ISNUMBER(MATCH(P283,{"F","E","D","D+","C","C+","B","B+","A","A+","S"},0))),LOOKUP(AVERAGE(_xlfn.SWITCH(M284,"F",0,"E",10,"D",20,"D+",30,"C",40,"C+",50,"B",60,"B+",70,"A",80,"A+",90,"S",100),_xlfn.SWITCH(N285,"F",0,"E",10,"D",20,"D+",30,"C",40,"C+",50,"B",60,"B+",70,"A",80,"A+",90,"S",100),_xlfn.SWITCH(O286,"F",0,"E",10,"D",20,"D+",30,"C",40,"C+",50,"B",60,"B+",70,"A",80,"A+",90,"S",100),_xlfn.SWITCH(P287,"F",0,"E",10,"D",20,"D+",30,"C",40,"C+",50,"B",60,"B+",70,"A",80,"A+",90,"S",100)),{0,15,25,35,45,55,65,75,85,95},{"D","D","D+","C","C+","B","B+","A","A+","S"}),"?")</f>
        <v>?</v>
      </c>
    </row>
    <row r="281" spans="1:19" ht="21">
      <c r="A281" s="5"/>
      <c r="B281" s="5"/>
      <c r="C281" s="13"/>
      <c r="D281" s="13"/>
      <c r="E281" s="13"/>
      <c r="F281" s="13"/>
      <c r="G281" s="13"/>
      <c r="H281" s="7"/>
      <c r="I281" s="7"/>
      <c r="K281" s="24" t="s">
        <v>1221</v>
      </c>
      <c r="L281" s="25" t="s">
        <v>1222</v>
      </c>
      <c r="M281" s="19"/>
      <c r="N281" s="19"/>
      <c r="O281" s="19"/>
      <c r="P281" s="19"/>
      <c r="Q281" s="19" t="str">
        <f>IF(AND(ISNUMBER(MATCH(M281,{"F","E","D","D+","C","C+","B","B+","A","A+","S"},0)),ISNUMBER(MATCH(N282,{"F","E","D","D+","C","C+","B","B+","A","A+","S"},0)),ISNUMBER(MATCH(O283,{"F","E","D","D+","C","C+","B","B+","A","A+","S"},0)),ISNUMBER(MATCH(P284,{"F","E","D","D+","C","C+","B","B+","A","A+","S"},0))),LOOKUP(AVERAGE(_xlfn.SWITCH(M285,"F",0,"E",10,"D",20,"D+",30,"C",40,"C+",50,"B",60,"B+",70,"A",80,"A+",90,"S",100),_xlfn.SWITCH(N286,"F",0,"E",10,"D",20,"D+",30,"C",40,"C+",50,"B",60,"B+",70,"A",80,"A+",90,"S",100),_xlfn.SWITCH(O287,"F",0,"E",10,"D",20,"D+",30,"C",40,"C+",50,"B",60,"B+",70,"A",80,"A+",90,"S",100),_xlfn.SWITCH(P288,"F",0,"E",10,"D",20,"D+",30,"C",40,"C+",50,"B",60,"B+",70,"A",80,"A+",90,"S",100)),{0,15,25,35,45,55,65,75,85,95},{"D","D","D+","C","C+","B","B+","A","A+","S"}),"?")</f>
        <v>?</v>
      </c>
    </row>
    <row r="282" spans="1:19" ht="21">
      <c r="A282" s="5"/>
      <c r="B282" s="5"/>
      <c r="C282" s="13"/>
      <c r="D282" s="13"/>
      <c r="E282" s="13"/>
      <c r="F282" s="13"/>
      <c r="G282" s="13"/>
      <c r="H282" s="7"/>
      <c r="I282" s="7"/>
      <c r="K282" s="24" t="s">
        <v>1235</v>
      </c>
      <c r="L282" s="25" t="s">
        <v>1236</v>
      </c>
      <c r="M282" s="19"/>
      <c r="N282" s="19"/>
      <c r="O282" s="19"/>
      <c r="P282" s="19"/>
      <c r="Q282" s="19" t="str">
        <f>IF(AND(ISNUMBER(MATCH(M282,{"F","E","D","D+","C","C+","B","B+","A","A+","S"},0)),ISNUMBER(MATCH(N283,{"F","E","D","D+","C","C+","B","B+","A","A+","S"},0)),ISNUMBER(MATCH(O284,{"F","E","D","D+","C","C+","B","B+","A","A+","S"},0)),ISNUMBER(MATCH(P285,{"F","E","D","D+","C","C+","B","B+","A","A+","S"},0))),LOOKUP(AVERAGE(_xlfn.SWITCH(M286,"F",0,"E",10,"D",20,"D+",30,"C",40,"C+",50,"B",60,"B+",70,"A",80,"A+",90,"S",100),_xlfn.SWITCH(N287,"F",0,"E",10,"D",20,"D+",30,"C",40,"C+",50,"B",60,"B+",70,"A",80,"A+",90,"S",100),_xlfn.SWITCH(O288,"F",0,"E",10,"D",20,"D+",30,"C",40,"C+",50,"B",60,"B+",70,"A",80,"A+",90,"S",100),_xlfn.SWITCH(P289,"F",0,"E",10,"D",20,"D+",30,"C",40,"C+",50,"B",60,"B+",70,"A",80,"A+",90,"S",100)),{0,15,25,35,45,55,65,75,85,95},{"D","D","D+","C","C+","B","B+","A","A+","S"}),"?")</f>
        <v>?</v>
      </c>
    </row>
    <row r="283" spans="1:19" ht="21">
      <c r="A283" s="5"/>
      <c r="B283" s="5"/>
      <c r="C283" s="13"/>
      <c r="D283" s="13"/>
      <c r="E283" s="13"/>
      <c r="F283" s="13"/>
      <c r="G283" s="13"/>
      <c r="H283" s="7"/>
      <c r="I283" s="7"/>
      <c r="K283" s="24" t="s">
        <v>1397</v>
      </c>
      <c r="L283" s="25" t="s">
        <v>1398</v>
      </c>
      <c r="M283" s="19"/>
      <c r="N283" s="19"/>
      <c r="O283" s="19"/>
      <c r="P283" s="19"/>
      <c r="Q283" s="19" t="str">
        <f>IF(AND(ISNUMBER(MATCH(M283,{"F","E","D","D+","C","C+","B","B+","A","A+","S"},0)),ISNUMBER(MATCH(N284,{"F","E","D","D+","C","C+","B","B+","A","A+","S"},0)),ISNUMBER(MATCH(O285,{"F","E","D","D+","C","C+","B","B+","A","A+","S"},0)),ISNUMBER(MATCH(P286,{"F","E","D","D+","C","C+","B","B+","A","A+","S"},0))),LOOKUP(AVERAGE(_xlfn.SWITCH(M287,"F",0,"E",10,"D",20,"D+",30,"C",40,"C+",50,"B",60,"B+",70,"A",80,"A+",90,"S",100),_xlfn.SWITCH(N288,"F",0,"E",10,"D",20,"D+",30,"C",40,"C+",50,"B",60,"B+",70,"A",80,"A+",90,"S",100),_xlfn.SWITCH(O289,"F",0,"E",10,"D",20,"D+",30,"C",40,"C+",50,"B",60,"B+",70,"A",80,"A+",90,"S",100),_xlfn.SWITCH(P290,"F",0,"E",10,"D",20,"D+",30,"C",40,"C+",50,"B",60,"B+",70,"A",80,"A+",90,"S",100)),{0,15,25,35,45,55,65,75,85,95},{"D","D","D+","C","C+","B","B+","A","A+","S"}),"?")</f>
        <v>?</v>
      </c>
    </row>
    <row r="284" spans="1:19" ht="21">
      <c r="A284" s="5"/>
      <c r="B284" s="5"/>
      <c r="C284" s="13"/>
      <c r="D284" s="13"/>
      <c r="E284" s="13"/>
      <c r="F284" s="13"/>
      <c r="G284" s="13"/>
      <c r="H284" s="7"/>
      <c r="I284" s="7"/>
      <c r="K284" s="24" t="s">
        <v>1106</v>
      </c>
      <c r="L284" s="25" t="s">
        <v>1107</v>
      </c>
      <c r="M284" s="19"/>
      <c r="N284" s="19"/>
      <c r="O284" s="19"/>
      <c r="P284" s="19"/>
      <c r="Q284" s="19" t="str">
        <f>IF(AND(ISNUMBER(MATCH(M284,{"F","E","D","D+","C","C+","B","B+","A","A+","S"},0)),ISNUMBER(MATCH(N285,{"F","E","D","D+","C","C+","B","B+","A","A+","S"},0)),ISNUMBER(MATCH(O286,{"F","E","D","D+","C","C+","B","B+","A","A+","S"},0)),ISNUMBER(MATCH(P287,{"F","E","D","D+","C","C+","B","B+","A","A+","S"},0))),LOOKUP(AVERAGE(_xlfn.SWITCH(M288,"F",0,"E",10,"D",20,"D+",30,"C",40,"C+",50,"B",60,"B+",70,"A",80,"A+",90,"S",100),_xlfn.SWITCH(N289,"F",0,"E",10,"D",20,"D+",30,"C",40,"C+",50,"B",60,"B+",70,"A",80,"A+",90,"S",100),_xlfn.SWITCH(O290,"F",0,"E",10,"D",20,"D+",30,"C",40,"C+",50,"B",60,"B+",70,"A",80,"A+",90,"S",100),_xlfn.SWITCH(P291,"F",0,"E",10,"D",20,"D+",30,"C",40,"C+",50,"B",60,"B+",70,"A",80,"A+",90,"S",100)),{0,15,25,35,45,55,65,75,85,95},{"D","D","D+","C","C+","B","B+","A","A+","S"}),"?")</f>
        <v>?</v>
      </c>
    </row>
    <row r="285" spans="1:19" ht="21">
      <c r="A285" s="5"/>
      <c r="B285" s="5"/>
      <c r="C285" s="13"/>
      <c r="D285" s="13"/>
      <c r="E285" s="13"/>
      <c r="F285" s="13"/>
      <c r="G285" s="13"/>
      <c r="H285" s="7"/>
      <c r="I285" s="7"/>
      <c r="K285" s="24" t="s">
        <v>1399</v>
      </c>
      <c r="L285" s="25" t="s">
        <v>1400</v>
      </c>
      <c r="M285" s="19"/>
      <c r="N285" s="19"/>
      <c r="O285" s="19"/>
      <c r="P285" s="19"/>
      <c r="Q285" s="19" t="str">
        <f>IF(AND(ISNUMBER(MATCH(M285,{"F","E","D","D+","C","C+","B","B+","A","A+","S"},0)),ISNUMBER(MATCH(N286,{"F","E","D","D+","C","C+","B","B+","A","A+","S"},0)),ISNUMBER(MATCH(O287,{"F","E","D","D+","C","C+","B","B+","A","A+","S"},0)),ISNUMBER(MATCH(P288,{"F","E","D","D+","C","C+","B","B+","A","A+","S"},0))),LOOKUP(AVERAGE(_xlfn.SWITCH(M289,"F",0,"E",10,"D",20,"D+",30,"C",40,"C+",50,"B",60,"B+",70,"A",80,"A+",90,"S",100),_xlfn.SWITCH(N290,"F",0,"E",10,"D",20,"D+",30,"C",40,"C+",50,"B",60,"B+",70,"A",80,"A+",90,"S",100),_xlfn.SWITCH(O291,"F",0,"E",10,"D",20,"D+",30,"C",40,"C+",50,"B",60,"B+",70,"A",80,"A+",90,"S",100),_xlfn.SWITCH(P292,"F",0,"E",10,"D",20,"D+",30,"C",40,"C+",50,"B",60,"B+",70,"A",80,"A+",90,"S",100)),{0,15,25,35,45,55,65,75,85,95},{"D","D","D+","C","C+","B","B+","A","A+","S"}),"?")</f>
        <v>?</v>
      </c>
    </row>
    <row r="286" spans="1:19" ht="21">
      <c r="A286" s="5"/>
      <c r="B286" s="5"/>
      <c r="C286" s="13"/>
      <c r="D286" s="13"/>
      <c r="E286" s="13"/>
      <c r="F286" s="13"/>
      <c r="G286" s="13"/>
      <c r="H286" s="7"/>
      <c r="I286" s="7"/>
      <c r="K286" s="24" t="s">
        <v>1135</v>
      </c>
      <c r="L286" s="25" t="s">
        <v>1136</v>
      </c>
      <c r="M286" s="19"/>
      <c r="N286" s="19"/>
      <c r="O286" s="19"/>
      <c r="P286" s="19"/>
      <c r="Q286" s="19" t="str">
        <f>IF(AND(ISNUMBER(MATCH(M286,{"F","E","D","D+","C","C+","B","B+","A","A+","S"},0)),ISNUMBER(MATCH(N287,{"F","E","D","D+","C","C+","B","B+","A","A+","S"},0)),ISNUMBER(MATCH(O288,{"F","E","D","D+","C","C+","B","B+","A","A+","S"},0)),ISNUMBER(MATCH(P289,{"F","E","D","D+","C","C+","B","B+","A","A+","S"},0))),LOOKUP(AVERAGE(_xlfn.SWITCH(M290,"F",0,"E",10,"D",20,"D+",30,"C",40,"C+",50,"B",60,"B+",70,"A",80,"A+",90,"S",100),_xlfn.SWITCH(N291,"F",0,"E",10,"D",20,"D+",30,"C",40,"C+",50,"B",60,"B+",70,"A",80,"A+",90,"S",100),_xlfn.SWITCH(O292,"F",0,"E",10,"D",20,"D+",30,"C",40,"C+",50,"B",60,"B+",70,"A",80,"A+",90,"S",100),_xlfn.SWITCH(P293,"F",0,"E",10,"D",20,"D+",30,"C",40,"C+",50,"B",60,"B+",70,"A",80,"A+",90,"S",100)),{0,15,25,35,45,55,65,75,85,95},{"D","D","D+","C","C+","B","B+","A","A+","S"}),"?")</f>
        <v>?</v>
      </c>
    </row>
    <row r="287" spans="1:19" ht="21">
      <c r="A287" s="5"/>
      <c r="B287" s="5"/>
      <c r="C287" s="13"/>
      <c r="D287" s="13"/>
      <c r="E287" s="13"/>
      <c r="F287" s="13"/>
      <c r="G287" s="13"/>
      <c r="H287" s="7"/>
      <c r="I287" s="7"/>
      <c r="K287" s="24" t="s">
        <v>1401</v>
      </c>
      <c r="L287" s="25" t="s">
        <v>1402</v>
      </c>
      <c r="M287" s="19"/>
      <c r="N287" s="19"/>
      <c r="O287" s="19"/>
      <c r="P287" s="19"/>
      <c r="Q287" s="19" t="str">
        <f>IF(AND(ISNUMBER(MATCH(M287,{"F","E","D","D+","C","C+","B","B+","A","A+","S"},0)),ISNUMBER(MATCH(N288,{"F","E","D","D+","C","C+","B","B+","A","A+","S"},0)),ISNUMBER(MATCH(O289,{"F","E","D","D+","C","C+","B","B+","A","A+","S"},0)),ISNUMBER(MATCH(P290,{"F","E","D","D+","C","C+","B","B+","A","A+","S"},0))),LOOKUP(AVERAGE(_xlfn.SWITCH(M291,"F",0,"E",10,"D",20,"D+",30,"C",40,"C+",50,"B",60,"B+",70,"A",80,"A+",90,"S",100),_xlfn.SWITCH(N292,"F",0,"E",10,"D",20,"D+",30,"C",40,"C+",50,"B",60,"B+",70,"A",80,"A+",90,"S",100),_xlfn.SWITCH(O293,"F",0,"E",10,"D",20,"D+",30,"C",40,"C+",50,"B",60,"B+",70,"A",80,"A+",90,"S",100),_xlfn.SWITCH(P294,"F",0,"E",10,"D",20,"D+",30,"C",40,"C+",50,"B",60,"B+",70,"A",80,"A+",90,"S",100)),{0,15,25,35,45,55,65,75,85,95},{"D","D","D+","C","C+","B","B+","A","A+","S"}),"?")</f>
        <v>?</v>
      </c>
    </row>
    <row r="288" spans="1:19" ht="21">
      <c r="A288" s="5"/>
      <c r="B288" s="5"/>
      <c r="C288" s="13"/>
      <c r="D288" s="13"/>
      <c r="E288" s="13"/>
      <c r="F288" s="13"/>
      <c r="G288" s="13"/>
      <c r="H288" s="7"/>
      <c r="I288" s="7"/>
      <c r="K288" s="24" t="s">
        <v>1403</v>
      </c>
      <c r="L288" s="25" t="s">
        <v>1404</v>
      </c>
      <c r="M288" s="19"/>
      <c r="N288" s="19"/>
      <c r="O288" s="19"/>
      <c r="P288" s="19"/>
      <c r="Q288" s="19" t="str">
        <f>IF(AND(ISNUMBER(MATCH(M288,{"F","E","D","D+","C","C+","B","B+","A","A+","S"},0)),ISNUMBER(MATCH(N289,{"F","E","D","D+","C","C+","B","B+","A","A+","S"},0)),ISNUMBER(MATCH(O290,{"F","E","D","D+","C","C+","B","B+","A","A+","S"},0)),ISNUMBER(MATCH(P291,{"F","E","D","D+","C","C+","B","B+","A","A+","S"},0))),LOOKUP(AVERAGE(_xlfn.SWITCH(M292,"F",0,"E",10,"D",20,"D+",30,"C",40,"C+",50,"B",60,"B+",70,"A",80,"A+",90,"S",100),_xlfn.SWITCH(N293,"F",0,"E",10,"D",20,"D+",30,"C",40,"C+",50,"B",60,"B+",70,"A",80,"A+",90,"S",100),_xlfn.SWITCH(O294,"F",0,"E",10,"D",20,"D+",30,"C",40,"C+",50,"B",60,"B+",70,"A",80,"A+",90,"S",100),_xlfn.SWITCH(P295,"F",0,"E",10,"D",20,"D+",30,"C",40,"C+",50,"B",60,"B+",70,"A",80,"A+",90,"S",100)),{0,15,25,35,45,55,65,75,85,95},{"D","D","D+","C","C+","B","B+","A","A+","S"}),"?")</f>
        <v>?</v>
      </c>
    </row>
    <row r="289" spans="1:17" ht="21">
      <c r="A289" s="5"/>
      <c r="B289" s="5"/>
      <c r="C289" s="13"/>
      <c r="D289" s="13"/>
      <c r="E289" s="13"/>
      <c r="F289" s="13"/>
      <c r="G289" s="13"/>
      <c r="H289" s="7"/>
      <c r="I289" s="7"/>
      <c r="K289" s="24" t="s">
        <v>1405</v>
      </c>
      <c r="L289" s="25" t="s">
        <v>1406</v>
      </c>
      <c r="M289" s="19"/>
      <c r="N289" s="19"/>
      <c r="O289" s="19"/>
      <c r="P289" s="19"/>
      <c r="Q289" s="19" t="str">
        <f>IF(AND(ISNUMBER(MATCH(M289,{"F","E","D","D+","C","C+","B","B+","A","A+","S"},0)),ISNUMBER(MATCH(N290,{"F","E","D","D+","C","C+","B","B+","A","A+","S"},0)),ISNUMBER(MATCH(O291,{"F","E","D","D+","C","C+","B","B+","A","A+","S"},0)),ISNUMBER(MATCH(P292,{"F","E","D","D+","C","C+","B","B+","A","A+","S"},0))),LOOKUP(AVERAGE(_xlfn.SWITCH(M293,"F",0,"E",10,"D",20,"D+",30,"C",40,"C+",50,"B",60,"B+",70,"A",80,"A+",90,"S",100),_xlfn.SWITCH(N294,"F",0,"E",10,"D",20,"D+",30,"C",40,"C+",50,"B",60,"B+",70,"A",80,"A+",90,"S",100),_xlfn.SWITCH(O295,"F",0,"E",10,"D",20,"D+",30,"C",40,"C+",50,"B",60,"B+",70,"A",80,"A+",90,"S",100),_xlfn.SWITCH(P296,"F",0,"E",10,"D",20,"D+",30,"C",40,"C+",50,"B",60,"B+",70,"A",80,"A+",90,"S",100)),{0,15,25,35,45,55,65,75,85,95},{"D","D","D+","C","C+","B","B+","A","A+","S"}),"?")</f>
        <v>?</v>
      </c>
    </row>
    <row r="290" spans="1:17" ht="21">
      <c r="A290" s="5"/>
      <c r="B290" s="5"/>
      <c r="C290" s="13"/>
      <c r="D290" s="13"/>
      <c r="E290" s="13"/>
      <c r="F290" s="13"/>
      <c r="G290" s="13"/>
      <c r="H290" s="7"/>
      <c r="I290" s="7"/>
      <c r="K290" s="24" t="s">
        <v>1407</v>
      </c>
      <c r="L290" s="25" t="s">
        <v>1408</v>
      </c>
      <c r="M290" s="19"/>
      <c r="N290" s="19"/>
      <c r="O290" s="19"/>
      <c r="P290" s="19"/>
      <c r="Q290" s="19" t="str">
        <f>IF(AND(ISNUMBER(MATCH(M290,{"F","E","D","D+","C","C+","B","B+","A","A+","S"},0)),ISNUMBER(MATCH(N291,{"F","E","D","D+","C","C+","B","B+","A","A+","S"},0)),ISNUMBER(MATCH(O292,{"F","E","D","D+","C","C+","B","B+","A","A+","S"},0)),ISNUMBER(MATCH(P293,{"F","E","D","D+","C","C+","B","B+","A","A+","S"},0))),LOOKUP(AVERAGE(_xlfn.SWITCH(M294,"F",0,"E",10,"D",20,"D+",30,"C",40,"C+",50,"B",60,"B+",70,"A",80,"A+",90,"S",100),_xlfn.SWITCH(N295,"F",0,"E",10,"D",20,"D+",30,"C",40,"C+",50,"B",60,"B+",70,"A",80,"A+",90,"S",100),_xlfn.SWITCH(O296,"F",0,"E",10,"D",20,"D+",30,"C",40,"C+",50,"B",60,"B+",70,"A",80,"A+",90,"S",100),_xlfn.SWITCH(P297,"F",0,"E",10,"D",20,"D+",30,"C",40,"C+",50,"B",60,"B+",70,"A",80,"A+",90,"S",100)),{0,15,25,35,45,55,65,75,85,95},{"D","D","D+","C","C+","B","B+","A","A+","S"}),"?")</f>
        <v>?</v>
      </c>
    </row>
    <row r="291" spans="1:17" ht="21">
      <c r="A291" s="5"/>
      <c r="B291" s="5"/>
      <c r="C291" s="13"/>
      <c r="D291" s="13"/>
      <c r="E291" s="13"/>
      <c r="F291" s="13"/>
      <c r="G291" s="13"/>
      <c r="H291" s="7"/>
      <c r="I291" s="7"/>
      <c r="K291" s="24" t="s">
        <v>1153</v>
      </c>
      <c r="L291" s="25" t="s">
        <v>1154</v>
      </c>
      <c r="M291" s="19"/>
      <c r="N291" s="19"/>
      <c r="O291" s="19"/>
      <c r="P291" s="19"/>
      <c r="Q291" s="19" t="str">
        <f>IF(AND(ISNUMBER(MATCH(M291,{"F","E","D","D+","C","C+","B","B+","A","A+","S"},0)),ISNUMBER(MATCH(N292,{"F","E","D","D+","C","C+","B","B+","A","A+","S"},0)),ISNUMBER(MATCH(O293,{"F","E","D","D+","C","C+","B","B+","A","A+","S"},0)),ISNUMBER(MATCH(P294,{"F","E","D","D+","C","C+","B","B+","A","A+","S"},0))),LOOKUP(AVERAGE(_xlfn.SWITCH(M295,"F",0,"E",10,"D",20,"D+",30,"C",40,"C+",50,"B",60,"B+",70,"A",80,"A+",90,"S",100),_xlfn.SWITCH(N296,"F",0,"E",10,"D",20,"D+",30,"C",40,"C+",50,"B",60,"B+",70,"A",80,"A+",90,"S",100),_xlfn.SWITCH(O297,"F",0,"E",10,"D",20,"D+",30,"C",40,"C+",50,"B",60,"B+",70,"A",80,"A+",90,"S",100),_xlfn.SWITCH(P298,"F",0,"E",10,"D",20,"D+",30,"C",40,"C+",50,"B",60,"B+",70,"A",80,"A+",90,"S",100)),{0,15,25,35,45,55,65,75,85,95},{"D","D","D+","C","C+","B","B+","A","A+","S"}),"?")</f>
        <v>?</v>
      </c>
    </row>
    <row r="292" spans="1:17" ht="21">
      <c r="A292" s="5"/>
      <c r="B292" s="5"/>
      <c r="C292" s="13"/>
      <c r="D292" s="13"/>
      <c r="E292" s="13"/>
      <c r="F292" s="13"/>
      <c r="G292" s="13"/>
      <c r="H292" s="7"/>
      <c r="I292" s="7"/>
      <c r="K292" s="24" t="s">
        <v>1409</v>
      </c>
      <c r="L292" s="25">
        <v>7</v>
      </c>
      <c r="M292" s="19"/>
      <c r="N292" s="19"/>
      <c r="O292" s="19"/>
      <c r="P292" s="19"/>
      <c r="Q292" s="19" t="str">
        <f>IF(AND(ISNUMBER(MATCH(M292,{"F","E","D","D+","C","C+","B","B+","A","A+","S"},0)),ISNUMBER(MATCH(N293,{"F","E","D","D+","C","C+","B","B+","A","A+","S"},0)),ISNUMBER(MATCH(O294,{"F","E","D","D+","C","C+","B","B+","A","A+","S"},0)),ISNUMBER(MATCH(P295,{"F","E","D","D+","C","C+","B","B+","A","A+","S"},0))),LOOKUP(AVERAGE(_xlfn.SWITCH(M296,"F",0,"E",10,"D",20,"D+",30,"C",40,"C+",50,"B",60,"B+",70,"A",80,"A+",90,"S",100),_xlfn.SWITCH(N297,"F",0,"E",10,"D",20,"D+",30,"C",40,"C+",50,"B",60,"B+",70,"A",80,"A+",90,"S",100),_xlfn.SWITCH(O298,"F",0,"E",10,"D",20,"D+",30,"C",40,"C+",50,"B",60,"B+",70,"A",80,"A+",90,"S",100),_xlfn.SWITCH(P299,"F",0,"E",10,"D",20,"D+",30,"C",40,"C+",50,"B",60,"B+",70,"A",80,"A+",90,"S",100)),{0,15,25,35,45,55,65,75,85,95},{"D","D","D+","C","C+","B","B+","A","A+","S"}),"?")</f>
        <v>?</v>
      </c>
    </row>
    <row r="293" spans="1:17" ht="21">
      <c r="A293" s="5"/>
      <c r="B293" s="5"/>
      <c r="C293" s="13"/>
      <c r="D293" s="13"/>
      <c r="E293" s="13"/>
      <c r="F293" s="13"/>
      <c r="G293" s="13"/>
      <c r="H293" s="7"/>
      <c r="I293" s="7"/>
      <c r="K293" s="24" t="s">
        <v>1186</v>
      </c>
      <c r="L293" s="25" t="s">
        <v>1187</v>
      </c>
      <c r="M293" s="19"/>
      <c r="N293" s="19"/>
      <c r="O293" s="19"/>
      <c r="P293" s="19"/>
      <c r="Q293" s="19" t="str">
        <f>IF(AND(ISNUMBER(MATCH(M293,{"F","E","D","D+","C","C+","B","B+","A","A+","S"},0)),ISNUMBER(MATCH(N294,{"F","E","D","D+","C","C+","B","B+","A","A+","S"},0)),ISNUMBER(MATCH(O295,{"F","E","D","D+","C","C+","B","B+","A","A+","S"},0)),ISNUMBER(MATCH(P296,{"F","E","D","D+","C","C+","B","B+","A","A+","S"},0))),LOOKUP(AVERAGE(_xlfn.SWITCH(M297,"F",0,"E",10,"D",20,"D+",30,"C",40,"C+",50,"B",60,"B+",70,"A",80,"A+",90,"S",100),_xlfn.SWITCH(N298,"F",0,"E",10,"D",20,"D+",30,"C",40,"C+",50,"B",60,"B+",70,"A",80,"A+",90,"S",100),_xlfn.SWITCH(O299,"F",0,"E",10,"D",20,"D+",30,"C",40,"C+",50,"B",60,"B+",70,"A",80,"A+",90,"S",100),_xlfn.SWITCH(P300,"F",0,"E",10,"D",20,"D+",30,"C",40,"C+",50,"B",60,"B+",70,"A",80,"A+",90,"S",100)),{0,15,25,35,45,55,65,75,85,95},{"D","D","D+","C","C+","B","B+","A","A+","S"}),"?")</f>
        <v>?</v>
      </c>
    </row>
    <row r="294" spans="1:17" ht="21">
      <c r="A294" s="5"/>
      <c r="B294" s="5"/>
      <c r="C294" s="13"/>
      <c r="D294" s="13"/>
      <c r="E294" s="13"/>
      <c r="F294" s="13"/>
      <c r="G294" s="13"/>
      <c r="H294" s="7"/>
      <c r="I294" s="7"/>
      <c r="K294" s="24" t="s">
        <v>1044</v>
      </c>
      <c r="L294" s="25" t="s">
        <v>1410</v>
      </c>
      <c r="M294" s="19"/>
      <c r="N294" s="19"/>
      <c r="O294" s="19"/>
      <c r="P294" s="19"/>
      <c r="Q294" s="19" t="str">
        <f>IF(AND(ISNUMBER(MATCH(M294,{"F","E","D","D+","C","C+","B","B+","A","A+","S"},0)),ISNUMBER(MATCH(N295,{"F","E","D","D+","C","C+","B","B+","A","A+","S"},0)),ISNUMBER(MATCH(O296,{"F","E","D","D+","C","C+","B","B+","A","A+","S"},0)),ISNUMBER(MATCH(P297,{"F","E","D","D+","C","C+","B","B+","A","A+","S"},0))),LOOKUP(AVERAGE(_xlfn.SWITCH(M298,"F",0,"E",10,"D",20,"D+",30,"C",40,"C+",50,"B",60,"B+",70,"A",80,"A+",90,"S",100),_xlfn.SWITCH(N299,"F",0,"E",10,"D",20,"D+",30,"C",40,"C+",50,"B",60,"B+",70,"A",80,"A+",90,"S",100),_xlfn.SWITCH(O300,"F",0,"E",10,"D",20,"D+",30,"C",40,"C+",50,"B",60,"B+",70,"A",80,"A+",90,"S",100),_xlfn.SWITCH(P301,"F",0,"E",10,"D",20,"D+",30,"C",40,"C+",50,"B",60,"B+",70,"A",80,"A+",90,"S",100)),{0,15,25,35,45,55,65,75,85,95},{"D","D","D+","C","C+","B","B+","A","A+","S"}),"?")</f>
        <v>?</v>
      </c>
    </row>
    <row r="295" spans="1:17" ht="21">
      <c r="A295" s="5"/>
      <c r="B295" s="5"/>
      <c r="C295" s="13"/>
      <c r="D295" s="13"/>
      <c r="E295" s="13"/>
      <c r="F295" s="13"/>
      <c r="G295" s="13"/>
      <c r="H295" s="7"/>
      <c r="I295" s="7"/>
      <c r="K295" s="24" t="s">
        <v>1411</v>
      </c>
      <c r="L295" s="25" t="s">
        <v>1412</v>
      </c>
      <c r="M295" s="19"/>
      <c r="N295" s="19"/>
      <c r="O295" s="19"/>
      <c r="P295" s="19"/>
      <c r="Q295" s="19" t="str">
        <f>IF(AND(ISNUMBER(MATCH(M295,{"F","E","D","D+","C","C+","B","B+","A","A+","S"},0)),ISNUMBER(MATCH(N296,{"F","E","D","D+","C","C+","B","B+","A","A+","S"},0)),ISNUMBER(MATCH(O297,{"F","E","D","D+","C","C+","B","B+","A","A+","S"},0)),ISNUMBER(MATCH(P298,{"F","E","D","D+","C","C+","B","B+","A","A+","S"},0))),LOOKUP(AVERAGE(_xlfn.SWITCH(M299,"F",0,"E",10,"D",20,"D+",30,"C",40,"C+",50,"B",60,"B+",70,"A",80,"A+",90,"S",100),_xlfn.SWITCH(N300,"F",0,"E",10,"D",20,"D+",30,"C",40,"C+",50,"B",60,"B+",70,"A",80,"A+",90,"S",100),_xlfn.SWITCH(O301,"F",0,"E",10,"D",20,"D+",30,"C",40,"C+",50,"B",60,"B+",70,"A",80,"A+",90,"S",100),_xlfn.SWITCH(P302,"F",0,"E",10,"D",20,"D+",30,"C",40,"C+",50,"B",60,"B+",70,"A",80,"A+",90,"S",100)),{0,15,25,35,45,55,65,75,85,95},{"D","D","D+","C","C+","B","B+","A","A+","S"}),"?")</f>
        <v>?</v>
      </c>
    </row>
    <row r="296" spans="1:17" ht="21">
      <c r="A296" s="5"/>
      <c r="B296" s="5"/>
      <c r="C296" s="13"/>
      <c r="D296" s="13"/>
      <c r="E296" s="13"/>
      <c r="F296" s="13"/>
      <c r="G296" s="13"/>
      <c r="H296" s="7"/>
      <c r="I296" s="7"/>
      <c r="K296" s="24" t="s">
        <v>1173</v>
      </c>
      <c r="L296" s="25" t="s">
        <v>1174</v>
      </c>
      <c r="M296" s="19"/>
      <c r="N296" s="19"/>
      <c r="O296" s="19"/>
      <c r="P296" s="19"/>
      <c r="Q296" s="19" t="str">
        <f>IF(AND(ISNUMBER(MATCH(M296,{"F","E","D","D+","C","C+","B","B+","A","A+","S"},0)),ISNUMBER(MATCH(N297,{"F","E","D","D+","C","C+","B","B+","A","A+","S"},0)),ISNUMBER(MATCH(O298,{"F","E","D","D+","C","C+","B","B+","A","A+","S"},0)),ISNUMBER(MATCH(P299,{"F","E","D","D+","C","C+","B","B+","A","A+","S"},0))),LOOKUP(AVERAGE(_xlfn.SWITCH(M300,"F",0,"E",10,"D",20,"D+",30,"C",40,"C+",50,"B",60,"B+",70,"A",80,"A+",90,"S",100),_xlfn.SWITCH(N301,"F",0,"E",10,"D",20,"D+",30,"C",40,"C+",50,"B",60,"B+",70,"A",80,"A+",90,"S",100),_xlfn.SWITCH(O302,"F",0,"E",10,"D",20,"D+",30,"C",40,"C+",50,"B",60,"B+",70,"A",80,"A+",90,"S",100),_xlfn.SWITCH(P303,"F",0,"E",10,"D",20,"D+",30,"C",40,"C+",50,"B",60,"B+",70,"A",80,"A+",90,"S",100)),{0,15,25,35,45,55,65,75,85,95},{"D","D","D+","C","C+","B","B+","A","A+","S"}),"?")</f>
        <v>?</v>
      </c>
    </row>
    <row r="297" spans="1:17" ht="21">
      <c r="A297" s="5"/>
      <c r="B297" s="5"/>
      <c r="C297" s="13"/>
      <c r="D297" s="13"/>
      <c r="E297" s="13"/>
      <c r="F297" s="13"/>
      <c r="G297" s="13"/>
      <c r="H297" s="7"/>
      <c r="I297" s="7"/>
      <c r="K297" s="24" t="s">
        <v>1413</v>
      </c>
      <c r="L297" s="25" t="s">
        <v>1414</v>
      </c>
      <c r="M297" s="19"/>
      <c r="N297" s="19"/>
      <c r="O297" s="19"/>
      <c r="P297" s="19"/>
      <c r="Q297" s="19" t="str">
        <f>IF(AND(ISNUMBER(MATCH(M297,{"F","E","D","D+","C","C+","B","B+","A","A+","S"},0)),ISNUMBER(MATCH(N298,{"F","E","D","D+","C","C+","B","B+","A","A+","S"},0)),ISNUMBER(MATCH(O299,{"F","E","D","D+","C","C+","B","B+","A","A+","S"},0)),ISNUMBER(MATCH(P300,{"F","E","D","D+","C","C+","B","B+","A","A+","S"},0))),LOOKUP(AVERAGE(_xlfn.SWITCH(M301,"F",0,"E",10,"D",20,"D+",30,"C",40,"C+",50,"B",60,"B+",70,"A",80,"A+",90,"S",100),_xlfn.SWITCH(N302,"F",0,"E",10,"D",20,"D+",30,"C",40,"C+",50,"B",60,"B+",70,"A",80,"A+",90,"S",100),_xlfn.SWITCH(O303,"F",0,"E",10,"D",20,"D+",30,"C",40,"C+",50,"B",60,"B+",70,"A",80,"A+",90,"S",100),_xlfn.SWITCH(P304,"F",0,"E",10,"D",20,"D+",30,"C",40,"C+",50,"B",60,"B+",70,"A",80,"A+",90,"S",100)),{0,15,25,35,45,55,65,75,85,95},{"D","D","D+","C","C+","B","B+","A","A+","S"}),"?")</f>
        <v>?</v>
      </c>
    </row>
    <row r="298" spans="1:17" ht="21">
      <c r="A298" s="5"/>
      <c r="B298" s="5"/>
      <c r="C298" s="13"/>
      <c r="D298" s="13"/>
      <c r="E298" s="13"/>
      <c r="F298" s="13"/>
      <c r="G298" s="13"/>
      <c r="H298" s="7"/>
      <c r="I298" s="7"/>
      <c r="K298" s="24" t="s">
        <v>1415</v>
      </c>
      <c r="L298" s="25" t="s">
        <v>1416</v>
      </c>
      <c r="M298" s="19"/>
      <c r="N298" s="19"/>
      <c r="O298" s="19"/>
      <c r="P298" s="19"/>
      <c r="Q298" s="19" t="str">
        <f>IF(AND(ISNUMBER(MATCH(M298,{"F","E","D","D+","C","C+","B","B+","A","A+","S"},0)),ISNUMBER(MATCH(N299,{"F","E","D","D+","C","C+","B","B+","A","A+","S"},0)),ISNUMBER(MATCH(O300,{"F","E","D","D+","C","C+","B","B+","A","A+","S"},0)),ISNUMBER(MATCH(P301,{"F","E","D","D+","C","C+","B","B+","A","A+","S"},0))),LOOKUP(AVERAGE(_xlfn.SWITCH(M302,"F",0,"E",10,"D",20,"D+",30,"C",40,"C+",50,"B",60,"B+",70,"A",80,"A+",90,"S",100),_xlfn.SWITCH(N303,"F",0,"E",10,"D",20,"D+",30,"C",40,"C+",50,"B",60,"B+",70,"A",80,"A+",90,"S",100),_xlfn.SWITCH(O304,"F",0,"E",10,"D",20,"D+",30,"C",40,"C+",50,"B",60,"B+",70,"A",80,"A+",90,"S",100),_xlfn.SWITCH(P305,"F",0,"E",10,"D",20,"D+",30,"C",40,"C+",50,"B",60,"B+",70,"A",80,"A+",90,"S",100)),{0,15,25,35,45,55,65,75,85,95},{"D","D","D+","C","C+","B","B+","A","A+","S"}),"?")</f>
        <v>?</v>
      </c>
    </row>
    <row r="299" spans="1:17" ht="21">
      <c r="A299" s="5"/>
      <c r="B299" s="5"/>
      <c r="C299" s="13"/>
      <c r="D299" s="13"/>
      <c r="E299" s="13"/>
      <c r="F299" s="13"/>
      <c r="G299" s="13"/>
      <c r="H299" s="7"/>
      <c r="I299" s="7"/>
      <c r="K299" s="24" t="s">
        <v>1068</v>
      </c>
      <c r="L299" s="25" t="s">
        <v>726</v>
      </c>
      <c r="M299" s="19"/>
      <c r="N299" s="19"/>
      <c r="O299" s="19"/>
      <c r="P299" s="19"/>
      <c r="Q299" s="19" t="str">
        <f>IF(AND(ISNUMBER(MATCH(M299,{"F","E","D","D+","C","C+","B","B+","A","A+","S"},0)),ISNUMBER(MATCH(N300,{"F","E","D","D+","C","C+","B","B+","A","A+","S"},0)),ISNUMBER(MATCH(O301,{"F","E","D","D+","C","C+","B","B+","A","A+","S"},0)),ISNUMBER(MATCH(P302,{"F","E","D","D+","C","C+","B","B+","A","A+","S"},0))),LOOKUP(AVERAGE(_xlfn.SWITCH(M303,"F",0,"E",10,"D",20,"D+",30,"C",40,"C+",50,"B",60,"B+",70,"A",80,"A+",90,"S",100),_xlfn.SWITCH(N304,"F",0,"E",10,"D",20,"D+",30,"C",40,"C+",50,"B",60,"B+",70,"A",80,"A+",90,"S",100),_xlfn.SWITCH(O305,"F",0,"E",10,"D",20,"D+",30,"C",40,"C+",50,"B",60,"B+",70,"A",80,"A+",90,"S",100),_xlfn.SWITCH(P306,"F",0,"E",10,"D",20,"D+",30,"C",40,"C+",50,"B",60,"B+",70,"A",80,"A+",90,"S",100)),{0,15,25,35,45,55,65,75,85,95},{"D","D","D+","C","C+","B","B+","A","A+","S"}),"?")</f>
        <v>?</v>
      </c>
    </row>
    <row r="300" spans="1:17" ht="21">
      <c r="A300" s="5"/>
      <c r="B300" s="5"/>
      <c r="C300" s="13"/>
      <c r="D300" s="13"/>
      <c r="E300" s="13"/>
      <c r="F300" s="13"/>
      <c r="G300" s="13"/>
      <c r="H300" s="7"/>
      <c r="I300" s="7"/>
      <c r="K300" s="24" t="s">
        <v>1417</v>
      </c>
      <c r="L300" s="25" t="s">
        <v>1418</v>
      </c>
      <c r="M300" s="19"/>
      <c r="N300" s="19"/>
      <c r="O300" s="19"/>
      <c r="P300" s="19"/>
      <c r="Q300" s="19" t="str">
        <f>IF(AND(ISNUMBER(MATCH(M300,{"F","E","D","D+","C","C+","B","B+","A","A+","S"},0)),ISNUMBER(MATCH(N301,{"F","E","D","D+","C","C+","B","B+","A","A+","S"},0)),ISNUMBER(MATCH(O302,{"F","E","D","D+","C","C+","B","B+","A","A+","S"},0)),ISNUMBER(MATCH(P303,{"F","E","D","D+","C","C+","B","B+","A","A+","S"},0))),LOOKUP(AVERAGE(_xlfn.SWITCH(M304,"F",0,"E",10,"D",20,"D+",30,"C",40,"C+",50,"B",60,"B+",70,"A",80,"A+",90,"S",100),_xlfn.SWITCH(N305,"F",0,"E",10,"D",20,"D+",30,"C",40,"C+",50,"B",60,"B+",70,"A",80,"A+",90,"S",100),_xlfn.SWITCH(O306,"F",0,"E",10,"D",20,"D+",30,"C",40,"C+",50,"B",60,"B+",70,"A",80,"A+",90,"S",100),_xlfn.SWITCH(P307,"F",0,"E",10,"D",20,"D+",30,"C",40,"C+",50,"B",60,"B+",70,"A",80,"A+",90,"S",100)),{0,15,25,35,45,55,65,75,85,95},{"D","D","D+","C","C+","B","B+","A","A+","S"}),"?")</f>
        <v>?</v>
      </c>
    </row>
    <row r="301" spans="1:17" ht="21">
      <c r="A301" s="5"/>
      <c r="B301" s="5"/>
      <c r="C301" s="13"/>
      <c r="D301" s="13"/>
      <c r="E301" s="13"/>
      <c r="F301" s="13"/>
      <c r="G301" s="13"/>
      <c r="H301" s="7"/>
      <c r="I301" s="7"/>
      <c r="K301" s="24" t="s">
        <v>1419</v>
      </c>
      <c r="L301" s="25" t="s">
        <v>1420</v>
      </c>
      <c r="M301" s="19"/>
      <c r="N301" s="19"/>
      <c r="O301" s="19"/>
      <c r="P301" s="19"/>
      <c r="Q301" s="19" t="str">
        <f>IF(AND(ISNUMBER(MATCH(M301,{"F","E","D","D+","C","C+","B","B+","A","A+","S"},0)),ISNUMBER(MATCH(N302,{"F","E","D","D+","C","C+","B","B+","A","A+","S"},0)),ISNUMBER(MATCH(O303,{"F","E","D","D+","C","C+","B","B+","A","A+","S"},0)),ISNUMBER(MATCH(P304,{"F","E","D","D+","C","C+","B","B+","A","A+","S"},0))),LOOKUP(AVERAGE(_xlfn.SWITCH(M305,"F",0,"E",10,"D",20,"D+",30,"C",40,"C+",50,"B",60,"B+",70,"A",80,"A+",90,"S",100),_xlfn.SWITCH(N306,"F",0,"E",10,"D",20,"D+",30,"C",40,"C+",50,"B",60,"B+",70,"A",80,"A+",90,"S",100),_xlfn.SWITCH(O307,"F",0,"E",10,"D",20,"D+",30,"C",40,"C+",50,"B",60,"B+",70,"A",80,"A+",90,"S",100),_xlfn.SWITCH(P308,"F",0,"E",10,"D",20,"D+",30,"C",40,"C+",50,"B",60,"B+",70,"A",80,"A+",90,"S",100)),{0,15,25,35,45,55,65,75,85,95},{"D","D","D+","C","C+","B","B+","A","A+","S"}),"?")</f>
        <v>?</v>
      </c>
    </row>
    <row r="302" spans="1:17" ht="21">
      <c r="A302" s="5"/>
      <c r="B302" s="5"/>
      <c r="C302" s="13"/>
      <c r="D302" s="13"/>
      <c r="E302" s="13"/>
      <c r="F302" s="13"/>
      <c r="G302" s="13"/>
      <c r="H302" s="7"/>
      <c r="I302" s="7"/>
      <c r="K302" s="24" t="s">
        <v>1421</v>
      </c>
      <c r="L302" s="25" t="s">
        <v>1422</v>
      </c>
      <c r="M302" s="19"/>
      <c r="N302" s="19"/>
      <c r="O302" s="19"/>
      <c r="P302" s="19"/>
      <c r="Q302" s="19" t="str">
        <f>IF(AND(ISNUMBER(MATCH(M302,{"F","E","D","D+","C","C+","B","B+","A","A+","S"},0)),ISNUMBER(MATCH(N303,{"F","E","D","D+","C","C+","B","B+","A","A+","S"},0)),ISNUMBER(MATCH(O304,{"F","E","D","D+","C","C+","B","B+","A","A+","S"},0)),ISNUMBER(MATCH(P305,{"F","E","D","D+","C","C+","B","B+","A","A+","S"},0))),LOOKUP(AVERAGE(_xlfn.SWITCH(M306,"F",0,"E",10,"D",20,"D+",30,"C",40,"C+",50,"B",60,"B+",70,"A",80,"A+",90,"S",100),_xlfn.SWITCH(N307,"F",0,"E",10,"D",20,"D+",30,"C",40,"C+",50,"B",60,"B+",70,"A",80,"A+",90,"S",100),_xlfn.SWITCH(O308,"F",0,"E",10,"D",20,"D+",30,"C",40,"C+",50,"B",60,"B+",70,"A",80,"A+",90,"S",100),_xlfn.SWITCH(P309,"F",0,"E",10,"D",20,"D+",30,"C",40,"C+",50,"B",60,"B+",70,"A",80,"A+",90,"S",100)),{0,15,25,35,45,55,65,75,85,95},{"D","D","D+","C","C+","B","B+","A","A+","S"}),"?")</f>
        <v>?</v>
      </c>
    </row>
    <row r="303" spans="1:17" ht="21">
      <c r="A303" s="5"/>
      <c r="B303" s="5"/>
      <c r="C303" s="13"/>
      <c r="D303" s="13"/>
      <c r="E303" s="13"/>
      <c r="F303" s="13"/>
      <c r="G303" s="13"/>
      <c r="H303" s="7"/>
      <c r="I303" s="7"/>
      <c r="K303" s="24" t="s">
        <v>1051</v>
      </c>
      <c r="L303" s="25" t="s">
        <v>1052</v>
      </c>
      <c r="M303" s="19"/>
      <c r="N303" s="19"/>
      <c r="O303" s="19"/>
      <c r="P303" s="19"/>
      <c r="Q303" s="19" t="str">
        <f>IF(AND(ISNUMBER(MATCH(M303,{"F","E","D","D+","C","C+","B","B+","A","A+","S"},0)),ISNUMBER(MATCH(N304,{"F","E","D","D+","C","C+","B","B+","A","A+","S"},0)),ISNUMBER(MATCH(O305,{"F","E","D","D+","C","C+","B","B+","A","A+","S"},0)),ISNUMBER(MATCH(P306,{"F","E","D","D+","C","C+","B","B+","A","A+","S"},0))),LOOKUP(AVERAGE(_xlfn.SWITCH(M307,"F",0,"E",10,"D",20,"D+",30,"C",40,"C+",50,"B",60,"B+",70,"A",80,"A+",90,"S",100),_xlfn.SWITCH(N308,"F",0,"E",10,"D",20,"D+",30,"C",40,"C+",50,"B",60,"B+",70,"A",80,"A+",90,"S",100),_xlfn.SWITCH(O309,"F",0,"E",10,"D",20,"D+",30,"C",40,"C+",50,"B",60,"B+",70,"A",80,"A+",90,"S",100),_xlfn.SWITCH(P310,"F",0,"E",10,"D",20,"D+",30,"C",40,"C+",50,"B",60,"B+",70,"A",80,"A+",90,"S",100)),{0,15,25,35,45,55,65,75,85,95},{"D","D","D+","C","C+","B","B+","A","A+","S"}),"?")</f>
        <v>?</v>
      </c>
    </row>
    <row r="304" spans="1:17" ht="21">
      <c r="A304" s="5"/>
      <c r="B304" s="5"/>
      <c r="C304" s="13"/>
      <c r="D304" s="13"/>
      <c r="E304" s="13"/>
      <c r="F304" s="13"/>
      <c r="G304" s="13"/>
      <c r="H304" s="7"/>
      <c r="I304" s="7"/>
      <c r="K304" s="24" t="s">
        <v>1062</v>
      </c>
      <c r="L304" s="25" t="s">
        <v>1063</v>
      </c>
      <c r="M304" s="19"/>
      <c r="N304" s="19"/>
      <c r="O304" s="19"/>
      <c r="P304" s="19"/>
      <c r="Q304" s="19" t="str">
        <f>IF(AND(ISNUMBER(MATCH(M304,{"F","E","D","D+","C","C+","B","B+","A","A+","S"},0)),ISNUMBER(MATCH(N305,{"F","E","D","D+","C","C+","B","B+","A","A+","S"},0)),ISNUMBER(MATCH(O306,{"F","E","D","D+","C","C+","B","B+","A","A+","S"},0)),ISNUMBER(MATCH(P307,{"F","E","D","D+","C","C+","B","B+","A","A+","S"},0))),LOOKUP(AVERAGE(_xlfn.SWITCH(M308,"F",0,"E",10,"D",20,"D+",30,"C",40,"C+",50,"B",60,"B+",70,"A",80,"A+",90,"S",100),_xlfn.SWITCH(N309,"F",0,"E",10,"D",20,"D+",30,"C",40,"C+",50,"B",60,"B+",70,"A",80,"A+",90,"S",100),_xlfn.SWITCH(O310,"F",0,"E",10,"D",20,"D+",30,"C",40,"C+",50,"B",60,"B+",70,"A",80,"A+",90,"S",100),_xlfn.SWITCH(P311,"F",0,"E",10,"D",20,"D+",30,"C",40,"C+",50,"B",60,"B+",70,"A",80,"A+",90,"S",100)),{0,15,25,35,45,55,65,75,85,95},{"D","D","D+","C","C+","B","B+","A","A+","S"}),"?")</f>
        <v>?</v>
      </c>
    </row>
    <row r="305" spans="1:17" ht="21">
      <c r="A305" s="5"/>
      <c r="B305" s="5"/>
      <c r="C305" s="13"/>
      <c r="D305" s="13"/>
      <c r="E305" s="13"/>
      <c r="F305" s="13"/>
      <c r="G305" s="13"/>
      <c r="H305" s="7"/>
      <c r="I305" s="7"/>
      <c r="K305" s="24" t="s">
        <v>1423</v>
      </c>
      <c r="L305" s="25" t="s">
        <v>1424</v>
      </c>
      <c r="M305" s="19"/>
      <c r="N305" s="19"/>
      <c r="O305" s="19"/>
      <c r="P305" s="19"/>
      <c r="Q305" s="19" t="str">
        <f>IF(AND(ISNUMBER(MATCH(M305,{"F","E","D","D+","C","C+","B","B+","A","A+","S"},0)),ISNUMBER(MATCH(N306,{"F","E","D","D+","C","C+","B","B+","A","A+","S"},0)),ISNUMBER(MATCH(O307,{"F","E","D","D+","C","C+","B","B+","A","A+","S"},0)),ISNUMBER(MATCH(P308,{"F","E","D","D+","C","C+","B","B+","A","A+","S"},0))),LOOKUP(AVERAGE(_xlfn.SWITCH(M309,"F",0,"E",10,"D",20,"D+",30,"C",40,"C+",50,"B",60,"B+",70,"A",80,"A+",90,"S",100),_xlfn.SWITCH(N310,"F",0,"E",10,"D",20,"D+",30,"C",40,"C+",50,"B",60,"B+",70,"A",80,"A+",90,"S",100),_xlfn.SWITCH(O311,"F",0,"E",10,"D",20,"D+",30,"C",40,"C+",50,"B",60,"B+",70,"A",80,"A+",90,"S",100),_xlfn.SWITCH(P312,"F",0,"E",10,"D",20,"D+",30,"C",40,"C+",50,"B",60,"B+",70,"A",80,"A+",90,"S",100)),{0,15,25,35,45,55,65,75,85,95},{"D","D","D+","C","C+","B","B+","A","A+","S"}),"?")</f>
        <v>?</v>
      </c>
    </row>
    <row r="306" spans="1:17" ht="21">
      <c r="A306" s="5"/>
      <c r="B306" s="5"/>
      <c r="C306" s="13"/>
      <c r="D306" s="13"/>
      <c r="E306" s="13"/>
      <c r="F306" s="13"/>
      <c r="G306" s="13"/>
      <c r="H306" s="7"/>
      <c r="I306" s="7"/>
      <c r="K306" s="24" t="s">
        <v>1425</v>
      </c>
      <c r="L306" s="25" t="s">
        <v>1426</v>
      </c>
      <c r="M306" s="19"/>
      <c r="N306" s="19"/>
      <c r="O306" s="19"/>
      <c r="P306" s="19"/>
      <c r="Q306" s="19" t="str">
        <f>IF(AND(ISNUMBER(MATCH(M306,{"F","E","D","D+","C","C+","B","B+","A","A+","S"},0)),ISNUMBER(MATCH(N307,{"F","E","D","D+","C","C+","B","B+","A","A+","S"},0)),ISNUMBER(MATCH(O308,{"F","E","D","D+","C","C+","B","B+","A","A+","S"},0)),ISNUMBER(MATCH(P309,{"F","E","D","D+","C","C+","B","B+","A","A+","S"},0))),LOOKUP(AVERAGE(_xlfn.SWITCH(M310,"F",0,"E",10,"D",20,"D+",30,"C",40,"C+",50,"B",60,"B+",70,"A",80,"A+",90,"S",100),_xlfn.SWITCH(N311,"F",0,"E",10,"D",20,"D+",30,"C",40,"C+",50,"B",60,"B+",70,"A",80,"A+",90,"S",100),_xlfn.SWITCH(O312,"F",0,"E",10,"D",20,"D+",30,"C",40,"C+",50,"B",60,"B+",70,"A",80,"A+",90,"S",100),_xlfn.SWITCH(P313,"F",0,"E",10,"D",20,"D+",30,"C",40,"C+",50,"B",60,"B+",70,"A",80,"A+",90,"S",100)),{0,15,25,35,45,55,65,75,85,95},{"D","D","D+","C","C+","B","B+","A","A+","S"}),"?")</f>
        <v>?</v>
      </c>
    </row>
    <row r="307" spans="1:17" ht="21">
      <c r="A307" s="5"/>
      <c r="B307" s="5"/>
      <c r="C307" s="13"/>
      <c r="D307" s="13"/>
      <c r="E307" s="13"/>
      <c r="F307" s="13"/>
      <c r="G307" s="13"/>
      <c r="H307" s="7"/>
      <c r="I307" s="7"/>
      <c r="K307" s="24" t="s">
        <v>1195</v>
      </c>
      <c r="L307" s="25" t="s">
        <v>1196</v>
      </c>
      <c r="M307" s="19"/>
      <c r="N307" s="19"/>
      <c r="O307" s="19"/>
      <c r="P307" s="19"/>
      <c r="Q307" s="19" t="str">
        <f>IF(AND(ISNUMBER(MATCH(M307,{"F","E","D","D+","C","C+","B","B+","A","A+","S"},0)),ISNUMBER(MATCH(N308,{"F","E","D","D+","C","C+","B","B+","A","A+","S"},0)),ISNUMBER(MATCH(O309,{"F","E","D","D+","C","C+","B","B+","A","A+","S"},0)),ISNUMBER(MATCH(P310,{"F","E","D","D+","C","C+","B","B+","A","A+","S"},0))),LOOKUP(AVERAGE(_xlfn.SWITCH(M311,"F",0,"E",10,"D",20,"D+",30,"C",40,"C+",50,"B",60,"B+",70,"A",80,"A+",90,"S",100),_xlfn.SWITCH(N312,"F",0,"E",10,"D",20,"D+",30,"C",40,"C+",50,"B",60,"B+",70,"A",80,"A+",90,"S",100),_xlfn.SWITCH(O313,"F",0,"E",10,"D",20,"D+",30,"C",40,"C+",50,"B",60,"B+",70,"A",80,"A+",90,"S",100),_xlfn.SWITCH(P314,"F",0,"E",10,"D",20,"D+",30,"C",40,"C+",50,"B",60,"B+",70,"A",80,"A+",90,"S",100)),{0,15,25,35,45,55,65,75,85,95},{"D","D","D+","C","C+","B","B+","A","A+","S"}),"?")</f>
        <v>?</v>
      </c>
    </row>
    <row r="308" spans="1:17" ht="21">
      <c r="A308" s="5"/>
      <c r="B308" s="5"/>
      <c r="C308" s="13"/>
      <c r="D308" s="13"/>
      <c r="E308" s="13"/>
      <c r="F308" s="13"/>
      <c r="G308" s="13"/>
      <c r="H308" s="7"/>
      <c r="I308" s="7"/>
      <c r="K308" s="24" t="s">
        <v>1427</v>
      </c>
      <c r="L308" s="25" t="s">
        <v>1428</v>
      </c>
      <c r="M308" s="19"/>
      <c r="N308" s="19"/>
      <c r="O308" s="19"/>
      <c r="P308" s="19"/>
      <c r="Q308" s="19" t="str">
        <f>IF(AND(ISNUMBER(MATCH(M308,{"F","E","D","D+","C","C+","B","B+","A","A+","S"},0)),ISNUMBER(MATCH(N309,{"F","E","D","D+","C","C+","B","B+","A","A+","S"},0)),ISNUMBER(MATCH(O310,{"F","E","D","D+","C","C+","B","B+","A","A+","S"},0)),ISNUMBER(MATCH(P311,{"F","E","D","D+","C","C+","B","B+","A","A+","S"},0))),LOOKUP(AVERAGE(_xlfn.SWITCH(M312,"F",0,"E",10,"D",20,"D+",30,"C",40,"C+",50,"B",60,"B+",70,"A",80,"A+",90,"S",100),_xlfn.SWITCH(N313,"F",0,"E",10,"D",20,"D+",30,"C",40,"C+",50,"B",60,"B+",70,"A",80,"A+",90,"S",100),_xlfn.SWITCH(O314,"F",0,"E",10,"D",20,"D+",30,"C",40,"C+",50,"B",60,"B+",70,"A",80,"A+",90,"S",100),_xlfn.SWITCH(P315,"F",0,"E",10,"D",20,"D+",30,"C",40,"C+",50,"B",60,"B+",70,"A",80,"A+",90,"S",100)),{0,15,25,35,45,55,65,75,85,95},{"D","D","D+","C","C+","B","B+","A","A+","S"}),"?")</f>
        <v>?</v>
      </c>
    </row>
    <row r="309" spans="1:17" ht="21">
      <c r="A309" s="5"/>
      <c r="B309" s="5"/>
      <c r="C309" s="13"/>
      <c r="D309" s="13"/>
      <c r="E309" s="13"/>
      <c r="F309" s="13"/>
      <c r="G309" s="13"/>
      <c r="H309" s="7"/>
      <c r="I309" s="7"/>
      <c r="K309" s="24" t="s">
        <v>1073</v>
      </c>
      <c r="L309" s="25" t="s">
        <v>1074</v>
      </c>
      <c r="M309" s="19"/>
      <c r="N309" s="19"/>
      <c r="O309" s="19"/>
      <c r="P309" s="19"/>
      <c r="Q309" s="19" t="str">
        <f>IF(AND(ISNUMBER(MATCH(M309,{"F","E","D","D+","C","C+","B","B+","A","A+","S"},0)),ISNUMBER(MATCH(N310,{"F","E","D","D+","C","C+","B","B+","A","A+","S"},0)),ISNUMBER(MATCH(O311,{"F","E","D","D+","C","C+","B","B+","A","A+","S"},0)),ISNUMBER(MATCH(P312,{"F","E","D","D+","C","C+","B","B+","A","A+","S"},0))),LOOKUP(AVERAGE(_xlfn.SWITCH(M313,"F",0,"E",10,"D",20,"D+",30,"C",40,"C+",50,"B",60,"B+",70,"A",80,"A+",90,"S",100),_xlfn.SWITCH(N314,"F",0,"E",10,"D",20,"D+",30,"C",40,"C+",50,"B",60,"B+",70,"A",80,"A+",90,"S",100),_xlfn.SWITCH(O315,"F",0,"E",10,"D",20,"D+",30,"C",40,"C+",50,"B",60,"B+",70,"A",80,"A+",90,"S",100),_xlfn.SWITCH(P316,"F",0,"E",10,"D",20,"D+",30,"C",40,"C+",50,"B",60,"B+",70,"A",80,"A+",90,"S",100)),{0,15,25,35,45,55,65,75,85,95},{"D","D","D+","C","C+","B","B+","A","A+","S"}),"?")</f>
        <v>?</v>
      </c>
    </row>
    <row r="310" spans="1:17" ht="21">
      <c r="A310" s="5"/>
      <c r="B310" s="5"/>
      <c r="C310" s="13"/>
      <c r="D310" s="13"/>
      <c r="E310" s="13"/>
      <c r="F310" s="13"/>
      <c r="G310" s="13"/>
      <c r="H310" s="7"/>
      <c r="I310" s="7"/>
      <c r="K310" s="24" t="s">
        <v>1429</v>
      </c>
      <c r="L310" s="25" t="s">
        <v>1430</v>
      </c>
      <c r="M310" s="19"/>
      <c r="N310" s="19"/>
      <c r="O310" s="19"/>
      <c r="P310" s="19"/>
      <c r="Q310" s="19" t="str">
        <f>IF(AND(ISNUMBER(MATCH(M310,{"F","E","D","D+","C","C+","B","B+","A","A+","S"},0)),ISNUMBER(MATCH(N311,{"F","E","D","D+","C","C+","B","B+","A","A+","S"},0)),ISNUMBER(MATCH(O312,{"F","E","D","D+","C","C+","B","B+","A","A+","S"},0)),ISNUMBER(MATCH(P313,{"F","E","D","D+","C","C+","B","B+","A","A+","S"},0))),LOOKUP(AVERAGE(_xlfn.SWITCH(M314,"F",0,"E",10,"D",20,"D+",30,"C",40,"C+",50,"B",60,"B+",70,"A",80,"A+",90,"S",100),_xlfn.SWITCH(N315,"F",0,"E",10,"D",20,"D+",30,"C",40,"C+",50,"B",60,"B+",70,"A",80,"A+",90,"S",100),_xlfn.SWITCH(O316,"F",0,"E",10,"D",20,"D+",30,"C",40,"C+",50,"B",60,"B+",70,"A",80,"A+",90,"S",100),_xlfn.SWITCH(P317,"F",0,"E",10,"D",20,"D+",30,"C",40,"C+",50,"B",60,"B+",70,"A",80,"A+",90,"S",100)),{0,15,25,35,45,55,65,75,85,95},{"D","D","D+","C","C+","B","B+","A","A+","S"}),"?")</f>
        <v>?</v>
      </c>
    </row>
    <row r="311" spans="1:17" ht="21">
      <c r="A311" s="5"/>
      <c r="B311" s="5"/>
      <c r="C311" s="13"/>
      <c r="D311" s="13"/>
      <c r="E311" s="13"/>
      <c r="F311" s="13"/>
      <c r="G311" s="13"/>
      <c r="H311" s="7"/>
      <c r="I311" s="7"/>
      <c r="K311" s="24" t="s">
        <v>1190</v>
      </c>
      <c r="L311" s="25" t="s">
        <v>1191</v>
      </c>
      <c r="M311" s="19"/>
      <c r="N311" s="19"/>
      <c r="O311" s="19"/>
      <c r="P311" s="19"/>
      <c r="Q311" s="19" t="str">
        <f>IF(AND(ISNUMBER(MATCH(M311,{"F","E","D","D+","C","C+","B","B+","A","A+","S"},0)),ISNUMBER(MATCH(N312,{"F","E","D","D+","C","C+","B","B+","A","A+","S"},0)),ISNUMBER(MATCH(O313,{"F","E","D","D+","C","C+","B","B+","A","A+","S"},0)),ISNUMBER(MATCH(P314,{"F","E","D","D+","C","C+","B","B+","A","A+","S"},0))),LOOKUP(AVERAGE(_xlfn.SWITCH(M315,"F",0,"E",10,"D",20,"D+",30,"C",40,"C+",50,"B",60,"B+",70,"A",80,"A+",90,"S",100),_xlfn.SWITCH(N316,"F",0,"E",10,"D",20,"D+",30,"C",40,"C+",50,"B",60,"B+",70,"A",80,"A+",90,"S",100),_xlfn.SWITCH(O317,"F",0,"E",10,"D",20,"D+",30,"C",40,"C+",50,"B",60,"B+",70,"A",80,"A+",90,"S",100),_xlfn.SWITCH(P318,"F",0,"E",10,"D",20,"D+",30,"C",40,"C+",50,"B",60,"B+",70,"A",80,"A+",90,"S",100)),{0,15,25,35,45,55,65,75,85,95},{"D","D","D+","C","C+","B","B+","A","A+","S"}),"?")</f>
        <v>?</v>
      </c>
    </row>
    <row r="312" spans="1:17" ht="21">
      <c r="A312" s="5"/>
      <c r="B312" s="5"/>
      <c r="C312" s="13"/>
      <c r="D312" s="13"/>
      <c r="E312" s="13"/>
      <c r="F312" s="13"/>
      <c r="G312" s="13"/>
      <c r="H312" s="7"/>
      <c r="I312" s="7"/>
      <c r="K312" s="24" t="s">
        <v>1147</v>
      </c>
      <c r="L312" s="25" t="s">
        <v>1148</v>
      </c>
      <c r="M312" s="19"/>
      <c r="N312" s="19"/>
      <c r="O312" s="19"/>
      <c r="P312" s="19"/>
      <c r="Q312" s="19" t="str">
        <f>IF(AND(ISNUMBER(MATCH(M312,{"F","E","D","D+","C","C+","B","B+","A","A+","S"},0)),ISNUMBER(MATCH(N313,{"F","E","D","D+","C","C+","B","B+","A","A+","S"},0)),ISNUMBER(MATCH(O314,{"F","E","D","D+","C","C+","B","B+","A","A+","S"},0)),ISNUMBER(MATCH(P315,{"F","E","D","D+","C","C+","B","B+","A","A+","S"},0))),LOOKUP(AVERAGE(_xlfn.SWITCH(M316,"F",0,"E",10,"D",20,"D+",30,"C",40,"C+",50,"B",60,"B+",70,"A",80,"A+",90,"S",100),_xlfn.SWITCH(N317,"F",0,"E",10,"D",20,"D+",30,"C",40,"C+",50,"B",60,"B+",70,"A",80,"A+",90,"S",100),_xlfn.SWITCH(O318,"F",0,"E",10,"D",20,"D+",30,"C",40,"C+",50,"B",60,"B+",70,"A",80,"A+",90,"S",100),_xlfn.SWITCH(P319,"F",0,"E",10,"D",20,"D+",30,"C",40,"C+",50,"B",60,"B+",70,"A",80,"A+",90,"S",100)),{0,15,25,35,45,55,65,75,85,95},{"D","D","D+","C","C+","B","B+","A","A+","S"}),"?")</f>
        <v>?</v>
      </c>
    </row>
    <row r="313" spans="1:17" ht="21">
      <c r="A313" s="5"/>
      <c r="B313" s="5"/>
      <c r="C313" s="13"/>
      <c r="D313" s="13"/>
      <c r="E313" s="13"/>
      <c r="F313" s="13"/>
      <c r="G313" s="13"/>
      <c r="H313" s="7"/>
      <c r="I313" s="7"/>
      <c r="K313" s="24" t="s">
        <v>1121</v>
      </c>
      <c r="L313" s="25" t="s">
        <v>1122</v>
      </c>
      <c r="M313" s="19"/>
      <c r="N313" s="19"/>
      <c r="O313" s="19"/>
      <c r="P313" s="19"/>
      <c r="Q313" s="19" t="str">
        <f>IF(AND(ISNUMBER(MATCH(M313,{"F","E","D","D+","C","C+","B","B+","A","A+","S"},0)),ISNUMBER(MATCH(N314,{"F","E","D","D+","C","C+","B","B+","A","A+","S"},0)),ISNUMBER(MATCH(O315,{"F","E","D","D+","C","C+","B","B+","A","A+","S"},0)),ISNUMBER(MATCH(P316,{"F","E","D","D+","C","C+","B","B+","A","A+","S"},0))),LOOKUP(AVERAGE(_xlfn.SWITCH(M317,"F",0,"E",10,"D",20,"D+",30,"C",40,"C+",50,"B",60,"B+",70,"A",80,"A+",90,"S",100),_xlfn.SWITCH(N318,"F",0,"E",10,"D",20,"D+",30,"C",40,"C+",50,"B",60,"B+",70,"A",80,"A+",90,"S",100),_xlfn.SWITCH(O319,"F",0,"E",10,"D",20,"D+",30,"C",40,"C+",50,"B",60,"B+",70,"A",80,"A+",90,"S",100),_xlfn.SWITCH(P320,"F",0,"E",10,"D",20,"D+",30,"C",40,"C+",50,"B",60,"B+",70,"A",80,"A+",90,"S",100)),{0,15,25,35,45,55,65,75,85,95},{"D","D","D+","C","C+","B","B+","A","A+","S"}),"?")</f>
        <v>?</v>
      </c>
    </row>
    <row r="314" spans="1:17" ht="21">
      <c r="A314" s="5"/>
      <c r="B314" s="5"/>
      <c r="C314" s="13"/>
      <c r="D314" s="13"/>
      <c r="E314" s="13"/>
      <c r="F314" s="13"/>
      <c r="G314" s="13"/>
      <c r="H314" s="7"/>
      <c r="I314" s="7"/>
      <c r="K314" s="24" t="s">
        <v>1431</v>
      </c>
      <c r="L314" s="25" t="s">
        <v>1432</v>
      </c>
      <c r="M314" s="19"/>
      <c r="N314" s="19"/>
      <c r="O314" s="19"/>
      <c r="P314" s="19"/>
      <c r="Q314" s="19" t="str">
        <f>IF(AND(ISNUMBER(MATCH(M314,{"F","E","D","D+","C","C+","B","B+","A","A+","S"},0)),ISNUMBER(MATCH(N315,{"F","E","D","D+","C","C+","B","B+","A","A+","S"},0)),ISNUMBER(MATCH(O316,{"F","E","D","D+","C","C+","B","B+","A","A+","S"},0)),ISNUMBER(MATCH(P317,{"F","E","D","D+","C","C+","B","B+","A","A+","S"},0))),LOOKUP(AVERAGE(_xlfn.SWITCH(M318,"F",0,"E",10,"D",20,"D+",30,"C",40,"C+",50,"B",60,"B+",70,"A",80,"A+",90,"S",100),_xlfn.SWITCH(N319,"F",0,"E",10,"D",20,"D+",30,"C",40,"C+",50,"B",60,"B+",70,"A",80,"A+",90,"S",100),_xlfn.SWITCH(O320,"F",0,"E",10,"D",20,"D+",30,"C",40,"C+",50,"B",60,"B+",70,"A",80,"A+",90,"S",100),_xlfn.SWITCH(P321,"F",0,"E",10,"D",20,"D+",30,"C",40,"C+",50,"B",60,"B+",70,"A",80,"A+",90,"S",100)),{0,15,25,35,45,55,65,75,85,95},{"D","D","D+","C","C+","B","B+","A","A+","S"}),"?")</f>
        <v>?</v>
      </c>
    </row>
    <row r="315" spans="1:17" ht="21">
      <c r="A315" s="5"/>
      <c r="B315" s="5"/>
      <c r="C315" s="13"/>
      <c r="D315" s="13"/>
      <c r="E315" s="13"/>
      <c r="F315" s="13"/>
      <c r="G315" s="13"/>
      <c r="H315" s="7"/>
      <c r="I315" s="7"/>
      <c r="K315" s="24" t="s">
        <v>1433</v>
      </c>
      <c r="L315" s="25" t="s">
        <v>1434</v>
      </c>
      <c r="M315" s="19"/>
      <c r="N315" s="19"/>
      <c r="O315" s="19"/>
      <c r="P315" s="19"/>
      <c r="Q315" s="19" t="str">
        <f>IF(AND(ISNUMBER(MATCH(M315,{"F","E","D","D+","C","C+","B","B+","A","A+","S"},0)),ISNUMBER(MATCH(N316,{"F","E","D","D+","C","C+","B","B+","A","A+","S"},0)),ISNUMBER(MATCH(O317,{"F","E","D","D+","C","C+","B","B+","A","A+","S"},0)),ISNUMBER(MATCH(P318,{"F","E","D","D+","C","C+","B","B+","A","A+","S"},0))),LOOKUP(AVERAGE(_xlfn.SWITCH(M319,"F",0,"E",10,"D",20,"D+",30,"C",40,"C+",50,"B",60,"B+",70,"A",80,"A+",90,"S",100),_xlfn.SWITCH(N320,"F",0,"E",10,"D",20,"D+",30,"C",40,"C+",50,"B",60,"B+",70,"A",80,"A+",90,"S",100),_xlfn.SWITCH(O321,"F",0,"E",10,"D",20,"D+",30,"C",40,"C+",50,"B",60,"B+",70,"A",80,"A+",90,"S",100),_xlfn.SWITCH(P322,"F",0,"E",10,"D",20,"D+",30,"C",40,"C+",50,"B",60,"B+",70,"A",80,"A+",90,"S",100)),{0,15,25,35,45,55,65,75,85,95},{"D","D","D+","C","C+","B","B+","A","A+","S"}),"?")</f>
        <v>?</v>
      </c>
    </row>
    <row r="316" spans="1:17" ht="21">
      <c r="A316" s="5"/>
      <c r="B316" s="5"/>
      <c r="C316" s="13"/>
      <c r="D316" s="13"/>
      <c r="E316" s="13"/>
      <c r="F316" s="13"/>
      <c r="G316" s="13"/>
      <c r="H316" s="7"/>
      <c r="I316" s="7"/>
      <c r="K316" s="24" t="s">
        <v>1435</v>
      </c>
      <c r="L316" s="25" t="s">
        <v>1436</v>
      </c>
      <c r="M316" s="19"/>
      <c r="N316" s="19"/>
      <c r="O316" s="19"/>
      <c r="P316" s="19"/>
      <c r="Q316" s="19" t="str">
        <f>IF(AND(ISNUMBER(MATCH(M316,{"F","E","D","D+","C","C+","B","B+","A","A+","S"},0)),ISNUMBER(MATCH(N317,{"F","E","D","D+","C","C+","B","B+","A","A+","S"},0)),ISNUMBER(MATCH(O318,{"F","E","D","D+","C","C+","B","B+","A","A+","S"},0)),ISNUMBER(MATCH(P319,{"F","E","D","D+","C","C+","B","B+","A","A+","S"},0))),LOOKUP(AVERAGE(_xlfn.SWITCH(M320,"F",0,"E",10,"D",20,"D+",30,"C",40,"C+",50,"B",60,"B+",70,"A",80,"A+",90,"S",100),_xlfn.SWITCH(N321,"F",0,"E",10,"D",20,"D+",30,"C",40,"C+",50,"B",60,"B+",70,"A",80,"A+",90,"S",100),_xlfn.SWITCH(O322,"F",0,"E",10,"D",20,"D+",30,"C",40,"C+",50,"B",60,"B+",70,"A",80,"A+",90,"S",100),_xlfn.SWITCH(P323,"F",0,"E",10,"D",20,"D+",30,"C",40,"C+",50,"B",60,"B+",70,"A",80,"A+",90,"S",100)),{0,15,25,35,45,55,65,75,85,95},{"D","D","D+","C","C+","B","B+","A","A+","S"}),"?")</f>
        <v>?</v>
      </c>
    </row>
    <row r="317" spans="1:17" ht="21">
      <c r="A317" s="5"/>
      <c r="B317" s="5"/>
      <c r="C317" s="13"/>
      <c r="D317" s="13"/>
      <c r="E317" s="13"/>
      <c r="F317" s="13"/>
      <c r="G317" s="13"/>
      <c r="H317" s="7"/>
      <c r="I317" s="7"/>
      <c r="K317" s="24" t="s">
        <v>1437</v>
      </c>
      <c r="L317" s="25" t="s">
        <v>1438</v>
      </c>
      <c r="M317" s="19"/>
      <c r="N317" s="19"/>
      <c r="O317" s="19"/>
      <c r="P317" s="19"/>
      <c r="Q317" s="19" t="str">
        <f>IF(AND(ISNUMBER(MATCH(M317,{"F","E","D","D+","C","C+","B","B+","A","A+","S"},0)),ISNUMBER(MATCH(N317,{"F","E","D","D+","C","C+","B","B+","A","A+","S"},0)),ISNUMBER(MATCH(O317,{"F","E","D","D+","C","C+","B","B+","A","A+","S"},0)),ISNUMBER(MATCH(P317,{"F","E","D","D+","C","C+","B","B+","A","A+","S"},0))),LOOKUP(AVERAGE(_xlfn.SWITCH(M317,"F",0,"E",10,"D",20,"D+",30,"C",40,"C+",50,"B",60,"B+",70,"A",80,"A+",90,"S",100),_xlfn.SWITCH(N317,"F",0,"E",10,"D",20,"D+",30,"C",40,"C+",50,"B",60,"B+",70,"A",80,"A+",90,"S",100),_xlfn.SWITCH(O317,"F",0,"E",10,"D",20,"D+",30,"C",40,"C+",50,"B",60,"B+",70,"A",80,"A+",90,"S",100),_xlfn.SWITCH(P317,"F",0,"E",10,"D",20,"D+",30,"C",40,"C+",50,"B",60,"B+",70,"A",80,"A+",90,"S",100)),{0,15,25,35,45,55,65,75,85,95},{"D","D","D+","C","C+","B","B+","A","A+","S"}),"?")</f>
        <v>?</v>
      </c>
    </row>
    <row r="318" spans="1:17" ht="21">
      <c r="A318" s="5"/>
      <c r="B318" s="5"/>
      <c r="C318" s="13"/>
      <c r="D318" s="13"/>
      <c r="E318" s="13"/>
      <c r="F318" s="13"/>
      <c r="G318" s="13"/>
      <c r="H318" s="7"/>
      <c r="I318" s="7"/>
      <c r="K318" s="24" t="s">
        <v>1206</v>
      </c>
      <c r="L318" s="25" t="s">
        <v>1207</v>
      </c>
      <c r="M318" s="19"/>
      <c r="N318" s="19"/>
      <c r="O318" s="19"/>
      <c r="P318" s="19"/>
      <c r="Q318" s="19" t="str">
        <f>IF(AND(ISNUMBER(MATCH(M318,{"F","E","D","D+","C","C+","B","B+","A","A+","S"},0)),ISNUMBER(MATCH(N318,{"F","E","D","D+","C","C+","B","B+","A","A+","S"},0)),ISNUMBER(MATCH(O318,{"F","E","D","D+","C","C+","B","B+","A","A+","S"},0)),ISNUMBER(MATCH(P318,{"F","E","D","D+","C","C+","B","B+","A","A+","S"},0))),LOOKUP(AVERAGE(_xlfn.SWITCH(M318,"F",0,"E",10,"D",20,"D+",30,"C",40,"C+",50,"B",60,"B+",70,"A",80,"A+",90,"S",100),_xlfn.SWITCH(N318,"F",0,"E",10,"D",20,"D+",30,"C",40,"C+",50,"B",60,"B+",70,"A",80,"A+",90,"S",100),_xlfn.SWITCH(O318,"F",0,"E",10,"D",20,"D+",30,"C",40,"C+",50,"B",60,"B+",70,"A",80,"A+",90,"S",100),_xlfn.SWITCH(P318,"F",0,"E",10,"D",20,"D+",30,"C",40,"C+",50,"B",60,"B+",70,"A",80,"A+",90,"S",100)),{0,15,25,35,45,55,65,75,85,95},{"D","D","D+","C","C+","B","B+","A","A+","S"}),"?")</f>
        <v>?</v>
      </c>
    </row>
    <row r="319" spans="1:17" ht="21">
      <c r="A319" s="5"/>
      <c r="B319" s="5"/>
      <c r="C319" s="13"/>
      <c r="D319" s="13"/>
      <c r="E319" s="13"/>
      <c r="F319" s="13"/>
      <c r="G319" s="13"/>
      <c r="H319" s="7"/>
      <c r="I319" s="7"/>
      <c r="K319" s="24" t="s">
        <v>1439</v>
      </c>
      <c r="L319" s="25" t="s">
        <v>1440</v>
      </c>
      <c r="M319" s="19"/>
      <c r="N319" s="19"/>
      <c r="O319" s="19"/>
      <c r="P319" s="19"/>
      <c r="Q319" s="19" t="str">
        <f>IF(AND(ISNUMBER(MATCH(M319,{"F","E","D","D+","C","C+","B","B+","A","A+","S"},0)),ISNUMBER(MATCH(N319,{"F","E","D","D+","C","C+","B","B+","A","A+","S"},0)),ISNUMBER(MATCH(O319,{"F","E","D","D+","C","C+","B","B+","A","A+","S"},0)),ISNUMBER(MATCH(P319,{"F","E","D","D+","C","C+","B","B+","A","A+","S"},0))),LOOKUP(AVERAGE(_xlfn.SWITCH(M319,"F",0,"E",10,"D",20,"D+",30,"C",40,"C+",50,"B",60,"B+",70,"A",80,"A+",90,"S",100),_xlfn.SWITCH(N319,"F",0,"E",10,"D",20,"D+",30,"C",40,"C+",50,"B",60,"B+",70,"A",80,"A+",90,"S",100),_xlfn.SWITCH(O319,"F",0,"E",10,"D",20,"D+",30,"C",40,"C+",50,"B",60,"B+",70,"A",80,"A+",90,"S",100),_xlfn.SWITCH(P319,"F",0,"E",10,"D",20,"D+",30,"C",40,"C+",50,"B",60,"B+",70,"A",80,"A+",90,"S",100)),{0,15,25,35,45,55,65,75,85,95},{"D","D","D+","C","C+","B","B+","A","A+","S"}),"?")</f>
        <v>?</v>
      </c>
    </row>
    <row r="320" spans="1:17" ht="21">
      <c r="A320" s="5"/>
      <c r="B320" s="5"/>
      <c r="C320" s="13"/>
      <c r="D320" s="13"/>
      <c r="E320" s="13"/>
      <c r="F320" s="13"/>
      <c r="G320" s="13"/>
      <c r="H320" s="7"/>
      <c r="I320" s="7"/>
      <c r="K320" s="24" t="s">
        <v>1228</v>
      </c>
      <c r="L320" s="42" t="s">
        <v>1229</v>
      </c>
      <c r="M320" s="19"/>
      <c r="N320" s="19"/>
      <c r="O320" s="19"/>
      <c r="P320" s="19"/>
      <c r="Q320" s="19" t="str">
        <f>IF(AND(ISNUMBER(MATCH(M320,{"F","E","D","D+","C","C+","B","B+","A","A+","S"},0)),ISNUMBER(MATCH(N320,{"F","E","D","D+","C","C+","B","B+","A","A+","S"},0)),ISNUMBER(MATCH(O320,{"F","E","D","D+","C","C+","B","B+","A","A+","S"},0)),ISNUMBER(MATCH(P320,{"F","E","D","D+","C","C+","B","B+","A","A+","S"},0))),LOOKUP(AVERAGE(_xlfn.SWITCH(M320,"F",0,"E",10,"D",20,"D+",30,"C",40,"C+",50,"B",60,"B+",70,"A",80,"A+",90,"S",100),_xlfn.SWITCH(N320,"F",0,"E",10,"D",20,"D+",30,"C",40,"C+",50,"B",60,"B+",70,"A",80,"A+",90,"S",100),_xlfn.SWITCH(O320,"F",0,"E",10,"D",20,"D+",30,"C",40,"C+",50,"B",60,"B+",70,"A",80,"A+",90,"S",100),_xlfn.SWITCH(P320,"F",0,"E",10,"D",20,"D+",30,"C",40,"C+",50,"B",60,"B+",70,"A",80,"A+",90,"S",100)),{0,15,25,35,45,55,65,75,85,95},{"D","D","D+","C","C+","B","B+","A","A+","S"}),"?")</f>
        <v>?</v>
      </c>
    </row>
    <row r="321" spans="1:17" ht="21">
      <c r="A321" s="24"/>
      <c r="B321" s="24"/>
      <c r="C321" s="19"/>
      <c r="D321" s="19"/>
      <c r="E321" s="19"/>
      <c r="F321" s="19"/>
      <c r="G321" s="19"/>
      <c r="H321" s="11"/>
      <c r="I321" s="11"/>
      <c r="K321" s="24" t="s">
        <v>1441</v>
      </c>
      <c r="L321" s="25" t="s">
        <v>1442</v>
      </c>
      <c r="M321" s="19"/>
      <c r="N321" s="19"/>
      <c r="O321" s="19"/>
      <c r="P321" s="19"/>
      <c r="Q321" s="19" t="str">
        <f>IF(AND(ISNUMBER(MATCH(M321,{"F","E","D","D+","C","C+","B","B+","A","A+","S"},0)),ISNUMBER(MATCH(N321,{"F","E","D","D+","C","C+","B","B+","A","A+","S"},0)),ISNUMBER(MATCH(O321,{"F","E","D","D+","C","C+","B","B+","A","A+","S"},0)),ISNUMBER(MATCH(P321,{"F","E","D","D+","C","C+","B","B+","A","A+","S"},0))),LOOKUP(AVERAGE(_xlfn.SWITCH(M321,"F",0,"E",10,"D",20,"D+",30,"C",40,"C+",50,"B",60,"B+",70,"A",80,"A+",90,"S",100),_xlfn.SWITCH(N321,"F",0,"E",10,"D",20,"D+",30,"C",40,"C+",50,"B",60,"B+",70,"A",80,"A+",90,"S",100),_xlfn.SWITCH(O321,"F",0,"E",10,"D",20,"D+",30,"C",40,"C+",50,"B",60,"B+",70,"A",80,"A+",90,"S",100),_xlfn.SWITCH(P321,"F",0,"E",10,"D",20,"D+",30,"C",40,"C+",50,"B",60,"B+",70,"A",80,"A+",90,"S",100)),{0,15,25,35,45,55,65,75,85,95},{"D","D","D+","C","C+","B","B+","A","A+","S"}),"?")</f>
        <v>?</v>
      </c>
    </row>
    <row r="322" spans="1:17" ht="21">
      <c r="A322" s="24"/>
      <c r="B322" s="24"/>
      <c r="C322" s="19"/>
      <c r="D322" s="19"/>
      <c r="E322" s="19"/>
      <c r="F322" s="19"/>
      <c r="G322" s="19"/>
      <c r="H322" s="11"/>
      <c r="I322" s="11"/>
      <c r="K322" s="24" t="s">
        <v>1163</v>
      </c>
      <c r="L322" s="43" t="s">
        <v>1164</v>
      </c>
      <c r="M322" s="19"/>
      <c r="N322" s="19"/>
      <c r="O322" s="19"/>
      <c r="P322" s="19"/>
      <c r="Q322" s="19" t="str">
        <f>IF(AND(ISNUMBER(MATCH(M322,{"F","E","D","D+","C","C+","B","B+","A","A+","S"},0)),ISNUMBER(MATCH(N322,{"F","E","D","D+","C","C+","B","B+","A","A+","S"},0)),ISNUMBER(MATCH(O322,{"F","E","D","D+","C","C+","B","B+","A","A+","S"},0)),ISNUMBER(MATCH(P322,{"F","E","D","D+","C","C+","B","B+","A","A+","S"},0))),LOOKUP(AVERAGE(_xlfn.SWITCH(M322,"F",0,"E",10,"D",20,"D+",30,"C",40,"C+",50,"B",60,"B+",70,"A",80,"A+",90,"S",100),_xlfn.SWITCH(N322,"F",0,"E",10,"D",20,"D+",30,"C",40,"C+",50,"B",60,"B+",70,"A",80,"A+",90,"S",100),_xlfn.SWITCH(O322,"F",0,"E",10,"D",20,"D+",30,"C",40,"C+",50,"B",60,"B+",70,"A",80,"A+",90,"S",100),_xlfn.SWITCH(P322,"F",0,"E",10,"D",20,"D+",30,"C",40,"C+",50,"B",60,"B+",70,"A",80,"A+",90,"S",100)),{0,15,25,35,45,55,65,75,85,95},{"D","D","D+","C","C+","B","B+","A","A+","S"}),"?")</f>
        <v>?</v>
      </c>
    </row>
    <row r="323" spans="1:17" ht="21">
      <c r="A323" s="24"/>
      <c r="B323" s="24"/>
      <c r="C323" s="19"/>
      <c r="D323" s="19"/>
      <c r="E323" s="19"/>
      <c r="F323" s="19"/>
      <c r="G323" s="19"/>
      <c r="H323" s="11"/>
      <c r="I323" s="11"/>
      <c r="K323" s="24" t="s">
        <v>1443</v>
      </c>
      <c r="L323" s="43" t="s">
        <v>1444</v>
      </c>
      <c r="M323" s="19"/>
      <c r="N323" s="19"/>
      <c r="O323" s="19"/>
      <c r="P323" s="19"/>
      <c r="Q323" s="19" t="str">
        <f>IF(AND(ISNUMBER(MATCH(M323,{"F","E","D","D+","C","C+","B","B+","A","A+","S"},0)),ISNUMBER(MATCH(N323,{"F","E","D","D+","C","C+","B","B+","A","A+","S"},0)),ISNUMBER(MATCH(O323,{"F","E","D","D+","C","C+","B","B+","A","A+","S"},0)),ISNUMBER(MATCH(P323,{"F","E","D","D+","C","C+","B","B+","A","A+","S"},0))),LOOKUP(AVERAGE(_xlfn.SWITCH(M323,"F",0,"E",10,"D",20,"D+",30,"C",40,"C+",50,"B",60,"B+",70,"A",80,"A+",90,"S",100),_xlfn.SWITCH(N323,"F",0,"E",10,"D",20,"D+",30,"C",40,"C+",50,"B",60,"B+",70,"A",80,"A+",90,"S",100),_xlfn.SWITCH(O323,"F",0,"E",10,"D",20,"D+",30,"C",40,"C+",50,"B",60,"B+",70,"A",80,"A+",90,"S",100),_xlfn.SWITCH(P323,"F",0,"E",10,"D",20,"D+",30,"C",40,"C+",50,"B",60,"B+",70,"A",80,"A+",90,"S",100)),{0,15,25,35,45,55,65,75,85,95},{"D","D","D+","C","C+","B","B+","A","A+","S"}),"?")</f>
        <v>?</v>
      </c>
    </row>
  </sheetData>
  <mergeCells count="15">
    <mergeCell ref="A1:I1"/>
    <mergeCell ref="K1:S1"/>
    <mergeCell ref="A106:I107"/>
    <mergeCell ref="A180:I181"/>
    <mergeCell ref="A222:I223"/>
    <mergeCell ref="K2:S2"/>
    <mergeCell ref="K135:S136"/>
    <mergeCell ref="K228:S229"/>
    <mergeCell ref="K277:S278"/>
    <mergeCell ref="A2:I2"/>
    <mergeCell ref="U2:AD2"/>
    <mergeCell ref="U85:AD86"/>
    <mergeCell ref="U147:AD148"/>
    <mergeCell ref="U179:AD180"/>
    <mergeCell ref="U1:AD1"/>
  </mergeCells>
  <phoneticPr fontId="89" type="noConversion"/>
  <dataValidations count="1">
    <dataValidation type="list" allowBlank="1" showInputMessage="1" showErrorMessage="1" sqref="X182:AB217 X150:AB178 X88:AB146 X4:AB84 M280:Q323 M231:Q276 M138:Q227 M4:Q134 C4:G105 C225:G320 C183:G221 C109:G179" xr:uid="{00000000-0002-0000-0000-000000000000}">
      <formula1>"S,A+,A,B+,B,C+,C,D+,D,?,"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
    <tabColor rgb="FFC3EAD5"/>
  </sheetPr>
  <dimension ref="A1:N216"/>
  <sheetViews>
    <sheetView workbookViewId="0"/>
  </sheetViews>
  <sheetFormatPr baseColWidth="10" defaultColWidth="13.7109375" defaultRowHeight="18" customHeight="1"/>
  <cols>
    <col min="1" max="1" width="11" style="159" customWidth="1"/>
    <col min="2" max="2" width="34.85546875" style="159" customWidth="1"/>
    <col min="3" max="3" width="54" style="45" customWidth="1"/>
    <col min="4" max="4" width="9.28515625" style="313" customWidth="1"/>
    <col min="5" max="5" width="12.5703125" style="159" customWidth="1"/>
    <col min="6" max="6" width="40.42578125" style="5" customWidth="1"/>
    <col min="7" max="7" width="54" style="45" customWidth="1"/>
    <col min="8" max="8" width="7.7109375" style="313" customWidth="1"/>
    <col min="9" max="9" width="11.5703125" style="30" customWidth="1"/>
    <col min="10" max="10" width="10.28515625" style="31" customWidth="1"/>
    <col min="11" max="11" width="40.7109375" style="32" customWidth="1"/>
    <col min="12" max="12" width="54" style="44" customWidth="1"/>
    <col min="13" max="13" width="49.7109375" style="53" customWidth="1"/>
  </cols>
  <sheetData>
    <row r="1" spans="1:14" ht="30" customHeight="1">
      <c r="A1" s="540" t="s">
        <v>1</v>
      </c>
      <c r="B1" s="543"/>
      <c r="C1" s="543"/>
      <c r="D1" s="2"/>
      <c r="E1" s="540" t="s">
        <v>2</v>
      </c>
      <c r="F1" s="543"/>
      <c r="G1" s="524"/>
      <c r="H1" s="2"/>
      <c r="I1" s="525" t="s">
        <v>3</v>
      </c>
      <c r="J1" s="518"/>
      <c r="K1" s="518"/>
      <c r="L1" s="554"/>
    </row>
    <row r="2" spans="1:14" s="125" customFormat="1" ht="27" customHeight="1">
      <c r="A2" s="5" t="s">
        <v>4</v>
      </c>
      <c r="B2" s="6" t="s">
        <v>5</v>
      </c>
      <c r="C2" s="7" t="s">
        <v>1445</v>
      </c>
      <c r="D2" s="2"/>
      <c r="E2" s="5" t="s">
        <v>4</v>
      </c>
      <c r="F2" s="6" t="s">
        <v>5</v>
      </c>
      <c r="G2" s="7" t="s">
        <v>1445</v>
      </c>
      <c r="H2" s="2"/>
      <c r="I2" s="8" t="s">
        <v>4</v>
      </c>
      <c r="J2" s="8" t="s">
        <v>13</v>
      </c>
      <c r="K2" s="9" t="s">
        <v>5</v>
      </c>
      <c r="L2" s="7" t="s">
        <v>1445</v>
      </c>
      <c r="M2" s="7"/>
      <c r="N2" s="7"/>
    </row>
    <row r="3" spans="1:14" ht="21">
      <c r="A3" s="5" t="s">
        <v>14</v>
      </c>
      <c r="B3" s="5" t="s">
        <v>15</v>
      </c>
      <c r="C3" s="44"/>
      <c r="D3" s="2"/>
      <c r="E3" s="5" t="s">
        <v>19</v>
      </c>
      <c r="F3" s="12" t="s">
        <v>20</v>
      </c>
      <c r="H3" s="2"/>
      <c r="I3" s="15" t="s">
        <v>23</v>
      </c>
      <c r="J3" s="16" t="s">
        <v>24</v>
      </c>
      <c r="K3" s="17" t="s">
        <v>25</v>
      </c>
      <c r="L3" s="46" t="s">
        <v>1446</v>
      </c>
    </row>
    <row r="4" spans="1:14" ht="21">
      <c r="A4" s="5" t="s">
        <v>26</v>
      </c>
      <c r="B4" s="5" t="s">
        <v>27</v>
      </c>
      <c r="C4" s="44"/>
      <c r="D4" s="2"/>
      <c r="E4" s="5" t="s">
        <v>36</v>
      </c>
      <c r="F4" s="12" t="s">
        <v>37</v>
      </c>
      <c r="H4" s="2"/>
      <c r="I4" s="15" t="s">
        <v>31</v>
      </c>
      <c r="J4" s="16" t="s">
        <v>32</v>
      </c>
      <c r="K4" s="17" t="s">
        <v>33</v>
      </c>
      <c r="L4" s="46" t="s">
        <v>1447</v>
      </c>
    </row>
    <row r="5" spans="1:14" ht="21">
      <c r="A5" s="5" t="s">
        <v>34</v>
      </c>
      <c r="B5" s="5" t="s">
        <v>35</v>
      </c>
      <c r="C5" s="44"/>
      <c r="D5" s="2"/>
      <c r="E5" s="5" t="s">
        <v>43</v>
      </c>
      <c r="F5" s="12" t="s">
        <v>44</v>
      </c>
      <c r="H5" s="2"/>
      <c r="I5" s="15" t="s">
        <v>38</v>
      </c>
      <c r="J5" s="16" t="s">
        <v>39</v>
      </c>
      <c r="K5" s="17" t="s">
        <v>40</v>
      </c>
      <c r="L5" s="46" t="s">
        <v>1448</v>
      </c>
      <c r="M5" s="11" t="s">
        <v>1449</v>
      </c>
    </row>
    <row r="6" spans="1:14" ht="21">
      <c r="A6" s="5" t="s">
        <v>41</v>
      </c>
      <c r="B6" s="5" t="s">
        <v>42</v>
      </c>
      <c r="C6" s="44"/>
      <c r="D6" s="2"/>
      <c r="E6" s="5" t="s">
        <v>57</v>
      </c>
      <c r="F6" s="12" t="s">
        <v>58</v>
      </c>
      <c r="G6" s="45" t="s">
        <v>1450</v>
      </c>
      <c r="H6" s="2"/>
      <c r="I6" s="15" t="s">
        <v>45</v>
      </c>
      <c r="J6" s="16" t="s">
        <v>46</v>
      </c>
      <c r="K6" s="17" t="s">
        <v>47</v>
      </c>
      <c r="L6" s="46" t="s">
        <v>1451</v>
      </c>
    </row>
    <row r="7" spans="1:14" ht="21">
      <c r="A7" s="5" t="s">
        <v>62</v>
      </c>
      <c r="B7" s="5" t="s">
        <v>63</v>
      </c>
      <c r="C7" s="44"/>
      <c r="D7" s="2"/>
      <c r="E7" s="5" t="s">
        <v>69</v>
      </c>
      <c r="F7" s="12" t="s">
        <v>70</v>
      </c>
      <c r="H7" s="2"/>
      <c r="I7" s="15" t="s">
        <v>52</v>
      </c>
      <c r="J7" s="16" t="s">
        <v>53</v>
      </c>
      <c r="K7" s="17" t="s">
        <v>54</v>
      </c>
    </row>
    <row r="8" spans="1:14" ht="21">
      <c r="A8" s="5" t="s">
        <v>67</v>
      </c>
      <c r="B8" s="5" t="s">
        <v>68</v>
      </c>
      <c r="C8" s="44"/>
      <c r="D8" s="2"/>
      <c r="E8" s="5" t="s">
        <v>76</v>
      </c>
      <c r="F8" s="12" t="s">
        <v>77</v>
      </c>
      <c r="G8" s="45" t="s">
        <v>1452</v>
      </c>
      <c r="H8" s="2"/>
      <c r="I8" s="15" t="s">
        <v>59</v>
      </c>
      <c r="J8" s="16" t="s">
        <v>60</v>
      </c>
      <c r="K8" s="17" t="s">
        <v>61</v>
      </c>
      <c r="L8" s="46" t="s">
        <v>1453</v>
      </c>
    </row>
    <row r="9" spans="1:14" ht="21">
      <c r="A9" s="5" t="s">
        <v>74</v>
      </c>
      <c r="B9" s="5" t="s">
        <v>75</v>
      </c>
      <c r="C9" s="44"/>
      <c r="D9" s="2"/>
      <c r="E9" s="5" t="s">
        <v>83</v>
      </c>
      <c r="F9" s="12" t="s">
        <v>84</v>
      </c>
      <c r="H9" s="2"/>
      <c r="I9" s="15" t="s">
        <v>66</v>
      </c>
      <c r="J9" s="16" t="s">
        <v>29</v>
      </c>
      <c r="K9" s="17" t="s">
        <v>30</v>
      </c>
      <c r="L9" s="46" t="s">
        <v>1454</v>
      </c>
    </row>
    <row r="10" spans="1:14" ht="38">
      <c r="A10" s="5" t="s">
        <v>81</v>
      </c>
      <c r="B10" s="5" t="s">
        <v>82</v>
      </c>
      <c r="C10" s="47" t="s">
        <v>1455</v>
      </c>
      <c r="D10" s="48" t="s">
        <v>1456</v>
      </c>
      <c r="E10" s="5" t="s">
        <v>90</v>
      </c>
      <c r="F10" s="12" t="s">
        <v>91</v>
      </c>
      <c r="G10" s="45" t="s">
        <v>1457</v>
      </c>
      <c r="H10" s="2"/>
      <c r="I10" s="15" t="s">
        <v>71</v>
      </c>
      <c r="J10" s="16" t="s">
        <v>72</v>
      </c>
      <c r="K10" s="17" t="s">
        <v>73</v>
      </c>
    </row>
    <row r="11" spans="1:14" ht="21">
      <c r="A11" s="5" t="s">
        <v>95</v>
      </c>
      <c r="B11" s="5" t="s">
        <v>96</v>
      </c>
      <c r="C11" s="44"/>
      <c r="D11" s="2"/>
      <c r="E11" s="5" t="s">
        <v>97</v>
      </c>
      <c r="F11" s="12" t="s">
        <v>98</v>
      </c>
      <c r="H11" s="2"/>
      <c r="I11" s="15" t="s">
        <v>78</v>
      </c>
      <c r="J11" s="16" t="s">
        <v>79</v>
      </c>
      <c r="K11" s="17" t="s">
        <v>80</v>
      </c>
    </row>
    <row r="12" spans="1:14" ht="36.75" customHeight="1">
      <c r="A12" s="5" t="s">
        <v>116</v>
      </c>
      <c r="B12" s="49" t="s">
        <v>117</v>
      </c>
      <c r="C12" s="44" t="s">
        <v>1458</v>
      </c>
      <c r="E12" s="5" t="s">
        <v>111</v>
      </c>
      <c r="F12" s="12" t="s">
        <v>112</v>
      </c>
      <c r="H12" s="2"/>
      <c r="I12" s="15" t="s">
        <v>85</v>
      </c>
      <c r="J12" s="16" t="s">
        <v>86</v>
      </c>
      <c r="K12" s="17" t="s">
        <v>87</v>
      </c>
      <c r="L12" s="44" t="s">
        <v>1459</v>
      </c>
    </row>
    <row r="13" spans="1:14" ht="21">
      <c r="A13" s="5" t="s">
        <v>143</v>
      </c>
      <c r="B13" s="5" t="s">
        <v>144</v>
      </c>
      <c r="C13" s="44"/>
      <c r="D13" s="2"/>
      <c r="E13" s="5" t="s">
        <v>118</v>
      </c>
      <c r="F13" s="12" t="s">
        <v>119</v>
      </c>
      <c r="H13" s="2"/>
      <c r="I13" s="15" t="s">
        <v>92</v>
      </c>
      <c r="J13" s="16" t="s">
        <v>93</v>
      </c>
      <c r="K13" s="17" t="s">
        <v>94</v>
      </c>
      <c r="L13" s="46" t="s">
        <v>1460</v>
      </c>
    </row>
    <row r="14" spans="1:14" ht="21">
      <c r="A14" s="5" t="s">
        <v>150</v>
      </c>
      <c r="B14" s="50" t="s">
        <v>151</v>
      </c>
      <c r="C14" s="44"/>
      <c r="D14" s="2"/>
      <c r="E14" s="5" t="s">
        <v>125</v>
      </c>
      <c r="F14" s="12" t="s">
        <v>126</v>
      </c>
      <c r="H14" s="2"/>
      <c r="I14" s="15" t="s">
        <v>99</v>
      </c>
      <c r="J14" s="16" t="s">
        <v>100</v>
      </c>
      <c r="K14" s="17" t="s">
        <v>101</v>
      </c>
    </row>
    <row r="15" spans="1:14" ht="21">
      <c r="A15" s="5" t="s">
        <v>156</v>
      </c>
      <c r="B15" s="50" t="s">
        <v>157</v>
      </c>
      <c r="C15" s="44"/>
      <c r="D15" s="2"/>
      <c r="E15" s="5" t="s">
        <v>138</v>
      </c>
      <c r="F15" s="12" t="s">
        <v>139</v>
      </c>
      <c r="G15" s="45" t="s">
        <v>1461</v>
      </c>
      <c r="H15" s="2"/>
      <c r="I15" s="15" t="s">
        <v>106</v>
      </c>
      <c r="J15" s="16" t="s">
        <v>107</v>
      </c>
      <c r="K15" s="17" t="s">
        <v>108</v>
      </c>
    </row>
    <row r="16" spans="1:14" ht="21">
      <c r="A16" s="5" t="s">
        <v>163</v>
      </c>
      <c r="B16" s="5" t="s">
        <v>164</v>
      </c>
      <c r="C16" s="44"/>
      <c r="D16" s="2"/>
      <c r="E16" s="5" t="s">
        <v>145</v>
      </c>
      <c r="F16" s="12" t="s">
        <v>146</v>
      </c>
      <c r="H16" s="2"/>
      <c r="I16" s="15" t="s">
        <v>113</v>
      </c>
      <c r="J16" s="16" t="s">
        <v>114</v>
      </c>
      <c r="K16" s="17" t="s">
        <v>115</v>
      </c>
    </row>
    <row r="17" spans="1:13" ht="21">
      <c r="A17" s="5" t="s">
        <v>170</v>
      </c>
      <c r="B17" s="50" t="s">
        <v>171</v>
      </c>
      <c r="C17" s="44"/>
      <c r="D17" s="2"/>
      <c r="E17" s="5" t="s">
        <v>152</v>
      </c>
      <c r="F17" s="12" t="s">
        <v>30</v>
      </c>
      <c r="H17" s="2"/>
      <c r="I17" s="15" t="s">
        <v>120</v>
      </c>
      <c r="J17" s="16" t="s">
        <v>121</v>
      </c>
      <c r="K17" s="17" t="s">
        <v>122</v>
      </c>
      <c r="L17" s="46" t="s">
        <v>1452</v>
      </c>
    </row>
    <row r="18" spans="1:13" ht="21">
      <c r="A18" s="5" t="s">
        <v>177</v>
      </c>
      <c r="B18" s="5" t="s">
        <v>178</v>
      </c>
      <c r="C18" s="44"/>
      <c r="D18" s="2"/>
      <c r="E18" s="5" t="s">
        <v>165</v>
      </c>
      <c r="F18" s="12" t="s">
        <v>166</v>
      </c>
      <c r="H18" s="2"/>
      <c r="I18" s="15" t="s">
        <v>127</v>
      </c>
      <c r="J18" s="16" t="s">
        <v>128</v>
      </c>
      <c r="K18" s="17" t="s">
        <v>129</v>
      </c>
      <c r="L18" s="46" t="s">
        <v>1462</v>
      </c>
    </row>
    <row r="19" spans="1:13" ht="21">
      <c r="A19" s="5" t="s">
        <v>184</v>
      </c>
      <c r="B19" s="5" t="s">
        <v>185</v>
      </c>
      <c r="C19" s="44"/>
      <c r="D19" s="2"/>
      <c r="E19" s="5" t="s">
        <v>179</v>
      </c>
      <c r="F19" s="12" t="s">
        <v>180</v>
      </c>
      <c r="H19" s="2"/>
      <c r="I19" s="15" t="s">
        <v>133</v>
      </c>
      <c r="J19" s="16" t="s">
        <v>134</v>
      </c>
      <c r="K19" s="17" t="s">
        <v>135</v>
      </c>
      <c r="L19" s="46" t="s">
        <v>1463</v>
      </c>
    </row>
    <row r="20" spans="1:13" ht="21">
      <c r="A20" s="5" t="s">
        <v>191</v>
      </c>
      <c r="B20" s="5" t="s">
        <v>192</v>
      </c>
      <c r="C20" s="44"/>
      <c r="D20" s="2"/>
      <c r="E20" s="5" t="s">
        <v>200</v>
      </c>
      <c r="F20" s="12" t="s">
        <v>201</v>
      </c>
      <c r="H20" s="2"/>
      <c r="I20" s="15" t="s">
        <v>140</v>
      </c>
      <c r="J20" s="16" t="s">
        <v>141</v>
      </c>
      <c r="K20" s="17" t="s">
        <v>142</v>
      </c>
      <c r="L20" s="46" t="s">
        <v>1464</v>
      </c>
    </row>
    <row r="21" spans="1:13" ht="21">
      <c r="A21" s="5" t="s">
        <v>205</v>
      </c>
      <c r="B21" s="5" t="s">
        <v>206</v>
      </c>
      <c r="C21" s="44"/>
      <c r="D21" s="2"/>
      <c r="E21" s="5" t="s">
        <v>207</v>
      </c>
      <c r="F21" s="12" t="s">
        <v>208</v>
      </c>
      <c r="H21" s="2"/>
      <c r="I21" s="15" t="s">
        <v>147</v>
      </c>
      <c r="J21" s="16" t="s">
        <v>148</v>
      </c>
      <c r="K21" s="17" t="s">
        <v>149</v>
      </c>
      <c r="L21" s="46" t="s">
        <v>1465</v>
      </c>
      <c r="M21" s="11" t="s">
        <v>1466</v>
      </c>
    </row>
    <row r="22" spans="1:13" ht="21">
      <c r="A22" s="5" t="s">
        <v>218</v>
      </c>
      <c r="B22" s="5" t="s">
        <v>219</v>
      </c>
      <c r="C22" s="44"/>
      <c r="D22" s="2"/>
      <c r="E22" s="5" t="s">
        <v>214</v>
      </c>
      <c r="F22" s="12" t="s">
        <v>215</v>
      </c>
      <c r="H22" s="2"/>
      <c r="I22" s="15" t="s">
        <v>153</v>
      </c>
      <c r="J22" s="16" t="s">
        <v>154</v>
      </c>
      <c r="K22" s="17" t="s">
        <v>155</v>
      </c>
    </row>
    <row r="23" spans="1:13" ht="21">
      <c r="A23" s="5" t="s">
        <v>232</v>
      </c>
      <c r="B23" s="5" t="s">
        <v>233</v>
      </c>
      <c r="C23" s="45" t="s">
        <v>1467</v>
      </c>
      <c r="D23" s="2"/>
      <c r="E23" s="5" t="s">
        <v>220</v>
      </c>
      <c r="F23" s="12" t="s">
        <v>221</v>
      </c>
      <c r="H23" s="2"/>
      <c r="I23" s="15" t="s">
        <v>160</v>
      </c>
      <c r="J23" s="16" t="s">
        <v>161</v>
      </c>
      <c r="K23" s="17" t="s">
        <v>162</v>
      </c>
    </row>
    <row r="24" spans="1:13" ht="21">
      <c r="A24" s="5" t="s">
        <v>238</v>
      </c>
      <c r="B24" s="5" t="s">
        <v>239</v>
      </c>
      <c r="D24" s="2"/>
      <c r="E24" s="5" t="s">
        <v>227</v>
      </c>
      <c r="F24" s="12" t="s">
        <v>228</v>
      </c>
      <c r="H24" s="2"/>
      <c r="I24" s="15" t="s">
        <v>167</v>
      </c>
      <c r="J24" s="16" t="s">
        <v>168</v>
      </c>
      <c r="K24" s="17" t="s">
        <v>169</v>
      </c>
    </row>
    <row r="25" spans="1:13" ht="21">
      <c r="A25" s="5" t="s">
        <v>256</v>
      </c>
      <c r="B25" s="5" t="s">
        <v>257</v>
      </c>
      <c r="D25" s="2"/>
      <c r="E25" s="5" t="s">
        <v>240</v>
      </c>
      <c r="F25" s="12" t="s">
        <v>241</v>
      </c>
      <c r="H25" s="2"/>
      <c r="I25" s="15" t="s">
        <v>174</v>
      </c>
      <c r="J25" s="16" t="s">
        <v>175</v>
      </c>
      <c r="K25" s="17" t="s">
        <v>176</v>
      </c>
      <c r="L25" s="46" t="s">
        <v>1453</v>
      </c>
    </row>
    <row r="26" spans="1:13" ht="21">
      <c r="A26" s="5" t="s">
        <v>263</v>
      </c>
      <c r="B26" s="5" t="s">
        <v>264</v>
      </c>
      <c r="C26" s="45" t="s">
        <v>1457</v>
      </c>
      <c r="D26" s="2"/>
      <c r="E26" s="5" t="s">
        <v>245</v>
      </c>
      <c r="F26" s="12" t="s">
        <v>246</v>
      </c>
      <c r="H26" s="2"/>
      <c r="I26" s="15" t="s">
        <v>181</v>
      </c>
      <c r="J26" s="16" t="s">
        <v>182</v>
      </c>
      <c r="K26" s="17" t="s">
        <v>183</v>
      </c>
    </row>
    <row r="27" spans="1:13" ht="21">
      <c r="A27" s="5" t="s">
        <v>269</v>
      </c>
      <c r="B27" s="8" t="s">
        <v>270</v>
      </c>
      <c r="D27" s="2"/>
      <c r="E27" s="5" t="s">
        <v>251</v>
      </c>
      <c r="F27" s="12" t="s">
        <v>252</v>
      </c>
      <c r="H27" s="2"/>
      <c r="I27" s="15" t="s">
        <v>188</v>
      </c>
      <c r="J27" s="16" t="s">
        <v>189</v>
      </c>
      <c r="K27" s="17" t="s">
        <v>190</v>
      </c>
      <c r="L27" s="46" t="s">
        <v>1468</v>
      </c>
    </row>
    <row r="28" spans="1:13" ht="21">
      <c r="A28" s="5" t="s">
        <v>274</v>
      </c>
      <c r="B28" s="5" t="s">
        <v>275</v>
      </c>
      <c r="D28" s="2"/>
      <c r="E28" s="5" t="s">
        <v>265</v>
      </c>
      <c r="F28" s="12" t="s">
        <v>266</v>
      </c>
      <c r="H28" s="2"/>
      <c r="I28" s="15" t="s">
        <v>195</v>
      </c>
      <c r="J28" s="16" t="s">
        <v>196</v>
      </c>
      <c r="K28" s="17" t="s">
        <v>197</v>
      </c>
      <c r="L28" s="46" t="s">
        <v>1469</v>
      </c>
    </row>
    <row r="29" spans="1:13" ht="21">
      <c r="A29" s="5" t="s">
        <v>292</v>
      </c>
      <c r="B29" s="5" t="s">
        <v>293</v>
      </c>
      <c r="D29" s="2"/>
      <c r="E29" s="5" t="s">
        <v>287</v>
      </c>
      <c r="F29" s="12" t="s">
        <v>288</v>
      </c>
      <c r="H29" s="2"/>
      <c r="I29" s="15" t="s">
        <v>202</v>
      </c>
      <c r="J29" s="16" t="s">
        <v>203</v>
      </c>
      <c r="K29" s="17" t="s">
        <v>204</v>
      </c>
      <c r="L29" s="46" t="s">
        <v>1470</v>
      </c>
    </row>
    <row r="30" spans="1:13" ht="21">
      <c r="A30" s="5" t="s">
        <v>298</v>
      </c>
      <c r="B30" s="5" t="s">
        <v>299</v>
      </c>
      <c r="D30" s="2"/>
      <c r="E30" s="5" t="s">
        <v>294</v>
      </c>
      <c r="F30" s="12" t="s">
        <v>295</v>
      </c>
      <c r="H30" s="2"/>
      <c r="I30" s="15" t="s">
        <v>209</v>
      </c>
      <c r="J30" s="16" t="s">
        <v>210</v>
      </c>
      <c r="K30" s="17" t="s">
        <v>211</v>
      </c>
    </row>
    <row r="31" spans="1:13" ht="21">
      <c r="A31" s="5" t="s">
        <v>302</v>
      </c>
      <c r="B31" s="5" t="s">
        <v>303</v>
      </c>
      <c r="D31" s="2"/>
      <c r="E31" s="5" t="s">
        <v>304</v>
      </c>
      <c r="F31" s="12" t="s">
        <v>305</v>
      </c>
      <c r="G31" s="44"/>
      <c r="H31" s="2"/>
      <c r="I31" s="15" t="s">
        <v>216</v>
      </c>
      <c r="J31" s="16" t="s">
        <v>217</v>
      </c>
      <c r="K31" s="17" t="s">
        <v>68</v>
      </c>
    </row>
    <row r="32" spans="1:13" ht="21">
      <c r="A32" s="5" t="s">
        <v>309</v>
      </c>
      <c r="B32" s="5" t="s">
        <v>310</v>
      </c>
      <c r="C32" s="45" t="s">
        <v>1471</v>
      </c>
      <c r="D32" s="2"/>
      <c r="E32" s="5" t="s">
        <v>311</v>
      </c>
      <c r="F32" s="12" t="s">
        <v>312</v>
      </c>
      <c r="H32" s="2"/>
      <c r="I32" s="15" t="s">
        <v>222</v>
      </c>
      <c r="J32" s="16" t="s">
        <v>223</v>
      </c>
      <c r="K32" s="17" t="s">
        <v>224</v>
      </c>
    </row>
    <row r="33" spans="1:12" ht="21">
      <c r="A33" s="5" t="s">
        <v>315</v>
      </c>
      <c r="B33" s="5" t="s">
        <v>316</v>
      </c>
      <c r="D33" s="2"/>
      <c r="E33" s="5" t="s">
        <v>323</v>
      </c>
      <c r="F33" s="12" t="s">
        <v>185</v>
      </c>
      <c r="G33" s="45" t="s">
        <v>1472</v>
      </c>
      <c r="H33" s="2"/>
      <c r="I33" s="15" t="s">
        <v>229</v>
      </c>
      <c r="J33" s="16" t="s">
        <v>230</v>
      </c>
      <c r="K33" s="17" t="s">
        <v>231</v>
      </c>
    </row>
    <row r="34" spans="1:12" ht="21">
      <c r="A34" s="5" t="s">
        <v>331</v>
      </c>
      <c r="B34" s="5" t="s">
        <v>332</v>
      </c>
      <c r="D34" s="2"/>
      <c r="E34" s="5" t="s">
        <v>327</v>
      </c>
      <c r="F34" s="12" t="s">
        <v>328</v>
      </c>
      <c r="H34" s="2"/>
      <c r="I34" s="15" t="s">
        <v>235</v>
      </c>
      <c r="J34" s="16" t="s">
        <v>236</v>
      </c>
      <c r="K34" s="17" t="s">
        <v>237</v>
      </c>
    </row>
    <row r="35" spans="1:12" ht="21">
      <c r="A35" s="5" t="s">
        <v>334</v>
      </c>
      <c r="B35" s="5" t="s">
        <v>335</v>
      </c>
      <c r="D35" s="2"/>
      <c r="E35" s="5" t="s">
        <v>336</v>
      </c>
      <c r="F35" s="12" t="s">
        <v>337</v>
      </c>
      <c r="H35" s="2"/>
      <c r="I35" s="15" t="s">
        <v>242</v>
      </c>
      <c r="J35" s="16" t="s">
        <v>131</v>
      </c>
      <c r="K35" s="17" t="s">
        <v>132</v>
      </c>
      <c r="L35" s="46" t="s">
        <v>1473</v>
      </c>
    </row>
    <row r="36" spans="1:12" ht="21">
      <c r="A36" s="5" t="s">
        <v>339</v>
      </c>
      <c r="B36" s="5" t="s">
        <v>340</v>
      </c>
      <c r="D36" s="2"/>
      <c r="E36" s="5" t="s">
        <v>341</v>
      </c>
      <c r="F36" s="12" t="s">
        <v>342</v>
      </c>
      <c r="H36" s="2"/>
      <c r="I36" s="15" t="s">
        <v>247</v>
      </c>
      <c r="J36" s="16" t="s">
        <v>248</v>
      </c>
      <c r="K36" s="17" t="s">
        <v>249</v>
      </c>
    </row>
    <row r="37" spans="1:12" ht="21">
      <c r="A37" s="5" t="s">
        <v>353</v>
      </c>
      <c r="B37" s="5" t="s">
        <v>354</v>
      </c>
      <c r="D37" s="2"/>
      <c r="E37" s="5" t="s">
        <v>355</v>
      </c>
      <c r="F37" s="12" t="s">
        <v>356</v>
      </c>
      <c r="H37" s="2"/>
      <c r="I37" s="15" t="s">
        <v>253</v>
      </c>
      <c r="J37" s="16" t="s">
        <v>254</v>
      </c>
      <c r="K37" s="17" t="s">
        <v>255</v>
      </c>
      <c r="L37" s="46" t="s">
        <v>1474</v>
      </c>
    </row>
    <row r="38" spans="1:12" ht="21">
      <c r="A38" s="5" t="s">
        <v>365</v>
      </c>
      <c r="B38" s="5" t="s">
        <v>366</v>
      </c>
      <c r="D38" s="2"/>
      <c r="E38" s="5" t="s">
        <v>360</v>
      </c>
      <c r="F38" s="12" t="s">
        <v>361</v>
      </c>
      <c r="H38" s="2"/>
      <c r="I38" s="15" t="s">
        <v>260</v>
      </c>
      <c r="J38" s="16" t="s">
        <v>261</v>
      </c>
      <c r="K38" s="17" t="s">
        <v>262</v>
      </c>
      <c r="L38" s="46" t="s">
        <v>1475</v>
      </c>
    </row>
    <row r="39" spans="1:12" ht="21">
      <c r="A39" s="5" t="s">
        <v>371</v>
      </c>
      <c r="B39" s="5" t="s">
        <v>372</v>
      </c>
      <c r="D39" s="2"/>
      <c r="E39" s="5" t="s">
        <v>367</v>
      </c>
      <c r="F39" s="12" t="s">
        <v>368</v>
      </c>
      <c r="H39" s="2"/>
      <c r="I39" s="15" t="s">
        <v>267</v>
      </c>
      <c r="J39" s="16" t="s">
        <v>268</v>
      </c>
      <c r="K39" s="17" t="s">
        <v>56</v>
      </c>
      <c r="L39" s="46" t="s">
        <v>1463</v>
      </c>
    </row>
    <row r="40" spans="1:12" ht="21">
      <c r="A40" s="5" t="s">
        <v>382</v>
      </c>
      <c r="B40" s="5" t="s">
        <v>383</v>
      </c>
      <c r="D40" s="2"/>
      <c r="E40" s="5" t="s">
        <v>377</v>
      </c>
      <c r="F40" s="12" t="s">
        <v>378</v>
      </c>
      <c r="H40" s="2"/>
      <c r="I40" s="15" t="s">
        <v>273</v>
      </c>
      <c r="J40" s="16" t="s">
        <v>186</v>
      </c>
      <c r="K40" s="17" t="s">
        <v>187</v>
      </c>
      <c r="L40" s="46" t="s">
        <v>1476</v>
      </c>
    </row>
    <row r="41" spans="1:12" ht="21">
      <c r="A41" s="5" t="s">
        <v>387</v>
      </c>
      <c r="B41" s="5" t="s">
        <v>388</v>
      </c>
      <c r="D41" s="2"/>
      <c r="E41" s="5" t="s">
        <v>384</v>
      </c>
      <c r="F41" s="12" t="s">
        <v>385</v>
      </c>
      <c r="H41" s="2"/>
      <c r="I41" s="15" t="s">
        <v>276</v>
      </c>
      <c r="J41" s="16" t="s">
        <v>277</v>
      </c>
      <c r="K41" s="17" t="s">
        <v>278</v>
      </c>
      <c r="L41" s="46" t="s">
        <v>1477</v>
      </c>
    </row>
    <row r="42" spans="1:12" ht="21">
      <c r="A42" s="5" t="s">
        <v>393</v>
      </c>
      <c r="B42" s="5" t="s">
        <v>394</v>
      </c>
      <c r="D42" s="2"/>
      <c r="E42" s="5" t="s">
        <v>389</v>
      </c>
      <c r="F42" s="12" t="s">
        <v>390</v>
      </c>
      <c r="H42" s="2"/>
      <c r="I42" s="15" t="s">
        <v>283</v>
      </c>
      <c r="J42" s="16" t="s">
        <v>284</v>
      </c>
      <c r="K42" s="17" t="s">
        <v>285</v>
      </c>
    </row>
    <row r="43" spans="1:12" ht="21">
      <c r="A43" s="5" t="s">
        <v>399</v>
      </c>
      <c r="B43" s="5" t="s">
        <v>400</v>
      </c>
      <c r="D43" s="2"/>
      <c r="E43" s="5" t="s">
        <v>395</v>
      </c>
      <c r="F43" s="12" t="s">
        <v>396</v>
      </c>
      <c r="H43" s="2"/>
      <c r="I43" s="15" t="s">
        <v>289</v>
      </c>
      <c r="J43" s="16" t="s">
        <v>290</v>
      </c>
      <c r="K43" s="17" t="s">
        <v>291</v>
      </c>
      <c r="L43" s="46"/>
    </row>
    <row r="44" spans="1:12" ht="21">
      <c r="A44" s="5" t="s">
        <v>404</v>
      </c>
      <c r="B44" s="5" t="s">
        <v>405</v>
      </c>
      <c r="D44" s="2"/>
      <c r="E44" s="5" t="s">
        <v>401</v>
      </c>
      <c r="F44" s="12" t="s">
        <v>402</v>
      </c>
      <c r="H44" s="2"/>
      <c r="I44" s="15" t="s">
        <v>296</v>
      </c>
      <c r="J44" s="16" t="s">
        <v>297</v>
      </c>
      <c r="K44" s="17" t="s">
        <v>280</v>
      </c>
    </row>
    <row r="45" spans="1:12" ht="21">
      <c r="A45" s="5" t="s">
        <v>413</v>
      </c>
      <c r="B45" s="5" t="s">
        <v>414</v>
      </c>
      <c r="C45" s="45" t="s">
        <v>1478</v>
      </c>
      <c r="D45" s="2"/>
      <c r="E45" s="5" t="s">
        <v>428</v>
      </c>
      <c r="F45" s="51" t="s">
        <v>429</v>
      </c>
      <c r="G45" s="45" t="s">
        <v>1479</v>
      </c>
      <c r="H45" s="2"/>
      <c r="I45" s="15" t="s">
        <v>300</v>
      </c>
      <c r="J45" s="16" t="s">
        <v>301</v>
      </c>
      <c r="K45" s="17" t="s">
        <v>280</v>
      </c>
    </row>
    <row r="46" spans="1:12" ht="21">
      <c r="A46" s="5" t="s">
        <v>416</v>
      </c>
      <c r="B46" s="5" t="s">
        <v>417</v>
      </c>
      <c r="D46" s="2"/>
      <c r="E46" s="5" t="s">
        <v>437</v>
      </c>
      <c r="F46" s="12" t="s">
        <v>438</v>
      </c>
      <c r="G46" s="45" t="s">
        <v>1478</v>
      </c>
      <c r="H46" s="2"/>
      <c r="I46" s="15" t="s">
        <v>306</v>
      </c>
      <c r="J46" s="16" t="s">
        <v>307</v>
      </c>
      <c r="K46" s="17" t="s">
        <v>308</v>
      </c>
      <c r="L46" s="46" t="s">
        <v>1480</v>
      </c>
    </row>
    <row r="47" spans="1:12" ht="21">
      <c r="A47" s="5" t="s">
        <v>426</v>
      </c>
      <c r="B47" s="5" t="s">
        <v>427</v>
      </c>
      <c r="D47" s="2"/>
      <c r="E47" s="5" t="s">
        <v>444</v>
      </c>
      <c r="F47" s="12" t="s">
        <v>445</v>
      </c>
      <c r="G47" s="44"/>
      <c r="H47" s="2"/>
      <c r="I47" s="15" t="s">
        <v>313</v>
      </c>
      <c r="J47" s="16" t="s">
        <v>314</v>
      </c>
      <c r="K47" s="17" t="s">
        <v>103</v>
      </c>
      <c r="L47" s="46" t="s">
        <v>1481</v>
      </c>
    </row>
    <row r="48" spans="1:12" ht="21">
      <c r="A48" s="5" t="s">
        <v>435</v>
      </c>
      <c r="B48" s="5" t="s">
        <v>436</v>
      </c>
      <c r="C48" s="44"/>
      <c r="D48" s="2"/>
      <c r="E48" s="5" t="s">
        <v>448</v>
      </c>
      <c r="F48" s="12" t="s">
        <v>449</v>
      </c>
      <c r="H48" s="2"/>
      <c r="I48" s="15" t="s">
        <v>319</v>
      </c>
      <c r="J48" s="16" t="s">
        <v>320</v>
      </c>
      <c r="K48" s="17" t="s">
        <v>321</v>
      </c>
    </row>
    <row r="49" spans="1:13" ht="21">
      <c r="A49" s="5" t="s">
        <v>442</v>
      </c>
      <c r="B49" s="5" t="s">
        <v>443</v>
      </c>
      <c r="D49" s="2"/>
      <c r="E49" s="5" t="s">
        <v>452</v>
      </c>
      <c r="F49" s="12" t="s">
        <v>453</v>
      </c>
      <c r="H49" s="2"/>
      <c r="I49" s="15" t="s">
        <v>324</v>
      </c>
      <c r="J49" s="16" t="s">
        <v>325</v>
      </c>
      <c r="K49" s="17" t="s">
        <v>226</v>
      </c>
      <c r="L49" s="46" t="s">
        <v>1482</v>
      </c>
    </row>
    <row r="50" spans="1:13" ht="21">
      <c r="A50" s="5" t="s">
        <v>461</v>
      </c>
      <c r="B50" s="6" t="s">
        <v>378</v>
      </c>
      <c r="C50" s="45" t="s">
        <v>1483</v>
      </c>
      <c r="D50" s="2"/>
      <c r="E50" s="5" t="s">
        <v>456</v>
      </c>
      <c r="F50" s="52" t="s">
        <v>457</v>
      </c>
      <c r="H50" s="2"/>
      <c r="I50" s="15" t="s">
        <v>329</v>
      </c>
      <c r="J50" s="16" t="s">
        <v>330</v>
      </c>
      <c r="K50" s="17" t="s">
        <v>124</v>
      </c>
      <c r="L50" s="46" t="s">
        <v>1484</v>
      </c>
    </row>
    <row r="51" spans="1:13" ht="21">
      <c r="A51" s="5" t="s">
        <v>472</v>
      </c>
      <c r="B51" s="5" t="s">
        <v>473</v>
      </c>
      <c r="D51" s="2"/>
      <c r="E51" s="5" t="s">
        <v>462</v>
      </c>
      <c r="F51" s="52" t="s">
        <v>463</v>
      </c>
      <c r="H51" s="2"/>
      <c r="I51" s="15" t="s">
        <v>333</v>
      </c>
      <c r="J51" s="16" t="s">
        <v>234</v>
      </c>
      <c r="K51" s="17" t="s">
        <v>68</v>
      </c>
    </row>
    <row r="52" spans="1:13" ht="21">
      <c r="A52" s="5" t="s">
        <v>475</v>
      </c>
      <c r="B52" s="5" t="s">
        <v>476</v>
      </c>
      <c r="D52" s="2"/>
      <c r="E52" s="5" t="s">
        <v>468</v>
      </c>
      <c r="F52" s="52" t="s">
        <v>469</v>
      </c>
      <c r="H52" s="2"/>
      <c r="I52" s="15" t="s">
        <v>338</v>
      </c>
      <c r="J52" s="16" t="s">
        <v>271</v>
      </c>
      <c r="K52" s="17" t="s">
        <v>272</v>
      </c>
      <c r="L52" s="46" t="s">
        <v>1454</v>
      </c>
    </row>
    <row r="53" spans="1:13" ht="21">
      <c r="A53" s="5" t="s">
        <v>483</v>
      </c>
      <c r="B53" s="5" t="s">
        <v>484</v>
      </c>
      <c r="D53" s="2"/>
      <c r="E53" s="5" t="s">
        <v>479</v>
      </c>
      <c r="F53" s="52" t="s">
        <v>480</v>
      </c>
      <c r="H53" s="2"/>
      <c r="I53" s="15" t="s">
        <v>343</v>
      </c>
      <c r="J53" s="16" t="s">
        <v>344</v>
      </c>
      <c r="K53" s="17" t="s">
        <v>345</v>
      </c>
    </row>
    <row r="54" spans="1:13" ht="21">
      <c r="A54" s="5" t="s">
        <v>488</v>
      </c>
      <c r="B54" s="5" t="s">
        <v>489</v>
      </c>
      <c r="D54" s="2"/>
      <c r="E54" s="5" t="s">
        <v>485</v>
      </c>
      <c r="F54" s="52" t="s">
        <v>486</v>
      </c>
      <c r="H54" s="2"/>
      <c r="I54" s="15" t="s">
        <v>350</v>
      </c>
      <c r="J54" s="16" t="s">
        <v>351</v>
      </c>
      <c r="K54" s="17" t="s">
        <v>352</v>
      </c>
      <c r="L54" s="46" t="s">
        <v>1485</v>
      </c>
    </row>
    <row r="55" spans="1:13" ht="21">
      <c r="A55" s="5" t="s">
        <v>494</v>
      </c>
      <c r="B55" s="5" t="s">
        <v>495</v>
      </c>
      <c r="D55" s="2"/>
      <c r="E55" s="5" t="s">
        <v>490</v>
      </c>
      <c r="F55" s="52" t="s">
        <v>491</v>
      </c>
      <c r="H55" s="2"/>
      <c r="I55" s="15" t="s">
        <v>357</v>
      </c>
      <c r="J55" s="16" t="s">
        <v>50</v>
      </c>
      <c r="K55" s="17" t="s">
        <v>51</v>
      </c>
    </row>
    <row r="56" spans="1:13" ht="21">
      <c r="A56" s="5" t="s">
        <v>500</v>
      </c>
      <c r="B56" s="5" t="s">
        <v>501</v>
      </c>
      <c r="D56" s="2"/>
      <c r="E56" s="5" t="s">
        <v>496</v>
      </c>
      <c r="F56" s="12" t="s">
        <v>497</v>
      </c>
      <c r="H56" s="2"/>
      <c r="I56" s="15" t="s">
        <v>362</v>
      </c>
      <c r="J56" s="16" t="s">
        <v>363</v>
      </c>
      <c r="K56" s="17" t="s">
        <v>364</v>
      </c>
      <c r="L56" s="46" t="s">
        <v>1474</v>
      </c>
    </row>
    <row r="57" spans="1:13" ht="21">
      <c r="A57" s="5" t="s">
        <v>505</v>
      </c>
      <c r="B57" s="5" t="s">
        <v>506</v>
      </c>
      <c r="D57" s="2"/>
      <c r="E57" s="5" t="s">
        <v>502</v>
      </c>
      <c r="F57" s="12" t="s">
        <v>503</v>
      </c>
      <c r="H57" s="2"/>
      <c r="I57" s="15" t="s">
        <v>369</v>
      </c>
      <c r="J57" s="16" t="s">
        <v>370</v>
      </c>
      <c r="K57" s="17" t="s">
        <v>49</v>
      </c>
    </row>
    <row r="58" spans="1:13" ht="21">
      <c r="A58" s="5" t="s">
        <v>510</v>
      </c>
      <c r="B58" s="5" t="s">
        <v>511</v>
      </c>
      <c r="D58" s="2"/>
      <c r="E58" s="5" t="s">
        <v>507</v>
      </c>
      <c r="F58" s="52" t="s">
        <v>508</v>
      </c>
      <c r="H58" s="2"/>
      <c r="I58" s="15" t="s">
        <v>373</v>
      </c>
      <c r="J58" s="16" t="s">
        <v>374</v>
      </c>
      <c r="K58" s="17" t="s">
        <v>375</v>
      </c>
    </row>
    <row r="59" spans="1:13" ht="21">
      <c r="A59" s="5" t="s">
        <v>529</v>
      </c>
      <c r="B59" s="5" t="s">
        <v>530</v>
      </c>
      <c r="C59" s="45" t="s">
        <v>1486</v>
      </c>
      <c r="D59" s="2"/>
      <c r="E59" s="5" t="s">
        <v>512</v>
      </c>
      <c r="F59" s="52" t="s">
        <v>513</v>
      </c>
      <c r="H59" s="2"/>
      <c r="I59" s="15" t="s">
        <v>379</v>
      </c>
      <c r="J59" s="16" t="s">
        <v>380</v>
      </c>
      <c r="K59" s="17" t="s">
        <v>381</v>
      </c>
      <c r="L59" s="46" t="s">
        <v>1476</v>
      </c>
    </row>
    <row r="60" spans="1:13" ht="21">
      <c r="A60" s="5" t="s">
        <v>534</v>
      </c>
      <c r="B60" s="5" t="s">
        <v>535</v>
      </c>
      <c r="D60" s="2"/>
      <c r="E60" s="5" t="s">
        <v>518</v>
      </c>
      <c r="F60" s="52" t="s">
        <v>519</v>
      </c>
      <c r="H60" s="2"/>
      <c r="I60" s="15" t="s">
        <v>386</v>
      </c>
      <c r="J60" s="16" t="s">
        <v>172</v>
      </c>
      <c r="K60" s="17" t="s">
        <v>173</v>
      </c>
    </row>
    <row r="61" spans="1:13" ht="21">
      <c r="A61" s="5" t="s">
        <v>541</v>
      </c>
      <c r="B61" s="5" t="s">
        <v>542</v>
      </c>
      <c r="D61" s="2"/>
      <c r="E61" s="5" t="s">
        <v>524</v>
      </c>
      <c r="F61" s="12" t="s">
        <v>525</v>
      </c>
      <c r="H61" s="2"/>
      <c r="I61" s="15" t="s">
        <v>391</v>
      </c>
      <c r="J61" s="16" t="s">
        <v>392</v>
      </c>
      <c r="K61" s="17" t="s">
        <v>359</v>
      </c>
      <c r="L61" s="46" t="s">
        <v>1487</v>
      </c>
    </row>
    <row r="62" spans="1:13" ht="21">
      <c r="A62" s="5" t="s">
        <v>559</v>
      </c>
      <c r="B62" s="5" t="s">
        <v>560</v>
      </c>
      <c r="D62" s="2"/>
      <c r="E62" s="5" t="s">
        <v>536</v>
      </c>
      <c r="F62" s="52" t="s">
        <v>537</v>
      </c>
      <c r="H62" s="2"/>
      <c r="I62" s="15" t="s">
        <v>397</v>
      </c>
      <c r="J62" s="16" t="s">
        <v>398</v>
      </c>
      <c r="K62" s="17" t="s">
        <v>30</v>
      </c>
    </row>
    <row r="63" spans="1:13" ht="21">
      <c r="A63" s="5" t="s">
        <v>571</v>
      </c>
      <c r="B63" s="5" t="s">
        <v>572</v>
      </c>
      <c r="C63" s="45" t="s">
        <v>1488</v>
      </c>
      <c r="D63" s="2"/>
      <c r="E63" s="5" t="s">
        <v>543</v>
      </c>
      <c r="F63" s="52" t="s">
        <v>544</v>
      </c>
      <c r="H63" s="2"/>
      <c r="I63" s="15" t="s">
        <v>403</v>
      </c>
      <c r="J63" s="16" t="s">
        <v>258</v>
      </c>
      <c r="K63" s="17" t="s">
        <v>259</v>
      </c>
      <c r="L63" s="46" t="s">
        <v>1489</v>
      </c>
      <c r="M63" s="53" t="s">
        <v>1490</v>
      </c>
    </row>
    <row r="64" spans="1:13" ht="21">
      <c r="A64" s="5" t="s">
        <v>578</v>
      </c>
      <c r="B64" s="5" t="s">
        <v>579</v>
      </c>
      <c r="D64" s="2"/>
      <c r="E64" s="5" t="s">
        <v>554</v>
      </c>
      <c r="F64" s="52" t="s">
        <v>555</v>
      </c>
      <c r="G64" s="45" t="s">
        <v>1491</v>
      </c>
      <c r="H64" s="2"/>
      <c r="I64" s="15" t="s">
        <v>406</v>
      </c>
      <c r="J64" s="16" t="s">
        <v>407</v>
      </c>
      <c r="K64" s="17" t="s">
        <v>408</v>
      </c>
    </row>
    <row r="65" spans="1:12" ht="21">
      <c r="A65" s="5" t="s">
        <v>585</v>
      </c>
      <c r="B65" s="5" t="s">
        <v>586</v>
      </c>
      <c r="D65" s="2"/>
      <c r="E65" s="5" t="s">
        <v>566</v>
      </c>
      <c r="F65" s="52" t="s">
        <v>567</v>
      </c>
      <c r="H65" s="2"/>
      <c r="I65" s="15" t="s">
        <v>410</v>
      </c>
      <c r="J65" s="16" t="s">
        <v>411</v>
      </c>
      <c r="K65" s="17" t="s">
        <v>412</v>
      </c>
      <c r="L65" s="46" t="s">
        <v>1471</v>
      </c>
    </row>
    <row r="66" spans="1:12" ht="21">
      <c r="A66" s="5" t="s">
        <v>590</v>
      </c>
      <c r="B66" s="5" t="s">
        <v>591</v>
      </c>
      <c r="C66" s="45" t="s">
        <v>1492</v>
      </c>
      <c r="D66" s="2"/>
      <c r="E66" s="5" t="s">
        <v>573</v>
      </c>
      <c r="F66" s="52" t="s">
        <v>574</v>
      </c>
      <c r="H66" s="2"/>
      <c r="I66" s="15" t="s">
        <v>415</v>
      </c>
      <c r="J66" s="16" t="s">
        <v>281</v>
      </c>
      <c r="K66" s="17" t="s">
        <v>282</v>
      </c>
    </row>
    <row r="67" spans="1:12" ht="21">
      <c r="A67" s="5" t="s">
        <v>595</v>
      </c>
      <c r="B67" s="5" t="s">
        <v>596</v>
      </c>
      <c r="C67" s="45" t="s">
        <v>1485</v>
      </c>
      <c r="D67" s="2"/>
      <c r="E67" s="5" t="s">
        <v>580</v>
      </c>
      <c r="F67" s="52" t="s">
        <v>581</v>
      </c>
      <c r="H67" s="2"/>
      <c r="I67" s="15" t="s">
        <v>418</v>
      </c>
      <c r="J67" s="16" t="s">
        <v>419</v>
      </c>
      <c r="K67" s="17" t="s">
        <v>420</v>
      </c>
      <c r="L67" s="46" t="s">
        <v>1493</v>
      </c>
    </row>
    <row r="68" spans="1:12" ht="21">
      <c r="A68" s="5" t="s">
        <v>602</v>
      </c>
      <c r="B68" s="5" t="s">
        <v>603</v>
      </c>
      <c r="D68" s="2"/>
      <c r="E68" s="5" t="s">
        <v>597</v>
      </c>
      <c r="F68" s="52" t="s">
        <v>598</v>
      </c>
      <c r="H68" s="2"/>
      <c r="I68" s="15" t="s">
        <v>425</v>
      </c>
      <c r="J68" s="16" t="s">
        <v>158</v>
      </c>
      <c r="K68" s="17" t="s">
        <v>159</v>
      </c>
      <c r="L68" s="46" t="s">
        <v>1494</v>
      </c>
    </row>
    <row r="69" spans="1:12" ht="21">
      <c r="A69" s="540" t="s">
        <v>619</v>
      </c>
      <c r="B69" s="555"/>
      <c r="C69" s="555"/>
      <c r="D69" s="2"/>
      <c r="E69" s="5" t="s">
        <v>608</v>
      </c>
      <c r="F69" s="52" t="s">
        <v>609</v>
      </c>
      <c r="G69" s="45" t="s">
        <v>1470</v>
      </c>
      <c r="H69" s="2"/>
      <c r="I69" s="15" t="s">
        <v>430</v>
      </c>
      <c r="J69" s="16" t="s">
        <v>431</v>
      </c>
      <c r="K69" s="17" t="s">
        <v>199</v>
      </c>
      <c r="L69" s="46" t="s">
        <v>1489</v>
      </c>
    </row>
    <row r="70" spans="1:12" ht="21">
      <c r="A70" s="555"/>
      <c r="B70" s="555"/>
      <c r="C70" s="555"/>
      <c r="D70" s="2"/>
      <c r="E70" s="5" t="s">
        <v>614</v>
      </c>
      <c r="F70" s="12" t="s">
        <v>615</v>
      </c>
      <c r="H70" s="2"/>
      <c r="I70" s="15" t="s">
        <v>433</v>
      </c>
      <c r="J70" s="16" t="s">
        <v>434</v>
      </c>
      <c r="K70" s="17" t="s">
        <v>956</v>
      </c>
      <c r="L70" s="46" t="s">
        <v>1480</v>
      </c>
    </row>
    <row r="71" spans="1:12" ht="21">
      <c r="A71" s="50" t="s">
        <v>4</v>
      </c>
      <c r="B71" s="6" t="s">
        <v>5</v>
      </c>
      <c r="C71" s="45" t="s">
        <v>1445</v>
      </c>
      <c r="D71" s="2"/>
      <c r="E71" s="5" t="s">
        <v>620</v>
      </c>
      <c r="F71" s="12" t="s">
        <v>621</v>
      </c>
      <c r="G71" s="45" t="s">
        <v>1495</v>
      </c>
      <c r="H71" s="2"/>
      <c r="I71" s="15" t="s">
        <v>439</v>
      </c>
      <c r="J71" s="16" t="s">
        <v>440</v>
      </c>
      <c r="K71" s="17" t="s">
        <v>441</v>
      </c>
    </row>
    <row r="72" spans="1:12" ht="21">
      <c r="A72" s="50" t="s">
        <v>644</v>
      </c>
      <c r="B72" s="5" t="s">
        <v>645</v>
      </c>
      <c r="D72" s="2"/>
      <c r="E72" s="5" t="s">
        <v>628</v>
      </c>
      <c r="F72" s="12" t="s">
        <v>629</v>
      </c>
      <c r="H72" s="2"/>
      <c r="I72" s="15" t="s">
        <v>446</v>
      </c>
      <c r="J72" s="16" t="s">
        <v>317</v>
      </c>
      <c r="K72" s="17" t="s">
        <v>318</v>
      </c>
    </row>
    <row r="73" spans="1:12" ht="21">
      <c r="A73" s="5" t="s">
        <v>651</v>
      </c>
      <c r="B73" s="5" t="s">
        <v>652</v>
      </c>
      <c r="D73" s="2"/>
      <c r="E73" s="5" t="s">
        <v>634</v>
      </c>
      <c r="F73" s="12" t="s">
        <v>635</v>
      </c>
      <c r="H73" s="2"/>
      <c r="I73" s="15" t="s">
        <v>450</v>
      </c>
      <c r="J73" s="16" t="s">
        <v>193</v>
      </c>
      <c r="K73" s="17" t="s">
        <v>194</v>
      </c>
      <c r="L73" s="46" t="s">
        <v>1453</v>
      </c>
    </row>
    <row r="74" spans="1:12" ht="21">
      <c r="A74" s="50" t="s">
        <v>663</v>
      </c>
      <c r="B74" s="5" t="s">
        <v>5246</v>
      </c>
      <c r="D74" s="2"/>
      <c r="E74" s="5" t="s">
        <v>646</v>
      </c>
      <c r="F74" s="12" t="s">
        <v>647</v>
      </c>
      <c r="H74" s="2"/>
      <c r="I74" s="15" t="s">
        <v>454</v>
      </c>
      <c r="J74" s="16" t="s">
        <v>423</v>
      </c>
      <c r="K74" s="17" t="s">
        <v>424</v>
      </c>
    </row>
    <row r="75" spans="1:12" ht="21">
      <c r="A75" s="5" t="s">
        <v>667</v>
      </c>
      <c r="B75" s="23" t="s">
        <v>668</v>
      </c>
      <c r="D75" s="2"/>
      <c r="E75" s="5" t="s">
        <v>653</v>
      </c>
      <c r="F75" s="12" t="s">
        <v>654</v>
      </c>
      <c r="H75" s="2"/>
      <c r="I75" s="15" t="s">
        <v>458</v>
      </c>
      <c r="J75" s="16" t="s">
        <v>459</v>
      </c>
      <c r="K75" s="17" t="s">
        <v>460</v>
      </c>
      <c r="L75" s="46" t="s">
        <v>1447</v>
      </c>
    </row>
    <row r="76" spans="1:12" ht="21">
      <c r="A76" s="50" t="s">
        <v>674</v>
      </c>
      <c r="B76" s="23" t="s">
        <v>675</v>
      </c>
      <c r="D76" s="2"/>
      <c r="E76" s="5" t="s">
        <v>669</v>
      </c>
      <c r="F76" s="12" t="s">
        <v>670</v>
      </c>
      <c r="G76" s="45" t="s">
        <v>1470</v>
      </c>
      <c r="H76" s="2"/>
      <c r="I76" s="15" t="s">
        <v>464</v>
      </c>
      <c r="J76" s="16" t="s">
        <v>465</v>
      </c>
      <c r="K76" s="17" t="s">
        <v>466</v>
      </c>
      <c r="L76" s="46"/>
    </row>
    <row r="77" spans="1:12" ht="21">
      <c r="A77" s="50" t="s">
        <v>687</v>
      </c>
      <c r="B77" s="5" t="s">
        <v>688</v>
      </c>
      <c r="D77" s="2"/>
      <c r="E77" s="5" t="s">
        <v>676</v>
      </c>
      <c r="F77" s="12" t="s">
        <v>677</v>
      </c>
      <c r="H77" s="2"/>
      <c r="I77" s="15" t="s">
        <v>470</v>
      </c>
      <c r="J77" s="16" t="s">
        <v>471</v>
      </c>
      <c r="K77" s="17" t="s">
        <v>137</v>
      </c>
      <c r="L77" s="46" t="s">
        <v>1463</v>
      </c>
    </row>
    <row r="78" spans="1:12" ht="21">
      <c r="A78" s="50" t="s">
        <v>694</v>
      </c>
      <c r="B78" s="5" t="s">
        <v>695</v>
      </c>
      <c r="C78" s="45" t="s">
        <v>1496</v>
      </c>
      <c r="D78" s="2"/>
      <c r="E78" s="5" t="s">
        <v>682</v>
      </c>
      <c r="F78" s="12" t="s">
        <v>683</v>
      </c>
      <c r="H78" s="2"/>
      <c r="I78" s="15" t="s">
        <v>474</v>
      </c>
      <c r="J78" s="16" t="s">
        <v>64</v>
      </c>
      <c r="K78" s="17" t="s">
        <v>65</v>
      </c>
      <c r="L78" s="46" t="s">
        <v>1497</v>
      </c>
    </row>
    <row r="79" spans="1:12" ht="21">
      <c r="A79" s="50" t="s">
        <v>701</v>
      </c>
      <c r="B79" s="5" t="s">
        <v>702</v>
      </c>
      <c r="C79" s="45" t="s">
        <v>1498</v>
      </c>
      <c r="D79" s="2"/>
      <c r="E79" s="5" t="s">
        <v>689</v>
      </c>
      <c r="F79" s="12" t="s">
        <v>690</v>
      </c>
      <c r="H79" s="2"/>
      <c r="I79" s="15" t="s">
        <v>477</v>
      </c>
      <c r="J79" s="16" t="s">
        <v>104</v>
      </c>
      <c r="K79" s="17" t="s">
        <v>105</v>
      </c>
      <c r="L79" s="46" t="s">
        <v>1499</v>
      </c>
    </row>
    <row r="80" spans="1:12" ht="21">
      <c r="A80" s="5" t="s">
        <v>708</v>
      </c>
      <c r="B80" s="5" t="s">
        <v>709</v>
      </c>
      <c r="C80" s="45" t="s">
        <v>1500</v>
      </c>
      <c r="D80" s="2"/>
      <c r="E80" s="5" t="s">
        <v>696</v>
      </c>
      <c r="F80" s="12" t="s">
        <v>697</v>
      </c>
      <c r="H80" s="2"/>
      <c r="I80" s="15" t="s">
        <v>481</v>
      </c>
      <c r="J80" s="16" t="s">
        <v>482</v>
      </c>
      <c r="K80" s="17" t="s">
        <v>347</v>
      </c>
    </row>
    <row r="81" spans="1:12" ht="21">
      <c r="A81" s="5" t="s">
        <v>715</v>
      </c>
      <c r="B81" s="5" t="s">
        <v>716</v>
      </c>
      <c r="D81" s="2"/>
      <c r="E81" s="5" t="s">
        <v>703</v>
      </c>
      <c r="F81" s="12" t="s">
        <v>704</v>
      </c>
      <c r="H81" s="2"/>
      <c r="I81" s="15" t="s">
        <v>487</v>
      </c>
      <c r="J81" s="16" t="s">
        <v>348</v>
      </c>
      <c r="K81" s="17" t="s">
        <v>349</v>
      </c>
    </row>
    <row r="82" spans="1:12" ht="21">
      <c r="A82" s="50" t="s">
        <v>722</v>
      </c>
      <c r="B82" s="5" t="s">
        <v>723</v>
      </c>
      <c r="D82" s="2"/>
      <c r="E82" s="5" t="s">
        <v>710</v>
      </c>
      <c r="F82" s="12" t="s">
        <v>711</v>
      </c>
      <c r="H82" s="2"/>
      <c r="I82" s="15" t="s">
        <v>492</v>
      </c>
      <c r="J82" s="16" t="s">
        <v>493</v>
      </c>
      <c r="K82" s="17" t="s">
        <v>89</v>
      </c>
      <c r="L82" s="46" t="s">
        <v>1501</v>
      </c>
    </row>
    <row r="83" spans="1:12" ht="21">
      <c r="A83" s="50" t="s">
        <v>741</v>
      </c>
      <c r="B83" s="5" t="s">
        <v>742</v>
      </c>
      <c r="D83" s="2"/>
      <c r="E83" s="5" t="s">
        <v>717</v>
      </c>
      <c r="F83" s="12" t="s">
        <v>718</v>
      </c>
      <c r="H83" s="2"/>
      <c r="I83" s="15" t="s">
        <v>498</v>
      </c>
      <c r="J83" s="16" t="s">
        <v>499</v>
      </c>
      <c r="K83" s="17" t="s">
        <v>244</v>
      </c>
    </row>
    <row r="84" spans="1:12" ht="21">
      <c r="A84" s="50" t="s">
        <v>752</v>
      </c>
      <c r="B84" s="23" t="s">
        <v>753</v>
      </c>
      <c r="D84" s="2"/>
      <c r="E84" s="5" t="s">
        <v>728</v>
      </c>
      <c r="F84" s="12" t="s">
        <v>729</v>
      </c>
      <c r="H84" s="2"/>
      <c r="I84" s="528" t="s">
        <v>504</v>
      </c>
      <c r="J84" s="529"/>
      <c r="K84" s="530"/>
      <c r="L84" s="554"/>
    </row>
    <row r="85" spans="1:12" ht="21">
      <c r="A85" s="50" t="s">
        <v>762</v>
      </c>
      <c r="B85" s="5" t="s">
        <v>763</v>
      </c>
      <c r="D85" s="2"/>
      <c r="E85" s="5" t="s">
        <v>747</v>
      </c>
      <c r="F85" s="12" t="s">
        <v>748</v>
      </c>
      <c r="H85" s="2"/>
      <c r="I85" s="532"/>
      <c r="J85" s="529"/>
      <c r="K85" s="530"/>
      <c r="L85" s="554"/>
    </row>
    <row r="86" spans="1:12" ht="21">
      <c r="A86" s="50" t="s">
        <v>767</v>
      </c>
      <c r="B86" s="5" t="s">
        <v>768</v>
      </c>
      <c r="D86" s="2"/>
      <c r="E86" s="5" t="s">
        <v>774</v>
      </c>
      <c r="F86" s="12" t="s">
        <v>775</v>
      </c>
      <c r="H86" s="2"/>
      <c r="I86" s="8" t="s">
        <v>4</v>
      </c>
      <c r="J86" s="8" t="s">
        <v>13</v>
      </c>
      <c r="K86" s="9" t="s">
        <v>5</v>
      </c>
      <c r="L86" s="45" t="s">
        <v>1445</v>
      </c>
    </row>
    <row r="87" spans="1:12" ht="21">
      <c r="A87" s="50" t="s">
        <v>772</v>
      </c>
      <c r="B87" s="5" t="s">
        <v>773</v>
      </c>
      <c r="D87" s="2"/>
      <c r="E87" s="5" t="s">
        <v>781</v>
      </c>
      <c r="F87" s="12" t="s">
        <v>544</v>
      </c>
      <c r="H87" s="2"/>
      <c r="I87" s="15" t="s">
        <v>514</v>
      </c>
      <c r="J87" s="16" t="s">
        <v>515</v>
      </c>
      <c r="K87" s="17" t="s">
        <v>516</v>
      </c>
    </row>
    <row r="88" spans="1:12" ht="21">
      <c r="A88" s="50" t="s">
        <v>779</v>
      </c>
      <c r="B88" s="5" t="s">
        <v>780</v>
      </c>
      <c r="D88" s="2"/>
      <c r="E88" s="540" t="s">
        <v>787</v>
      </c>
      <c r="F88" s="548"/>
      <c r="G88" s="545"/>
      <c r="H88" s="2"/>
      <c r="I88" s="15" t="s">
        <v>520</v>
      </c>
      <c r="J88" s="16" t="s">
        <v>521</v>
      </c>
      <c r="K88" s="17" t="s">
        <v>522</v>
      </c>
      <c r="L88" s="46" t="s">
        <v>1502</v>
      </c>
    </row>
    <row r="89" spans="1:12" ht="21">
      <c r="A89" s="5" t="s">
        <v>785</v>
      </c>
      <c r="B89" s="23" t="s">
        <v>786</v>
      </c>
      <c r="D89" s="2"/>
      <c r="E89" s="545"/>
      <c r="F89" s="548"/>
      <c r="G89" s="545"/>
      <c r="H89" s="2"/>
      <c r="I89" s="15" t="s">
        <v>526</v>
      </c>
      <c r="J89" s="16" t="s">
        <v>527</v>
      </c>
      <c r="K89" s="17" t="s">
        <v>528</v>
      </c>
    </row>
    <row r="90" spans="1:12" ht="21">
      <c r="A90" s="50" t="s">
        <v>791</v>
      </c>
      <c r="B90" s="5" t="s">
        <v>792</v>
      </c>
      <c r="D90" s="2"/>
      <c r="E90" s="5" t="s">
        <v>4</v>
      </c>
      <c r="F90" s="55" t="s">
        <v>5</v>
      </c>
      <c r="G90" s="45" t="s">
        <v>1445</v>
      </c>
      <c r="H90" s="2"/>
      <c r="I90" s="15" t="s">
        <v>531</v>
      </c>
      <c r="J90" s="16" t="s">
        <v>532</v>
      </c>
      <c r="K90" s="17" t="s">
        <v>533</v>
      </c>
    </row>
    <row r="91" spans="1:12" ht="21">
      <c r="A91" s="5" t="s">
        <v>796</v>
      </c>
      <c r="B91" s="5" t="s">
        <v>797</v>
      </c>
      <c r="D91" s="2"/>
      <c r="E91" s="5" t="s">
        <v>802</v>
      </c>
      <c r="F91" s="12" t="s">
        <v>803</v>
      </c>
      <c r="H91" s="2"/>
      <c r="I91" s="15" t="s">
        <v>538</v>
      </c>
      <c r="J91" s="16" t="s">
        <v>539</v>
      </c>
      <c r="K91" s="17" t="s">
        <v>540</v>
      </c>
    </row>
    <row r="92" spans="1:12" ht="21">
      <c r="A92" s="50" t="s">
        <v>800</v>
      </c>
      <c r="B92" s="23" t="s">
        <v>801</v>
      </c>
      <c r="D92" s="2"/>
      <c r="E92" s="50" t="s">
        <v>809</v>
      </c>
      <c r="F92" s="12" t="s">
        <v>810</v>
      </c>
      <c r="H92" s="2"/>
      <c r="I92" s="15" t="s">
        <v>545</v>
      </c>
      <c r="J92" s="16" t="s">
        <v>546</v>
      </c>
      <c r="K92" s="17" t="s">
        <v>547</v>
      </c>
    </row>
    <row r="93" spans="1:12" ht="21">
      <c r="A93" s="5" t="s">
        <v>818</v>
      </c>
      <c r="B93" s="5" t="s">
        <v>819</v>
      </c>
      <c r="D93" s="2"/>
      <c r="E93" s="5" t="s">
        <v>820</v>
      </c>
      <c r="F93" s="12" t="s">
        <v>821</v>
      </c>
      <c r="G93" s="44"/>
      <c r="H93" s="2"/>
      <c r="I93" s="15" t="s">
        <v>550</v>
      </c>
      <c r="J93" s="16" t="s">
        <v>551</v>
      </c>
      <c r="K93" s="17" t="s">
        <v>552</v>
      </c>
      <c r="L93" s="46" t="s">
        <v>1503</v>
      </c>
    </row>
    <row r="94" spans="1:12" ht="21">
      <c r="A94" s="50" t="s">
        <v>825</v>
      </c>
      <c r="B94" s="23" t="s">
        <v>826</v>
      </c>
      <c r="D94" s="2"/>
      <c r="E94" s="5" t="s">
        <v>827</v>
      </c>
      <c r="F94" s="12" t="s">
        <v>828</v>
      </c>
      <c r="H94" s="2"/>
      <c r="I94" s="15" t="s">
        <v>556</v>
      </c>
      <c r="J94" s="16" t="s">
        <v>557</v>
      </c>
      <c r="K94" s="17" t="s">
        <v>558</v>
      </c>
    </row>
    <row r="95" spans="1:12" ht="21">
      <c r="A95" s="50" t="s">
        <v>832</v>
      </c>
      <c r="B95" s="5" t="s">
        <v>833</v>
      </c>
      <c r="D95" s="2"/>
      <c r="E95" s="50" t="s">
        <v>839</v>
      </c>
      <c r="F95" s="12" t="s">
        <v>840</v>
      </c>
      <c r="H95" s="2"/>
      <c r="I95" s="15" t="s">
        <v>562</v>
      </c>
      <c r="J95" s="16" t="s">
        <v>563</v>
      </c>
      <c r="K95" s="17" t="s">
        <v>564</v>
      </c>
    </row>
    <row r="96" spans="1:12" ht="21">
      <c r="A96" s="50" t="s">
        <v>850</v>
      </c>
      <c r="B96" s="5" t="s">
        <v>851</v>
      </c>
      <c r="D96" s="2"/>
      <c r="E96" s="50" t="s">
        <v>845</v>
      </c>
      <c r="F96" s="12" t="s">
        <v>846</v>
      </c>
      <c r="H96" s="2"/>
      <c r="I96" s="15" t="s">
        <v>568</v>
      </c>
      <c r="J96" s="16" t="s">
        <v>569</v>
      </c>
      <c r="K96" s="17" t="s">
        <v>570</v>
      </c>
    </row>
    <row r="97" spans="1:13" ht="21">
      <c r="A97" s="50" t="s">
        <v>859</v>
      </c>
      <c r="B97" s="5" t="s">
        <v>860</v>
      </c>
      <c r="D97" s="2"/>
      <c r="E97" s="5" t="s">
        <v>856</v>
      </c>
      <c r="F97" s="12" t="s">
        <v>857</v>
      </c>
      <c r="H97" s="2"/>
      <c r="I97" s="15" t="s">
        <v>575</v>
      </c>
      <c r="J97" s="16" t="s">
        <v>576</v>
      </c>
      <c r="K97" s="17" t="s">
        <v>577</v>
      </c>
      <c r="L97" s="46" t="s">
        <v>1504</v>
      </c>
    </row>
    <row r="98" spans="1:13" ht="21">
      <c r="A98" s="5" t="s">
        <v>861</v>
      </c>
      <c r="B98" s="5" t="s">
        <v>862</v>
      </c>
      <c r="C98" s="45" t="s">
        <v>1505</v>
      </c>
      <c r="D98" s="2"/>
      <c r="E98" s="50" t="s">
        <v>863</v>
      </c>
      <c r="F98" s="12" t="s">
        <v>864</v>
      </c>
      <c r="G98" s="45" t="s">
        <v>1506</v>
      </c>
      <c r="H98" s="2"/>
      <c r="I98" s="15" t="s">
        <v>582</v>
      </c>
      <c r="J98" s="16" t="s">
        <v>583</v>
      </c>
      <c r="K98" s="17" t="s">
        <v>584</v>
      </c>
      <c r="L98" s="46" t="s">
        <v>1448</v>
      </c>
      <c r="M98" s="11" t="s">
        <v>1449</v>
      </c>
    </row>
    <row r="99" spans="1:13" ht="21">
      <c r="A99" s="5" t="s">
        <v>865</v>
      </c>
      <c r="B99" s="5" t="s">
        <v>866</v>
      </c>
      <c r="C99" s="45" t="s">
        <v>1507</v>
      </c>
      <c r="D99" s="2"/>
      <c r="E99" s="50" t="s">
        <v>871</v>
      </c>
      <c r="F99" s="12" t="s">
        <v>872</v>
      </c>
      <c r="H99" s="2"/>
      <c r="I99" s="15" t="s">
        <v>587</v>
      </c>
      <c r="J99" s="16" t="s">
        <v>588</v>
      </c>
      <c r="K99" s="17" t="s">
        <v>589</v>
      </c>
    </row>
    <row r="100" spans="1:13" ht="21">
      <c r="A100" s="50" t="s">
        <v>876</v>
      </c>
      <c r="B100" s="23" t="s">
        <v>877</v>
      </c>
      <c r="D100" s="2"/>
      <c r="E100" s="50" t="s">
        <v>883</v>
      </c>
      <c r="F100" s="12" t="s">
        <v>884</v>
      </c>
      <c r="H100" s="2"/>
      <c r="I100" s="15" t="s">
        <v>592</v>
      </c>
      <c r="J100" s="16" t="s">
        <v>593</v>
      </c>
      <c r="K100" s="17" t="s">
        <v>594</v>
      </c>
    </row>
    <row r="101" spans="1:13" ht="21">
      <c r="A101" s="5" t="s">
        <v>881</v>
      </c>
      <c r="B101" s="23" t="s">
        <v>882</v>
      </c>
      <c r="C101" s="45" t="s">
        <v>1508</v>
      </c>
      <c r="D101" s="2"/>
      <c r="E101" s="50" t="s">
        <v>890</v>
      </c>
      <c r="F101" s="12" t="s">
        <v>891</v>
      </c>
      <c r="H101" s="2"/>
      <c r="I101" s="15" t="s">
        <v>599</v>
      </c>
      <c r="J101" s="16" t="s">
        <v>600</v>
      </c>
      <c r="K101" s="17" t="s">
        <v>601</v>
      </c>
      <c r="L101" s="46" t="s">
        <v>1509</v>
      </c>
    </row>
    <row r="102" spans="1:13" ht="21">
      <c r="A102" s="50" t="s">
        <v>888</v>
      </c>
      <c r="B102" s="23" t="s">
        <v>889</v>
      </c>
      <c r="D102" s="2"/>
      <c r="E102" s="5" t="s">
        <v>900</v>
      </c>
      <c r="F102" s="12" t="s">
        <v>901</v>
      </c>
      <c r="H102" s="2"/>
      <c r="I102" s="15" t="s">
        <v>604</v>
      </c>
      <c r="J102" s="16" t="s">
        <v>605</v>
      </c>
      <c r="K102" s="17" t="s">
        <v>606</v>
      </c>
    </row>
    <row r="103" spans="1:13" ht="21">
      <c r="A103" s="50" t="s">
        <v>898</v>
      </c>
      <c r="B103" s="23" t="s">
        <v>899</v>
      </c>
      <c r="D103" s="2"/>
      <c r="E103" s="50" t="s">
        <v>907</v>
      </c>
      <c r="F103" s="12" t="s">
        <v>908</v>
      </c>
      <c r="H103" s="2"/>
      <c r="I103" s="15" t="s">
        <v>610</v>
      </c>
      <c r="J103" s="16" t="s">
        <v>611</v>
      </c>
      <c r="K103" s="17" t="s">
        <v>612</v>
      </c>
    </row>
    <row r="104" spans="1:13" ht="21">
      <c r="A104" s="5" t="s">
        <v>905</v>
      </c>
      <c r="B104" s="5" t="s">
        <v>906</v>
      </c>
      <c r="D104" s="2"/>
      <c r="E104" s="50" t="s">
        <v>914</v>
      </c>
      <c r="F104" s="12" t="s">
        <v>915</v>
      </c>
      <c r="H104" s="2"/>
      <c r="I104" s="15" t="s">
        <v>616</v>
      </c>
      <c r="J104" s="16" t="s">
        <v>617</v>
      </c>
      <c r="K104" s="17" t="s">
        <v>618</v>
      </c>
    </row>
    <row r="105" spans="1:13" ht="19.5" customHeight="1">
      <c r="A105" s="56" t="s">
        <v>912</v>
      </c>
      <c r="B105" s="57" t="s">
        <v>913</v>
      </c>
      <c r="C105" s="58"/>
      <c r="D105" s="2"/>
      <c r="E105" s="50" t="s">
        <v>938</v>
      </c>
      <c r="F105" s="12" t="s">
        <v>939</v>
      </c>
      <c r="H105" s="2"/>
      <c r="I105" s="15" t="s">
        <v>622</v>
      </c>
      <c r="J105" s="16" t="s">
        <v>623</v>
      </c>
      <c r="K105" s="17" t="s">
        <v>624</v>
      </c>
    </row>
    <row r="106" spans="1:13" ht="14.25" customHeight="1">
      <c r="A106" s="59" t="s">
        <v>919</v>
      </c>
      <c r="B106" s="60" t="s">
        <v>920</v>
      </c>
      <c r="C106" s="61"/>
      <c r="D106" s="2"/>
      <c r="E106" s="50" t="s">
        <v>945</v>
      </c>
      <c r="F106" s="12" t="s">
        <v>946</v>
      </c>
      <c r="H106" s="2"/>
      <c r="I106" s="15" t="s">
        <v>625</v>
      </c>
      <c r="J106" s="16" t="s">
        <v>626</v>
      </c>
      <c r="K106" s="17" t="s">
        <v>627</v>
      </c>
    </row>
    <row r="107" spans="1:13" ht="21">
      <c r="A107" s="5" t="s">
        <v>924</v>
      </c>
      <c r="B107" s="5" t="s">
        <v>1510</v>
      </c>
      <c r="C107" s="44" t="s">
        <v>1511</v>
      </c>
      <c r="D107" s="2"/>
      <c r="E107" s="50" t="s">
        <v>952</v>
      </c>
      <c r="F107" s="12" t="s">
        <v>953</v>
      </c>
      <c r="G107" s="45" t="s">
        <v>1512</v>
      </c>
      <c r="H107" s="2"/>
      <c r="I107" s="15" t="s">
        <v>630</v>
      </c>
      <c r="J107" s="16" t="s">
        <v>631</v>
      </c>
      <c r="K107" s="17" t="s">
        <v>632</v>
      </c>
    </row>
    <row r="108" spans="1:13" ht="21">
      <c r="A108" s="5" t="s">
        <v>929</v>
      </c>
      <c r="B108" s="5" t="s">
        <v>930</v>
      </c>
      <c r="D108" s="2"/>
      <c r="E108" s="5" t="s">
        <v>959</v>
      </c>
      <c r="F108" s="12" t="s">
        <v>960</v>
      </c>
      <c r="H108" s="2"/>
      <c r="I108" s="15" t="s">
        <v>636</v>
      </c>
      <c r="J108" s="16" t="s">
        <v>637</v>
      </c>
      <c r="K108" s="17" t="s">
        <v>638</v>
      </c>
    </row>
    <row r="109" spans="1:13" ht="21">
      <c r="A109" s="5" t="s">
        <v>943</v>
      </c>
      <c r="B109" s="5" t="s">
        <v>944</v>
      </c>
      <c r="D109" s="2"/>
      <c r="E109" s="50" t="s">
        <v>966</v>
      </c>
      <c r="F109" s="12" t="s">
        <v>967</v>
      </c>
      <c r="H109" s="2"/>
      <c r="I109" s="15" t="s">
        <v>641</v>
      </c>
      <c r="J109" s="16" t="s">
        <v>642</v>
      </c>
      <c r="K109" s="17" t="s">
        <v>643</v>
      </c>
      <c r="L109" s="46" t="s">
        <v>1513</v>
      </c>
    </row>
    <row r="110" spans="1:13" ht="21">
      <c r="A110" s="5" t="s">
        <v>950</v>
      </c>
      <c r="B110" s="5" t="s">
        <v>951</v>
      </c>
      <c r="D110" s="2"/>
      <c r="E110" s="50" t="s">
        <v>982</v>
      </c>
      <c r="F110" s="12" t="s">
        <v>983</v>
      </c>
      <c r="G110" s="45" t="s">
        <v>1514</v>
      </c>
      <c r="H110" s="2"/>
      <c r="I110" s="15" t="s">
        <v>648</v>
      </c>
      <c r="J110" s="16" t="s">
        <v>649</v>
      </c>
      <c r="K110" s="17" t="s">
        <v>650</v>
      </c>
    </row>
    <row r="111" spans="1:13" ht="21">
      <c r="A111" s="5" t="s">
        <v>964</v>
      </c>
      <c r="B111" s="5" t="s">
        <v>965</v>
      </c>
      <c r="D111" s="2"/>
      <c r="E111" s="5" t="s">
        <v>991</v>
      </c>
      <c r="F111" s="12" t="s">
        <v>992</v>
      </c>
      <c r="G111" s="45" t="s">
        <v>1515</v>
      </c>
      <c r="H111" s="2"/>
      <c r="I111" s="15" t="s">
        <v>655</v>
      </c>
      <c r="J111" s="16" t="s">
        <v>656</v>
      </c>
      <c r="K111" s="17" t="s">
        <v>657</v>
      </c>
      <c r="L111" s="46" t="s">
        <v>1503</v>
      </c>
    </row>
    <row r="112" spans="1:13" ht="21">
      <c r="A112" s="5" t="s">
        <v>971</v>
      </c>
      <c r="B112" s="23" t="s">
        <v>972</v>
      </c>
      <c r="D112" s="2"/>
      <c r="E112" s="5" t="s">
        <v>997</v>
      </c>
      <c r="F112" s="12" t="s">
        <v>998</v>
      </c>
      <c r="H112" s="2"/>
      <c r="I112" s="15" t="s">
        <v>660</v>
      </c>
      <c r="J112" s="16" t="s">
        <v>661</v>
      </c>
      <c r="K112" s="17" t="s">
        <v>662</v>
      </c>
      <c r="L112" s="46" t="s">
        <v>1503</v>
      </c>
    </row>
    <row r="113" spans="1:13" ht="21">
      <c r="A113" s="5" t="s">
        <v>976</v>
      </c>
      <c r="B113" s="5" t="s">
        <v>977</v>
      </c>
      <c r="D113" s="2"/>
      <c r="E113" s="5" t="s">
        <v>1004</v>
      </c>
      <c r="F113" s="12" t="s">
        <v>1005</v>
      </c>
      <c r="H113" s="2"/>
      <c r="I113" s="15" t="s">
        <v>664</v>
      </c>
      <c r="J113" s="16" t="s">
        <v>665</v>
      </c>
      <c r="K113" s="17" t="s">
        <v>666</v>
      </c>
      <c r="L113" s="46" t="s">
        <v>1516</v>
      </c>
    </row>
    <row r="114" spans="1:13" ht="21">
      <c r="A114" s="5" t="s">
        <v>1002</v>
      </c>
      <c r="B114" s="23" t="s">
        <v>1003</v>
      </c>
      <c r="D114" s="2"/>
      <c r="E114" s="5" t="s">
        <v>1024</v>
      </c>
      <c r="F114" s="12" t="s">
        <v>1025</v>
      </c>
      <c r="H114" s="2"/>
      <c r="I114" s="15" t="s">
        <v>671</v>
      </c>
      <c r="J114" s="16" t="s">
        <v>672</v>
      </c>
      <c r="K114" s="17" t="s">
        <v>673</v>
      </c>
      <c r="L114" s="46" t="s">
        <v>1517</v>
      </c>
    </row>
    <row r="115" spans="1:13" ht="21">
      <c r="A115" s="5" t="s">
        <v>1013</v>
      </c>
      <c r="B115" s="23" t="s">
        <v>1014</v>
      </c>
      <c r="D115" s="2"/>
      <c r="E115" s="50" t="s">
        <v>1031</v>
      </c>
      <c r="F115" s="12" t="s">
        <v>1032</v>
      </c>
      <c r="G115" s="45" t="s">
        <v>1518</v>
      </c>
      <c r="H115" s="2"/>
      <c r="I115" s="15" t="s">
        <v>678</v>
      </c>
      <c r="J115" s="16" t="s">
        <v>679</v>
      </c>
      <c r="K115" s="17" t="s">
        <v>680</v>
      </c>
    </row>
    <row r="116" spans="1:13" ht="21">
      <c r="A116" s="5" t="s">
        <v>1018</v>
      </c>
      <c r="B116" s="5" t="s">
        <v>1019</v>
      </c>
      <c r="D116" s="2"/>
      <c r="E116" s="50" t="s">
        <v>1035</v>
      </c>
      <c r="F116" s="12" t="s">
        <v>1036</v>
      </c>
      <c r="H116" s="2"/>
      <c r="I116" s="15" t="s">
        <v>684</v>
      </c>
      <c r="J116" s="16" t="s">
        <v>685</v>
      </c>
      <c r="K116" s="17" t="s">
        <v>686</v>
      </c>
      <c r="L116" s="46" t="s">
        <v>1465</v>
      </c>
    </row>
    <row r="117" spans="1:13" ht="21">
      <c r="A117" s="5" t="s">
        <v>1029</v>
      </c>
      <c r="B117" s="5" t="s">
        <v>1030</v>
      </c>
      <c r="D117" s="2"/>
      <c r="E117" s="50" t="s">
        <v>1048</v>
      </c>
      <c r="F117" s="12" t="s">
        <v>1049</v>
      </c>
      <c r="H117" s="2"/>
      <c r="I117" s="15" t="s">
        <v>691</v>
      </c>
      <c r="J117" s="16" t="s">
        <v>692</v>
      </c>
      <c r="K117" s="17" t="s">
        <v>693</v>
      </c>
    </row>
    <row r="118" spans="1:13" ht="21">
      <c r="A118" s="540" t="s">
        <v>1034</v>
      </c>
      <c r="B118" s="555"/>
      <c r="C118" s="555"/>
      <c r="D118" s="2"/>
      <c r="E118" s="50" t="s">
        <v>1054</v>
      </c>
      <c r="F118" s="12" t="s">
        <v>1055</v>
      </c>
      <c r="H118" s="2"/>
      <c r="I118" s="15" t="s">
        <v>698</v>
      </c>
      <c r="J118" s="16" t="s">
        <v>699</v>
      </c>
      <c r="K118" s="17" t="s">
        <v>700</v>
      </c>
      <c r="L118" s="46" t="s">
        <v>1519</v>
      </c>
    </row>
    <row r="119" spans="1:13" ht="21">
      <c r="A119" s="556"/>
      <c r="B119" s="555"/>
      <c r="C119" s="555"/>
      <c r="D119" s="2"/>
      <c r="E119" s="50" t="s">
        <v>1065</v>
      </c>
      <c r="F119" s="12" t="s">
        <v>1066</v>
      </c>
      <c r="H119" s="2"/>
      <c r="I119" s="15" t="s">
        <v>705</v>
      </c>
      <c r="J119" s="16" t="s">
        <v>706</v>
      </c>
      <c r="K119" s="17" t="s">
        <v>707</v>
      </c>
    </row>
    <row r="120" spans="1:13" ht="21">
      <c r="A120" s="50" t="s">
        <v>4</v>
      </c>
      <c r="B120" s="6" t="s">
        <v>5</v>
      </c>
      <c r="C120" s="45" t="s">
        <v>1445</v>
      </c>
      <c r="D120" s="2"/>
      <c r="E120" s="50" t="s">
        <v>1070</v>
      </c>
      <c r="F120" s="12" t="s">
        <v>1071</v>
      </c>
      <c r="H120" s="2"/>
      <c r="I120" s="15" t="s">
        <v>712</v>
      </c>
      <c r="J120" s="16" t="s">
        <v>713</v>
      </c>
      <c r="K120" s="17" t="s">
        <v>714</v>
      </c>
    </row>
    <row r="121" spans="1:13" ht="21">
      <c r="A121" s="5" t="s">
        <v>1040</v>
      </c>
      <c r="B121" s="5" t="s">
        <v>1041</v>
      </c>
      <c r="D121" s="2"/>
      <c r="E121" s="5" t="s">
        <v>1081</v>
      </c>
      <c r="F121" s="12" t="s">
        <v>1082</v>
      </c>
      <c r="H121" s="2"/>
      <c r="I121" s="15" t="s">
        <v>719</v>
      </c>
      <c r="J121" s="16" t="s">
        <v>720</v>
      </c>
      <c r="K121" s="17" t="s">
        <v>721</v>
      </c>
      <c r="L121" s="46" t="s">
        <v>1470</v>
      </c>
    </row>
    <row r="122" spans="1:13" ht="21">
      <c r="A122" s="5" t="s">
        <v>1046</v>
      </c>
      <c r="B122" s="5" t="s">
        <v>1047</v>
      </c>
      <c r="D122" s="2"/>
      <c r="E122" s="5" t="s">
        <v>1087</v>
      </c>
      <c r="F122" s="12" t="s">
        <v>1088</v>
      </c>
      <c r="H122" s="2"/>
      <c r="I122" s="15" t="s">
        <v>724</v>
      </c>
      <c r="J122" s="16" t="s">
        <v>725</v>
      </c>
      <c r="K122" s="17" t="s">
        <v>726</v>
      </c>
      <c r="L122" s="46" t="s">
        <v>1477</v>
      </c>
    </row>
    <row r="123" spans="1:13" ht="21">
      <c r="A123" s="5" t="s">
        <v>1059</v>
      </c>
      <c r="B123" s="5" t="s">
        <v>1060</v>
      </c>
      <c r="D123" s="2"/>
      <c r="E123" s="50" t="s">
        <v>1093</v>
      </c>
      <c r="F123" s="12" t="s">
        <v>1094</v>
      </c>
      <c r="H123" s="2"/>
      <c r="I123" s="15" t="s">
        <v>730</v>
      </c>
      <c r="J123" s="16" t="s">
        <v>731</v>
      </c>
      <c r="K123" s="17" t="s">
        <v>732</v>
      </c>
    </row>
    <row r="124" spans="1:13" ht="21">
      <c r="A124" s="50" t="s">
        <v>1069</v>
      </c>
      <c r="B124" s="34" t="s">
        <v>1017</v>
      </c>
      <c r="D124" s="2"/>
      <c r="E124" s="50" t="s">
        <v>1113</v>
      </c>
      <c r="F124" s="12" t="s">
        <v>1114</v>
      </c>
      <c r="H124" s="2"/>
      <c r="I124" s="15" t="s">
        <v>734</v>
      </c>
      <c r="J124" s="16" t="s">
        <v>735</v>
      </c>
      <c r="K124" s="17" t="s">
        <v>736</v>
      </c>
      <c r="L124" s="46" t="s">
        <v>1477</v>
      </c>
    </row>
    <row r="125" spans="1:13" ht="21">
      <c r="A125" s="50" t="s">
        <v>1075</v>
      </c>
      <c r="B125" s="5" t="s">
        <v>1076</v>
      </c>
      <c r="D125" s="2"/>
      <c r="E125" s="50" t="s">
        <v>1125</v>
      </c>
      <c r="F125" s="12" t="s">
        <v>1126</v>
      </c>
      <c r="H125" s="2"/>
      <c r="I125" s="15" t="s">
        <v>738</v>
      </c>
      <c r="J125" s="16" t="s">
        <v>739</v>
      </c>
      <c r="K125" s="17" t="s">
        <v>740</v>
      </c>
    </row>
    <row r="126" spans="1:13">
      <c r="A126" s="5" t="s">
        <v>1098</v>
      </c>
      <c r="B126" s="5" t="s">
        <v>1099</v>
      </c>
      <c r="E126" s="24" t="s">
        <v>1132</v>
      </c>
      <c r="F126" s="33" t="s">
        <v>1133</v>
      </c>
      <c r="G126" s="44" t="s">
        <v>1486</v>
      </c>
      <c r="I126" s="15" t="s">
        <v>743</v>
      </c>
      <c r="J126" s="16" t="s">
        <v>744</v>
      </c>
      <c r="K126" s="17" t="s">
        <v>745</v>
      </c>
      <c r="L126" s="46" t="s">
        <v>1520</v>
      </c>
    </row>
    <row r="127" spans="1:13">
      <c r="A127" s="50" t="s">
        <v>1103</v>
      </c>
      <c r="B127" s="5" t="s">
        <v>1104</v>
      </c>
      <c r="E127" s="41" t="s">
        <v>1139</v>
      </c>
      <c r="F127" s="33" t="s">
        <v>1140</v>
      </c>
      <c r="G127" s="44"/>
      <c r="I127" s="15" t="s">
        <v>749</v>
      </c>
      <c r="J127" s="16" t="s">
        <v>750</v>
      </c>
      <c r="K127" s="17" t="s">
        <v>751</v>
      </c>
    </row>
    <row r="128" spans="1:13">
      <c r="A128" s="50" t="s">
        <v>1111</v>
      </c>
      <c r="B128" s="5" t="s">
        <v>1112</v>
      </c>
      <c r="E128" s="41" t="s">
        <v>1150</v>
      </c>
      <c r="F128" s="25" t="s">
        <v>1151</v>
      </c>
      <c r="G128" s="44" t="s">
        <v>1521</v>
      </c>
      <c r="I128" s="15" t="s">
        <v>754</v>
      </c>
      <c r="J128" s="16" t="s">
        <v>755</v>
      </c>
      <c r="K128" s="17" t="s">
        <v>756</v>
      </c>
      <c r="L128" s="46" t="s">
        <v>1500</v>
      </c>
      <c r="M128" s="11" t="s">
        <v>1522</v>
      </c>
    </row>
    <row r="129" spans="1:12">
      <c r="A129" s="50" t="s">
        <v>1118</v>
      </c>
      <c r="B129" s="5" t="s">
        <v>1119</v>
      </c>
      <c r="E129" s="41" t="s">
        <v>1160</v>
      </c>
      <c r="F129" s="33" t="s">
        <v>1161</v>
      </c>
      <c r="G129" s="44" t="s">
        <v>1523</v>
      </c>
      <c r="I129" s="27" t="s">
        <v>759</v>
      </c>
      <c r="J129" s="28" t="s">
        <v>760</v>
      </c>
      <c r="K129" s="29" t="s">
        <v>761</v>
      </c>
      <c r="L129" s="46" t="s">
        <v>1506</v>
      </c>
    </row>
    <row r="130" spans="1:12">
      <c r="A130" s="50" t="s">
        <v>1123</v>
      </c>
      <c r="B130" s="5" t="s">
        <v>1124</v>
      </c>
      <c r="C130" s="45" t="s">
        <v>1524</v>
      </c>
      <c r="E130" s="41" t="s">
        <v>1170</v>
      </c>
      <c r="F130" s="33" t="s">
        <v>1171</v>
      </c>
      <c r="G130" s="44" t="s">
        <v>1525</v>
      </c>
      <c r="I130" s="27" t="s">
        <v>764</v>
      </c>
      <c r="J130" s="28" t="s">
        <v>765</v>
      </c>
      <c r="K130" s="29" t="s">
        <v>766</v>
      </c>
    </row>
    <row r="131" spans="1:12">
      <c r="A131" s="5" t="s">
        <v>1130</v>
      </c>
      <c r="B131" s="5" t="s">
        <v>1131</v>
      </c>
      <c r="E131" s="41" t="s">
        <v>1176</v>
      </c>
      <c r="F131" s="33" t="s">
        <v>1177</v>
      </c>
      <c r="G131" s="44"/>
      <c r="I131" s="27" t="s">
        <v>769</v>
      </c>
      <c r="J131" s="28" t="s">
        <v>770</v>
      </c>
      <c r="K131" s="29" t="s">
        <v>771</v>
      </c>
      <c r="L131" s="46" t="s">
        <v>1526</v>
      </c>
    </row>
    <row r="132" spans="1:12">
      <c r="A132" s="50" t="s">
        <v>1137</v>
      </c>
      <c r="B132" s="5" t="s">
        <v>1138</v>
      </c>
      <c r="E132" s="41" t="s">
        <v>1183</v>
      </c>
      <c r="F132" s="33" t="s">
        <v>1184</v>
      </c>
      <c r="G132" s="44" t="s">
        <v>1527</v>
      </c>
      <c r="I132" s="27" t="s">
        <v>776</v>
      </c>
      <c r="J132" s="28" t="s">
        <v>777</v>
      </c>
      <c r="K132" s="29" t="s">
        <v>778</v>
      </c>
    </row>
    <row r="133" spans="1:12">
      <c r="A133" s="5" t="s">
        <v>1144</v>
      </c>
      <c r="B133" s="5" t="s">
        <v>1145</v>
      </c>
      <c r="E133" s="63" t="s">
        <v>1203</v>
      </c>
      <c r="F133" s="33" t="s">
        <v>1204</v>
      </c>
      <c r="G133" s="64"/>
      <c r="I133" s="27" t="s">
        <v>782</v>
      </c>
      <c r="J133" s="28" t="s">
        <v>783</v>
      </c>
      <c r="K133" s="29" t="s">
        <v>784</v>
      </c>
      <c r="L133" s="46" t="s">
        <v>1528</v>
      </c>
    </row>
    <row r="134" spans="1:12">
      <c r="A134" s="50" t="s">
        <v>1149</v>
      </c>
      <c r="B134" s="5" t="s">
        <v>918</v>
      </c>
      <c r="C134" s="45" t="s">
        <v>1529</v>
      </c>
      <c r="E134" s="65" t="s">
        <v>1209</v>
      </c>
      <c r="F134" s="66" t="s">
        <v>1210</v>
      </c>
      <c r="G134" s="44"/>
      <c r="I134" s="27" t="s">
        <v>788</v>
      </c>
      <c r="J134" s="28" t="s">
        <v>789</v>
      </c>
      <c r="K134" s="29" t="s">
        <v>790</v>
      </c>
      <c r="L134" s="46" t="s">
        <v>1517</v>
      </c>
    </row>
    <row r="135" spans="1:12">
      <c r="A135" s="50" t="s">
        <v>1165</v>
      </c>
      <c r="B135" s="5" t="s">
        <v>288</v>
      </c>
      <c r="E135" s="59" t="s">
        <v>1225</v>
      </c>
      <c r="F135" s="67" t="s">
        <v>1226</v>
      </c>
      <c r="G135" s="61"/>
      <c r="I135" s="27" t="s">
        <v>793</v>
      </c>
      <c r="J135" s="28" t="s">
        <v>794</v>
      </c>
      <c r="K135" s="29" t="s">
        <v>795</v>
      </c>
      <c r="L135" s="46" t="s">
        <v>1504</v>
      </c>
    </row>
    <row r="136" spans="1:12">
      <c r="A136" s="50" t="s">
        <v>1181</v>
      </c>
      <c r="B136" s="5" t="s">
        <v>1182</v>
      </c>
      <c r="E136" s="5" t="s">
        <v>1232</v>
      </c>
      <c r="F136" s="12" t="s">
        <v>1233</v>
      </c>
      <c r="G136" s="44"/>
      <c r="I136" s="27" t="s">
        <v>798</v>
      </c>
      <c r="J136" s="28" t="s">
        <v>799</v>
      </c>
      <c r="K136" s="29" t="s">
        <v>659</v>
      </c>
    </row>
    <row r="137" spans="1:12">
      <c r="A137" s="5" t="s">
        <v>1192</v>
      </c>
      <c r="B137" s="5" t="s">
        <v>1193</v>
      </c>
      <c r="E137" s="24" t="s">
        <v>1239</v>
      </c>
      <c r="F137" s="25" t="s">
        <v>1240</v>
      </c>
      <c r="G137" s="44"/>
      <c r="I137" s="27" t="s">
        <v>804</v>
      </c>
      <c r="J137" s="28" t="s">
        <v>805</v>
      </c>
      <c r="K137" s="29" t="s">
        <v>806</v>
      </c>
      <c r="L137" s="46" t="s">
        <v>1474</v>
      </c>
    </row>
    <row r="138" spans="1:12">
      <c r="A138" s="5" t="s">
        <v>1197</v>
      </c>
      <c r="B138" s="5" t="s">
        <v>1198</v>
      </c>
      <c r="E138" s="24" t="s">
        <v>1243</v>
      </c>
      <c r="F138" s="25" t="s">
        <v>1244</v>
      </c>
      <c r="G138" s="44"/>
      <c r="I138" s="27" t="s">
        <v>811</v>
      </c>
      <c r="J138" s="28" t="s">
        <v>812</v>
      </c>
      <c r="K138" s="29" t="s">
        <v>813</v>
      </c>
    </row>
    <row r="139" spans="1:12">
      <c r="A139" s="50" t="s">
        <v>1217</v>
      </c>
      <c r="B139" s="5" t="s">
        <v>1218</v>
      </c>
      <c r="E139" s="24" t="s">
        <v>1247</v>
      </c>
      <c r="F139" s="25" t="s">
        <v>1248</v>
      </c>
      <c r="G139" s="44"/>
      <c r="I139" s="27" t="s">
        <v>815</v>
      </c>
      <c r="J139" s="28" t="s">
        <v>816</v>
      </c>
      <c r="K139" s="29" t="s">
        <v>817</v>
      </c>
    </row>
    <row r="140" spans="1:12">
      <c r="A140" s="50" t="s">
        <v>1223</v>
      </c>
      <c r="B140" s="5" t="s">
        <v>1224</v>
      </c>
      <c r="E140" s="24" t="s">
        <v>1251</v>
      </c>
      <c r="F140" s="25" t="s">
        <v>1252</v>
      </c>
      <c r="G140" s="44"/>
      <c r="I140" s="27" t="s">
        <v>822</v>
      </c>
      <c r="J140" s="28" t="s">
        <v>823</v>
      </c>
      <c r="K140" s="29" t="s">
        <v>824</v>
      </c>
    </row>
    <row r="141" spans="1:12">
      <c r="A141" s="50" t="s">
        <v>1230</v>
      </c>
      <c r="B141" s="5" t="s">
        <v>1231</v>
      </c>
      <c r="E141" s="24" t="s">
        <v>1254</v>
      </c>
      <c r="F141" s="25" t="s">
        <v>659</v>
      </c>
      <c r="G141" s="44"/>
      <c r="I141" s="27" t="s">
        <v>829</v>
      </c>
      <c r="J141" s="28" t="s">
        <v>830</v>
      </c>
      <c r="K141" s="29" t="s">
        <v>831</v>
      </c>
      <c r="L141" s="46" t="s">
        <v>1502</v>
      </c>
    </row>
    <row r="142" spans="1:12">
      <c r="A142" s="5" t="s">
        <v>1237</v>
      </c>
      <c r="B142" s="5" t="s">
        <v>1238</v>
      </c>
      <c r="E142" s="24" t="s">
        <v>1255</v>
      </c>
      <c r="F142" s="25" t="s">
        <v>1256</v>
      </c>
      <c r="G142" s="44"/>
      <c r="I142" s="27" t="s">
        <v>834</v>
      </c>
      <c r="J142" s="28" t="s">
        <v>835</v>
      </c>
      <c r="K142" s="29" t="s">
        <v>836</v>
      </c>
    </row>
    <row r="143" spans="1:12">
      <c r="A143" s="50" t="s">
        <v>1241</v>
      </c>
      <c r="B143" s="5" t="s">
        <v>1242</v>
      </c>
      <c r="E143" s="24" t="s">
        <v>1257</v>
      </c>
      <c r="F143" s="25" t="s">
        <v>1258</v>
      </c>
      <c r="G143" s="44"/>
      <c r="I143" s="27" t="s">
        <v>841</v>
      </c>
      <c r="J143" s="28" t="s">
        <v>842</v>
      </c>
      <c r="K143" s="29" t="s">
        <v>843</v>
      </c>
      <c r="L143" s="46" t="s">
        <v>1447</v>
      </c>
    </row>
    <row r="144" spans="1:12">
      <c r="A144" s="5" t="s">
        <v>1245</v>
      </c>
      <c r="B144" s="5" t="s">
        <v>1246</v>
      </c>
      <c r="E144" s="24" t="s">
        <v>1260</v>
      </c>
      <c r="F144" s="25" t="s">
        <v>1261</v>
      </c>
      <c r="G144" s="44"/>
      <c r="I144" s="27" t="s">
        <v>847</v>
      </c>
      <c r="J144" s="28" t="s">
        <v>848</v>
      </c>
      <c r="K144" s="29" t="s">
        <v>849</v>
      </c>
    </row>
    <row r="145" spans="1:12">
      <c r="A145" s="50" t="s">
        <v>1249</v>
      </c>
      <c r="B145" s="5" t="s">
        <v>1250</v>
      </c>
      <c r="E145" s="24" t="s">
        <v>1264</v>
      </c>
      <c r="F145" s="25" t="s">
        <v>1265</v>
      </c>
      <c r="G145" s="44"/>
      <c r="I145" s="27" t="s">
        <v>852</v>
      </c>
      <c r="J145" s="28" t="s">
        <v>853</v>
      </c>
      <c r="K145" s="29" t="s">
        <v>854</v>
      </c>
    </row>
    <row r="146" spans="1:12">
      <c r="A146" s="540" t="s">
        <v>1253</v>
      </c>
      <c r="B146" s="555"/>
      <c r="C146" s="545"/>
      <c r="E146" s="549" t="s">
        <v>1270</v>
      </c>
      <c r="F146" s="547"/>
      <c r="G146" s="557"/>
      <c r="I146" s="528" t="s">
        <v>858</v>
      </c>
      <c r="J146" s="531"/>
      <c r="K146" s="531"/>
      <c r="L146" s="554"/>
    </row>
    <row r="147" spans="1:12">
      <c r="A147" s="545"/>
      <c r="B147" s="545"/>
      <c r="C147" s="545"/>
      <c r="E147" s="546"/>
      <c r="F147" s="547"/>
      <c r="G147" s="557"/>
      <c r="I147" s="532"/>
      <c r="J147" s="529"/>
      <c r="K147" s="530"/>
      <c r="L147" s="554"/>
    </row>
    <row r="148" spans="1:12">
      <c r="A148" s="50" t="s">
        <v>4</v>
      </c>
      <c r="B148" s="6" t="s">
        <v>5</v>
      </c>
      <c r="C148" s="45" t="s">
        <v>1445</v>
      </c>
      <c r="E148" s="24" t="s">
        <v>4</v>
      </c>
      <c r="F148" s="69" t="s">
        <v>5</v>
      </c>
      <c r="G148" s="44" t="s">
        <v>1445</v>
      </c>
      <c r="I148" s="8" t="s">
        <v>4</v>
      </c>
      <c r="J148" s="8" t="s">
        <v>13</v>
      </c>
      <c r="K148" s="9" t="s">
        <v>5</v>
      </c>
      <c r="L148" s="45" t="s">
        <v>1445</v>
      </c>
    </row>
    <row r="149" spans="1:12">
      <c r="A149" s="50" t="s">
        <v>1262</v>
      </c>
      <c r="B149" s="5" t="s">
        <v>1263</v>
      </c>
      <c r="E149" s="41" t="s">
        <v>1276</v>
      </c>
      <c r="F149" s="33" t="s">
        <v>1277</v>
      </c>
      <c r="G149" s="44"/>
      <c r="I149" s="27" t="s">
        <v>867</v>
      </c>
      <c r="J149" s="28" t="s">
        <v>868</v>
      </c>
      <c r="K149" s="29" t="s">
        <v>869</v>
      </c>
    </row>
    <row r="150" spans="1:12">
      <c r="A150" s="50" t="s">
        <v>1266</v>
      </c>
      <c r="B150" s="23" t="s">
        <v>1267</v>
      </c>
      <c r="E150" s="24" t="s">
        <v>1280</v>
      </c>
      <c r="F150" s="25" t="s">
        <v>1281</v>
      </c>
      <c r="G150" s="44"/>
      <c r="I150" s="27" t="s">
        <v>873</v>
      </c>
      <c r="J150" s="28" t="s">
        <v>874</v>
      </c>
      <c r="K150" s="29" t="s">
        <v>875</v>
      </c>
      <c r="L150" s="44">
        <v>186</v>
      </c>
    </row>
    <row r="151" spans="1:12">
      <c r="A151" s="50" t="s">
        <v>1268</v>
      </c>
      <c r="B151" s="5" t="s">
        <v>1269</v>
      </c>
      <c r="E151" s="24" t="s">
        <v>1286</v>
      </c>
      <c r="F151" s="33" t="s">
        <v>1287</v>
      </c>
      <c r="G151" s="44"/>
      <c r="I151" s="27" t="s">
        <v>878</v>
      </c>
      <c r="J151" s="28" t="s">
        <v>879</v>
      </c>
      <c r="K151" s="29" t="s">
        <v>880</v>
      </c>
    </row>
    <row r="152" spans="1:12">
      <c r="A152" s="50" t="s">
        <v>1271</v>
      </c>
      <c r="B152" s="5" t="s">
        <v>1272</v>
      </c>
      <c r="E152" s="41" t="s">
        <v>1289</v>
      </c>
      <c r="F152" s="25" t="s">
        <v>598</v>
      </c>
      <c r="G152" s="44"/>
      <c r="I152" s="27" t="s">
        <v>885</v>
      </c>
      <c r="J152" s="28" t="s">
        <v>886</v>
      </c>
      <c r="K152" s="29" t="s">
        <v>887</v>
      </c>
    </row>
    <row r="153" spans="1:12">
      <c r="A153" s="50" t="s">
        <v>1273</v>
      </c>
      <c r="B153" s="23" t="s">
        <v>1274</v>
      </c>
      <c r="E153" s="41" t="s">
        <v>1296</v>
      </c>
      <c r="F153" s="25" t="s">
        <v>501</v>
      </c>
      <c r="G153" s="44" t="s">
        <v>1530</v>
      </c>
      <c r="I153" s="27" t="s">
        <v>892</v>
      </c>
      <c r="J153" s="28" t="s">
        <v>893</v>
      </c>
      <c r="K153" s="29" t="s">
        <v>894</v>
      </c>
    </row>
    <row r="154" spans="1:12">
      <c r="A154" s="50" t="s">
        <v>1275</v>
      </c>
      <c r="B154" s="5" t="s">
        <v>939</v>
      </c>
      <c r="E154" s="41" t="s">
        <v>1299</v>
      </c>
      <c r="F154" s="33" t="s">
        <v>1300</v>
      </c>
      <c r="G154" s="44"/>
      <c r="I154" s="27" t="s">
        <v>896</v>
      </c>
      <c r="J154" s="28" t="s">
        <v>897</v>
      </c>
      <c r="K154" s="29" t="s">
        <v>159</v>
      </c>
      <c r="L154" s="46" t="s">
        <v>1531</v>
      </c>
    </row>
    <row r="155" spans="1:12">
      <c r="A155" s="50" t="s">
        <v>1278</v>
      </c>
      <c r="B155" s="5" t="s">
        <v>1279</v>
      </c>
      <c r="E155" s="41" t="s">
        <v>1303</v>
      </c>
      <c r="F155" s="33" t="s">
        <v>1304</v>
      </c>
      <c r="G155" s="44"/>
      <c r="I155" s="27" t="s">
        <v>902</v>
      </c>
      <c r="J155" s="28" t="s">
        <v>903</v>
      </c>
      <c r="K155" s="29" t="s">
        <v>904</v>
      </c>
    </row>
    <row r="156" spans="1:12">
      <c r="A156" s="50" t="s">
        <v>1282</v>
      </c>
      <c r="B156" s="5" t="s">
        <v>1283</v>
      </c>
      <c r="E156" s="41" t="s">
        <v>1309</v>
      </c>
      <c r="F156" s="33" t="s">
        <v>291</v>
      </c>
      <c r="G156" s="44" t="s">
        <v>1452</v>
      </c>
      <c r="I156" s="27" t="s">
        <v>909</v>
      </c>
      <c r="J156" s="28" t="s">
        <v>910</v>
      </c>
      <c r="K156" s="29" t="s">
        <v>911</v>
      </c>
    </row>
    <row r="157" spans="1:12">
      <c r="A157" s="50" t="s">
        <v>1284</v>
      </c>
      <c r="B157" s="5" t="s">
        <v>1285</v>
      </c>
      <c r="E157" s="24" t="s">
        <v>1311</v>
      </c>
      <c r="F157" s="33" t="s">
        <v>1312</v>
      </c>
      <c r="G157" s="44"/>
      <c r="I157" s="27" t="s">
        <v>916</v>
      </c>
      <c r="J157" s="28" t="s">
        <v>917</v>
      </c>
      <c r="K157" s="29" t="s">
        <v>918</v>
      </c>
      <c r="L157" s="46" t="s">
        <v>1532</v>
      </c>
    </row>
    <row r="158" spans="1:12">
      <c r="A158" s="50" t="s">
        <v>1292</v>
      </c>
      <c r="B158" s="23" t="s">
        <v>1293</v>
      </c>
      <c r="E158" s="24" t="s">
        <v>1317</v>
      </c>
      <c r="F158" s="33" t="s">
        <v>1318</v>
      </c>
      <c r="G158" s="44"/>
      <c r="I158" s="27" t="s">
        <v>921</v>
      </c>
      <c r="J158" s="28" t="s">
        <v>922</v>
      </c>
      <c r="K158" s="29" t="s">
        <v>923</v>
      </c>
      <c r="L158" s="46" t="s">
        <v>1463</v>
      </c>
    </row>
    <row r="159" spans="1:12">
      <c r="A159" s="50" t="s">
        <v>1294</v>
      </c>
      <c r="B159" s="23" t="s">
        <v>1295</v>
      </c>
      <c r="E159" s="41" t="s">
        <v>1321</v>
      </c>
      <c r="F159" s="25" t="s">
        <v>1322</v>
      </c>
      <c r="G159" s="44"/>
      <c r="I159" s="27" t="s">
        <v>926</v>
      </c>
      <c r="J159" s="28" t="s">
        <v>927</v>
      </c>
      <c r="K159" s="29" t="s">
        <v>928</v>
      </c>
    </row>
    <row r="160" spans="1:12">
      <c r="A160" s="50" t="s">
        <v>1297</v>
      </c>
      <c r="B160" s="5" t="s">
        <v>1298</v>
      </c>
      <c r="E160" s="41" t="s">
        <v>1325</v>
      </c>
      <c r="F160" s="25" t="s">
        <v>1326</v>
      </c>
      <c r="G160" s="44"/>
      <c r="I160" s="27" t="s">
        <v>931</v>
      </c>
      <c r="J160" s="28" t="s">
        <v>932</v>
      </c>
      <c r="K160" s="29" t="s">
        <v>933</v>
      </c>
    </row>
    <row r="161" spans="1:12">
      <c r="A161" s="50" t="s">
        <v>1301</v>
      </c>
      <c r="B161" s="5" t="s">
        <v>1302</v>
      </c>
      <c r="E161" s="41" t="s">
        <v>1328</v>
      </c>
      <c r="F161" s="33" t="s">
        <v>1329</v>
      </c>
      <c r="G161" s="44" t="s">
        <v>1530</v>
      </c>
      <c r="I161" s="27" t="s">
        <v>935</v>
      </c>
      <c r="J161" s="28" t="s">
        <v>936</v>
      </c>
      <c r="K161" s="29" t="s">
        <v>33</v>
      </c>
      <c r="L161" s="44">
        <v>186</v>
      </c>
    </row>
    <row r="162" spans="1:12">
      <c r="A162" s="50" t="s">
        <v>1305</v>
      </c>
      <c r="B162" s="5" t="s">
        <v>1306</v>
      </c>
      <c r="E162" s="24" t="s">
        <v>1333</v>
      </c>
      <c r="F162" s="33" t="s">
        <v>1334</v>
      </c>
      <c r="G162" s="44"/>
      <c r="I162" s="27" t="s">
        <v>940</v>
      </c>
      <c r="J162" s="28" t="s">
        <v>941</v>
      </c>
      <c r="K162" s="29" t="s">
        <v>942</v>
      </c>
      <c r="L162" s="46" t="s">
        <v>1533</v>
      </c>
    </row>
    <row r="163" spans="1:12">
      <c r="A163" s="5" t="s">
        <v>1307</v>
      </c>
      <c r="B163" s="5" t="s">
        <v>1308</v>
      </c>
      <c r="E163" s="41" t="s">
        <v>1337</v>
      </c>
      <c r="F163" s="33" t="s">
        <v>1338</v>
      </c>
      <c r="G163" s="44"/>
      <c r="I163" s="27" t="s">
        <v>947</v>
      </c>
      <c r="J163" s="28" t="s">
        <v>948</v>
      </c>
      <c r="K163" s="29" t="s">
        <v>949</v>
      </c>
    </row>
    <row r="164" spans="1:12">
      <c r="A164" s="50" t="s">
        <v>1313</v>
      </c>
      <c r="B164" s="5" t="s">
        <v>1314</v>
      </c>
      <c r="E164" s="41" t="s">
        <v>1341</v>
      </c>
      <c r="F164" s="25" t="s">
        <v>1342</v>
      </c>
      <c r="G164" s="44"/>
      <c r="I164" s="27" t="s">
        <v>954</v>
      </c>
      <c r="J164" s="28" t="s">
        <v>955</v>
      </c>
      <c r="K164" s="29" t="s">
        <v>956</v>
      </c>
      <c r="L164" s="46" t="s">
        <v>1491</v>
      </c>
    </row>
    <row r="165" spans="1:12">
      <c r="A165" s="5" t="s">
        <v>1315</v>
      </c>
      <c r="B165" s="5" t="s">
        <v>1316</v>
      </c>
      <c r="E165" s="24" t="s">
        <v>1344</v>
      </c>
      <c r="F165" s="33" t="s">
        <v>1345</v>
      </c>
      <c r="G165" s="44"/>
      <c r="I165" s="27" t="s">
        <v>961</v>
      </c>
      <c r="J165" s="28" t="s">
        <v>962</v>
      </c>
      <c r="K165" s="29" t="s">
        <v>963</v>
      </c>
    </row>
    <row r="166" spans="1:12">
      <c r="A166" s="50" t="s">
        <v>1319</v>
      </c>
      <c r="B166" s="5" t="s">
        <v>1320</v>
      </c>
      <c r="E166" s="24" t="s">
        <v>1348</v>
      </c>
      <c r="F166" s="33" t="s">
        <v>1349</v>
      </c>
      <c r="G166" s="44" t="s">
        <v>1530</v>
      </c>
      <c r="I166" s="27" t="s">
        <v>968</v>
      </c>
      <c r="J166" s="28" t="s">
        <v>969</v>
      </c>
      <c r="K166" s="29" t="s">
        <v>970</v>
      </c>
    </row>
    <row r="167" spans="1:12">
      <c r="A167" s="50" t="s">
        <v>1339</v>
      </c>
      <c r="B167" s="23" t="s">
        <v>1340</v>
      </c>
      <c r="E167" s="41" t="s">
        <v>1353</v>
      </c>
      <c r="F167" s="25" t="s">
        <v>1354</v>
      </c>
      <c r="G167" s="44"/>
      <c r="I167" s="27" t="s">
        <v>973</v>
      </c>
      <c r="J167" s="28" t="s">
        <v>974</v>
      </c>
      <c r="K167" s="29" t="s">
        <v>975</v>
      </c>
    </row>
    <row r="168" spans="1:12">
      <c r="A168" s="50" t="s">
        <v>1343</v>
      </c>
      <c r="B168" s="5" t="s">
        <v>1063</v>
      </c>
      <c r="C168" s="45" t="s">
        <v>1461</v>
      </c>
      <c r="E168" s="41" t="s">
        <v>1359</v>
      </c>
      <c r="F168" s="25" t="s">
        <v>1360</v>
      </c>
      <c r="G168" s="44"/>
      <c r="I168" s="27" t="s">
        <v>978</v>
      </c>
      <c r="J168" s="28" t="s">
        <v>979</v>
      </c>
      <c r="K168" s="29" t="s">
        <v>980</v>
      </c>
      <c r="L168" s="44" t="s">
        <v>1451</v>
      </c>
    </row>
    <row r="169" spans="1:12">
      <c r="A169" s="50" t="s">
        <v>1346</v>
      </c>
      <c r="B169" s="5" t="s">
        <v>1347</v>
      </c>
      <c r="E169" s="24" t="s">
        <v>1362</v>
      </c>
      <c r="F169" s="33" t="s">
        <v>1363</v>
      </c>
      <c r="G169" s="44"/>
      <c r="I169" s="27" t="s">
        <v>984</v>
      </c>
      <c r="J169" s="28" t="s">
        <v>985</v>
      </c>
      <c r="K169" s="29" t="s">
        <v>151</v>
      </c>
      <c r="L169" s="46" t="s">
        <v>1499</v>
      </c>
    </row>
    <row r="170" spans="1:12">
      <c r="A170" s="50" t="s">
        <v>1351</v>
      </c>
      <c r="B170" s="5" t="s">
        <v>1352</v>
      </c>
      <c r="E170" s="41" t="s">
        <v>1365</v>
      </c>
      <c r="F170" s="33" t="s">
        <v>1366</v>
      </c>
      <c r="G170" s="44"/>
      <c r="I170" s="27" t="s">
        <v>987</v>
      </c>
      <c r="J170" s="28" t="s">
        <v>988</v>
      </c>
      <c r="K170" s="29" t="s">
        <v>989</v>
      </c>
      <c r="L170" s="46" t="s">
        <v>1534</v>
      </c>
    </row>
    <row r="171" spans="1:12">
      <c r="A171" s="50" t="s">
        <v>1355</v>
      </c>
      <c r="B171" s="5" t="s">
        <v>1356</v>
      </c>
      <c r="E171" s="24" t="s">
        <v>1371</v>
      </c>
      <c r="F171" s="25" t="s">
        <v>1372</v>
      </c>
      <c r="G171" s="44"/>
      <c r="I171" s="27" t="s">
        <v>993</v>
      </c>
      <c r="J171" s="28" t="s">
        <v>994</v>
      </c>
      <c r="K171" s="29" t="s">
        <v>995</v>
      </c>
      <c r="L171" s="46" t="s">
        <v>1535</v>
      </c>
    </row>
    <row r="172" spans="1:12">
      <c r="A172" s="50" t="s">
        <v>1357</v>
      </c>
      <c r="B172" s="5" t="s">
        <v>1358</v>
      </c>
      <c r="C172" s="45" t="s">
        <v>1536</v>
      </c>
      <c r="E172" s="24" t="s">
        <v>1374</v>
      </c>
      <c r="F172" s="33" t="s">
        <v>1375</v>
      </c>
      <c r="G172" s="44"/>
      <c r="I172" s="27" t="s">
        <v>999</v>
      </c>
      <c r="J172" s="28" t="s">
        <v>1000</v>
      </c>
      <c r="K172" s="29" t="s">
        <v>1001</v>
      </c>
    </row>
    <row r="173" spans="1:12">
      <c r="A173" s="5" t="s">
        <v>1367</v>
      </c>
      <c r="B173" s="5" t="s">
        <v>1368</v>
      </c>
      <c r="E173" s="24" t="s">
        <v>1377</v>
      </c>
      <c r="F173" s="25" t="s">
        <v>1378</v>
      </c>
      <c r="G173" s="44" t="s">
        <v>1514</v>
      </c>
      <c r="I173" s="27" t="s">
        <v>1006</v>
      </c>
      <c r="J173" s="28" t="s">
        <v>1007</v>
      </c>
      <c r="K173" s="29" t="s">
        <v>1008</v>
      </c>
      <c r="L173" s="46" t="s">
        <v>1537</v>
      </c>
    </row>
    <row r="174" spans="1:12">
      <c r="A174" s="50" t="s">
        <v>1369</v>
      </c>
      <c r="B174" s="5" t="s">
        <v>1370</v>
      </c>
      <c r="E174" s="41" t="s">
        <v>1385</v>
      </c>
      <c r="F174" s="25" t="s">
        <v>1386</v>
      </c>
      <c r="G174" s="44" t="s">
        <v>1450</v>
      </c>
      <c r="I174" s="27" t="s">
        <v>1010</v>
      </c>
      <c r="J174" s="28" t="s">
        <v>1011</v>
      </c>
      <c r="K174" s="29" t="s">
        <v>1012</v>
      </c>
      <c r="L174" s="46" t="s">
        <v>1538</v>
      </c>
    </row>
    <row r="175" spans="1:12">
      <c r="A175" s="5" t="s">
        <v>1379</v>
      </c>
      <c r="B175" s="5" t="s">
        <v>1380</v>
      </c>
      <c r="E175" s="41" t="s">
        <v>1387</v>
      </c>
      <c r="F175" s="25" t="s">
        <v>1388</v>
      </c>
      <c r="G175" s="44" t="s">
        <v>1539</v>
      </c>
      <c r="I175" s="27" t="s">
        <v>1015</v>
      </c>
      <c r="J175" s="28" t="s">
        <v>1016</v>
      </c>
      <c r="K175" s="29" t="s">
        <v>1017</v>
      </c>
    </row>
    <row r="176" spans="1:12">
      <c r="A176" s="50" t="s">
        <v>1383</v>
      </c>
      <c r="B176" s="5" t="s">
        <v>1384</v>
      </c>
      <c r="E176" s="41" t="s">
        <v>1389</v>
      </c>
      <c r="F176" s="33" t="s">
        <v>1390</v>
      </c>
      <c r="G176" s="44"/>
      <c r="I176" s="27" t="s">
        <v>1020</v>
      </c>
      <c r="J176" s="28" t="s">
        <v>1021</v>
      </c>
      <c r="K176" s="29" t="s">
        <v>1022</v>
      </c>
      <c r="L176" s="44" t="s">
        <v>1540</v>
      </c>
    </row>
    <row r="177" spans="1:12">
      <c r="A177" s="50"/>
      <c r="B177" s="5"/>
      <c r="E177" s="41" t="s">
        <v>1391</v>
      </c>
      <c r="F177" s="33" t="s">
        <v>1392</v>
      </c>
      <c r="G177" s="44"/>
      <c r="I177" s="27" t="s">
        <v>1026</v>
      </c>
      <c r="J177" s="28" t="s">
        <v>1027</v>
      </c>
      <c r="K177" s="29" t="s">
        <v>1028</v>
      </c>
      <c r="L177" s="46" t="s">
        <v>1539</v>
      </c>
    </row>
    <row r="178" spans="1:12">
      <c r="A178" s="63"/>
      <c r="B178" s="70"/>
      <c r="C178" s="71"/>
      <c r="E178" s="41" t="s">
        <v>1393</v>
      </c>
      <c r="F178" s="33" t="s">
        <v>215</v>
      </c>
      <c r="G178" s="44"/>
      <c r="I178" s="528" t="s">
        <v>1033</v>
      </c>
      <c r="J178" s="531"/>
      <c r="K178" s="531"/>
      <c r="L178" s="554"/>
    </row>
    <row r="179" spans="1:12" ht="18" customHeight="1">
      <c r="A179" s="56"/>
      <c r="B179" s="57"/>
      <c r="C179" s="58"/>
      <c r="E179" s="549" t="s">
        <v>1394</v>
      </c>
      <c r="F179" s="558"/>
      <c r="G179" s="557"/>
      <c r="I179" s="532"/>
      <c r="J179" s="529"/>
      <c r="K179" s="530"/>
      <c r="L179" s="554"/>
    </row>
    <row r="180" spans="1:12" ht="12.75" customHeight="1">
      <c r="A180" s="59"/>
      <c r="B180" s="60"/>
      <c r="C180" s="61"/>
      <c r="E180" s="546"/>
      <c r="F180" s="558"/>
      <c r="G180" s="557"/>
      <c r="I180" s="8" t="s">
        <v>4</v>
      </c>
      <c r="J180" s="8" t="s">
        <v>13</v>
      </c>
      <c r="K180" s="9" t="s">
        <v>5</v>
      </c>
      <c r="L180" s="45" t="s">
        <v>1445</v>
      </c>
    </row>
    <row r="181" spans="1:12">
      <c r="A181" s="50"/>
      <c r="B181" s="5"/>
      <c r="E181" s="41" t="s">
        <v>4</v>
      </c>
      <c r="F181" s="69" t="s">
        <v>5</v>
      </c>
      <c r="G181" s="44" t="s">
        <v>1445</v>
      </c>
      <c r="I181" s="27" t="s">
        <v>1037</v>
      </c>
      <c r="J181" s="28" t="s">
        <v>1038</v>
      </c>
      <c r="K181" s="29" t="s">
        <v>1039</v>
      </c>
    </row>
    <row r="182" spans="1:12">
      <c r="A182" s="50"/>
      <c r="B182" s="5"/>
      <c r="E182" s="41" t="s">
        <v>1395</v>
      </c>
      <c r="F182" s="33" t="s">
        <v>1396</v>
      </c>
      <c r="G182" s="44"/>
      <c r="I182" s="27" t="s">
        <v>1043</v>
      </c>
      <c r="J182" s="28" t="s">
        <v>1044</v>
      </c>
      <c r="K182" s="29" t="s">
        <v>1045</v>
      </c>
    </row>
    <row r="183" spans="1:12">
      <c r="A183" s="50"/>
      <c r="B183" s="5"/>
      <c r="E183" s="24" t="s">
        <v>1397</v>
      </c>
      <c r="F183" s="33" t="s">
        <v>1398</v>
      </c>
      <c r="G183" s="44"/>
      <c r="I183" s="27" t="s">
        <v>1050</v>
      </c>
      <c r="J183" s="28" t="s">
        <v>1051</v>
      </c>
      <c r="K183" s="29" t="s">
        <v>1052</v>
      </c>
      <c r="L183" s="46" t="s">
        <v>1477</v>
      </c>
    </row>
    <row r="184" spans="1:12">
      <c r="A184" s="5"/>
      <c r="B184" s="5"/>
      <c r="E184" s="24" t="s">
        <v>1399</v>
      </c>
      <c r="F184" s="33" t="s">
        <v>1400</v>
      </c>
      <c r="G184" s="44"/>
      <c r="I184" s="27" t="s">
        <v>1056</v>
      </c>
      <c r="J184" s="28" t="s">
        <v>1057</v>
      </c>
      <c r="K184" s="29" t="s">
        <v>1058</v>
      </c>
    </row>
    <row r="185" spans="1:12">
      <c r="A185" s="50"/>
      <c r="B185" s="5"/>
      <c r="E185" s="41" t="s">
        <v>1401</v>
      </c>
      <c r="F185" s="25" t="s">
        <v>1402</v>
      </c>
      <c r="G185" s="44"/>
      <c r="I185" s="27" t="s">
        <v>1061</v>
      </c>
      <c r="J185" s="28" t="s">
        <v>1062</v>
      </c>
      <c r="K185" s="29" t="s">
        <v>1063</v>
      </c>
    </row>
    <row r="186" spans="1:12">
      <c r="A186" s="5"/>
      <c r="B186" s="5"/>
      <c r="E186" s="41" t="s">
        <v>1403</v>
      </c>
      <c r="F186" s="25" t="s">
        <v>1404</v>
      </c>
      <c r="G186" s="44"/>
      <c r="I186" s="27" t="s">
        <v>1067</v>
      </c>
      <c r="J186" s="28" t="s">
        <v>1068</v>
      </c>
      <c r="K186" s="29" t="s">
        <v>726</v>
      </c>
    </row>
    <row r="187" spans="1:12">
      <c r="A187" s="50"/>
      <c r="B187" s="5"/>
      <c r="E187" s="41" t="s">
        <v>1405</v>
      </c>
      <c r="F187" s="33" t="s">
        <v>1406</v>
      </c>
      <c r="G187" s="44"/>
      <c r="I187" s="27" t="s">
        <v>1072</v>
      </c>
      <c r="J187" s="28" t="s">
        <v>1073</v>
      </c>
      <c r="K187" s="29" t="s">
        <v>1074</v>
      </c>
      <c r="L187" s="46" t="s">
        <v>1531</v>
      </c>
    </row>
    <row r="188" spans="1:12">
      <c r="A188" s="50"/>
      <c r="B188" s="5"/>
      <c r="E188" s="41" t="s">
        <v>1407</v>
      </c>
      <c r="F188" s="33" t="s">
        <v>1408</v>
      </c>
      <c r="G188" s="44"/>
      <c r="I188" s="27" t="s">
        <v>1077</v>
      </c>
      <c r="J188" s="28" t="s">
        <v>1078</v>
      </c>
      <c r="K188" s="29" t="s">
        <v>1079</v>
      </c>
      <c r="L188" s="46" t="s">
        <v>1541</v>
      </c>
    </row>
    <row r="189" spans="1:12">
      <c r="A189" s="5"/>
      <c r="B189" s="5"/>
      <c r="E189" s="41" t="s">
        <v>1409</v>
      </c>
      <c r="F189" s="33">
        <v>7</v>
      </c>
      <c r="G189" s="44"/>
      <c r="I189" s="27" t="s">
        <v>1083</v>
      </c>
      <c r="J189" s="28" t="s">
        <v>1084</v>
      </c>
      <c r="K189" s="29" t="s">
        <v>1085</v>
      </c>
    </row>
    <row r="190" spans="1:12">
      <c r="A190" s="50"/>
      <c r="B190" s="5"/>
      <c r="E190" s="41" t="s">
        <v>1411</v>
      </c>
      <c r="F190" s="33" t="s">
        <v>1412</v>
      </c>
      <c r="G190" s="44"/>
      <c r="I190" s="27" t="s">
        <v>1089</v>
      </c>
      <c r="J190" s="28" t="s">
        <v>1090</v>
      </c>
      <c r="K190" s="29" t="s">
        <v>1091</v>
      </c>
      <c r="L190" s="46" t="s">
        <v>1542</v>
      </c>
    </row>
    <row r="191" spans="1:12">
      <c r="A191" s="5"/>
      <c r="B191" s="5"/>
      <c r="E191" s="41" t="s">
        <v>1413</v>
      </c>
      <c r="F191" s="33" t="s">
        <v>1414</v>
      </c>
      <c r="G191" s="44"/>
      <c r="I191" s="27" t="s">
        <v>1095</v>
      </c>
      <c r="J191" s="28" t="s">
        <v>1096</v>
      </c>
      <c r="K191" s="29" t="s">
        <v>1097</v>
      </c>
    </row>
    <row r="192" spans="1:12">
      <c r="A192" s="50"/>
      <c r="B192" s="5"/>
      <c r="E192" s="41" t="s">
        <v>1415</v>
      </c>
      <c r="F192" s="33" t="s">
        <v>1416</v>
      </c>
      <c r="G192" s="44"/>
      <c r="I192" s="27" t="s">
        <v>1100</v>
      </c>
      <c r="J192" s="28" t="s">
        <v>1101</v>
      </c>
      <c r="K192" s="29" t="s">
        <v>1102</v>
      </c>
      <c r="L192" s="46" t="s">
        <v>1538</v>
      </c>
    </row>
    <row r="193" spans="1:13">
      <c r="A193" s="50"/>
      <c r="B193" s="5"/>
      <c r="E193" s="41" t="s">
        <v>1417</v>
      </c>
      <c r="F193" s="33" t="s">
        <v>1418</v>
      </c>
      <c r="G193" s="44"/>
      <c r="I193" s="27" t="s">
        <v>1105</v>
      </c>
      <c r="J193" s="28" t="s">
        <v>1106</v>
      </c>
      <c r="K193" s="29" t="s">
        <v>1107</v>
      </c>
    </row>
    <row r="194" spans="1:13">
      <c r="A194" s="50"/>
      <c r="B194" s="5"/>
      <c r="E194" s="41" t="s">
        <v>1419</v>
      </c>
      <c r="F194" s="33" t="s">
        <v>1420</v>
      </c>
      <c r="G194" s="44"/>
      <c r="I194" s="27" t="s">
        <v>1109</v>
      </c>
      <c r="J194" s="28" t="s">
        <v>1110</v>
      </c>
      <c r="K194" s="29" t="s">
        <v>726</v>
      </c>
      <c r="L194" s="46" t="s">
        <v>1513</v>
      </c>
    </row>
    <row r="195" spans="1:13">
      <c r="A195" s="50"/>
      <c r="B195" s="5"/>
      <c r="E195" s="41" t="s">
        <v>1421</v>
      </c>
      <c r="F195" s="33" t="s">
        <v>1422</v>
      </c>
      <c r="G195" s="44"/>
      <c r="I195" s="27" t="s">
        <v>1115</v>
      </c>
      <c r="J195" s="28" t="s">
        <v>1116</v>
      </c>
      <c r="K195" s="29" t="s">
        <v>1117</v>
      </c>
      <c r="L195" s="46" t="s">
        <v>1502</v>
      </c>
    </row>
    <row r="196" spans="1:13">
      <c r="A196" s="5"/>
      <c r="B196" s="5"/>
      <c r="E196" s="41" t="s">
        <v>1423</v>
      </c>
      <c r="F196" s="33" t="s">
        <v>1424</v>
      </c>
      <c r="G196" s="44" t="s">
        <v>1543</v>
      </c>
      <c r="I196" s="27" t="s">
        <v>1120</v>
      </c>
      <c r="J196" s="28" t="s">
        <v>1121</v>
      </c>
      <c r="K196" s="29" t="s">
        <v>1122</v>
      </c>
    </row>
    <row r="197" spans="1:13">
      <c r="A197" s="5"/>
      <c r="B197" s="5"/>
      <c r="E197" s="41" t="s">
        <v>1425</v>
      </c>
      <c r="F197" s="33" t="s">
        <v>1426</v>
      </c>
      <c r="G197" s="44"/>
      <c r="I197" s="27" t="s">
        <v>1127</v>
      </c>
      <c r="J197" s="28" t="s">
        <v>1128</v>
      </c>
      <c r="K197" s="29" t="s">
        <v>1129</v>
      </c>
    </row>
    <row r="198" spans="1:13">
      <c r="A198" s="50"/>
      <c r="B198" s="5"/>
      <c r="E198" s="41" t="s">
        <v>1427</v>
      </c>
      <c r="F198" s="33" t="s">
        <v>1428</v>
      </c>
      <c r="G198" s="44"/>
      <c r="I198" s="27" t="s">
        <v>1134</v>
      </c>
      <c r="J198" s="28" t="s">
        <v>1135</v>
      </c>
      <c r="K198" s="29" t="s">
        <v>1136</v>
      </c>
      <c r="L198" s="46" t="s">
        <v>1544</v>
      </c>
    </row>
    <row r="199" spans="1:13">
      <c r="A199" s="50"/>
      <c r="B199" s="5"/>
      <c r="E199" s="41" t="s">
        <v>1429</v>
      </c>
      <c r="F199" s="33" t="s">
        <v>1430</v>
      </c>
      <c r="G199" s="44"/>
      <c r="I199" s="27" t="s">
        <v>1141</v>
      </c>
      <c r="J199" s="28" t="s">
        <v>1142</v>
      </c>
      <c r="K199" s="29" t="s">
        <v>1143</v>
      </c>
    </row>
    <row r="200" spans="1:13">
      <c r="A200" s="50"/>
      <c r="B200" s="5"/>
      <c r="E200" s="41" t="s">
        <v>1431</v>
      </c>
      <c r="F200" s="33" t="s">
        <v>1432</v>
      </c>
      <c r="G200" s="44"/>
      <c r="I200" s="27" t="s">
        <v>1146</v>
      </c>
      <c r="J200" s="28" t="s">
        <v>1147</v>
      </c>
      <c r="K200" s="29" t="s">
        <v>1148</v>
      </c>
      <c r="L200" s="46" t="s">
        <v>1499</v>
      </c>
      <c r="M200" s="53" t="s">
        <v>1545</v>
      </c>
    </row>
    <row r="201" spans="1:13">
      <c r="A201" s="50"/>
      <c r="B201" s="5"/>
      <c r="E201" s="41" t="s">
        <v>1433</v>
      </c>
      <c r="F201" s="33" t="s">
        <v>1434</v>
      </c>
      <c r="G201" s="44"/>
      <c r="I201" s="27" t="s">
        <v>1152</v>
      </c>
      <c r="J201" s="28" t="s">
        <v>1153</v>
      </c>
      <c r="K201" s="29" t="s">
        <v>1154</v>
      </c>
    </row>
    <row r="202" spans="1:13">
      <c r="A202" s="50"/>
      <c r="B202" s="5"/>
      <c r="E202" s="41" t="s">
        <v>1435</v>
      </c>
      <c r="F202" s="33" t="s">
        <v>1436</v>
      </c>
      <c r="G202" s="44"/>
      <c r="I202" s="27" t="s">
        <v>1156</v>
      </c>
      <c r="J202" s="28" t="s">
        <v>1157</v>
      </c>
      <c r="K202" s="29" t="s">
        <v>1158</v>
      </c>
    </row>
    <row r="203" spans="1:13">
      <c r="A203" s="50"/>
      <c r="B203" s="5"/>
      <c r="E203" s="41" t="s">
        <v>1437</v>
      </c>
      <c r="F203" s="33" t="s">
        <v>1438</v>
      </c>
      <c r="G203" s="44"/>
      <c r="I203" s="27" t="s">
        <v>1162</v>
      </c>
      <c r="J203" s="28" t="s">
        <v>1163</v>
      </c>
      <c r="K203" s="29" t="s">
        <v>1164</v>
      </c>
    </row>
    <row r="204" spans="1:13">
      <c r="A204" s="50"/>
      <c r="B204" s="5"/>
      <c r="E204" s="41" t="s">
        <v>1439</v>
      </c>
      <c r="F204" s="33" t="s">
        <v>1440</v>
      </c>
      <c r="G204" s="44"/>
      <c r="I204" s="27" t="s">
        <v>1166</v>
      </c>
      <c r="J204" s="28" t="s">
        <v>1167</v>
      </c>
      <c r="K204" s="29" t="s">
        <v>1168</v>
      </c>
      <c r="L204" s="46" t="s">
        <v>1546</v>
      </c>
    </row>
    <row r="205" spans="1:13">
      <c r="A205" s="5"/>
      <c r="B205" s="5"/>
      <c r="E205" s="41" t="s">
        <v>1441</v>
      </c>
      <c r="F205" s="33" t="s">
        <v>1442</v>
      </c>
      <c r="G205" s="44"/>
      <c r="I205" s="27" t="s">
        <v>1172</v>
      </c>
      <c r="J205" s="28" t="s">
        <v>1173</v>
      </c>
      <c r="K205" s="29" t="s">
        <v>1174</v>
      </c>
      <c r="L205" s="46" t="s">
        <v>1547</v>
      </c>
      <c r="M205" s="53" t="s">
        <v>1548</v>
      </c>
    </row>
    <row r="206" spans="1:13">
      <c r="A206" s="50"/>
      <c r="B206" s="5"/>
      <c r="E206" s="24" t="s">
        <v>1443</v>
      </c>
      <c r="F206" s="33" t="s">
        <v>1444</v>
      </c>
      <c r="G206" s="44"/>
      <c r="I206" s="27" t="s">
        <v>1178</v>
      </c>
      <c r="J206" s="28" t="s">
        <v>1179</v>
      </c>
      <c r="K206" s="29" t="s">
        <v>1180</v>
      </c>
      <c r="L206" s="46" t="s">
        <v>1499</v>
      </c>
    </row>
    <row r="207" spans="1:13">
      <c r="A207" s="5"/>
      <c r="B207" s="5"/>
      <c r="I207" s="27" t="s">
        <v>1185</v>
      </c>
      <c r="J207" s="28" t="s">
        <v>1186</v>
      </c>
      <c r="K207" s="29" t="s">
        <v>1187</v>
      </c>
    </row>
    <row r="208" spans="1:13">
      <c r="A208" s="50"/>
      <c r="B208" s="5"/>
      <c r="I208" s="27" t="s">
        <v>1189</v>
      </c>
      <c r="J208" s="28" t="s">
        <v>1190</v>
      </c>
      <c r="K208" s="29" t="s">
        <v>1191</v>
      </c>
      <c r="L208" s="46" t="s">
        <v>1549</v>
      </c>
    </row>
    <row r="209" spans="1:12">
      <c r="A209" s="5"/>
      <c r="B209" s="5"/>
      <c r="I209" s="27" t="s">
        <v>1194</v>
      </c>
      <c r="J209" s="28" t="s">
        <v>1195</v>
      </c>
      <c r="K209" s="29" t="s">
        <v>1196</v>
      </c>
    </row>
    <row r="210" spans="1:12">
      <c r="A210" s="50"/>
      <c r="B210" s="5"/>
      <c r="I210" s="27" t="s">
        <v>1199</v>
      </c>
      <c r="J210" s="28" t="s">
        <v>1200</v>
      </c>
      <c r="K210" s="29" t="s">
        <v>1201</v>
      </c>
    </row>
    <row r="211" spans="1:12">
      <c r="A211" s="50"/>
      <c r="B211" s="5"/>
      <c r="I211" s="27" t="s">
        <v>1205</v>
      </c>
      <c r="J211" s="28" t="s">
        <v>1206</v>
      </c>
      <c r="K211" s="29" t="s">
        <v>1207</v>
      </c>
      <c r="L211" s="46" t="s">
        <v>1550</v>
      </c>
    </row>
    <row r="212" spans="1:12">
      <c r="A212" s="50"/>
      <c r="B212" s="5"/>
      <c r="I212" s="27" t="s">
        <v>1211</v>
      </c>
      <c r="J212" s="28" t="s">
        <v>1212</v>
      </c>
      <c r="K212" s="29" t="s">
        <v>1213</v>
      </c>
    </row>
    <row r="213" spans="1:12">
      <c r="A213" s="50"/>
      <c r="B213" s="5"/>
      <c r="I213" s="27" t="s">
        <v>1215</v>
      </c>
      <c r="J213" s="28" t="s">
        <v>1216</v>
      </c>
      <c r="K213" s="29" t="s">
        <v>601</v>
      </c>
    </row>
    <row r="214" spans="1:12">
      <c r="A214" s="5"/>
      <c r="B214" s="5"/>
      <c r="I214" s="27" t="s">
        <v>1220</v>
      </c>
      <c r="J214" s="28" t="s">
        <v>1221</v>
      </c>
      <c r="K214" s="29" t="s">
        <v>1222</v>
      </c>
    </row>
    <row r="215" spans="1:12">
      <c r="A215" s="5"/>
      <c r="B215" s="5"/>
      <c r="I215" s="27" t="s">
        <v>1227</v>
      </c>
      <c r="J215" s="28" t="s">
        <v>1228</v>
      </c>
      <c r="K215" s="29" t="s">
        <v>1229</v>
      </c>
    </row>
    <row r="216" spans="1:12">
      <c r="A216" s="50"/>
      <c r="B216" s="5"/>
      <c r="I216" s="27" t="s">
        <v>1234</v>
      </c>
      <c r="J216" s="28" t="s">
        <v>1235</v>
      </c>
      <c r="K216" s="29" t="s">
        <v>1236</v>
      </c>
      <c r="L216" s="46" t="s">
        <v>1539</v>
      </c>
    </row>
  </sheetData>
  <mergeCells count="12">
    <mergeCell ref="A1:C1"/>
    <mergeCell ref="E1:G1"/>
    <mergeCell ref="I1:L1"/>
    <mergeCell ref="I84:L85"/>
    <mergeCell ref="I146:L147"/>
    <mergeCell ref="I178:L179"/>
    <mergeCell ref="A69:C70"/>
    <mergeCell ref="A118:C119"/>
    <mergeCell ref="A146:C147"/>
    <mergeCell ref="E88:G89"/>
    <mergeCell ref="E146:G147"/>
    <mergeCell ref="E179:G180"/>
  </mergeCells>
  <phoneticPr fontId="8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檐下猫&amp;南宫若馨Cylna.AC+部分AF">
    <tabColor rgb="FFFFFFFF"/>
  </sheetPr>
  <dimension ref="A1:U323"/>
  <sheetViews>
    <sheetView workbookViewId="0"/>
  </sheetViews>
  <sheetFormatPr baseColWidth="10" defaultColWidth="13.7109375" defaultRowHeight="18" customHeight="1"/>
  <cols>
    <col min="1" max="1" width="11" style="251" customWidth="1"/>
    <col min="2" max="2" width="25.140625" style="251" customWidth="1"/>
    <col min="3" max="3" width="5.42578125" style="104" customWidth="1"/>
    <col min="4" max="4" width="6" style="104" customWidth="1"/>
    <col min="5" max="5" width="4.7109375" style="104" customWidth="1"/>
    <col min="6" max="6" width="52.28515625" style="104" customWidth="1"/>
    <col min="7" max="7" width="5.42578125" style="499" customWidth="1"/>
    <col min="8" max="8" width="65" style="135" customWidth="1"/>
    <col min="9" max="9" width="6" style="500" customWidth="1"/>
    <col min="10" max="10" width="10.42578125" style="251" customWidth="1"/>
    <col min="11" max="11" width="19.7109375" style="6" customWidth="1"/>
    <col min="12" max="12" width="6.140625" style="501" customWidth="1"/>
    <col min="13" max="13" width="3.5703125" style="501" customWidth="1"/>
    <col min="14" max="14" width="4.28515625" style="501" customWidth="1"/>
    <col min="15" max="15" width="61.42578125" style="501" customWidth="1"/>
    <col min="16" max="18" width="4.85546875" style="502" customWidth="1"/>
    <col min="19" max="19" width="4.28515625" style="502" customWidth="1"/>
    <col min="20" max="20" width="71.5703125" style="503" customWidth="1"/>
    <col min="21" max="21" width="7.7109375" style="500" customWidth="1"/>
  </cols>
  <sheetData>
    <row r="1" spans="1:21" ht="76.5" customHeight="1">
      <c r="A1" s="551" t="s">
        <v>5245</v>
      </c>
      <c r="B1" s="543"/>
      <c r="C1" s="543"/>
      <c r="D1" s="543"/>
      <c r="E1" s="543"/>
      <c r="F1" s="543"/>
      <c r="G1" s="552"/>
      <c r="H1" s="543"/>
      <c r="I1" s="72"/>
      <c r="J1" s="562" t="s">
        <v>1551</v>
      </c>
      <c r="K1" s="518"/>
      <c r="L1" s="563"/>
      <c r="M1" s="563"/>
      <c r="N1" s="563"/>
      <c r="O1" s="518"/>
      <c r="P1" s="563"/>
      <c r="Q1" s="563"/>
      <c r="R1" s="563"/>
      <c r="S1" s="563"/>
      <c r="T1" s="524"/>
      <c r="U1" s="72"/>
    </row>
    <row r="2" spans="1:21" ht="30" customHeight="1">
      <c r="A2" s="559" t="s">
        <v>1</v>
      </c>
      <c r="B2" s="543"/>
      <c r="C2" s="543"/>
      <c r="D2" s="543"/>
      <c r="E2" s="543"/>
      <c r="F2" s="543"/>
      <c r="G2" s="550"/>
      <c r="H2" s="543"/>
      <c r="I2" s="72"/>
      <c r="J2" s="559" t="s">
        <v>2</v>
      </c>
      <c r="K2" s="518"/>
      <c r="L2" s="550"/>
      <c r="M2" s="550"/>
      <c r="N2" s="550"/>
      <c r="O2" s="518"/>
      <c r="P2" s="550"/>
      <c r="Q2" s="550"/>
      <c r="R2" s="550"/>
      <c r="S2" s="550"/>
      <c r="T2" s="524"/>
      <c r="U2" s="72"/>
    </row>
    <row r="3" spans="1:21" ht="27" customHeight="1">
      <c r="A3" s="6" t="s">
        <v>4</v>
      </c>
      <c r="B3" s="6" t="s">
        <v>5</v>
      </c>
      <c r="C3" s="73" t="s">
        <v>1552</v>
      </c>
      <c r="D3" s="73" t="s">
        <v>1553</v>
      </c>
      <c r="E3" s="73" t="s">
        <v>1554</v>
      </c>
      <c r="F3" s="73" t="s">
        <v>1555</v>
      </c>
      <c r="G3" s="74" t="s">
        <v>1556</v>
      </c>
      <c r="H3" s="75" t="s">
        <v>1557</v>
      </c>
      <c r="I3" s="72"/>
      <c r="J3" s="6" t="s">
        <v>4</v>
      </c>
      <c r="K3" s="6" t="s">
        <v>5</v>
      </c>
      <c r="L3" s="76" t="s">
        <v>1558</v>
      </c>
      <c r="M3" s="76" t="s">
        <v>1559</v>
      </c>
      <c r="N3" s="76" t="s">
        <v>1554</v>
      </c>
      <c r="O3" s="76" t="s">
        <v>1555</v>
      </c>
      <c r="P3" s="77" t="s">
        <v>1558</v>
      </c>
      <c r="Q3" s="77" t="s">
        <v>1559</v>
      </c>
      <c r="R3" s="77" t="s">
        <v>1554</v>
      </c>
      <c r="S3" s="77" t="s">
        <v>1556</v>
      </c>
      <c r="T3" s="78" t="s">
        <v>1560</v>
      </c>
      <c r="U3" s="72"/>
    </row>
    <row r="4" spans="1:21" ht="21">
      <c r="A4" s="6" t="s">
        <v>14</v>
      </c>
      <c r="B4" s="6" t="s">
        <v>15</v>
      </c>
      <c r="C4" s="73"/>
      <c r="D4" s="73"/>
      <c r="E4" s="73"/>
      <c r="F4" s="73" t="s">
        <v>1561</v>
      </c>
      <c r="G4" s="79" t="s">
        <v>1562</v>
      </c>
      <c r="H4" s="75" t="s">
        <v>1563</v>
      </c>
      <c r="I4" s="72"/>
      <c r="J4" s="6" t="s">
        <v>19</v>
      </c>
      <c r="K4" s="80" t="s">
        <v>20</v>
      </c>
      <c r="L4" s="81"/>
      <c r="M4" s="81"/>
      <c r="N4" s="81"/>
      <c r="O4" s="81" t="s">
        <v>1564</v>
      </c>
      <c r="P4" s="82"/>
      <c r="Q4" s="82"/>
      <c r="R4" s="82"/>
      <c r="S4" s="82" t="s">
        <v>16</v>
      </c>
      <c r="T4" s="83" t="s">
        <v>1565</v>
      </c>
      <c r="U4" s="72"/>
    </row>
    <row r="5" spans="1:21" ht="21">
      <c r="A5" s="6" t="s">
        <v>26</v>
      </c>
      <c r="B5" s="6" t="s">
        <v>27</v>
      </c>
      <c r="C5" s="73"/>
      <c r="D5" s="73"/>
      <c r="E5" s="73"/>
      <c r="F5" s="73" t="s">
        <v>1566</v>
      </c>
      <c r="G5" s="79" t="s">
        <v>1567</v>
      </c>
      <c r="H5" s="75" t="s">
        <v>1568</v>
      </c>
      <c r="I5" s="72"/>
      <c r="J5" s="6" t="s">
        <v>29</v>
      </c>
      <c r="K5" s="84" t="s">
        <v>30</v>
      </c>
      <c r="L5" s="76"/>
      <c r="M5" s="76"/>
      <c r="N5" s="76"/>
      <c r="O5" s="76" t="s">
        <v>1569</v>
      </c>
      <c r="P5" s="77"/>
      <c r="Q5" s="77"/>
      <c r="R5" s="77"/>
      <c r="S5" s="77" t="s">
        <v>21</v>
      </c>
      <c r="T5" s="78" t="s">
        <v>1570</v>
      </c>
      <c r="U5" s="72"/>
    </row>
    <row r="6" spans="1:21" ht="21">
      <c r="A6" s="6" t="s">
        <v>34</v>
      </c>
      <c r="B6" s="6" t="s">
        <v>35</v>
      </c>
      <c r="C6" s="73"/>
      <c r="D6" s="73"/>
      <c r="E6" s="73"/>
      <c r="F6" s="73" t="s">
        <v>1571</v>
      </c>
      <c r="G6" s="79" t="s">
        <v>18</v>
      </c>
      <c r="H6" s="75" t="s">
        <v>1572</v>
      </c>
      <c r="I6" s="72"/>
      <c r="J6" s="6" t="s">
        <v>36</v>
      </c>
      <c r="K6" s="84" t="s">
        <v>37</v>
      </c>
      <c r="L6" s="76"/>
      <c r="M6" s="76"/>
      <c r="N6" s="76"/>
      <c r="O6" s="76" t="s">
        <v>1573</v>
      </c>
      <c r="P6" s="77"/>
      <c r="Q6" s="77"/>
      <c r="R6" s="77"/>
      <c r="S6" s="77" t="s">
        <v>1574</v>
      </c>
      <c r="T6" s="78" t="s">
        <v>1575</v>
      </c>
      <c r="U6" s="72"/>
    </row>
    <row r="7" spans="1:21" ht="21">
      <c r="A7" s="6" t="s">
        <v>41</v>
      </c>
      <c r="B7" s="6" t="s">
        <v>42</v>
      </c>
      <c r="C7" s="73"/>
      <c r="D7" s="73"/>
      <c r="E7" s="73"/>
      <c r="F7" s="73" t="s">
        <v>1576</v>
      </c>
      <c r="G7" s="79" t="s">
        <v>16</v>
      </c>
      <c r="H7" s="75">
        <v>6</v>
      </c>
      <c r="I7" s="72"/>
      <c r="J7" s="6" t="s">
        <v>43</v>
      </c>
      <c r="K7" s="84" t="s">
        <v>44</v>
      </c>
      <c r="L7" s="76"/>
      <c r="M7" s="76"/>
      <c r="N7" s="76"/>
      <c r="O7" s="76" t="s">
        <v>1577</v>
      </c>
      <c r="P7" s="77"/>
      <c r="Q7" s="77"/>
      <c r="R7" s="77"/>
      <c r="S7" s="77" t="s">
        <v>1562</v>
      </c>
      <c r="T7" s="78" t="s">
        <v>1578</v>
      </c>
      <c r="U7" s="72"/>
    </row>
    <row r="8" spans="1:21" ht="36">
      <c r="A8" s="6" t="s">
        <v>48</v>
      </c>
      <c r="B8" s="6" t="s">
        <v>49</v>
      </c>
      <c r="C8" s="73"/>
      <c r="D8" s="73" t="s">
        <v>1222</v>
      </c>
      <c r="E8" s="73"/>
      <c r="F8" s="73" t="s">
        <v>1579</v>
      </c>
      <c r="G8" s="79" t="s">
        <v>21</v>
      </c>
      <c r="H8" s="75" t="s">
        <v>1580</v>
      </c>
      <c r="I8" s="72"/>
      <c r="J8" s="6" t="s">
        <v>50</v>
      </c>
      <c r="K8" s="84" t="s">
        <v>51</v>
      </c>
      <c r="L8" s="76" t="s">
        <v>1581</v>
      </c>
      <c r="M8" s="76"/>
      <c r="N8" s="76"/>
      <c r="O8" s="76" t="s">
        <v>1582</v>
      </c>
      <c r="P8" s="77"/>
      <c r="Q8" s="77"/>
      <c r="R8" s="77"/>
      <c r="S8" s="77" t="s">
        <v>1583</v>
      </c>
      <c r="T8" s="78" t="s">
        <v>1584</v>
      </c>
      <c r="U8" s="72"/>
    </row>
    <row r="9" spans="1:21" ht="21">
      <c r="A9" s="6" t="s">
        <v>55</v>
      </c>
      <c r="B9" s="6" t="s">
        <v>56</v>
      </c>
      <c r="C9" s="73"/>
      <c r="D9" s="73" t="s">
        <v>1222</v>
      </c>
      <c r="E9" s="73"/>
      <c r="F9" s="85" t="s">
        <v>1585</v>
      </c>
      <c r="G9" s="86" t="s">
        <v>21</v>
      </c>
      <c r="H9" s="75" t="s">
        <v>1586</v>
      </c>
      <c r="I9" s="72"/>
      <c r="J9" s="6" t="s">
        <v>57</v>
      </c>
      <c r="K9" s="84" t="s">
        <v>58</v>
      </c>
      <c r="L9" s="76"/>
      <c r="M9" s="76"/>
      <c r="N9" s="76"/>
      <c r="O9" s="76" t="s">
        <v>1587</v>
      </c>
      <c r="P9" s="77"/>
      <c r="Q9" s="77"/>
      <c r="R9" s="77"/>
      <c r="S9" s="77" t="s">
        <v>1583</v>
      </c>
      <c r="T9" s="78" t="s">
        <v>1588</v>
      </c>
      <c r="U9" s="72"/>
    </row>
    <row r="10" spans="1:21" ht="21">
      <c r="A10" s="6" t="s">
        <v>62</v>
      </c>
      <c r="B10" s="6" t="s">
        <v>63</v>
      </c>
      <c r="C10" s="73"/>
      <c r="D10" s="73"/>
      <c r="E10" s="73"/>
      <c r="F10" s="73" t="s">
        <v>1589</v>
      </c>
      <c r="G10" s="79" t="s">
        <v>18</v>
      </c>
      <c r="H10" s="75" t="s">
        <v>1578</v>
      </c>
      <c r="I10" s="72"/>
      <c r="J10" s="6" t="s">
        <v>64</v>
      </c>
      <c r="K10" s="84" t="s">
        <v>65</v>
      </c>
      <c r="L10" s="76" t="s">
        <v>1222</v>
      </c>
      <c r="M10" s="76"/>
      <c r="N10" s="76"/>
      <c r="O10" s="76" t="s">
        <v>1590</v>
      </c>
      <c r="P10" s="77"/>
      <c r="Q10" s="77"/>
      <c r="R10" s="77"/>
      <c r="S10" s="77" t="s">
        <v>21</v>
      </c>
      <c r="T10" s="78" t="s">
        <v>1591</v>
      </c>
      <c r="U10" s="72"/>
    </row>
    <row r="11" spans="1:21" ht="36">
      <c r="A11" s="6" t="s">
        <v>67</v>
      </c>
      <c r="B11" s="6" t="s">
        <v>68</v>
      </c>
      <c r="C11" s="73"/>
      <c r="D11" s="73"/>
      <c r="E11" s="73"/>
      <c r="F11" s="87" t="s">
        <v>1592</v>
      </c>
      <c r="G11" s="79" t="s">
        <v>1593</v>
      </c>
      <c r="H11" s="75" t="s">
        <v>1594</v>
      </c>
      <c r="I11" s="72"/>
      <c r="J11" s="6" t="s">
        <v>69</v>
      </c>
      <c r="K11" s="84" t="s">
        <v>70</v>
      </c>
      <c r="L11" s="76"/>
      <c r="M11" s="76"/>
      <c r="N11" s="76"/>
      <c r="O11" s="76" t="s">
        <v>1595</v>
      </c>
      <c r="P11" s="77"/>
      <c r="Q11" s="77"/>
      <c r="R11" s="77"/>
      <c r="S11" s="77" t="s">
        <v>1593</v>
      </c>
      <c r="T11" s="78" t="s">
        <v>1596</v>
      </c>
      <c r="U11" s="72"/>
    </row>
    <row r="12" spans="1:21" ht="21">
      <c r="A12" s="6" t="s">
        <v>74</v>
      </c>
      <c r="B12" s="6" t="s">
        <v>75</v>
      </c>
      <c r="C12" s="73"/>
      <c r="D12" s="73"/>
      <c r="E12" s="73"/>
      <c r="F12" s="73" t="s">
        <v>1597</v>
      </c>
      <c r="G12" s="79" t="s">
        <v>1562</v>
      </c>
      <c r="H12" s="75" t="s">
        <v>1598</v>
      </c>
      <c r="I12" s="72"/>
      <c r="J12" s="6" t="s">
        <v>76</v>
      </c>
      <c r="K12" s="84" t="s">
        <v>77</v>
      </c>
      <c r="L12" s="76"/>
      <c r="M12" s="76"/>
      <c r="N12" s="76"/>
      <c r="O12" s="76" t="s">
        <v>1599</v>
      </c>
      <c r="P12" s="77"/>
      <c r="Q12" s="77"/>
      <c r="R12" s="77"/>
      <c r="S12" s="77" t="s">
        <v>1562</v>
      </c>
      <c r="T12" s="78" t="s">
        <v>1600</v>
      </c>
      <c r="U12" s="72"/>
    </row>
    <row r="13" spans="1:21" ht="21">
      <c r="A13" s="6" t="s">
        <v>81</v>
      </c>
      <c r="B13" s="6" t="s">
        <v>82</v>
      </c>
      <c r="C13" s="73"/>
      <c r="D13" s="73"/>
      <c r="E13" s="73"/>
      <c r="F13" s="73" t="s">
        <v>1601</v>
      </c>
      <c r="G13" s="79" t="s">
        <v>1593</v>
      </c>
      <c r="H13" s="75">
        <v>6</v>
      </c>
      <c r="I13" s="72"/>
      <c r="J13" s="6" t="s">
        <v>83</v>
      </c>
      <c r="K13" s="84" t="s">
        <v>84</v>
      </c>
      <c r="L13" s="76" t="s">
        <v>1581</v>
      </c>
      <c r="M13" s="76"/>
      <c r="N13" s="76"/>
      <c r="O13" s="76" t="s">
        <v>1602</v>
      </c>
      <c r="P13" s="77"/>
      <c r="Q13" s="77"/>
      <c r="R13" s="77"/>
      <c r="S13" s="77" t="s">
        <v>1567</v>
      </c>
      <c r="T13" s="78" t="s">
        <v>1603</v>
      </c>
      <c r="U13" s="72"/>
    </row>
    <row r="14" spans="1:21" ht="21">
      <c r="A14" s="6" t="s">
        <v>88</v>
      </c>
      <c r="B14" s="6" t="s">
        <v>89</v>
      </c>
      <c r="C14" s="73"/>
      <c r="D14" s="73"/>
      <c r="E14" s="73"/>
      <c r="F14" s="73" t="s">
        <v>1604</v>
      </c>
      <c r="G14" s="79" t="s">
        <v>21</v>
      </c>
      <c r="H14" s="75" t="s">
        <v>1605</v>
      </c>
      <c r="I14" s="72"/>
      <c r="J14" s="6" t="s">
        <v>90</v>
      </c>
      <c r="K14" s="84" t="s">
        <v>91</v>
      </c>
      <c r="L14" s="76" t="s">
        <v>1222</v>
      </c>
      <c r="M14" s="76"/>
      <c r="N14" s="76"/>
      <c r="O14" s="76" t="s">
        <v>1606</v>
      </c>
      <c r="P14" s="77"/>
      <c r="Q14" s="77"/>
      <c r="R14" s="77"/>
      <c r="S14" s="77" t="s">
        <v>18</v>
      </c>
      <c r="T14" s="78" t="s">
        <v>1607</v>
      </c>
      <c r="U14" s="72"/>
    </row>
    <row r="15" spans="1:21" ht="36">
      <c r="A15" s="6" t="s">
        <v>95</v>
      </c>
      <c r="B15" s="6" t="s">
        <v>96</v>
      </c>
      <c r="C15" s="73"/>
      <c r="D15" s="73"/>
      <c r="E15" s="73"/>
      <c r="F15" s="73" t="s">
        <v>1608</v>
      </c>
      <c r="G15" s="79" t="s">
        <v>1583</v>
      </c>
      <c r="H15" s="75" t="s">
        <v>1609</v>
      </c>
      <c r="I15" s="72"/>
      <c r="J15" s="6" t="s">
        <v>97</v>
      </c>
      <c r="K15" s="84" t="s">
        <v>98</v>
      </c>
      <c r="L15" s="76"/>
      <c r="M15" s="76"/>
      <c r="N15" s="76"/>
      <c r="O15" s="76" t="s">
        <v>1610</v>
      </c>
      <c r="P15" s="77"/>
      <c r="Q15" s="77"/>
      <c r="R15" s="77"/>
      <c r="S15" s="77" t="s">
        <v>1574</v>
      </c>
      <c r="T15" s="78" t="s">
        <v>1611</v>
      </c>
      <c r="U15" s="72"/>
    </row>
    <row r="16" spans="1:21" ht="21">
      <c r="A16" s="6" t="s">
        <v>102</v>
      </c>
      <c r="B16" s="6" t="s">
        <v>103</v>
      </c>
      <c r="C16" s="73"/>
      <c r="D16" s="73"/>
      <c r="E16" s="73"/>
      <c r="F16" s="73" t="s">
        <v>1612</v>
      </c>
      <c r="G16" s="79" t="s">
        <v>1567</v>
      </c>
      <c r="H16" s="75" t="s">
        <v>1613</v>
      </c>
      <c r="I16" s="72"/>
      <c r="J16" s="6" t="s">
        <v>104</v>
      </c>
      <c r="K16" s="84" t="s">
        <v>105</v>
      </c>
      <c r="L16" s="76"/>
      <c r="M16" s="76" t="s">
        <v>1222</v>
      </c>
      <c r="N16" s="76"/>
      <c r="O16" s="76" t="s">
        <v>1614</v>
      </c>
      <c r="P16" s="77"/>
      <c r="Q16" s="77"/>
      <c r="R16" s="77"/>
      <c r="S16" s="77" t="s">
        <v>28</v>
      </c>
      <c r="T16" s="78" t="s">
        <v>1615</v>
      </c>
      <c r="U16" s="72"/>
    </row>
    <row r="17" spans="1:21" ht="21">
      <c r="A17" s="6" t="s">
        <v>109</v>
      </c>
      <c r="B17" s="6" t="s">
        <v>110</v>
      </c>
      <c r="C17" s="73" t="s">
        <v>1222</v>
      </c>
      <c r="D17" s="73"/>
      <c r="E17" s="73"/>
      <c r="F17" s="73" t="s">
        <v>1616</v>
      </c>
      <c r="G17" s="79" t="s">
        <v>21</v>
      </c>
      <c r="H17" s="75" t="s">
        <v>1617</v>
      </c>
      <c r="I17" s="72"/>
      <c r="J17" s="6" t="s">
        <v>111</v>
      </c>
      <c r="K17" s="84" t="s">
        <v>112</v>
      </c>
      <c r="L17" s="76"/>
      <c r="M17" s="76"/>
      <c r="N17" s="76"/>
      <c r="O17" s="76" t="s">
        <v>1618</v>
      </c>
      <c r="P17" s="77"/>
      <c r="Q17" s="77"/>
      <c r="R17" s="77"/>
      <c r="S17" s="77" t="s">
        <v>1567</v>
      </c>
      <c r="T17" s="78" t="s">
        <v>1619</v>
      </c>
      <c r="U17" s="72"/>
    </row>
    <row r="18" spans="1:21" ht="21">
      <c r="A18" s="6" t="s">
        <v>116</v>
      </c>
      <c r="B18" s="6" t="s">
        <v>117</v>
      </c>
      <c r="C18" s="73"/>
      <c r="D18" s="73"/>
      <c r="E18" s="73"/>
      <c r="F18" s="73" t="s">
        <v>1620</v>
      </c>
      <c r="G18" s="79" t="s">
        <v>16</v>
      </c>
      <c r="H18" s="75" t="s">
        <v>1621</v>
      </c>
      <c r="I18" s="72"/>
      <c r="J18" s="6" t="s">
        <v>118</v>
      </c>
      <c r="K18" s="84" t="s">
        <v>119</v>
      </c>
      <c r="L18" s="76"/>
      <c r="M18" s="76"/>
      <c r="N18" s="76"/>
      <c r="O18" s="76" t="s">
        <v>1622</v>
      </c>
      <c r="P18" s="77"/>
      <c r="Q18" s="77"/>
      <c r="R18" s="77"/>
      <c r="S18" s="77" t="s">
        <v>1562</v>
      </c>
      <c r="T18" s="78" t="s">
        <v>1623</v>
      </c>
      <c r="U18" s="72"/>
    </row>
    <row r="19" spans="1:21" ht="21">
      <c r="A19" s="6" t="s">
        <v>123</v>
      </c>
      <c r="B19" s="6" t="s">
        <v>124</v>
      </c>
      <c r="C19" s="73" t="s">
        <v>1222</v>
      </c>
      <c r="D19" s="73"/>
      <c r="E19" s="73"/>
      <c r="F19" s="73" t="s">
        <v>1624</v>
      </c>
      <c r="G19" s="79" t="s">
        <v>28</v>
      </c>
      <c r="H19" s="75" t="s">
        <v>1625</v>
      </c>
      <c r="I19" s="72"/>
      <c r="J19" s="6" t="s">
        <v>125</v>
      </c>
      <c r="K19" s="84" t="s">
        <v>126</v>
      </c>
      <c r="L19" s="76"/>
      <c r="M19" s="76"/>
      <c r="N19" s="76"/>
      <c r="O19" s="76" t="s">
        <v>1626</v>
      </c>
      <c r="P19" s="77"/>
      <c r="Q19" s="77"/>
      <c r="R19" s="77"/>
      <c r="S19" s="77" t="s">
        <v>1562</v>
      </c>
      <c r="T19" s="78" t="s">
        <v>1627</v>
      </c>
      <c r="U19" s="72"/>
    </row>
    <row r="20" spans="1:21" ht="36">
      <c r="A20" s="6" t="s">
        <v>130</v>
      </c>
      <c r="B20" s="6" t="s">
        <v>129</v>
      </c>
      <c r="C20" s="73"/>
      <c r="D20" s="73"/>
      <c r="E20" s="73"/>
      <c r="F20" s="73" t="s">
        <v>1628</v>
      </c>
      <c r="G20" s="79" t="s">
        <v>1583</v>
      </c>
      <c r="H20" s="75" t="s">
        <v>1629</v>
      </c>
      <c r="I20" s="72"/>
      <c r="J20" s="6" t="s">
        <v>131</v>
      </c>
      <c r="K20" s="84" t="s">
        <v>132</v>
      </c>
      <c r="L20" s="76" t="s">
        <v>1222</v>
      </c>
      <c r="M20" s="76"/>
      <c r="N20" s="76"/>
      <c r="O20" s="76" t="s">
        <v>1630</v>
      </c>
      <c r="P20" s="77"/>
      <c r="Q20" s="77"/>
      <c r="R20" s="77"/>
      <c r="S20" s="77" t="s">
        <v>1583</v>
      </c>
      <c r="T20" s="78" t="s">
        <v>1631</v>
      </c>
      <c r="U20" s="72"/>
    </row>
    <row r="21" spans="1:21" ht="36">
      <c r="A21" s="6" t="s">
        <v>136</v>
      </c>
      <c r="B21" s="6" t="s">
        <v>137</v>
      </c>
      <c r="C21" s="73"/>
      <c r="D21" s="73"/>
      <c r="E21" s="73"/>
      <c r="F21" s="73" t="s">
        <v>1632</v>
      </c>
      <c r="G21" s="79" t="s">
        <v>1583</v>
      </c>
      <c r="H21" s="75" t="s">
        <v>1633</v>
      </c>
      <c r="I21" s="72"/>
      <c r="J21" s="6" t="s">
        <v>138</v>
      </c>
      <c r="K21" s="84" t="s">
        <v>139</v>
      </c>
      <c r="L21" s="76"/>
      <c r="M21" s="76"/>
      <c r="N21" s="76"/>
      <c r="O21" s="76" t="s">
        <v>1634</v>
      </c>
      <c r="P21" s="77"/>
      <c r="Q21" s="77"/>
      <c r="R21" s="77"/>
      <c r="S21" s="77" t="s">
        <v>1567</v>
      </c>
      <c r="T21" s="78" t="s">
        <v>1635</v>
      </c>
      <c r="U21" s="72"/>
    </row>
    <row r="22" spans="1:21" ht="21">
      <c r="A22" s="6" t="s">
        <v>143</v>
      </c>
      <c r="B22" s="6" t="s">
        <v>144</v>
      </c>
      <c r="C22" s="73"/>
      <c r="D22" s="73"/>
      <c r="E22" s="73"/>
      <c r="F22" s="73" t="s">
        <v>1636</v>
      </c>
      <c r="G22" s="79" t="s">
        <v>1562</v>
      </c>
      <c r="H22" s="75">
        <v>6</v>
      </c>
      <c r="I22" s="72"/>
      <c r="J22" s="6" t="s">
        <v>145</v>
      </c>
      <c r="K22" s="84" t="s">
        <v>146</v>
      </c>
      <c r="L22" s="76"/>
      <c r="M22" s="76"/>
      <c r="N22" s="76"/>
      <c r="O22" s="76" t="s">
        <v>1637</v>
      </c>
      <c r="P22" s="77"/>
      <c r="Q22" s="77"/>
      <c r="R22" s="77"/>
      <c r="S22" s="77" t="s">
        <v>1562</v>
      </c>
      <c r="T22" s="78">
        <v>6</v>
      </c>
      <c r="U22" s="72"/>
    </row>
    <row r="23" spans="1:21" ht="21">
      <c r="A23" s="6" t="s">
        <v>150</v>
      </c>
      <c r="B23" s="6" t="s">
        <v>151</v>
      </c>
      <c r="C23" s="73"/>
      <c r="D23" s="73"/>
      <c r="E23" s="73"/>
      <c r="F23" s="73" t="s">
        <v>1638</v>
      </c>
      <c r="G23" s="79" t="s">
        <v>1593</v>
      </c>
      <c r="H23" s="75" t="s">
        <v>1639</v>
      </c>
      <c r="I23" s="72"/>
      <c r="J23" s="6" t="s">
        <v>152</v>
      </c>
      <c r="K23" s="84" t="s">
        <v>30</v>
      </c>
      <c r="L23" s="76" t="s">
        <v>1222</v>
      </c>
      <c r="M23" s="76"/>
      <c r="N23" s="76"/>
      <c r="O23" s="76" t="s">
        <v>1640</v>
      </c>
      <c r="P23" s="77"/>
      <c r="Q23" s="77"/>
      <c r="R23" s="77"/>
      <c r="S23" s="77" t="s">
        <v>21</v>
      </c>
      <c r="T23" s="78" t="s">
        <v>1641</v>
      </c>
      <c r="U23" s="72"/>
    </row>
    <row r="24" spans="1:21" ht="21">
      <c r="A24" s="6" t="s">
        <v>156</v>
      </c>
      <c r="B24" s="6" t="s">
        <v>157</v>
      </c>
      <c r="C24" s="73"/>
      <c r="D24" s="73"/>
      <c r="E24" s="73"/>
      <c r="F24" s="73" t="s">
        <v>1642</v>
      </c>
      <c r="G24" s="79" t="s">
        <v>1562</v>
      </c>
      <c r="H24" s="75" t="s">
        <v>1643</v>
      </c>
      <c r="I24" s="72"/>
      <c r="J24" s="6" t="s">
        <v>158</v>
      </c>
      <c r="K24" s="84" t="s">
        <v>159</v>
      </c>
      <c r="L24" s="76" t="s">
        <v>1222</v>
      </c>
      <c r="M24" s="76"/>
      <c r="N24" s="76"/>
      <c r="O24" s="76" t="s">
        <v>1644</v>
      </c>
      <c r="P24" s="77"/>
      <c r="Q24" s="77"/>
      <c r="R24" s="77"/>
      <c r="S24" s="77" t="s">
        <v>18</v>
      </c>
      <c r="T24" s="78" t="s">
        <v>1645</v>
      </c>
      <c r="U24" s="72"/>
    </row>
    <row r="25" spans="1:21" ht="21">
      <c r="A25" s="6" t="s">
        <v>163</v>
      </c>
      <c r="B25" s="6" t="s">
        <v>164</v>
      </c>
      <c r="C25" s="73"/>
      <c r="D25" s="73"/>
      <c r="E25" s="73"/>
      <c r="F25" s="73" t="s">
        <v>1646</v>
      </c>
      <c r="G25" s="86" t="s">
        <v>1583</v>
      </c>
      <c r="H25" s="75" t="s">
        <v>1647</v>
      </c>
      <c r="I25" s="72"/>
      <c r="J25" s="6" t="s">
        <v>165</v>
      </c>
      <c r="K25" s="84" t="s">
        <v>166</v>
      </c>
      <c r="L25" s="76"/>
      <c r="M25" s="76"/>
      <c r="N25" s="76" t="s">
        <v>1222</v>
      </c>
      <c r="O25" s="76" t="s">
        <v>1648</v>
      </c>
      <c r="P25" s="77"/>
      <c r="Q25" s="77"/>
      <c r="R25" s="77"/>
      <c r="S25" s="77" t="s">
        <v>1574</v>
      </c>
      <c r="T25" s="78">
        <v>6</v>
      </c>
      <c r="U25" s="72"/>
    </row>
    <row r="26" spans="1:21" ht="21">
      <c r="A26" s="6" t="s">
        <v>170</v>
      </c>
      <c r="B26" s="6" t="s">
        <v>171</v>
      </c>
      <c r="C26" s="73"/>
      <c r="D26" s="73"/>
      <c r="E26" s="73"/>
      <c r="F26" s="73"/>
      <c r="G26" s="74"/>
      <c r="H26" s="75"/>
      <c r="I26" s="72"/>
      <c r="J26" s="6" t="s">
        <v>172</v>
      </c>
      <c r="K26" s="84" t="s">
        <v>173</v>
      </c>
      <c r="L26" s="76"/>
      <c r="M26" s="76"/>
      <c r="N26" s="76"/>
      <c r="O26" s="76" t="s">
        <v>1649</v>
      </c>
      <c r="P26" s="77"/>
      <c r="Q26" s="77"/>
      <c r="R26" s="77"/>
      <c r="S26" s="77" t="s">
        <v>1593</v>
      </c>
      <c r="T26" s="78" t="s">
        <v>1650</v>
      </c>
      <c r="U26" s="72"/>
    </row>
    <row r="27" spans="1:21" ht="21">
      <c r="A27" s="6" t="s">
        <v>177</v>
      </c>
      <c r="B27" s="6" t="s">
        <v>178</v>
      </c>
      <c r="C27" s="73"/>
      <c r="D27" s="73"/>
      <c r="E27" s="73"/>
      <c r="F27" s="73"/>
      <c r="G27" s="74"/>
      <c r="H27" s="88"/>
      <c r="I27" s="72"/>
      <c r="J27" s="6" t="s">
        <v>179</v>
      </c>
      <c r="K27" s="84" t="s">
        <v>180</v>
      </c>
      <c r="L27" s="76"/>
      <c r="M27" s="76"/>
      <c r="N27" s="76"/>
      <c r="O27" s="76" t="s">
        <v>1651</v>
      </c>
      <c r="P27" s="77"/>
      <c r="Q27" s="77"/>
      <c r="R27" s="77"/>
      <c r="S27" s="77" t="s">
        <v>1574</v>
      </c>
      <c r="T27" s="78" t="s">
        <v>1652</v>
      </c>
      <c r="U27" s="72"/>
    </row>
    <row r="28" spans="1:21" ht="21">
      <c r="A28" s="6" t="s">
        <v>184</v>
      </c>
      <c r="B28" s="6" t="s">
        <v>185</v>
      </c>
      <c r="C28" s="73"/>
      <c r="D28" s="73"/>
      <c r="E28" s="73"/>
      <c r="F28" s="73"/>
      <c r="G28" s="74"/>
      <c r="H28" s="75"/>
      <c r="I28" s="72"/>
      <c r="J28" s="6" t="s">
        <v>186</v>
      </c>
      <c r="K28" s="84" t="s">
        <v>187</v>
      </c>
      <c r="L28" s="76" t="s">
        <v>1581</v>
      </c>
      <c r="M28" s="76"/>
      <c r="N28" s="76"/>
      <c r="O28" s="81" t="s">
        <v>1653</v>
      </c>
      <c r="P28" s="77"/>
      <c r="Q28" s="77"/>
      <c r="R28" s="77"/>
      <c r="S28" s="77" t="s">
        <v>21</v>
      </c>
      <c r="T28" s="78" t="s">
        <v>1654</v>
      </c>
      <c r="U28" s="72"/>
    </row>
    <row r="29" spans="1:21" ht="36">
      <c r="A29" s="6" t="s">
        <v>191</v>
      </c>
      <c r="B29" s="6" t="s">
        <v>192</v>
      </c>
      <c r="C29" s="73"/>
      <c r="D29" s="73"/>
      <c r="E29" s="73"/>
      <c r="F29" s="73"/>
      <c r="G29" s="74"/>
      <c r="H29" s="75"/>
      <c r="I29" s="72"/>
      <c r="J29" s="6" t="s">
        <v>193</v>
      </c>
      <c r="K29" s="84" t="s">
        <v>194</v>
      </c>
      <c r="L29" s="76"/>
      <c r="M29" s="76"/>
      <c r="N29" s="76" t="s">
        <v>1222</v>
      </c>
      <c r="O29" s="76" t="s">
        <v>1655</v>
      </c>
      <c r="P29" s="77"/>
      <c r="Q29" s="77"/>
      <c r="R29" s="77"/>
      <c r="S29" s="77" t="s">
        <v>1567</v>
      </c>
      <c r="T29" s="78">
        <v>6</v>
      </c>
      <c r="U29" s="72"/>
    </row>
    <row r="30" spans="1:21" ht="21">
      <c r="A30" s="6" t="s">
        <v>198</v>
      </c>
      <c r="B30" s="6" t="s">
        <v>199</v>
      </c>
      <c r="C30" s="73"/>
      <c r="D30" s="73"/>
      <c r="E30" s="73"/>
      <c r="F30" s="73"/>
      <c r="G30" s="74"/>
      <c r="H30" s="75"/>
      <c r="I30" s="72"/>
      <c r="J30" s="6" t="s">
        <v>200</v>
      </c>
      <c r="K30" s="84" t="s">
        <v>201</v>
      </c>
      <c r="L30" s="76"/>
      <c r="M30" s="76"/>
      <c r="N30" s="76"/>
      <c r="O30" s="76" t="s">
        <v>1656</v>
      </c>
      <c r="P30" s="77"/>
      <c r="Q30" s="77"/>
      <c r="R30" s="77"/>
      <c r="S30" s="77" t="s">
        <v>1562</v>
      </c>
      <c r="T30" s="78" t="s">
        <v>1657</v>
      </c>
      <c r="U30" s="72"/>
    </row>
    <row r="31" spans="1:21" ht="36">
      <c r="A31" s="6" t="s">
        <v>205</v>
      </c>
      <c r="B31" s="6" t="s">
        <v>206</v>
      </c>
      <c r="C31" s="73"/>
      <c r="D31" s="73"/>
      <c r="E31" s="73"/>
      <c r="F31" s="73"/>
      <c r="G31" s="74"/>
      <c r="H31" s="75"/>
      <c r="I31" s="72"/>
      <c r="J31" s="6" t="s">
        <v>207</v>
      </c>
      <c r="K31" s="84" t="s">
        <v>208</v>
      </c>
      <c r="L31" s="76"/>
      <c r="M31" s="76"/>
      <c r="N31" s="76"/>
      <c r="O31" s="76" t="s">
        <v>1658</v>
      </c>
      <c r="P31" s="77"/>
      <c r="Q31" s="77"/>
      <c r="R31" s="77"/>
      <c r="S31" s="77" t="s">
        <v>1562</v>
      </c>
      <c r="T31" s="78" t="s">
        <v>1659</v>
      </c>
      <c r="U31" s="72"/>
    </row>
    <row r="32" spans="1:21" ht="21">
      <c r="A32" s="6" t="s">
        <v>212</v>
      </c>
      <c r="B32" s="6" t="s">
        <v>213</v>
      </c>
      <c r="C32" s="73"/>
      <c r="D32" s="73"/>
      <c r="E32" s="73"/>
      <c r="F32" s="73"/>
      <c r="G32" s="74"/>
      <c r="H32" s="75"/>
      <c r="I32" s="72"/>
      <c r="J32" s="6" t="s">
        <v>214</v>
      </c>
      <c r="K32" s="84" t="s">
        <v>215</v>
      </c>
      <c r="L32" s="76"/>
      <c r="M32" s="76"/>
      <c r="N32" s="76"/>
      <c r="O32" s="76" t="s">
        <v>1660</v>
      </c>
      <c r="P32" s="77"/>
      <c r="Q32" s="77"/>
      <c r="R32" s="77"/>
      <c r="S32" s="77" t="s">
        <v>1661</v>
      </c>
      <c r="T32" s="78" t="s">
        <v>1662</v>
      </c>
      <c r="U32" s="72"/>
    </row>
    <row r="33" spans="1:21" ht="21">
      <c r="A33" s="6" t="s">
        <v>218</v>
      </c>
      <c r="B33" s="6" t="s">
        <v>219</v>
      </c>
      <c r="C33" s="73"/>
      <c r="D33" s="73"/>
      <c r="E33" s="73"/>
      <c r="F33" s="73"/>
      <c r="G33" s="74"/>
      <c r="H33" s="75"/>
      <c r="I33" s="72"/>
      <c r="J33" s="6" t="s">
        <v>220</v>
      </c>
      <c r="K33" s="84" t="s">
        <v>221</v>
      </c>
      <c r="L33" s="76"/>
      <c r="M33" s="76"/>
      <c r="N33" s="76"/>
      <c r="O33" s="76" t="s">
        <v>1663</v>
      </c>
      <c r="P33" s="77"/>
      <c r="Q33" s="77"/>
      <c r="R33" s="77"/>
      <c r="S33" s="77" t="s">
        <v>1574</v>
      </c>
      <c r="T33" s="78" t="s">
        <v>1664</v>
      </c>
      <c r="U33" s="72"/>
    </row>
    <row r="34" spans="1:21" ht="21">
      <c r="A34" s="6" t="s">
        <v>225</v>
      </c>
      <c r="B34" s="6" t="s">
        <v>226</v>
      </c>
      <c r="C34" s="73"/>
      <c r="D34" s="73"/>
      <c r="E34" s="73"/>
      <c r="F34" s="73"/>
      <c r="G34" s="74"/>
      <c r="H34" s="75"/>
      <c r="I34" s="72"/>
      <c r="J34" s="6" t="s">
        <v>227</v>
      </c>
      <c r="K34" s="84" t="s">
        <v>228</v>
      </c>
      <c r="L34" s="76" t="s">
        <v>1222</v>
      </c>
      <c r="M34" s="76"/>
      <c r="N34" s="76"/>
      <c r="O34" s="76" t="s">
        <v>1665</v>
      </c>
      <c r="P34" s="77"/>
      <c r="Q34" s="77"/>
      <c r="R34" s="77"/>
      <c r="S34" s="77" t="s">
        <v>18</v>
      </c>
      <c r="T34" s="78" t="s">
        <v>1666</v>
      </c>
      <c r="U34" s="72"/>
    </row>
    <row r="35" spans="1:21" ht="21">
      <c r="A35" s="6" t="s">
        <v>232</v>
      </c>
      <c r="B35" s="6" t="s">
        <v>233</v>
      </c>
      <c r="C35" s="73"/>
      <c r="D35" s="73"/>
      <c r="E35" s="73"/>
      <c r="F35" s="73"/>
      <c r="G35" s="74"/>
      <c r="H35" s="75"/>
      <c r="I35" s="72"/>
      <c r="J35" s="6" t="s">
        <v>234</v>
      </c>
      <c r="K35" s="84" t="s">
        <v>68</v>
      </c>
      <c r="L35" s="76" t="s">
        <v>1222</v>
      </c>
      <c r="M35" s="76"/>
      <c r="N35" s="76"/>
      <c r="O35" s="76" t="s">
        <v>1667</v>
      </c>
      <c r="P35" s="77"/>
      <c r="Q35" s="77"/>
      <c r="R35" s="77"/>
      <c r="S35" s="77" t="s">
        <v>18</v>
      </c>
      <c r="T35" s="78" t="s">
        <v>1668</v>
      </c>
      <c r="U35" s="72"/>
    </row>
    <row r="36" spans="1:21" ht="21">
      <c r="A36" s="6" t="s">
        <v>238</v>
      </c>
      <c r="B36" s="6" t="s">
        <v>239</v>
      </c>
      <c r="C36" s="73"/>
      <c r="D36" s="73"/>
      <c r="E36" s="73"/>
      <c r="F36" s="73"/>
      <c r="G36" s="74"/>
      <c r="H36" s="75"/>
      <c r="I36" s="72"/>
      <c r="J36" s="6" t="s">
        <v>240</v>
      </c>
      <c r="K36" s="84" t="s">
        <v>241</v>
      </c>
      <c r="L36" s="76"/>
      <c r="M36" s="76"/>
      <c r="N36" s="76"/>
      <c r="O36" s="76" t="s">
        <v>1669</v>
      </c>
      <c r="P36" s="77"/>
      <c r="Q36" s="77"/>
      <c r="R36" s="77"/>
      <c r="S36" s="77" t="s">
        <v>1562</v>
      </c>
      <c r="T36" s="78" t="s">
        <v>1670</v>
      </c>
      <c r="U36" s="72"/>
    </row>
    <row r="37" spans="1:21" ht="21">
      <c r="A37" s="6" t="s">
        <v>243</v>
      </c>
      <c r="B37" s="6" t="s">
        <v>244</v>
      </c>
      <c r="C37" s="73"/>
      <c r="D37" s="73"/>
      <c r="E37" s="73"/>
      <c r="F37" s="73"/>
      <c r="G37" s="74"/>
      <c r="H37" s="75"/>
      <c r="I37" s="72"/>
      <c r="J37" s="6" t="s">
        <v>245</v>
      </c>
      <c r="K37" s="84" t="s">
        <v>246</v>
      </c>
      <c r="L37" s="76"/>
      <c r="M37" s="76"/>
      <c r="N37" s="76"/>
      <c r="O37" s="76" t="s">
        <v>1671</v>
      </c>
      <c r="P37" s="77"/>
      <c r="Q37" s="77"/>
      <c r="R37" s="77"/>
      <c r="S37" s="77" t="s">
        <v>1562</v>
      </c>
      <c r="T37" s="78" t="s">
        <v>1672</v>
      </c>
      <c r="U37" s="72"/>
    </row>
    <row r="38" spans="1:21" ht="36">
      <c r="A38" s="6" t="s">
        <v>250</v>
      </c>
      <c r="B38" s="6" t="s">
        <v>80</v>
      </c>
      <c r="C38" s="73"/>
      <c r="D38" s="73"/>
      <c r="E38" s="73"/>
      <c r="F38" s="73"/>
      <c r="G38" s="74"/>
      <c r="H38" s="75"/>
      <c r="I38" s="72"/>
      <c r="J38" s="6" t="s">
        <v>251</v>
      </c>
      <c r="K38" s="84" t="s">
        <v>252</v>
      </c>
      <c r="L38" s="76"/>
      <c r="M38" s="76"/>
      <c r="N38" s="76"/>
      <c r="O38" s="76" t="s">
        <v>1673</v>
      </c>
      <c r="P38" s="77"/>
      <c r="Q38" s="77"/>
      <c r="R38" s="77"/>
      <c r="S38" s="77" t="s">
        <v>1562</v>
      </c>
      <c r="T38" s="78" t="s">
        <v>1674</v>
      </c>
      <c r="U38" s="72"/>
    </row>
    <row r="39" spans="1:21" ht="21">
      <c r="A39" s="6" t="s">
        <v>256</v>
      </c>
      <c r="B39" s="6" t="s">
        <v>257</v>
      </c>
      <c r="C39" s="73"/>
      <c r="D39" s="73"/>
      <c r="E39" s="73"/>
      <c r="F39" s="73"/>
      <c r="G39" s="74"/>
      <c r="H39" s="75"/>
      <c r="I39" s="72"/>
      <c r="J39" s="6" t="s">
        <v>258</v>
      </c>
      <c r="K39" s="84" t="s">
        <v>259</v>
      </c>
      <c r="L39" s="76"/>
      <c r="M39" s="76" t="s">
        <v>1222</v>
      </c>
      <c r="N39" s="76"/>
      <c r="O39" s="76" t="s">
        <v>1675</v>
      </c>
      <c r="P39" s="77"/>
      <c r="Q39" s="77"/>
      <c r="R39" s="77"/>
      <c r="S39" s="77" t="s">
        <v>21</v>
      </c>
      <c r="T39" s="78" t="s">
        <v>1676</v>
      </c>
      <c r="U39" s="72"/>
    </row>
    <row r="40" spans="1:21" ht="21">
      <c r="A40" s="6" t="s">
        <v>263</v>
      </c>
      <c r="B40" s="6" t="s">
        <v>264</v>
      </c>
      <c r="C40" s="73"/>
      <c r="D40" s="73"/>
      <c r="E40" s="73"/>
      <c r="F40" s="73"/>
      <c r="G40" s="74"/>
      <c r="H40" s="75"/>
      <c r="I40" s="72"/>
      <c r="J40" s="6" t="s">
        <v>265</v>
      </c>
      <c r="K40" s="84" t="s">
        <v>266</v>
      </c>
      <c r="L40" s="76"/>
      <c r="M40" s="76"/>
      <c r="N40" s="76"/>
      <c r="O40" s="76" t="s">
        <v>1677</v>
      </c>
      <c r="P40" s="77"/>
      <c r="Q40" s="77"/>
      <c r="R40" s="77"/>
      <c r="S40" s="77" t="s">
        <v>1574</v>
      </c>
      <c r="T40" s="78" t="s">
        <v>1678</v>
      </c>
      <c r="U40" s="72"/>
    </row>
    <row r="41" spans="1:21" ht="21">
      <c r="A41" s="6" t="s">
        <v>269</v>
      </c>
      <c r="B41" s="9" t="s">
        <v>270</v>
      </c>
      <c r="C41" s="73"/>
      <c r="D41" s="73"/>
      <c r="E41" s="73"/>
      <c r="F41" s="73"/>
      <c r="G41" s="74"/>
      <c r="H41" s="75"/>
      <c r="I41" s="72"/>
      <c r="J41" s="6" t="s">
        <v>271</v>
      </c>
      <c r="K41" s="84" t="s">
        <v>272</v>
      </c>
      <c r="L41" s="76" t="s">
        <v>1222</v>
      </c>
      <c r="M41" s="76"/>
      <c r="N41" s="76"/>
      <c r="O41" s="76" t="s">
        <v>1679</v>
      </c>
      <c r="P41" s="77"/>
      <c r="Q41" s="77"/>
      <c r="R41" s="77"/>
      <c r="S41" s="77" t="s">
        <v>21</v>
      </c>
      <c r="T41" s="78" t="s">
        <v>1680</v>
      </c>
      <c r="U41" s="72"/>
    </row>
    <row r="42" spans="1:21" ht="21">
      <c r="A42" s="6" t="s">
        <v>274</v>
      </c>
      <c r="B42" s="6" t="s">
        <v>275</v>
      </c>
      <c r="C42" s="73"/>
      <c r="D42" s="73"/>
      <c r="E42" s="73"/>
      <c r="F42" s="73"/>
      <c r="G42" s="74"/>
      <c r="H42" s="75"/>
      <c r="I42" s="72"/>
      <c r="J42" s="6" t="s">
        <v>121</v>
      </c>
      <c r="K42" s="84" t="s">
        <v>122</v>
      </c>
      <c r="L42" s="76" t="s">
        <v>1222</v>
      </c>
      <c r="M42" s="76"/>
      <c r="N42" s="76"/>
      <c r="O42" s="76" t="s">
        <v>1681</v>
      </c>
      <c r="P42" s="77"/>
      <c r="Q42" s="77"/>
      <c r="R42" s="77"/>
      <c r="S42" s="77" t="s">
        <v>28</v>
      </c>
      <c r="T42" s="78" t="s">
        <v>1682</v>
      </c>
      <c r="U42" s="72"/>
    </row>
    <row r="43" spans="1:21" ht="21">
      <c r="A43" s="6" t="s">
        <v>279</v>
      </c>
      <c r="B43" s="6" t="s">
        <v>280</v>
      </c>
      <c r="C43" s="73"/>
      <c r="D43" s="73"/>
      <c r="E43" s="73"/>
      <c r="F43" s="73"/>
      <c r="G43" s="74"/>
      <c r="H43" s="75"/>
      <c r="I43" s="72"/>
      <c r="J43" s="6" t="s">
        <v>281</v>
      </c>
      <c r="K43" s="84" t="s">
        <v>282</v>
      </c>
      <c r="L43" s="76"/>
      <c r="M43" s="76"/>
      <c r="N43" s="76"/>
      <c r="O43" s="76" t="s">
        <v>1683</v>
      </c>
      <c r="P43" s="77"/>
      <c r="Q43" s="77"/>
      <c r="R43" s="77"/>
      <c r="S43" s="77" t="s">
        <v>18</v>
      </c>
      <c r="T43" s="78" t="s">
        <v>1684</v>
      </c>
      <c r="U43" s="72"/>
    </row>
    <row r="44" spans="1:21" ht="36">
      <c r="A44" s="6" t="s">
        <v>286</v>
      </c>
      <c r="B44" s="6" t="s">
        <v>54</v>
      </c>
      <c r="C44" s="73"/>
      <c r="D44" s="73"/>
      <c r="E44" s="73"/>
      <c r="F44" s="73"/>
      <c r="G44" s="74"/>
      <c r="H44" s="75"/>
      <c r="I44" s="72"/>
      <c r="J44" s="6" t="s">
        <v>287</v>
      </c>
      <c r="K44" s="84" t="s">
        <v>288</v>
      </c>
      <c r="L44" s="76"/>
      <c r="M44" s="76"/>
      <c r="N44" s="76"/>
      <c r="O44" s="76" t="s">
        <v>1685</v>
      </c>
      <c r="P44" s="77"/>
      <c r="Q44" s="77"/>
      <c r="R44" s="77"/>
      <c r="S44" s="77" t="s">
        <v>1562</v>
      </c>
      <c r="T44" s="78" t="s">
        <v>1686</v>
      </c>
      <c r="U44" s="72"/>
    </row>
    <row r="45" spans="1:21" ht="36">
      <c r="A45" s="6" t="s">
        <v>292</v>
      </c>
      <c r="B45" s="6" t="s">
        <v>293</v>
      </c>
      <c r="C45" s="73"/>
      <c r="D45" s="73"/>
      <c r="E45" s="73"/>
      <c r="F45" s="73"/>
      <c r="G45" s="74"/>
      <c r="H45" s="75"/>
      <c r="I45" s="72"/>
      <c r="J45" s="6" t="s">
        <v>294</v>
      </c>
      <c r="K45" s="84" t="s">
        <v>295</v>
      </c>
      <c r="L45" s="76" t="s">
        <v>1581</v>
      </c>
      <c r="M45" s="76"/>
      <c r="N45" s="76"/>
      <c r="O45" s="76" t="s">
        <v>1687</v>
      </c>
      <c r="P45" s="77"/>
      <c r="Q45" s="77"/>
      <c r="R45" s="77"/>
      <c r="S45" s="77" t="s">
        <v>1567</v>
      </c>
      <c r="T45" s="78" t="s">
        <v>1688</v>
      </c>
      <c r="U45" s="72"/>
    </row>
    <row r="46" spans="1:21" ht="21">
      <c r="A46" s="6" t="s">
        <v>298</v>
      </c>
      <c r="B46" s="6" t="s">
        <v>299</v>
      </c>
      <c r="C46" s="73"/>
      <c r="D46" s="73"/>
      <c r="E46" s="73"/>
      <c r="F46" s="73"/>
      <c r="G46" s="74"/>
      <c r="H46" s="75"/>
      <c r="I46" s="72"/>
      <c r="J46" s="6" t="s">
        <v>39</v>
      </c>
      <c r="K46" s="84" t="s">
        <v>40</v>
      </c>
      <c r="L46" s="76"/>
      <c r="M46" s="76"/>
      <c r="N46" s="76"/>
      <c r="O46" s="76" t="s">
        <v>1689</v>
      </c>
      <c r="P46" s="77"/>
      <c r="Q46" s="77"/>
      <c r="R46" s="77"/>
      <c r="S46" s="77" t="s">
        <v>18</v>
      </c>
      <c r="T46" s="78" t="s">
        <v>1690</v>
      </c>
      <c r="U46" s="72"/>
    </row>
    <row r="47" spans="1:21" ht="21">
      <c r="A47" s="6" t="s">
        <v>302</v>
      </c>
      <c r="B47" s="6" t="s">
        <v>303</v>
      </c>
      <c r="C47" s="73"/>
      <c r="D47" s="73"/>
      <c r="E47" s="73"/>
      <c r="F47" s="73"/>
      <c r="G47" s="74"/>
      <c r="H47" s="75"/>
      <c r="I47" s="72"/>
      <c r="J47" s="6" t="s">
        <v>304</v>
      </c>
      <c r="K47" s="84" t="s">
        <v>305</v>
      </c>
      <c r="L47" s="76"/>
      <c r="M47" s="76"/>
      <c r="N47" s="76"/>
      <c r="O47" s="76" t="s">
        <v>1691</v>
      </c>
      <c r="P47" s="77"/>
      <c r="Q47" s="77"/>
      <c r="R47" s="77"/>
      <c r="S47" s="77" t="s">
        <v>1574</v>
      </c>
      <c r="T47" s="78" t="s">
        <v>1692</v>
      </c>
      <c r="U47" s="72"/>
    </row>
    <row r="48" spans="1:21" ht="21">
      <c r="A48" s="6" t="s">
        <v>309</v>
      </c>
      <c r="B48" s="6" t="s">
        <v>310</v>
      </c>
      <c r="C48" s="73"/>
      <c r="D48" s="73"/>
      <c r="E48" s="73"/>
      <c r="F48" s="73"/>
      <c r="G48" s="74"/>
      <c r="H48" s="75"/>
      <c r="I48" s="72"/>
      <c r="J48" s="6" t="s">
        <v>311</v>
      </c>
      <c r="K48" s="84" t="s">
        <v>312</v>
      </c>
      <c r="L48" s="76"/>
      <c r="M48" s="76"/>
      <c r="N48" s="76"/>
      <c r="O48" s="76" t="s">
        <v>1693</v>
      </c>
      <c r="P48" s="77"/>
      <c r="Q48" s="77"/>
      <c r="R48" s="77"/>
      <c r="S48" s="77" t="s">
        <v>1593</v>
      </c>
      <c r="T48" s="78" t="s">
        <v>1694</v>
      </c>
      <c r="U48" s="72"/>
    </row>
    <row r="49" spans="1:21" ht="21">
      <c r="A49" s="6" t="s">
        <v>315</v>
      </c>
      <c r="B49" s="6" t="s">
        <v>316</v>
      </c>
      <c r="C49" s="73"/>
      <c r="D49" s="73"/>
      <c r="E49" s="73"/>
      <c r="F49" s="73"/>
      <c r="G49" s="74"/>
      <c r="H49" s="75"/>
      <c r="I49" s="72"/>
      <c r="J49" s="6" t="s">
        <v>317</v>
      </c>
      <c r="K49" s="84" t="s">
        <v>318</v>
      </c>
      <c r="L49" s="76" t="s">
        <v>1222</v>
      </c>
      <c r="M49" s="76"/>
      <c r="N49" s="76"/>
      <c r="O49" s="76" t="s">
        <v>1695</v>
      </c>
      <c r="P49" s="77"/>
      <c r="Q49" s="77"/>
      <c r="R49" s="77"/>
      <c r="S49" s="77" t="s">
        <v>21</v>
      </c>
      <c r="T49" s="78" t="s">
        <v>1696</v>
      </c>
      <c r="U49" s="72"/>
    </row>
    <row r="50" spans="1:21" ht="21">
      <c r="A50" s="6" t="s">
        <v>322</v>
      </c>
      <c r="B50" s="6" t="s">
        <v>162</v>
      </c>
      <c r="C50" s="73"/>
      <c r="D50" s="73"/>
      <c r="E50" s="73"/>
      <c r="F50" s="73"/>
      <c r="G50" s="74"/>
      <c r="H50" s="75"/>
      <c r="I50" s="72"/>
      <c r="J50" s="6" t="s">
        <v>323</v>
      </c>
      <c r="K50" s="84" t="s">
        <v>185</v>
      </c>
      <c r="L50" s="76"/>
      <c r="M50" s="76"/>
      <c r="N50" s="76"/>
      <c r="O50" s="76" t="s">
        <v>1697</v>
      </c>
      <c r="P50" s="77"/>
      <c r="Q50" s="77"/>
      <c r="R50" s="77"/>
      <c r="S50" s="77" t="s">
        <v>18</v>
      </c>
      <c r="T50" s="78" t="s">
        <v>1698</v>
      </c>
      <c r="U50" s="72"/>
    </row>
    <row r="51" spans="1:21" ht="21">
      <c r="A51" s="6" t="s">
        <v>326</v>
      </c>
      <c r="B51" s="6" t="s">
        <v>94</v>
      </c>
      <c r="C51" s="73"/>
      <c r="D51" s="73"/>
      <c r="E51" s="73"/>
      <c r="F51" s="73"/>
      <c r="G51" s="74"/>
      <c r="H51" s="75"/>
      <c r="I51" s="72"/>
      <c r="J51" s="6" t="s">
        <v>327</v>
      </c>
      <c r="K51" s="84" t="s">
        <v>328</v>
      </c>
      <c r="L51" s="76"/>
      <c r="M51" s="76"/>
      <c r="N51" s="76"/>
      <c r="O51" s="76" t="s">
        <v>1699</v>
      </c>
      <c r="P51" s="77"/>
      <c r="Q51" s="77"/>
      <c r="R51" s="77"/>
      <c r="S51" s="77" t="s">
        <v>1593</v>
      </c>
      <c r="T51" s="78" t="s">
        <v>1700</v>
      </c>
      <c r="U51" s="72"/>
    </row>
    <row r="52" spans="1:21" ht="21">
      <c r="A52" s="6" t="s">
        <v>331</v>
      </c>
      <c r="B52" s="6" t="s">
        <v>332</v>
      </c>
      <c r="C52" s="73"/>
      <c r="D52" s="73"/>
      <c r="E52" s="73"/>
      <c r="F52" s="73"/>
      <c r="G52" s="74"/>
      <c r="H52" s="75"/>
      <c r="I52" s="72"/>
      <c r="J52" s="6" t="s">
        <v>217</v>
      </c>
      <c r="K52" s="84" t="s">
        <v>68</v>
      </c>
      <c r="L52" s="76"/>
      <c r="M52" s="76"/>
      <c r="N52" s="76"/>
      <c r="O52" s="76" t="s">
        <v>1701</v>
      </c>
      <c r="P52" s="77"/>
      <c r="Q52" s="77"/>
      <c r="R52" s="77"/>
      <c r="S52" s="77" t="s">
        <v>1583</v>
      </c>
      <c r="T52" s="78" t="s">
        <v>1702</v>
      </c>
      <c r="U52" s="72"/>
    </row>
    <row r="53" spans="1:21" ht="36">
      <c r="A53" s="6" t="s">
        <v>334</v>
      </c>
      <c r="B53" s="6" t="s">
        <v>335</v>
      </c>
      <c r="C53" s="73"/>
      <c r="D53" s="73"/>
      <c r="E53" s="73"/>
      <c r="F53" s="73"/>
      <c r="G53" s="74"/>
      <c r="H53" s="75"/>
      <c r="I53" s="72"/>
      <c r="J53" s="6" t="s">
        <v>336</v>
      </c>
      <c r="K53" s="84" t="s">
        <v>337</v>
      </c>
      <c r="L53" s="76"/>
      <c r="M53" s="76"/>
      <c r="N53" s="76"/>
      <c r="O53" s="76" t="s">
        <v>1703</v>
      </c>
      <c r="P53" s="77"/>
      <c r="Q53" s="77"/>
      <c r="R53" s="77"/>
      <c r="S53" s="77" t="s">
        <v>1562</v>
      </c>
      <c r="T53" s="78" t="s">
        <v>1704</v>
      </c>
      <c r="U53" s="72"/>
    </row>
    <row r="54" spans="1:21" ht="21">
      <c r="A54" s="6" t="s">
        <v>339</v>
      </c>
      <c r="B54" s="6" t="s">
        <v>340</v>
      </c>
      <c r="C54" s="73"/>
      <c r="D54" s="73"/>
      <c r="E54" s="73"/>
      <c r="F54" s="73"/>
      <c r="G54" s="74"/>
      <c r="H54" s="75"/>
      <c r="I54" s="72"/>
      <c r="J54" s="6" t="s">
        <v>341</v>
      </c>
      <c r="K54" s="84" t="s">
        <v>342</v>
      </c>
      <c r="L54" s="76"/>
      <c r="M54" s="76"/>
      <c r="N54" s="76"/>
      <c r="O54" s="76" t="s">
        <v>1705</v>
      </c>
      <c r="P54" s="77"/>
      <c r="Q54" s="77"/>
      <c r="R54" s="77"/>
      <c r="S54" s="77" t="s">
        <v>1593</v>
      </c>
      <c r="T54" s="78" t="s">
        <v>1706</v>
      </c>
      <c r="U54" s="72"/>
    </row>
    <row r="55" spans="1:21" ht="21">
      <c r="A55" s="6" t="s">
        <v>346</v>
      </c>
      <c r="B55" s="6" t="s">
        <v>347</v>
      </c>
      <c r="C55" s="73"/>
      <c r="D55" s="73"/>
      <c r="E55" s="73"/>
      <c r="F55" s="73"/>
      <c r="G55" s="74"/>
      <c r="H55" s="75"/>
      <c r="I55" s="72"/>
      <c r="J55" s="6" t="s">
        <v>348</v>
      </c>
      <c r="K55" s="84" t="s">
        <v>349</v>
      </c>
      <c r="L55" s="76" t="s">
        <v>1581</v>
      </c>
      <c r="M55" s="76"/>
      <c r="N55" s="76"/>
      <c r="O55" s="81" t="s">
        <v>1707</v>
      </c>
      <c r="P55" s="77"/>
      <c r="Q55" s="77"/>
      <c r="R55" s="77"/>
      <c r="S55" s="77" t="s">
        <v>21</v>
      </c>
      <c r="T55" s="78" t="s">
        <v>1708</v>
      </c>
      <c r="U55" s="72"/>
    </row>
    <row r="56" spans="1:21" ht="21">
      <c r="A56" s="6" t="s">
        <v>353</v>
      </c>
      <c r="B56" s="6" t="s">
        <v>354</v>
      </c>
      <c r="C56" s="73"/>
      <c r="D56" s="73"/>
      <c r="E56" s="73"/>
      <c r="F56" s="73"/>
      <c r="G56" s="74"/>
      <c r="H56" s="75"/>
      <c r="I56" s="72"/>
      <c r="J56" s="6" t="s">
        <v>355</v>
      </c>
      <c r="K56" s="84" t="s">
        <v>356</v>
      </c>
      <c r="L56" s="76"/>
      <c r="M56" s="76"/>
      <c r="N56" s="76"/>
      <c r="O56" s="76" t="s">
        <v>1709</v>
      </c>
      <c r="P56" s="77"/>
      <c r="Q56" s="77"/>
      <c r="R56" s="77"/>
      <c r="S56" s="77" t="s">
        <v>1567</v>
      </c>
      <c r="T56" s="78" t="s">
        <v>1710</v>
      </c>
      <c r="U56" s="72"/>
    </row>
    <row r="57" spans="1:21" ht="21">
      <c r="A57" s="6" t="s">
        <v>358</v>
      </c>
      <c r="B57" s="6" t="s">
        <v>359</v>
      </c>
      <c r="C57" s="73"/>
      <c r="D57" s="73"/>
      <c r="E57" s="73"/>
      <c r="F57" s="73"/>
      <c r="G57" s="74"/>
      <c r="H57" s="75"/>
      <c r="I57" s="72"/>
      <c r="J57" s="6" t="s">
        <v>360</v>
      </c>
      <c r="K57" s="84" t="s">
        <v>361</v>
      </c>
      <c r="L57" s="76"/>
      <c r="M57" s="76"/>
      <c r="N57" s="76"/>
      <c r="O57" s="76" t="s">
        <v>1711</v>
      </c>
      <c r="P57" s="77"/>
      <c r="Q57" s="77"/>
      <c r="R57" s="77"/>
      <c r="S57" s="77" t="s">
        <v>1593</v>
      </c>
      <c r="T57" s="78" t="s">
        <v>1712</v>
      </c>
      <c r="U57" s="72"/>
    </row>
    <row r="58" spans="1:21" ht="21">
      <c r="A58" s="6" t="s">
        <v>365</v>
      </c>
      <c r="B58" s="6" t="s">
        <v>366</v>
      </c>
      <c r="C58" s="73"/>
      <c r="D58" s="73"/>
      <c r="E58" s="73"/>
      <c r="F58" s="73"/>
      <c r="G58" s="74"/>
      <c r="H58" s="75"/>
      <c r="I58" s="72"/>
      <c r="J58" s="6" t="s">
        <v>367</v>
      </c>
      <c r="K58" s="84" t="s">
        <v>368</v>
      </c>
      <c r="L58" s="76"/>
      <c r="M58" s="76"/>
      <c r="N58" s="76"/>
      <c r="O58" s="76" t="s">
        <v>1713</v>
      </c>
      <c r="P58" s="77"/>
      <c r="Q58" s="77"/>
      <c r="R58" s="77"/>
      <c r="S58" s="77" t="s">
        <v>1593</v>
      </c>
      <c r="T58" s="78" t="s">
        <v>1714</v>
      </c>
      <c r="U58" s="72"/>
    </row>
    <row r="59" spans="1:21" ht="36">
      <c r="A59" s="6" t="s">
        <v>371</v>
      </c>
      <c r="B59" s="6" t="s">
        <v>372</v>
      </c>
      <c r="C59" s="73"/>
      <c r="D59" s="73"/>
      <c r="E59" s="73"/>
      <c r="F59" s="73"/>
      <c r="G59" s="74"/>
      <c r="H59" s="75"/>
      <c r="I59" s="72"/>
      <c r="J59" s="6" t="s">
        <v>210</v>
      </c>
      <c r="K59" s="84" t="s">
        <v>211</v>
      </c>
      <c r="L59" s="76"/>
      <c r="M59" s="76"/>
      <c r="N59" s="76"/>
      <c r="O59" s="76" t="s">
        <v>1715</v>
      </c>
      <c r="P59" s="77"/>
      <c r="Q59" s="77"/>
      <c r="R59" s="77"/>
      <c r="S59" s="77" t="s">
        <v>1583</v>
      </c>
      <c r="T59" s="78" t="s">
        <v>1716</v>
      </c>
      <c r="U59" s="72"/>
    </row>
    <row r="60" spans="1:21" ht="21">
      <c r="A60" s="6" t="s">
        <v>376</v>
      </c>
      <c r="B60" s="6" t="s">
        <v>278</v>
      </c>
      <c r="C60" s="73"/>
      <c r="D60" s="73"/>
      <c r="E60" s="73"/>
      <c r="F60" s="73"/>
      <c r="G60" s="74"/>
      <c r="H60" s="75"/>
      <c r="I60" s="72"/>
      <c r="J60" s="6" t="s">
        <v>377</v>
      </c>
      <c r="K60" s="84" t="s">
        <v>378</v>
      </c>
      <c r="L60" s="76"/>
      <c r="M60" s="76"/>
      <c r="N60" s="76"/>
      <c r="O60" s="76" t="s">
        <v>1717</v>
      </c>
      <c r="P60" s="77"/>
      <c r="Q60" s="77"/>
      <c r="R60" s="77"/>
      <c r="S60" s="77" t="s">
        <v>1562</v>
      </c>
      <c r="T60" s="78" t="s">
        <v>1718</v>
      </c>
      <c r="U60" s="72"/>
    </row>
    <row r="61" spans="1:21" ht="21">
      <c r="A61" s="6" t="s">
        <v>382</v>
      </c>
      <c r="B61" s="6" t="s">
        <v>383</v>
      </c>
      <c r="C61" s="73"/>
      <c r="D61" s="73"/>
      <c r="E61" s="73"/>
      <c r="F61" s="73"/>
      <c r="G61" s="74"/>
      <c r="H61" s="75"/>
      <c r="I61" s="72"/>
      <c r="J61" s="6" t="s">
        <v>384</v>
      </c>
      <c r="K61" s="84" t="s">
        <v>385</v>
      </c>
      <c r="L61" s="76"/>
      <c r="M61" s="76"/>
      <c r="N61" s="76"/>
      <c r="O61" s="76" t="s">
        <v>1719</v>
      </c>
      <c r="P61" s="77"/>
      <c r="Q61" s="77"/>
      <c r="R61" s="77"/>
      <c r="S61" s="77" t="s">
        <v>1593</v>
      </c>
      <c r="T61" s="78" t="s">
        <v>1720</v>
      </c>
      <c r="U61" s="72"/>
    </row>
    <row r="62" spans="1:21" ht="21">
      <c r="A62" s="6" t="s">
        <v>387</v>
      </c>
      <c r="B62" s="6" t="s">
        <v>388</v>
      </c>
      <c r="C62" s="73"/>
      <c r="D62" s="73"/>
      <c r="E62" s="73"/>
      <c r="F62" s="73"/>
      <c r="G62" s="74"/>
      <c r="H62" s="75"/>
      <c r="I62" s="72"/>
      <c r="J62" s="6" t="s">
        <v>389</v>
      </c>
      <c r="K62" s="84" t="s">
        <v>390</v>
      </c>
      <c r="L62" s="76"/>
      <c r="M62" s="76"/>
      <c r="N62" s="76"/>
      <c r="O62" s="76" t="s">
        <v>1721</v>
      </c>
      <c r="P62" s="77"/>
      <c r="Q62" s="77"/>
      <c r="R62" s="77"/>
      <c r="S62" s="77" t="s">
        <v>1562</v>
      </c>
      <c r="T62" s="78" t="s">
        <v>1722</v>
      </c>
      <c r="U62" s="72"/>
    </row>
    <row r="63" spans="1:21" ht="21">
      <c r="A63" s="6" t="s">
        <v>393</v>
      </c>
      <c r="B63" s="6" t="s">
        <v>394</v>
      </c>
      <c r="C63" s="73"/>
      <c r="D63" s="73"/>
      <c r="E63" s="73"/>
      <c r="F63" s="73"/>
      <c r="G63" s="74"/>
      <c r="H63" s="75"/>
      <c r="I63" s="72"/>
      <c r="J63" s="6" t="s">
        <v>395</v>
      </c>
      <c r="K63" s="84" t="s">
        <v>396</v>
      </c>
      <c r="L63" s="76"/>
      <c r="M63" s="76"/>
      <c r="N63" s="76"/>
      <c r="O63" s="76" t="s">
        <v>1723</v>
      </c>
      <c r="P63" s="77"/>
      <c r="Q63" s="77"/>
      <c r="R63" s="77"/>
      <c r="S63" s="77" t="s">
        <v>1567</v>
      </c>
      <c r="T63" s="78" t="s">
        <v>1724</v>
      </c>
      <c r="U63" s="72"/>
    </row>
    <row r="64" spans="1:21" ht="36">
      <c r="A64" s="6" t="s">
        <v>399</v>
      </c>
      <c r="B64" s="6" t="s">
        <v>400</v>
      </c>
      <c r="C64" s="73"/>
      <c r="D64" s="73"/>
      <c r="E64" s="73"/>
      <c r="F64" s="73"/>
      <c r="G64" s="74"/>
      <c r="H64" s="75"/>
      <c r="I64" s="72"/>
      <c r="J64" s="6" t="s">
        <v>401</v>
      </c>
      <c r="K64" s="84" t="s">
        <v>402</v>
      </c>
      <c r="L64" s="76"/>
      <c r="M64" s="76"/>
      <c r="N64" s="76"/>
      <c r="O64" s="76" t="s">
        <v>1725</v>
      </c>
      <c r="P64" s="77"/>
      <c r="Q64" s="77"/>
      <c r="R64" s="77"/>
      <c r="S64" s="77" t="s">
        <v>1562</v>
      </c>
      <c r="T64" s="78" t="s">
        <v>1726</v>
      </c>
      <c r="U64" s="72"/>
    </row>
    <row r="65" spans="1:21" ht="21">
      <c r="A65" s="6" t="s">
        <v>404</v>
      </c>
      <c r="B65" s="6" t="s">
        <v>405</v>
      </c>
      <c r="C65" s="73"/>
      <c r="D65" s="73"/>
      <c r="E65" s="73"/>
      <c r="F65" s="73"/>
      <c r="G65" s="74"/>
      <c r="H65" s="75"/>
      <c r="I65" s="72"/>
      <c r="J65" s="6" t="s">
        <v>374</v>
      </c>
      <c r="K65" s="84" t="s">
        <v>375</v>
      </c>
      <c r="L65" s="76"/>
      <c r="M65" s="76"/>
      <c r="N65" s="76"/>
      <c r="O65" s="76" t="s">
        <v>1677</v>
      </c>
      <c r="P65" s="77"/>
      <c r="Q65" s="77"/>
      <c r="R65" s="77"/>
      <c r="S65" s="77" t="s">
        <v>1583</v>
      </c>
      <c r="T65" s="78" t="s">
        <v>1727</v>
      </c>
      <c r="U65" s="72"/>
    </row>
    <row r="66" spans="1:21" ht="21">
      <c r="A66" s="6" t="s">
        <v>409</v>
      </c>
      <c r="B66" s="6" t="s">
        <v>308</v>
      </c>
      <c r="C66" s="73"/>
      <c r="D66" s="73"/>
      <c r="E66" s="73"/>
      <c r="F66" s="73"/>
      <c r="G66" s="74"/>
      <c r="H66" s="75"/>
      <c r="I66" s="72"/>
      <c r="J66" s="6" t="s">
        <v>230</v>
      </c>
      <c r="K66" s="84" t="s">
        <v>231</v>
      </c>
      <c r="L66" s="76"/>
      <c r="M66" s="76"/>
      <c r="N66" s="76"/>
      <c r="O66" s="76" t="s">
        <v>1728</v>
      </c>
      <c r="P66" s="77"/>
      <c r="Q66" s="77"/>
      <c r="R66" s="77"/>
      <c r="S66" s="77" t="s">
        <v>18</v>
      </c>
      <c r="T66" s="78" t="s">
        <v>1729</v>
      </c>
      <c r="U66" s="72"/>
    </row>
    <row r="67" spans="1:21" ht="36">
      <c r="A67" s="6" t="s">
        <v>413</v>
      </c>
      <c r="B67" s="6" t="s">
        <v>414</v>
      </c>
      <c r="C67" s="73"/>
      <c r="D67" s="73"/>
      <c r="E67" s="73"/>
      <c r="F67" s="73"/>
      <c r="G67" s="74"/>
      <c r="H67" s="75"/>
      <c r="I67" s="72"/>
      <c r="J67" s="6" t="s">
        <v>86</v>
      </c>
      <c r="K67" s="84" t="s">
        <v>87</v>
      </c>
      <c r="L67" s="76"/>
      <c r="M67" s="76"/>
      <c r="N67" s="76"/>
      <c r="O67" s="76" t="s">
        <v>1730</v>
      </c>
      <c r="P67" s="77"/>
      <c r="Q67" s="77"/>
      <c r="R67" s="77"/>
      <c r="S67" s="77" t="s">
        <v>1593</v>
      </c>
      <c r="T67" s="78" t="s">
        <v>1731</v>
      </c>
      <c r="U67" s="72"/>
    </row>
    <row r="68" spans="1:21" ht="21">
      <c r="A68" s="6" t="s">
        <v>416</v>
      </c>
      <c r="B68" s="6" t="s">
        <v>417</v>
      </c>
      <c r="C68" s="73"/>
      <c r="D68" s="73"/>
      <c r="E68" s="73"/>
      <c r="F68" s="73"/>
      <c r="G68" s="74"/>
      <c r="H68" s="75"/>
      <c r="I68" s="72"/>
      <c r="J68" s="6" t="s">
        <v>100</v>
      </c>
      <c r="K68" s="84" t="s">
        <v>101</v>
      </c>
      <c r="L68" s="76" t="s">
        <v>1581</v>
      </c>
      <c r="M68" s="76"/>
      <c r="N68" s="76"/>
      <c r="O68" s="76" t="s">
        <v>1732</v>
      </c>
      <c r="P68" s="77"/>
      <c r="Q68" s="77"/>
      <c r="R68" s="77"/>
      <c r="S68" s="77" t="s">
        <v>21</v>
      </c>
      <c r="T68" s="78" t="s">
        <v>1733</v>
      </c>
      <c r="U68" s="72"/>
    </row>
    <row r="69" spans="1:21" ht="36">
      <c r="A69" s="6" t="s">
        <v>421</v>
      </c>
      <c r="B69" s="6" t="s">
        <v>422</v>
      </c>
      <c r="C69" s="73"/>
      <c r="D69" s="73"/>
      <c r="E69" s="73"/>
      <c r="F69" s="73"/>
      <c r="G69" s="74"/>
      <c r="H69" s="75"/>
      <c r="I69" s="72"/>
      <c r="J69" s="6" t="s">
        <v>423</v>
      </c>
      <c r="K69" s="84" t="s">
        <v>424</v>
      </c>
      <c r="L69" s="76" t="s">
        <v>1581</v>
      </c>
      <c r="M69" s="76"/>
      <c r="N69" s="76"/>
      <c r="O69" s="76" t="s">
        <v>1734</v>
      </c>
      <c r="P69" s="77"/>
      <c r="Q69" s="77"/>
      <c r="R69" s="77"/>
      <c r="S69" s="77" t="s">
        <v>1583</v>
      </c>
      <c r="T69" s="78" t="s">
        <v>1735</v>
      </c>
      <c r="U69" s="72"/>
    </row>
    <row r="70" spans="1:21" ht="21">
      <c r="A70" s="6" t="s">
        <v>426</v>
      </c>
      <c r="B70" s="6" t="s">
        <v>427</v>
      </c>
      <c r="C70" s="73"/>
      <c r="D70" s="73"/>
      <c r="E70" s="73"/>
      <c r="F70" s="73"/>
      <c r="G70" s="74"/>
      <c r="H70" s="75"/>
      <c r="I70" s="72"/>
      <c r="J70" s="6" t="s">
        <v>428</v>
      </c>
      <c r="K70" s="84" t="s">
        <v>429</v>
      </c>
      <c r="L70" s="76"/>
      <c r="M70" s="76"/>
      <c r="N70" s="76"/>
      <c r="O70" s="76" t="s">
        <v>1736</v>
      </c>
      <c r="P70" s="77"/>
      <c r="Q70" s="77"/>
      <c r="R70" s="77"/>
      <c r="S70" s="77" t="s">
        <v>1567</v>
      </c>
      <c r="T70" s="78" t="s">
        <v>1737</v>
      </c>
      <c r="U70" s="72"/>
    </row>
    <row r="71" spans="1:21" ht="21">
      <c r="A71" s="6" t="s">
        <v>432</v>
      </c>
      <c r="B71" s="6" t="s">
        <v>149</v>
      </c>
      <c r="C71" s="73"/>
      <c r="D71" s="73"/>
      <c r="E71" s="73"/>
      <c r="F71" s="73"/>
      <c r="G71" s="74"/>
      <c r="H71" s="75"/>
      <c r="I71" s="72"/>
      <c r="J71" s="6" t="s">
        <v>261</v>
      </c>
      <c r="K71" s="84" t="s">
        <v>262</v>
      </c>
      <c r="L71" s="76" t="s">
        <v>1222</v>
      </c>
      <c r="M71" s="76"/>
      <c r="N71" s="76"/>
      <c r="O71" s="76" t="s">
        <v>1738</v>
      </c>
      <c r="P71" s="77"/>
      <c r="Q71" s="77"/>
      <c r="R71" s="77"/>
      <c r="S71" s="77" t="s">
        <v>1567</v>
      </c>
      <c r="T71" s="78" t="s">
        <v>1739</v>
      </c>
      <c r="U71" s="72"/>
    </row>
    <row r="72" spans="1:21" ht="36">
      <c r="A72" s="6" t="s">
        <v>435</v>
      </c>
      <c r="B72" s="6" t="s">
        <v>436</v>
      </c>
      <c r="C72" s="73"/>
      <c r="D72" s="73"/>
      <c r="E72" s="73"/>
      <c r="F72" s="73"/>
      <c r="G72" s="74"/>
      <c r="H72" s="75"/>
      <c r="I72" s="72"/>
      <c r="J72" s="6" t="s">
        <v>437</v>
      </c>
      <c r="K72" s="84" t="s">
        <v>438</v>
      </c>
      <c r="L72" s="76"/>
      <c r="M72" s="76"/>
      <c r="N72" s="76"/>
      <c r="O72" s="76" t="s">
        <v>1740</v>
      </c>
      <c r="P72" s="77"/>
      <c r="Q72" s="77"/>
      <c r="R72" s="77"/>
      <c r="S72" s="77" t="s">
        <v>18</v>
      </c>
      <c r="T72" s="78" t="s">
        <v>1741</v>
      </c>
      <c r="U72" s="72"/>
    </row>
    <row r="73" spans="1:21" ht="21">
      <c r="A73" s="6" t="s">
        <v>442</v>
      </c>
      <c r="B73" s="6" t="s">
        <v>443</v>
      </c>
      <c r="C73" s="73"/>
      <c r="D73" s="73"/>
      <c r="E73" s="73"/>
      <c r="F73" s="73"/>
      <c r="G73" s="74"/>
      <c r="H73" s="75"/>
      <c r="I73" s="72"/>
      <c r="J73" s="6" t="s">
        <v>444</v>
      </c>
      <c r="K73" s="84" t="s">
        <v>445</v>
      </c>
      <c r="L73" s="76"/>
      <c r="M73" s="76"/>
      <c r="N73" s="76"/>
      <c r="O73" s="76" t="s">
        <v>1742</v>
      </c>
      <c r="P73" s="77"/>
      <c r="Q73" s="77"/>
      <c r="R73" s="77"/>
      <c r="S73" s="77" t="s">
        <v>1574</v>
      </c>
      <c r="T73" s="78">
        <v>6</v>
      </c>
      <c r="U73" s="72"/>
    </row>
    <row r="74" spans="1:21" ht="21">
      <c r="A74" s="6" t="s">
        <v>447</v>
      </c>
      <c r="B74" s="6" t="s">
        <v>47</v>
      </c>
      <c r="C74" s="73"/>
      <c r="D74" s="73"/>
      <c r="E74" s="73"/>
      <c r="F74" s="73"/>
      <c r="G74" s="74"/>
      <c r="H74" s="75"/>
      <c r="I74" s="72"/>
      <c r="J74" s="6" t="s">
        <v>448</v>
      </c>
      <c r="K74" s="84" t="s">
        <v>449</v>
      </c>
      <c r="L74" s="76" t="s">
        <v>1222</v>
      </c>
      <c r="M74" s="76"/>
      <c r="N74" s="76"/>
      <c r="O74" s="76" t="s">
        <v>1743</v>
      </c>
      <c r="P74" s="77"/>
      <c r="Q74" s="77"/>
      <c r="R74" s="77"/>
      <c r="S74" s="77" t="s">
        <v>18</v>
      </c>
      <c r="T74" s="78" t="s">
        <v>1744</v>
      </c>
      <c r="U74" s="72"/>
    </row>
    <row r="75" spans="1:21" ht="21">
      <c r="A75" s="6" t="s">
        <v>451</v>
      </c>
      <c r="B75" s="6" t="s">
        <v>169</v>
      </c>
      <c r="C75" s="73"/>
      <c r="D75" s="73"/>
      <c r="E75" s="73"/>
      <c r="F75" s="73"/>
      <c r="G75" s="74"/>
      <c r="H75" s="75"/>
      <c r="I75" s="72"/>
      <c r="J75" s="6" t="s">
        <v>452</v>
      </c>
      <c r="K75" s="84" t="s">
        <v>453</v>
      </c>
      <c r="L75" s="76"/>
      <c r="M75" s="76"/>
      <c r="N75" s="76"/>
      <c r="O75" s="76" t="s">
        <v>1745</v>
      </c>
      <c r="P75" s="77"/>
      <c r="Q75" s="77"/>
      <c r="R75" s="77"/>
      <c r="S75" s="77" t="s">
        <v>1567</v>
      </c>
      <c r="T75" s="78" t="s">
        <v>1746</v>
      </c>
      <c r="U75" s="72"/>
    </row>
    <row r="76" spans="1:21" ht="21">
      <c r="A76" s="6" t="s">
        <v>455</v>
      </c>
      <c r="B76" s="6" t="s">
        <v>197</v>
      </c>
      <c r="C76" s="73"/>
      <c r="D76" s="73"/>
      <c r="E76" s="73"/>
      <c r="F76" s="73"/>
      <c r="G76" s="74"/>
      <c r="H76" s="75"/>
      <c r="I76" s="72"/>
      <c r="J76" s="6" t="s">
        <v>456</v>
      </c>
      <c r="K76" s="84" t="s">
        <v>457</v>
      </c>
      <c r="L76" s="76"/>
      <c r="M76" s="76"/>
      <c r="N76" s="76"/>
      <c r="O76" s="76" t="s">
        <v>1747</v>
      </c>
      <c r="P76" s="77"/>
      <c r="Q76" s="77"/>
      <c r="R76" s="77"/>
      <c r="S76" s="77" t="s">
        <v>1562</v>
      </c>
      <c r="T76" s="78" t="s">
        <v>1748</v>
      </c>
      <c r="U76" s="72"/>
    </row>
    <row r="77" spans="1:21" ht="21">
      <c r="A77" s="6" t="s">
        <v>461</v>
      </c>
      <c r="B77" s="6" t="s">
        <v>378</v>
      </c>
      <c r="C77" s="73"/>
      <c r="D77" s="73"/>
      <c r="E77" s="73"/>
      <c r="F77" s="73"/>
      <c r="G77" s="74"/>
      <c r="H77" s="75"/>
      <c r="I77" s="72"/>
      <c r="J77" s="6" t="s">
        <v>462</v>
      </c>
      <c r="K77" s="84" t="s">
        <v>463</v>
      </c>
      <c r="L77" s="76"/>
      <c r="M77" s="76"/>
      <c r="N77" s="76"/>
      <c r="O77" s="76" t="s">
        <v>1749</v>
      </c>
      <c r="P77" s="77"/>
      <c r="Q77" s="77"/>
      <c r="R77" s="77"/>
      <c r="S77" s="77" t="s">
        <v>1562</v>
      </c>
      <c r="T77" s="78" t="s">
        <v>1750</v>
      </c>
      <c r="U77" s="72"/>
    </row>
    <row r="78" spans="1:21" ht="21">
      <c r="A78" s="6" t="s">
        <v>467</v>
      </c>
      <c r="B78" s="6" t="s">
        <v>30</v>
      </c>
      <c r="C78" s="73"/>
      <c r="D78" s="73"/>
      <c r="E78" s="73"/>
      <c r="F78" s="73"/>
      <c r="G78" s="74"/>
      <c r="H78" s="75"/>
      <c r="I78" s="72"/>
      <c r="J78" s="6" t="s">
        <v>468</v>
      </c>
      <c r="K78" s="84" t="s">
        <v>469</v>
      </c>
      <c r="L78" s="76"/>
      <c r="M78" s="76"/>
      <c r="N78" s="76"/>
      <c r="O78" s="76" t="s">
        <v>1605</v>
      </c>
      <c r="P78" s="77"/>
      <c r="Q78" s="77"/>
      <c r="R78" s="77"/>
      <c r="S78" s="77" t="s">
        <v>1562</v>
      </c>
      <c r="T78" s="78" t="s">
        <v>1751</v>
      </c>
      <c r="U78" s="72"/>
    </row>
    <row r="79" spans="1:21" ht="36">
      <c r="A79" s="6" t="s">
        <v>472</v>
      </c>
      <c r="B79" s="6" t="s">
        <v>473</v>
      </c>
      <c r="C79" s="73"/>
      <c r="D79" s="73"/>
      <c r="E79" s="73"/>
      <c r="F79" s="73"/>
      <c r="G79" s="74"/>
      <c r="H79" s="75"/>
      <c r="I79" s="72"/>
      <c r="J79" s="6" t="s">
        <v>175</v>
      </c>
      <c r="K79" s="84" t="s">
        <v>176</v>
      </c>
      <c r="L79" s="76" t="s">
        <v>1222</v>
      </c>
      <c r="M79" s="76" t="s">
        <v>1581</v>
      </c>
      <c r="N79" s="76"/>
      <c r="O79" s="76" t="s">
        <v>1752</v>
      </c>
      <c r="P79" s="77"/>
      <c r="Q79" s="77"/>
      <c r="R79" s="77"/>
      <c r="S79" s="77" t="s">
        <v>21</v>
      </c>
      <c r="T79" s="78" t="s">
        <v>1753</v>
      </c>
      <c r="U79" s="72"/>
    </row>
    <row r="80" spans="1:21" ht="21">
      <c r="A80" s="6" t="s">
        <v>475</v>
      </c>
      <c r="B80" s="6" t="s">
        <v>476</v>
      </c>
      <c r="C80" s="73"/>
      <c r="D80" s="73"/>
      <c r="E80" s="73"/>
      <c r="F80" s="73"/>
      <c r="G80" s="74"/>
      <c r="H80" s="75"/>
      <c r="I80" s="72"/>
      <c r="J80" s="6" t="s">
        <v>189</v>
      </c>
      <c r="K80" s="84" t="s">
        <v>190</v>
      </c>
      <c r="L80" s="76"/>
      <c r="M80" s="76"/>
      <c r="N80" s="76"/>
      <c r="O80" s="76" t="s">
        <v>1754</v>
      </c>
      <c r="P80" s="77"/>
      <c r="Q80" s="77"/>
      <c r="R80" s="77"/>
      <c r="S80" s="77" t="s">
        <v>1583</v>
      </c>
      <c r="T80" s="78" t="s">
        <v>1755</v>
      </c>
      <c r="U80" s="72"/>
    </row>
    <row r="81" spans="1:21" ht="21">
      <c r="A81" s="6" t="s">
        <v>478</v>
      </c>
      <c r="B81" s="6" t="s">
        <v>321</v>
      </c>
      <c r="C81" s="73"/>
      <c r="D81" s="73"/>
      <c r="E81" s="73"/>
      <c r="F81" s="73"/>
      <c r="G81" s="74"/>
      <c r="H81" s="75"/>
      <c r="I81" s="72"/>
      <c r="J81" s="6" t="s">
        <v>479</v>
      </c>
      <c r="K81" s="84" t="s">
        <v>480</v>
      </c>
      <c r="L81" s="76"/>
      <c r="M81" s="76"/>
      <c r="N81" s="76"/>
      <c r="O81" s="76" t="s">
        <v>1756</v>
      </c>
      <c r="P81" s="77"/>
      <c r="Q81" s="77"/>
      <c r="R81" s="77"/>
      <c r="S81" s="77" t="s">
        <v>1593</v>
      </c>
      <c r="T81" s="78" t="s">
        <v>1757</v>
      </c>
      <c r="U81" s="72"/>
    </row>
    <row r="82" spans="1:21" ht="21">
      <c r="A82" s="6" t="s">
        <v>483</v>
      </c>
      <c r="B82" s="6" t="s">
        <v>484</v>
      </c>
      <c r="C82" s="73"/>
      <c r="D82" s="73"/>
      <c r="E82" s="73"/>
      <c r="F82" s="73"/>
      <c r="G82" s="74"/>
      <c r="H82" s="75"/>
      <c r="I82" s="72"/>
      <c r="J82" s="6" t="s">
        <v>485</v>
      </c>
      <c r="K82" s="84" t="s">
        <v>486</v>
      </c>
      <c r="L82" s="76"/>
      <c r="M82" s="76"/>
      <c r="N82" s="76"/>
      <c r="O82" s="76" t="s">
        <v>1758</v>
      </c>
      <c r="P82" s="77"/>
      <c r="Q82" s="77"/>
      <c r="R82" s="77"/>
      <c r="S82" s="77" t="s">
        <v>1562</v>
      </c>
      <c r="T82" s="78" t="s">
        <v>1759</v>
      </c>
      <c r="U82" s="72"/>
    </row>
    <row r="83" spans="1:21" ht="21">
      <c r="A83" s="6" t="s">
        <v>488</v>
      </c>
      <c r="B83" s="6" t="s">
        <v>489</v>
      </c>
      <c r="C83" s="73"/>
      <c r="D83" s="73"/>
      <c r="E83" s="73"/>
      <c r="F83" s="73"/>
      <c r="G83" s="74"/>
      <c r="H83" s="75"/>
      <c r="I83" s="72"/>
      <c r="J83" s="6" t="s">
        <v>490</v>
      </c>
      <c r="K83" s="84" t="s">
        <v>491</v>
      </c>
      <c r="L83" s="76" t="s">
        <v>1222</v>
      </c>
      <c r="M83" s="76"/>
      <c r="N83" s="76"/>
      <c r="O83" s="76" t="s">
        <v>1760</v>
      </c>
      <c r="P83" s="77"/>
      <c r="Q83" s="77"/>
      <c r="R83" s="77"/>
      <c r="S83" s="77" t="s">
        <v>1583</v>
      </c>
      <c r="T83" s="78" t="s">
        <v>1761</v>
      </c>
      <c r="U83" s="72"/>
    </row>
    <row r="84" spans="1:21" ht="21">
      <c r="A84" s="6" t="s">
        <v>494</v>
      </c>
      <c r="B84" s="6" t="s">
        <v>495</v>
      </c>
      <c r="C84" s="73"/>
      <c r="D84" s="73"/>
      <c r="E84" s="73"/>
      <c r="F84" s="73"/>
      <c r="G84" s="74"/>
      <c r="H84" s="75"/>
      <c r="I84" s="72"/>
      <c r="J84" s="6" t="s">
        <v>496</v>
      </c>
      <c r="K84" s="84" t="s">
        <v>497</v>
      </c>
      <c r="L84" s="76"/>
      <c r="M84" s="76"/>
      <c r="N84" s="76"/>
      <c r="O84" s="76" t="s">
        <v>1762</v>
      </c>
      <c r="P84" s="77"/>
      <c r="Q84" s="77"/>
      <c r="R84" s="77"/>
      <c r="S84" s="77" t="s">
        <v>1562</v>
      </c>
      <c r="T84" s="78" t="s">
        <v>1763</v>
      </c>
      <c r="U84" s="72"/>
    </row>
    <row r="85" spans="1:21" ht="21">
      <c r="A85" s="6" t="s">
        <v>500</v>
      </c>
      <c r="B85" s="6" t="s">
        <v>501</v>
      </c>
      <c r="C85" s="73"/>
      <c r="D85" s="73"/>
      <c r="E85" s="73"/>
      <c r="F85" s="73"/>
      <c r="G85" s="74"/>
      <c r="H85" s="75"/>
      <c r="I85" s="72"/>
      <c r="J85" s="6" t="s">
        <v>502</v>
      </c>
      <c r="K85" s="84" t="s">
        <v>503</v>
      </c>
      <c r="L85" s="76"/>
      <c r="M85" s="76"/>
      <c r="N85" s="76"/>
      <c r="O85" s="76" t="s">
        <v>1764</v>
      </c>
      <c r="P85" s="77"/>
      <c r="Q85" s="77"/>
      <c r="R85" s="77"/>
      <c r="S85" s="77" t="s">
        <v>1567</v>
      </c>
      <c r="T85" s="78" t="s">
        <v>1765</v>
      </c>
      <c r="U85" s="72"/>
    </row>
    <row r="86" spans="1:21" ht="21">
      <c r="A86" s="6" t="s">
        <v>505</v>
      </c>
      <c r="B86" s="6" t="s">
        <v>506</v>
      </c>
      <c r="C86" s="73"/>
      <c r="D86" s="73"/>
      <c r="E86" s="73"/>
      <c r="F86" s="73"/>
      <c r="G86" s="74"/>
      <c r="H86" s="75"/>
      <c r="I86" s="72"/>
      <c r="J86" s="6" t="s">
        <v>507</v>
      </c>
      <c r="K86" s="84" t="s">
        <v>508</v>
      </c>
      <c r="L86" s="76"/>
      <c r="M86" s="76"/>
      <c r="N86" s="76"/>
      <c r="O86" s="76" t="s">
        <v>1766</v>
      </c>
      <c r="P86" s="77"/>
      <c r="Q86" s="77"/>
      <c r="R86" s="77"/>
      <c r="S86" s="77" t="s">
        <v>1562</v>
      </c>
      <c r="T86" s="78" t="s">
        <v>1767</v>
      </c>
      <c r="U86" s="72"/>
    </row>
    <row r="87" spans="1:21" ht="21">
      <c r="A87" s="6" t="s">
        <v>509</v>
      </c>
      <c r="B87" s="6" t="s">
        <v>237</v>
      </c>
      <c r="C87" s="73"/>
      <c r="D87" s="73"/>
      <c r="E87" s="73"/>
      <c r="F87" s="73"/>
      <c r="G87" s="74"/>
      <c r="H87" s="75"/>
      <c r="I87" s="72"/>
      <c r="J87" s="6" t="s">
        <v>182</v>
      </c>
      <c r="K87" s="84" t="s">
        <v>183</v>
      </c>
      <c r="L87" s="76" t="s">
        <v>1222</v>
      </c>
      <c r="M87" s="76"/>
      <c r="N87" s="76"/>
      <c r="O87" s="76" t="s">
        <v>1768</v>
      </c>
      <c r="P87" s="77"/>
      <c r="Q87" s="77"/>
      <c r="R87" s="77"/>
      <c r="S87" s="77" t="s">
        <v>1583</v>
      </c>
      <c r="T87" s="78" t="s">
        <v>1769</v>
      </c>
      <c r="U87" s="72"/>
    </row>
    <row r="88" spans="1:21" ht="36">
      <c r="A88" s="6" t="s">
        <v>510</v>
      </c>
      <c r="B88" s="6" t="s">
        <v>511</v>
      </c>
      <c r="C88" s="73"/>
      <c r="D88" s="73"/>
      <c r="E88" s="73"/>
      <c r="F88" s="73"/>
      <c r="G88" s="74"/>
      <c r="H88" s="75"/>
      <c r="I88" s="72"/>
      <c r="J88" s="6" t="s">
        <v>512</v>
      </c>
      <c r="K88" s="84" t="s">
        <v>513</v>
      </c>
      <c r="L88" s="76"/>
      <c r="M88" s="76"/>
      <c r="N88" s="76"/>
      <c r="O88" s="76" t="s">
        <v>1770</v>
      </c>
      <c r="P88" s="77"/>
      <c r="Q88" s="77"/>
      <c r="R88" s="77"/>
      <c r="S88" s="77" t="s">
        <v>1567</v>
      </c>
      <c r="T88" s="78" t="s">
        <v>1771</v>
      </c>
      <c r="U88" s="72"/>
    </row>
    <row r="89" spans="1:21" ht="36">
      <c r="A89" s="6" t="s">
        <v>517</v>
      </c>
      <c r="B89" s="6" t="s">
        <v>224</v>
      </c>
      <c r="C89" s="73"/>
      <c r="D89" s="73"/>
      <c r="E89" s="73"/>
      <c r="F89" s="73"/>
      <c r="G89" s="74"/>
      <c r="H89" s="75"/>
      <c r="I89" s="72"/>
      <c r="J89" s="6" t="s">
        <v>518</v>
      </c>
      <c r="K89" s="84" t="s">
        <v>519</v>
      </c>
      <c r="L89" s="76"/>
      <c r="M89" s="76"/>
      <c r="N89" s="76"/>
      <c r="O89" s="76" t="s">
        <v>1772</v>
      </c>
      <c r="P89" s="77"/>
      <c r="Q89" s="77"/>
      <c r="R89" s="77"/>
      <c r="S89" s="77" t="s">
        <v>1574</v>
      </c>
      <c r="T89" s="78" t="s">
        <v>1773</v>
      </c>
      <c r="U89" s="72"/>
    </row>
    <row r="90" spans="1:21" ht="21">
      <c r="A90" s="6" t="s">
        <v>523</v>
      </c>
      <c r="B90" s="6" t="s">
        <v>460</v>
      </c>
      <c r="C90" s="73"/>
      <c r="D90" s="73"/>
      <c r="E90" s="73"/>
      <c r="F90" s="73"/>
      <c r="G90" s="74"/>
      <c r="H90" s="75"/>
      <c r="I90" s="72"/>
      <c r="J90" s="6" t="s">
        <v>524</v>
      </c>
      <c r="K90" s="84" t="s">
        <v>525</v>
      </c>
      <c r="L90" s="76" t="s">
        <v>1222</v>
      </c>
      <c r="M90" s="76"/>
      <c r="N90" s="76"/>
      <c r="O90" s="76" t="s">
        <v>1774</v>
      </c>
      <c r="P90" s="77"/>
      <c r="Q90" s="77"/>
      <c r="R90" s="77"/>
      <c r="S90" s="77" t="s">
        <v>21</v>
      </c>
      <c r="T90" s="78" t="s">
        <v>1775</v>
      </c>
      <c r="U90" s="72"/>
    </row>
    <row r="91" spans="1:21" ht="21">
      <c r="A91" s="6" t="s">
        <v>529</v>
      </c>
      <c r="B91" s="6" t="s">
        <v>530</v>
      </c>
      <c r="C91" s="73"/>
      <c r="D91" s="73"/>
      <c r="E91" s="73"/>
      <c r="F91" s="73"/>
      <c r="G91" s="74"/>
      <c r="H91" s="75"/>
      <c r="I91" s="72"/>
      <c r="J91" s="6" t="s">
        <v>72</v>
      </c>
      <c r="K91" s="84" t="s">
        <v>73</v>
      </c>
      <c r="L91" s="76"/>
      <c r="M91" s="76"/>
      <c r="N91" s="76"/>
      <c r="O91" s="76" t="s">
        <v>1776</v>
      </c>
      <c r="P91" s="77"/>
      <c r="Q91" s="77"/>
      <c r="R91" s="77"/>
      <c r="S91" s="77" t="s">
        <v>21</v>
      </c>
      <c r="T91" s="78" t="s">
        <v>1777</v>
      </c>
      <c r="U91" s="72"/>
    </row>
    <row r="92" spans="1:21" ht="36">
      <c r="A92" s="6" t="s">
        <v>534</v>
      </c>
      <c r="B92" s="6" t="s">
        <v>535</v>
      </c>
      <c r="C92" s="73"/>
      <c r="D92" s="73"/>
      <c r="E92" s="73"/>
      <c r="F92" s="73"/>
      <c r="G92" s="74"/>
      <c r="H92" s="75"/>
      <c r="I92" s="72"/>
      <c r="J92" s="6" t="s">
        <v>536</v>
      </c>
      <c r="K92" s="84" t="s">
        <v>537</v>
      </c>
      <c r="L92" s="76"/>
      <c r="M92" s="76"/>
      <c r="N92" s="76"/>
      <c r="O92" s="76" t="s">
        <v>1778</v>
      </c>
      <c r="P92" s="77"/>
      <c r="Q92" s="77"/>
      <c r="R92" s="77"/>
      <c r="S92" s="77" t="s">
        <v>1562</v>
      </c>
      <c r="T92" s="78" t="s">
        <v>1779</v>
      </c>
      <c r="U92" s="72"/>
    </row>
    <row r="93" spans="1:21" ht="21">
      <c r="A93" s="6" t="s">
        <v>541</v>
      </c>
      <c r="B93" s="6" t="s">
        <v>542</v>
      </c>
      <c r="C93" s="73"/>
      <c r="D93" s="73"/>
      <c r="E93" s="73"/>
      <c r="F93" s="73"/>
      <c r="G93" s="74"/>
      <c r="H93" s="75"/>
      <c r="I93" s="72"/>
      <c r="J93" s="6" t="s">
        <v>543</v>
      </c>
      <c r="K93" s="84" t="s">
        <v>544</v>
      </c>
      <c r="L93" s="76"/>
      <c r="M93" s="76"/>
      <c r="N93" s="76"/>
      <c r="O93" s="76" t="s">
        <v>1780</v>
      </c>
      <c r="P93" s="77"/>
      <c r="Q93" s="77"/>
      <c r="R93" s="77"/>
      <c r="S93" s="77" t="s">
        <v>1593</v>
      </c>
      <c r="T93" s="78" t="s">
        <v>1781</v>
      </c>
      <c r="U93" s="72"/>
    </row>
    <row r="94" spans="1:21" ht="21">
      <c r="A94" s="6" t="s">
        <v>548</v>
      </c>
      <c r="B94" s="6" t="s">
        <v>549</v>
      </c>
      <c r="C94" s="73"/>
      <c r="D94" s="73"/>
      <c r="E94" s="73"/>
      <c r="F94" s="73"/>
      <c r="G94" s="74"/>
      <c r="H94" s="75"/>
      <c r="I94" s="72"/>
      <c r="J94" s="6" t="s">
        <v>363</v>
      </c>
      <c r="K94" s="84" t="s">
        <v>364</v>
      </c>
      <c r="L94" s="76"/>
      <c r="M94" s="76"/>
      <c r="N94" s="76"/>
      <c r="O94" s="81" t="s">
        <v>1782</v>
      </c>
      <c r="P94" s="77"/>
      <c r="Q94" s="77"/>
      <c r="R94" s="77"/>
      <c r="S94" s="77" t="s">
        <v>1567</v>
      </c>
      <c r="T94" s="78" t="s">
        <v>1783</v>
      </c>
      <c r="U94" s="72"/>
    </row>
    <row r="95" spans="1:21" ht="21">
      <c r="A95" s="6" t="s">
        <v>553</v>
      </c>
      <c r="B95" s="6" t="s">
        <v>352</v>
      </c>
      <c r="C95" s="73"/>
      <c r="D95" s="73"/>
      <c r="E95" s="73"/>
      <c r="F95" s="73"/>
      <c r="G95" s="74"/>
      <c r="H95" s="75"/>
      <c r="I95" s="72"/>
      <c r="J95" s="6" t="s">
        <v>554</v>
      </c>
      <c r="K95" s="84" t="s">
        <v>555</v>
      </c>
      <c r="L95" s="76"/>
      <c r="M95" s="76"/>
      <c r="N95" s="76"/>
      <c r="O95" s="76" t="s">
        <v>1784</v>
      </c>
      <c r="P95" s="77"/>
      <c r="Q95" s="77"/>
      <c r="R95" s="77"/>
      <c r="S95" s="77" t="s">
        <v>18</v>
      </c>
      <c r="T95" s="78" t="s">
        <v>1785</v>
      </c>
      <c r="U95" s="72"/>
    </row>
    <row r="96" spans="1:21" ht="21">
      <c r="A96" s="6" t="s">
        <v>559</v>
      </c>
      <c r="B96" s="6" t="s">
        <v>560</v>
      </c>
      <c r="C96" s="73"/>
      <c r="D96" s="73"/>
      <c r="E96" s="73"/>
      <c r="F96" s="73"/>
      <c r="G96" s="74"/>
      <c r="H96" s="75"/>
      <c r="I96" s="72"/>
      <c r="J96" s="6" t="s">
        <v>561</v>
      </c>
      <c r="K96" s="84"/>
      <c r="L96" s="76"/>
      <c r="M96" s="76"/>
      <c r="N96" s="76"/>
      <c r="O96" s="76"/>
      <c r="P96" s="77"/>
      <c r="Q96" s="77"/>
      <c r="R96" s="77"/>
      <c r="S96" s="77"/>
      <c r="T96" s="78"/>
      <c r="U96" s="72"/>
    </row>
    <row r="97" spans="1:21" ht="21">
      <c r="A97" s="6" t="s">
        <v>565</v>
      </c>
      <c r="B97" s="6" t="s">
        <v>441</v>
      </c>
      <c r="C97" s="73"/>
      <c r="D97" s="73"/>
      <c r="E97" s="73"/>
      <c r="F97" s="73"/>
      <c r="G97" s="74"/>
      <c r="H97" s="75"/>
      <c r="I97" s="72"/>
      <c r="J97" s="6" t="s">
        <v>566</v>
      </c>
      <c r="K97" s="84" t="s">
        <v>567</v>
      </c>
      <c r="L97" s="76"/>
      <c r="M97" s="76"/>
      <c r="N97" s="76"/>
      <c r="O97" s="76" t="s">
        <v>1786</v>
      </c>
      <c r="P97" s="77"/>
      <c r="Q97" s="77"/>
      <c r="R97" s="77"/>
      <c r="S97" s="77" t="s">
        <v>1562</v>
      </c>
      <c r="T97" s="78" t="s">
        <v>1787</v>
      </c>
      <c r="U97" s="72"/>
    </row>
    <row r="98" spans="1:21" ht="21">
      <c r="A98" s="6" t="s">
        <v>571</v>
      </c>
      <c r="B98" s="6" t="s">
        <v>572</v>
      </c>
      <c r="C98" s="73"/>
      <c r="D98" s="73"/>
      <c r="E98" s="73"/>
      <c r="F98" s="73"/>
      <c r="G98" s="74"/>
      <c r="H98" s="75"/>
      <c r="I98" s="72"/>
      <c r="J98" s="6" t="s">
        <v>573</v>
      </c>
      <c r="K98" s="84" t="s">
        <v>574</v>
      </c>
      <c r="L98" s="76"/>
      <c r="M98" s="76"/>
      <c r="N98" s="76"/>
      <c r="O98" s="76" t="s">
        <v>1788</v>
      </c>
      <c r="P98" s="77"/>
      <c r="Q98" s="77"/>
      <c r="R98" s="77"/>
      <c r="S98" s="77" t="s">
        <v>1562</v>
      </c>
      <c r="T98" s="78" t="s">
        <v>1789</v>
      </c>
      <c r="U98" s="72"/>
    </row>
    <row r="99" spans="1:21" ht="21">
      <c r="A99" s="6" t="s">
        <v>578</v>
      </c>
      <c r="B99" s="6" t="s">
        <v>579</v>
      </c>
      <c r="C99" s="73"/>
      <c r="D99" s="73"/>
      <c r="E99" s="73"/>
      <c r="F99" s="73"/>
      <c r="G99" s="74"/>
      <c r="H99" s="75"/>
      <c r="I99" s="72"/>
      <c r="J99" s="6" t="s">
        <v>580</v>
      </c>
      <c r="K99" s="84" t="s">
        <v>581</v>
      </c>
      <c r="L99" s="76"/>
      <c r="M99" s="76"/>
      <c r="N99" s="76"/>
      <c r="O99" s="76" t="s">
        <v>1790</v>
      </c>
      <c r="P99" s="77"/>
      <c r="Q99" s="77"/>
      <c r="R99" s="77"/>
      <c r="S99" s="77" t="s">
        <v>1562</v>
      </c>
      <c r="T99" s="78" t="s">
        <v>1791</v>
      </c>
      <c r="U99" s="72"/>
    </row>
    <row r="100" spans="1:21" ht="21">
      <c r="A100" s="6" t="s">
        <v>585</v>
      </c>
      <c r="B100" s="6" t="s">
        <v>586</v>
      </c>
      <c r="C100" s="73"/>
      <c r="D100" s="73"/>
      <c r="E100" s="73"/>
      <c r="F100" s="73"/>
      <c r="G100" s="74"/>
      <c r="H100" s="75"/>
      <c r="I100" s="72"/>
      <c r="J100" s="6" t="s">
        <v>154</v>
      </c>
      <c r="K100" s="84" t="s">
        <v>155</v>
      </c>
      <c r="L100" s="76" t="s">
        <v>1581</v>
      </c>
      <c r="M100" s="76"/>
      <c r="N100" s="76"/>
      <c r="O100" s="76" t="s">
        <v>1792</v>
      </c>
      <c r="P100" s="77"/>
      <c r="Q100" s="77"/>
      <c r="R100" s="77"/>
      <c r="S100" s="77" t="s">
        <v>1583</v>
      </c>
      <c r="T100" s="78" t="s">
        <v>1793</v>
      </c>
      <c r="U100" s="72"/>
    </row>
    <row r="101" spans="1:21" ht="21">
      <c r="A101" s="6" t="s">
        <v>590</v>
      </c>
      <c r="B101" s="6" t="s">
        <v>591</v>
      </c>
      <c r="C101" s="73"/>
      <c r="D101" s="73"/>
      <c r="E101" s="73"/>
      <c r="F101" s="73"/>
      <c r="G101" s="74"/>
      <c r="H101" s="75"/>
      <c r="I101" s="72"/>
      <c r="J101" s="6" t="s">
        <v>248</v>
      </c>
      <c r="K101" s="84" t="s">
        <v>249</v>
      </c>
      <c r="L101" s="76"/>
      <c r="M101" s="76"/>
      <c r="N101" s="76"/>
      <c r="O101" s="76" t="s">
        <v>1794</v>
      </c>
      <c r="P101" s="77"/>
      <c r="Q101" s="77"/>
      <c r="R101" s="77"/>
      <c r="S101" s="77" t="s">
        <v>1567</v>
      </c>
      <c r="T101" s="78" t="s">
        <v>1795</v>
      </c>
      <c r="U101" s="72"/>
    </row>
    <row r="102" spans="1:21" ht="21">
      <c r="A102" s="6" t="s">
        <v>595</v>
      </c>
      <c r="B102" s="6" t="s">
        <v>596</v>
      </c>
      <c r="C102" s="73"/>
      <c r="D102" s="73"/>
      <c r="E102" s="73"/>
      <c r="F102" s="73"/>
      <c r="G102" s="74"/>
      <c r="H102" s="75"/>
      <c r="I102" s="72"/>
      <c r="J102" s="6" t="s">
        <v>597</v>
      </c>
      <c r="K102" s="84" t="s">
        <v>598</v>
      </c>
      <c r="L102" s="76"/>
      <c r="M102" s="76"/>
      <c r="N102" s="76"/>
      <c r="O102" s="76" t="s">
        <v>1796</v>
      </c>
      <c r="P102" s="77"/>
      <c r="Q102" s="77"/>
      <c r="R102" s="77"/>
      <c r="S102" s="77" t="s">
        <v>1562</v>
      </c>
      <c r="T102" s="78" t="s">
        <v>1797</v>
      </c>
      <c r="U102" s="72"/>
    </row>
    <row r="103" spans="1:21" ht="36">
      <c r="A103" s="6" t="s">
        <v>602</v>
      </c>
      <c r="B103" s="6" t="s">
        <v>603</v>
      </c>
      <c r="C103" s="73"/>
      <c r="D103" s="73"/>
      <c r="E103" s="73"/>
      <c r="F103" s="73"/>
      <c r="G103" s="74"/>
      <c r="H103" s="75"/>
      <c r="I103" s="72"/>
      <c r="J103" s="6" t="s">
        <v>141</v>
      </c>
      <c r="K103" s="84" t="s">
        <v>142</v>
      </c>
      <c r="L103" s="76" t="s">
        <v>1222</v>
      </c>
      <c r="M103" s="76" t="s">
        <v>1581</v>
      </c>
      <c r="N103" s="76"/>
      <c r="O103" s="76" t="s">
        <v>1798</v>
      </c>
      <c r="P103" s="77"/>
      <c r="Q103" s="77"/>
      <c r="R103" s="77"/>
      <c r="S103" s="77" t="s">
        <v>28</v>
      </c>
      <c r="T103" s="78" t="s">
        <v>1799</v>
      </c>
      <c r="U103" s="72"/>
    </row>
    <row r="104" spans="1:21" ht="21">
      <c r="A104" s="6" t="s">
        <v>607</v>
      </c>
      <c r="B104" s="6" t="s">
        <v>381</v>
      </c>
      <c r="C104" s="73"/>
      <c r="D104" s="73"/>
      <c r="E104" s="73"/>
      <c r="F104" s="73"/>
      <c r="G104" s="74"/>
      <c r="H104" s="75"/>
      <c r="I104" s="72"/>
      <c r="J104" s="6" t="s">
        <v>608</v>
      </c>
      <c r="K104" s="84" t="s">
        <v>609</v>
      </c>
      <c r="L104" s="76"/>
      <c r="M104" s="76"/>
      <c r="N104" s="76" t="s">
        <v>1222</v>
      </c>
      <c r="O104" s="76" t="s">
        <v>1800</v>
      </c>
      <c r="P104" s="77"/>
      <c r="Q104" s="77"/>
      <c r="R104" s="77"/>
      <c r="S104" s="77" t="s">
        <v>18</v>
      </c>
      <c r="T104" s="78">
        <v>6</v>
      </c>
      <c r="U104" s="72"/>
    </row>
    <row r="105" spans="1:21" ht="36">
      <c r="A105" s="6" t="s">
        <v>613</v>
      </c>
      <c r="B105" s="6" t="s">
        <v>108</v>
      </c>
      <c r="C105" s="73"/>
      <c r="D105" s="73"/>
      <c r="E105" s="73"/>
      <c r="F105" s="73"/>
      <c r="G105" s="74"/>
      <c r="H105" s="75"/>
      <c r="I105" s="72"/>
      <c r="J105" s="6" t="s">
        <v>614</v>
      </c>
      <c r="K105" s="84" t="s">
        <v>615</v>
      </c>
      <c r="L105" s="76" t="s">
        <v>1222</v>
      </c>
      <c r="M105" s="76" t="s">
        <v>1581</v>
      </c>
      <c r="N105" s="76"/>
      <c r="O105" s="76" t="s">
        <v>1801</v>
      </c>
      <c r="P105" s="77"/>
      <c r="Q105" s="77"/>
      <c r="R105" s="77"/>
      <c r="S105" s="77" t="s">
        <v>1583</v>
      </c>
      <c r="T105" s="78" t="s">
        <v>1802</v>
      </c>
      <c r="U105" s="72"/>
    </row>
    <row r="106" spans="1:21" ht="19.5" customHeight="1">
      <c r="A106" s="561" t="s">
        <v>619</v>
      </c>
      <c r="B106" s="531"/>
      <c r="C106" s="531"/>
      <c r="D106" s="531"/>
      <c r="E106" s="531"/>
      <c r="F106" s="531"/>
      <c r="G106" s="531"/>
      <c r="H106" s="537"/>
      <c r="I106" s="72"/>
      <c r="J106" s="6" t="s">
        <v>620</v>
      </c>
      <c r="K106" s="84" t="s">
        <v>621</v>
      </c>
      <c r="L106" s="76"/>
      <c r="M106" s="76"/>
      <c r="N106" s="76"/>
      <c r="O106" s="76" t="s">
        <v>1803</v>
      </c>
      <c r="P106" s="77"/>
      <c r="Q106" s="77"/>
      <c r="R106" s="77"/>
      <c r="S106" s="77" t="s">
        <v>1567</v>
      </c>
      <c r="T106" s="78" t="s">
        <v>1804</v>
      </c>
      <c r="U106" s="72"/>
    </row>
    <row r="107" spans="1:21" ht="14.25" customHeight="1">
      <c r="A107" s="538"/>
      <c r="B107" s="533"/>
      <c r="C107" s="533"/>
      <c r="D107" s="533"/>
      <c r="E107" s="533"/>
      <c r="F107" s="533"/>
      <c r="G107" s="533"/>
      <c r="H107" s="539"/>
      <c r="I107" s="72"/>
      <c r="J107" s="6" t="s">
        <v>419</v>
      </c>
      <c r="K107" s="84" t="s">
        <v>420</v>
      </c>
      <c r="L107" s="76"/>
      <c r="M107" s="76" t="s">
        <v>1222</v>
      </c>
      <c r="N107" s="76"/>
      <c r="O107" s="76" t="s">
        <v>1805</v>
      </c>
      <c r="P107" s="77"/>
      <c r="Q107" s="77"/>
      <c r="R107" s="77"/>
      <c r="S107" s="77" t="s">
        <v>28</v>
      </c>
      <c r="T107" s="78" t="s">
        <v>1806</v>
      </c>
      <c r="U107" s="72"/>
    </row>
    <row r="108" spans="1:21" ht="21">
      <c r="A108" s="6" t="s">
        <v>4</v>
      </c>
      <c r="B108" s="6" t="s">
        <v>5</v>
      </c>
      <c r="C108" s="89"/>
      <c r="D108" s="89"/>
      <c r="E108" s="89"/>
      <c r="F108" s="89"/>
      <c r="G108" s="90"/>
      <c r="H108" s="91"/>
      <c r="I108" s="72"/>
      <c r="J108" s="6" t="s">
        <v>628</v>
      </c>
      <c r="K108" s="84" t="s">
        <v>629</v>
      </c>
      <c r="L108" s="76"/>
      <c r="M108" s="76"/>
      <c r="N108" s="76"/>
      <c r="O108" s="76" t="s">
        <v>1807</v>
      </c>
      <c r="P108" s="77"/>
      <c r="Q108" s="77"/>
      <c r="R108" s="77"/>
      <c r="S108" s="77" t="s">
        <v>1562</v>
      </c>
      <c r="T108" s="78" t="s">
        <v>1808</v>
      </c>
      <c r="U108" s="72"/>
    </row>
    <row r="109" spans="1:21" ht="36">
      <c r="A109" s="6" t="s">
        <v>633</v>
      </c>
      <c r="B109" s="6" t="s">
        <v>594</v>
      </c>
      <c r="C109" s="92"/>
      <c r="D109" s="92"/>
      <c r="E109" s="92"/>
      <c r="F109" s="92"/>
      <c r="G109" s="90"/>
      <c r="H109" s="89"/>
      <c r="I109" s="72"/>
      <c r="J109" s="6" t="s">
        <v>634</v>
      </c>
      <c r="K109" s="84" t="s">
        <v>635</v>
      </c>
      <c r="L109" s="76" t="s">
        <v>1581</v>
      </c>
      <c r="M109" s="76"/>
      <c r="N109" s="76"/>
      <c r="O109" s="76" t="s">
        <v>1809</v>
      </c>
      <c r="P109" s="77"/>
      <c r="Q109" s="77"/>
      <c r="R109" s="77"/>
      <c r="S109" s="77" t="s">
        <v>1567</v>
      </c>
      <c r="T109" s="78" t="s">
        <v>1810</v>
      </c>
      <c r="U109" s="72"/>
    </row>
    <row r="110" spans="1:21" ht="21">
      <c r="A110" s="6" t="s">
        <v>639</v>
      </c>
      <c r="B110" s="6" t="s">
        <v>640</v>
      </c>
      <c r="C110" s="92"/>
      <c r="D110" s="92"/>
      <c r="E110" s="92"/>
      <c r="F110" s="92"/>
      <c r="G110" s="90"/>
      <c r="H110" s="89"/>
      <c r="I110" s="72"/>
      <c r="J110" s="6" t="s">
        <v>284</v>
      </c>
      <c r="K110" s="84" t="s">
        <v>285</v>
      </c>
      <c r="L110" s="76"/>
      <c r="M110" s="76" t="s">
        <v>1222</v>
      </c>
      <c r="N110" s="76"/>
      <c r="O110" s="76" t="s">
        <v>1811</v>
      </c>
      <c r="P110" s="77"/>
      <c r="Q110" s="77"/>
      <c r="R110" s="77"/>
      <c r="S110" s="77" t="s">
        <v>1583</v>
      </c>
      <c r="T110" s="78" t="s">
        <v>1812</v>
      </c>
      <c r="U110" s="72"/>
    </row>
    <row r="111" spans="1:21" ht="21">
      <c r="A111" s="6" t="s">
        <v>644</v>
      </c>
      <c r="B111" s="6" t="s">
        <v>645</v>
      </c>
      <c r="C111" s="92"/>
      <c r="D111" s="92"/>
      <c r="E111" s="92"/>
      <c r="F111" s="92"/>
      <c r="G111" s="90"/>
      <c r="H111" s="89"/>
      <c r="I111" s="72"/>
      <c r="J111" s="6" t="s">
        <v>646</v>
      </c>
      <c r="K111" s="84" t="s">
        <v>647</v>
      </c>
      <c r="L111" s="76"/>
      <c r="M111" s="76"/>
      <c r="N111" s="76"/>
      <c r="O111" s="76" t="s">
        <v>1813</v>
      </c>
      <c r="P111" s="77"/>
      <c r="Q111" s="77"/>
      <c r="R111" s="77"/>
      <c r="S111" s="77" t="s">
        <v>18</v>
      </c>
      <c r="T111" s="78" t="s">
        <v>1814</v>
      </c>
      <c r="U111" s="72"/>
    </row>
    <row r="112" spans="1:21" ht="36">
      <c r="A112" s="6" t="s">
        <v>651</v>
      </c>
      <c r="B112" s="6" t="s">
        <v>652</v>
      </c>
      <c r="C112" s="92"/>
      <c r="D112" s="92"/>
      <c r="E112" s="92"/>
      <c r="F112" s="92"/>
      <c r="G112" s="90"/>
      <c r="H112" s="89"/>
      <c r="I112" s="72"/>
      <c r="J112" s="6" t="s">
        <v>653</v>
      </c>
      <c r="K112" s="84" t="s">
        <v>654</v>
      </c>
      <c r="L112" s="76"/>
      <c r="M112" s="76"/>
      <c r="N112" s="76"/>
      <c r="O112" s="76" t="s">
        <v>1815</v>
      </c>
      <c r="P112" s="77"/>
      <c r="Q112" s="77"/>
      <c r="R112" s="77"/>
      <c r="S112" s="77" t="s">
        <v>1562</v>
      </c>
      <c r="T112" s="78" t="s">
        <v>1816</v>
      </c>
      <c r="U112" s="72"/>
    </row>
    <row r="113" spans="1:21" ht="21">
      <c r="A113" s="6" t="s">
        <v>658</v>
      </c>
      <c r="B113" s="6" t="s">
        <v>659</v>
      </c>
      <c r="C113" s="92"/>
      <c r="D113" s="92"/>
      <c r="E113" s="92"/>
      <c r="F113" s="92"/>
      <c r="G113" s="90"/>
      <c r="H113" s="89"/>
      <c r="I113" s="72"/>
      <c r="J113" s="6" t="s">
        <v>203</v>
      </c>
      <c r="K113" s="84" t="s">
        <v>204</v>
      </c>
      <c r="L113" s="76"/>
      <c r="M113" s="76"/>
      <c r="N113" s="76" t="s">
        <v>1222</v>
      </c>
      <c r="O113" s="76" t="s">
        <v>1817</v>
      </c>
      <c r="P113" s="77"/>
      <c r="Q113" s="77"/>
      <c r="R113" s="77"/>
      <c r="S113" s="77" t="s">
        <v>18</v>
      </c>
      <c r="T113" s="78" t="s">
        <v>1818</v>
      </c>
      <c r="U113" s="72"/>
    </row>
    <row r="114" spans="1:21" ht="21">
      <c r="A114" s="6" t="s">
        <v>663</v>
      </c>
      <c r="B114" s="6" t="s">
        <v>5246</v>
      </c>
      <c r="C114" s="92"/>
      <c r="D114" s="92"/>
      <c r="E114" s="92"/>
      <c r="F114" s="92"/>
      <c r="G114" s="90"/>
      <c r="H114" s="89"/>
      <c r="I114" s="72"/>
      <c r="J114" s="6" t="s">
        <v>60</v>
      </c>
      <c r="K114" s="84" t="s">
        <v>61</v>
      </c>
      <c r="L114" s="76"/>
      <c r="M114" s="76" t="s">
        <v>1222</v>
      </c>
      <c r="N114" s="76"/>
      <c r="O114" s="76" t="s">
        <v>1819</v>
      </c>
      <c r="P114" s="77"/>
      <c r="Q114" s="77"/>
      <c r="R114" s="77"/>
      <c r="S114" s="77" t="s">
        <v>28</v>
      </c>
      <c r="T114" s="78" t="s">
        <v>1820</v>
      </c>
      <c r="U114" s="72"/>
    </row>
    <row r="115" spans="1:21" ht="21">
      <c r="A115" s="6" t="s">
        <v>667</v>
      </c>
      <c r="B115" s="93" t="s">
        <v>668</v>
      </c>
      <c r="C115" s="92"/>
      <c r="D115" s="92"/>
      <c r="E115" s="92"/>
      <c r="F115" s="92"/>
      <c r="G115" s="90"/>
      <c r="H115" s="89"/>
      <c r="I115" s="72"/>
      <c r="J115" s="6" t="s">
        <v>669</v>
      </c>
      <c r="K115" s="84" t="s">
        <v>670</v>
      </c>
      <c r="L115" s="76"/>
      <c r="M115" s="76"/>
      <c r="N115" s="76" t="s">
        <v>1222</v>
      </c>
      <c r="O115" s="76" t="s">
        <v>1821</v>
      </c>
      <c r="P115" s="77"/>
      <c r="Q115" s="77"/>
      <c r="R115" s="77"/>
      <c r="S115" s="77" t="s">
        <v>1562</v>
      </c>
      <c r="T115" s="78">
        <v>6</v>
      </c>
      <c r="U115" s="72"/>
    </row>
    <row r="116" spans="1:21" ht="36">
      <c r="A116" s="6" t="s">
        <v>674</v>
      </c>
      <c r="B116" s="93" t="s">
        <v>675</v>
      </c>
      <c r="C116" s="92"/>
      <c r="D116" s="92"/>
      <c r="E116" s="92"/>
      <c r="F116" s="92"/>
      <c r="G116" s="90"/>
      <c r="H116" s="89"/>
      <c r="I116" s="72"/>
      <c r="J116" s="6" t="s">
        <v>676</v>
      </c>
      <c r="K116" s="84" t="s">
        <v>677</v>
      </c>
      <c r="L116" s="76"/>
      <c r="M116" s="76"/>
      <c r="N116" s="76"/>
      <c r="O116" s="76" t="s">
        <v>1822</v>
      </c>
      <c r="P116" s="77"/>
      <c r="Q116" s="77"/>
      <c r="R116" s="77"/>
      <c r="S116" s="77" t="s">
        <v>1562</v>
      </c>
      <c r="T116" s="78" t="s">
        <v>1823</v>
      </c>
      <c r="U116" s="72"/>
    </row>
    <row r="117" spans="1:21" ht="21">
      <c r="A117" s="6" t="s">
        <v>681</v>
      </c>
      <c r="B117" s="6" t="s">
        <v>666</v>
      </c>
      <c r="C117" s="92"/>
      <c r="D117" s="92"/>
      <c r="E117" s="92"/>
      <c r="F117" s="92"/>
      <c r="G117" s="90"/>
      <c r="H117" s="89"/>
      <c r="I117" s="72"/>
      <c r="J117" s="6" t="s">
        <v>682</v>
      </c>
      <c r="K117" s="84" t="s">
        <v>683</v>
      </c>
      <c r="L117" s="76"/>
      <c r="M117" s="76"/>
      <c r="N117" s="76"/>
      <c r="O117" s="76" t="s">
        <v>1824</v>
      </c>
      <c r="P117" s="77"/>
      <c r="Q117" s="77"/>
      <c r="R117" s="77"/>
      <c r="S117" s="77" t="s">
        <v>1593</v>
      </c>
      <c r="T117" s="78" t="s">
        <v>1825</v>
      </c>
      <c r="U117" s="72"/>
    </row>
    <row r="118" spans="1:21" ht="54">
      <c r="A118" s="6" t="s">
        <v>687</v>
      </c>
      <c r="B118" s="6" t="s">
        <v>688</v>
      </c>
      <c r="C118" s="92"/>
      <c r="D118" s="92"/>
      <c r="E118" s="92"/>
      <c r="F118" s="92"/>
      <c r="G118" s="90"/>
      <c r="H118" s="89"/>
      <c r="I118" s="72"/>
      <c r="J118" s="6" t="s">
        <v>689</v>
      </c>
      <c r="K118" s="84" t="s">
        <v>690</v>
      </c>
      <c r="L118" s="76"/>
      <c r="M118" s="76"/>
      <c r="N118" s="76"/>
      <c r="O118" s="76" t="s">
        <v>1826</v>
      </c>
      <c r="P118" s="77"/>
      <c r="Q118" s="77"/>
      <c r="R118" s="77"/>
      <c r="S118" s="77" t="s">
        <v>1562</v>
      </c>
      <c r="T118" s="78" t="s">
        <v>1827</v>
      </c>
      <c r="U118" s="72"/>
    </row>
    <row r="119" spans="1:21" ht="21">
      <c r="A119" s="6" t="s">
        <v>694</v>
      </c>
      <c r="B119" s="6" t="s">
        <v>695</v>
      </c>
      <c r="C119" s="92"/>
      <c r="D119" s="92"/>
      <c r="E119" s="92"/>
      <c r="F119" s="92"/>
      <c r="G119" s="90"/>
      <c r="H119" s="89"/>
      <c r="I119" s="72"/>
      <c r="J119" s="6" t="s">
        <v>696</v>
      </c>
      <c r="K119" s="84" t="s">
        <v>697</v>
      </c>
      <c r="L119" s="76"/>
      <c r="M119" s="76"/>
      <c r="N119" s="76"/>
      <c r="O119" s="76" t="s">
        <v>1828</v>
      </c>
      <c r="P119" s="77"/>
      <c r="Q119" s="77"/>
      <c r="R119" s="77"/>
      <c r="S119" s="77" t="s">
        <v>1562</v>
      </c>
      <c r="T119" s="78" t="s">
        <v>1829</v>
      </c>
      <c r="U119" s="72"/>
    </row>
    <row r="120" spans="1:21" ht="21">
      <c r="A120" s="6" t="s">
        <v>701</v>
      </c>
      <c r="B120" s="6" t="s">
        <v>702</v>
      </c>
      <c r="C120" s="92"/>
      <c r="D120" s="92"/>
      <c r="E120" s="92"/>
      <c r="F120" s="92"/>
      <c r="G120" s="90"/>
      <c r="H120" s="89"/>
      <c r="I120" s="72"/>
      <c r="J120" s="6" t="s">
        <v>703</v>
      </c>
      <c r="K120" s="84" t="s">
        <v>704</v>
      </c>
      <c r="L120" s="76"/>
      <c r="M120" s="76"/>
      <c r="N120" s="76"/>
      <c r="O120" s="76" t="s">
        <v>1830</v>
      </c>
      <c r="P120" s="77"/>
      <c r="Q120" s="77"/>
      <c r="R120" s="77"/>
      <c r="S120" s="77" t="s">
        <v>1562</v>
      </c>
      <c r="T120" s="78" t="s">
        <v>1831</v>
      </c>
      <c r="U120" s="72"/>
    </row>
    <row r="121" spans="1:21" ht="21">
      <c r="A121" s="6" t="s">
        <v>708</v>
      </c>
      <c r="B121" s="6" t="s">
        <v>709</v>
      </c>
      <c r="C121" s="92"/>
      <c r="D121" s="92"/>
      <c r="E121" s="92"/>
      <c r="F121" s="92"/>
      <c r="G121" s="90"/>
      <c r="H121" s="89"/>
      <c r="I121" s="72"/>
      <c r="J121" s="6" t="s">
        <v>710</v>
      </c>
      <c r="K121" s="84" t="s">
        <v>711</v>
      </c>
      <c r="L121" s="76"/>
      <c r="M121" s="76"/>
      <c r="N121" s="76"/>
      <c r="O121" s="76" t="s">
        <v>1832</v>
      </c>
      <c r="P121" s="77"/>
      <c r="Q121" s="77"/>
      <c r="R121" s="77"/>
      <c r="S121" s="77" t="s">
        <v>1567</v>
      </c>
      <c r="T121" s="78" t="s">
        <v>1833</v>
      </c>
      <c r="U121" s="72"/>
    </row>
    <row r="122" spans="1:21" ht="21">
      <c r="A122" s="6" t="s">
        <v>715</v>
      </c>
      <c r="B122" s="6" t="s">
        <v>716</v>
      </c>
      <c r="C122" s="92"/>
      <c r="D122" s="92"/>
      <c r="E122" s="92"/>
      <c r="F122" s="92"/>
      <c r="G122" s="90"/>
      <c r="H122" s="89"/>
      <c r="I122" s="72"/>
      <c r="J122" s="6" t="s">
        <v>717</v>
      </c>
      <c r="K122" s="84" t="s">
        <v>718</v>
      </c>
      <c r="L122" s="76"/>
      <c r="M122" s="76"/>
      <c r="N122" s="76"/>
      <c r="O122" s="76" t="s">
        <v>1834</v>
      </c>
      <c r="P122" s="77"/>
      <c r="Q122" s="77"/>
      <c r="R122" s="77"/>
      <c r="S122" s="77" t="s">
        <v>18</v>
      </c>
      <c r="T122" s="78" t="s">
        <v>1835</v>
      </c>
      <c r="U122" s="72"/>
    </row>
    <row r="123" spans="1:21" ht="36">
      <c r="A123" s="6" t="s">
        <v>722</v>
      </c>
      <c r="B123" s="6" t="s">
        <v>723</v>
      </c>
      <c r="C123" s="92"/>
      <c r="D123" s="92"/>
      <c r="E123" s="92"/>
      <c r="F123" s="92"/>
      <c r="G123" s="90"/>
      <c r="H123" s="89"/>
      <c r="I123" s="72"/>
      <c r="J123" s="6" t="s">
        <v>134</v>
      </c>
      <c r="K123" s="84" t="s">
        <v>135</v>
      </c>
      <c r="L123" s="76"/>
      <c r="M123" s="76"/>
      <c r="N123" s="76"/>
      <c r="O123" s="76" t="s">
        <v>5247</v>
      </c>
      <c r="P123" s="77"/>
      <c r="Q123" s="77"/>
      <c r="R123" s="77"/>
      <c r="S123" s="77" t="s">
        <v>18</v>
      </c>
      <c r="T123" s="78" t="s">
        <v>1836</v>
      </c>
      <c r="U123" s="72"/>
    </row>
    <row r="124" spans="1:21" ht="21">
      <c r="A124" s="6" t="s">
        <v>727</v>
      </c>
      <c r="B124" s="93" t="s">
        <v>558</v>
      </c>
      <c r="C124" s="92"/>
      <c r="D124" s="92"/>
      <c r="E124" s="92"/>
      <c r="F124" s="92"/>
      <c r="G124" s="90"/>
      <c r="H124" s="89"/>
      <c r="I124" s="72"/>
      <c r="J124" s="6" t="s">
        <v>728</v>
      </c>
      <c r="K124" s="84" t="s">
        <v>729</v>
      </c>
      <c r="L124" s="76"/>
      <c r="M124" s="76"/>
      <c r="N124" s="76"/>
      <c r="O124" s="76" t="s">
        <v>1837</v>
      </c>
      <c r="P124" s="77"/>
      <c r="Q124" s="77"/>
      <c r="R124" s="77"/>
      <c r="S124" s="77" t="s">
        <v>1562</v>
      </c>
      <c r="T124" s="78" t="s">
        <v>1838</v>
      </c>
      <c r="U124" s="72"/>
    </row>
    <row r="125" spans="1:21" ht="21">
      <c r="A125" s="6" t="s">
        <v>733</v>
      </c>
      <c r="B125" s="6" t="s">
        <v>686</v>
      </c>
      <c r="C125" s="92"/>
      <c r="D125" s="92"/>
      <c r="E125" s="92"/>
      <c r="F125" s="92"/>
      <c r="G125" s="90"/>
      <c r="H125" s="89"/>
      <c r="I125" s="72"/>
      <c r="J125" s="6" t="s">
        <v>290</v>
      </c>
      <c r="K125" s="84" t="s">
        <v>291</v>
      </c>
      <c r="L125" s="76"/>
      <c r="M125" s="76"/>
      <c r="N125" s="76"/>
      <c r="O125" s="76" t="s">
        <v>1839</v>
      </c>
      <c r="P125" s="77"/>
      <c r="Q125" s="77"/>
      <c r="R125" s="77"/>
      <c r="S125" s="77" t="s">
        <v>1567</v>
      </c>
      <c r="T125" s="78" t="s">
        <v>1840</v>
      </c>
      <c r="U125" s="72"/>
    </row>
    <row r="126" spans="1:21" ht="36">
      <c r="A126" s="6" t="s">
        <v>737</v>
      </c>
      <c r="B126" s="6" t="s">
        <v>700</v>
      </c>
      <c r="C126" s="92"/>
      <c r="D126" s="92"/>
      <c r="E126" s="92"/>
      <c r="F126" s="92"/>
      <c r="G126" s="90"/>
      <c r="H126" s="89"/>
      <c r="I126" s="72"/>
      <c r="J126" s="6" t="s">
        <v>254</v>
      </c>
      <c r="K126" s="84" t="s">
        <v>255</v>
      </c>
      <c r="L126" s="76" t="s">
        <v>1222</v>
      </c>
      <c r="M126" s="76"/>
      <c r="N126" s="76"/>
      <c r="O126" s="76" t="s">
        <v>1841</v>
      </c>
      <c r="P126" s="77"/>
      <c r="Q126" s="77"/>
      <c r="R126" s="77"/>
      <c r="S126" s="77" t="s">
        <v>1567</v>
      </c>
      <c r="T126" s="78" t="s">
        <v>1842</v>
      </c>
      <c r="U126" s="72"/>
    </row>
    <row r="127" spans="1:21">
      <c r="A127" s="6" t="s">
        <v>741</v>
      </c>
      <c r="B127" s="6" t="s">
        <v>742</v>
      </c>
      <c r="C127" s="92"/>
      <c r="D127" s="92"/>
      <c r="E127" s="92"/>
      <c r="F127" s="92"/>
      <c r="G127" s="90"/>
      <c r="H127" s="89"/>
      <c r="J127" s="94" t="s">
        <v>407</v>
      </c>
      <c r="K127" s="95" t="s">
        <v>408</v>
      </c>
      <c r="L127" s="96"/>
      <c r="M127" s="96"/>
      <c r="N127" s="96"/>
      <c r="O127" s="96" t="s">
        <v>1843</v>
      </c>
      <c r="P127" s="97"/>
      <c r="Q127" s="97"/>
      <c r="R127" s="97"/>
      <c r="S127" s="97" t="s">
        <v>1567</v>
      </c>
      <c r="T127" s="78" t="s">
        <v>1844</v>
      </c>
      <c r="U127" s="98"/>
    </row>
    <row r="128" spans="1:21">
      <c r="A128" s="6" t="s">
        <v>746</v>
      </c>
      <c r="B128" s="6" t="s">
        <v>693</v>
      </c>
      <c r="C128" s="92"/>
      <c r="D128" s="92"/>
      <c r="E128" s="92"/>
      <c r="F128" s="92"/>
      <c r="G128" s="90"/>
      <c r="H128" s="89"/>
      <c r="J128" s="94" t="s">
        <v>747</v>
      </c>
      <c r="K128" s="95" t="s">
        <v>748</v>
      </c>
      <c r="L128" s="96"/>
      <c r="M128" s="96"/>
      <c r="N128" s="96"/>
      <c r="O128" s="96" t="s">
        <v>1845</v>
      </c>
      <c r="P128" s="97"/>
      <c r="Q128" s="97"/>
      <c r="R128" s="97"/>
      <c r="S128" s="97" t="s">
        <v>1562</v>
      </c>
      <c r="T128" s="78" t="s">
        <v>1846</v>
      </c>
      <c r="U128" s="98"/>
    </row>
    <row r="129" spans="1:21">
      <c r="A129" s="6" t="s">
        <v>752</v>
      </c>
      <c r="B129" s="93" t="s">
        <v>753</v>
      </c>
      <c r="C129" s="92"/>
      <c r="D129" s="92"/>
      <c r="E129" s="92"/>
      <c r="F129" s="92"/>
      <c r="G129" s="90"/>
      <c r="H129" s="89"/>
      <c r="J129" s="94" t="s">
        <v>411</v>
      </c>
      <c r="K129" s="95" t="s">
        <v>412</v>
      </c>
      <c r="L129" s="96"/>
      <c r="M129" s="96"/>
      <c r="N129" s="96"/>
      <c r="O129" s="96" t="s">
        <v>1847</v>
      </c>
      <c r="P129" s="97"/>
      <c r="Q129" s="97"/>
      <c r="R129" s="97"/>
      <c r="S129" s="77" t="s">
        <v>1583</v>
      </c>
      <c r="T129" s="78" t="s">
        <v>1848</v>
      </c>
      <c r="U129" s="98"/>
    </row>
    <row r="130" spans="1:21" ht="36">
      <c r="A130" s="6" t="s">
        <v>757</v>
      </c>
      <c r="B130" s="6" t="s">
        <v>758</v>
      </c>
      <c r="C130" s="92"/>
      <c r="D130" s="92"/>
      <c r="E130" s="92"/>
      <c r="F130" s="92"/>
      <c r="G130" s="90"/>
      <c r="H130" s="89"/>
      <c r="J130" s="94" t="s">
        <v>32</v>
      </c>
      <c r="K130" s="95" t="s">
        <v>33</v>
      </c>
      <c r="L130" s="96" t="s">
        <v>1222</v>
      </c>
      <c r="M130" s="96" t="s">
        <v>1581</v>
      </c>
      <c r="N130" s="96"/>
      <c r="O130" s="96" t="s">
        <v>1849</v>
      </c>
      <c r="P130" s="97"/>
      <c r="Q130" s="97"/>
      <c r="R130" s="97"/>
      <c r="S130" s="97" t="s">
        <v>21</v>
      </c>
      <c r="T130" s="78" t="s">
        <v>1850</v>
      </c>
      <c r="U130" s="98"/>
    </row>
    <row r="131" spans="1:21" ht="36">
      <c r="A131" s="6" t="s">
        <v>762</v>
      </c>
      <c r="B131" s="6" t="s">
        <v>763</v>
      </c>
      <c r="C131" s="92"/>
      <c r="D131" s="92"/>
      <c r="E131" s="92"/>
      <c r="F131" s="92"/>
      <c r="G131" s="90"/>
      <c r="H131" s="89"/>
      <c r="J131" s="94" t="s">
        <v>301</v>
      </c>
      <c r="K131" s="95" t="s">
        <v>280</v>
      </c>
      <c r="L131" s="96"/>
      <c r="M131" s="96"/>
      <c r="N131" s="96"/>
      <c r="O131" s="96" t="s">
        <v>1851</v>
      </c>
      <c r="P131" s="97"/>
      <c r="Q131" s="97"/>
      <c r="R131" s="97"/>
      <c r="S131" s="97" t="s">
        <v>21</v>
      </c>
      <c r="T131" s="99" t="s">
        <v>1852</v>
      </c>
      <c r="U131" s="98"/>
    </row>
    <row r="132" spans="1:21">
      <c r="A132" s="6" t="s">
        <v>767</v>
      </c>
      <c r="B132" s="6" t="s">
        <v>768</v>
      </c>
      <c r="C132" s="92"/>
      <c r="D132" s="92"/>
      <c r="E132" s="92"/>
      <c r="F132" s="92"/>
      <c r="G132" s="90"/>
      <c r="H132" s="89"/>
      <c r="J132" s="94" t="s">
        <v>344</v>
      </c>
      <c r="K132" s="95" t="s">
        <v>345</v>
      </c>
      <c r="L132" s="96"/>
      <c r="M132" s="96"/>
      <c r="N132" s="96"/>
      <c r="O132" s="96" t="s">
        <v>1853</v>
      </c>
      <c r="P132" s="97"/>
      <c r="Q132" s="97"/>
      <c r="R132" s="97"/>
      <c r="S132" s="97" t="s">
        <v>21</v>
      </c>
      <c r="T132" s="99" t="s">
        <v>1854</v>
      </c>
      <c r="U132" s="98"/>
    </row>
    <row r="133" spans="1:21">
      <c r="A133" s="6" t="s">
        <v>772</v>
      </c>
      <c r="B133" s="6" t="s">
        <v>773</v>
      </c>
      <c r="C133" s="92"/>
      <c r="D133" s="92"/>
      <c r="E133" s="92"/>
      <c r="F133" s="92"/>
      <c r="G133" s="90"/>
      <c r="H133" s="89"/>
      <c r="J133" s="94" t="s">
        <v>774</v>
      </c>
      <c r="K133" s="95" t="s">
        <v>775</v>
      </c>
      <c r="L133" s="96"/>
      <c r="M133" s="96"/>
      <c r="N133" s="96"/>
      <c r="O133" s="96" t="s">
        <v>1855</v>
      </c>
      <c r="P133" s="97"/>
      <c r="Q133" s="97"/>
      <c r="R133" s="97"/>
      <c r="S133" s="97" t="s">
        <v>1562</v>
      </c>
      <c r="T133" s="99" t="s">
        <v>1856</v>
      </c>
      <c r="U133" s="98"/>
    </row>
    <row r="134" spans="1:21">
      <c r="A134" s="6" t="s">
        <v>779</v>
      </c>
      <c r="B134" s="6" t="s">
        <v>780</v>
      </c>
      <c r="C134" s="92"/>
      <c r="D134" s="92"/>
      <c r="E134" s="92"/>
      <c r="F134" s="92"/>
      <c r="G134" s="90"/>
      <c r="H134" s="89"/>
      <c r="J134" s="94" t="s">
        <v>781</v>
      </c>
      <c r="K134" s="95" t="s">
        <v>544</v>
      </c>
      <c r="L134" s="96"/>
      <c r="M134" s="96"/>
      <c r="N134" s="96"/>
      <c r="O134" s="96" t="s">
        <v>1857</v>
      </c>
      <c r="P134" s="97"/>
      <c r="Q134" s="97"/>
      <c r="R134" s="97"/>
      <c r="S134" s="97" t="s">
        <v>18</v>
      </c>
      <c r="T134" s="99" t="s">
        <v>1858</v>
      </c>
      <c r="U134" s="98"/>
    </row>
    <row r="135" spans="1:21">
      <c r="A135" s="6" t="s">
        <v>785</v>
      </c>
      <c r="B135" s="93" t="s">
        <v>786</v>
      </c>
      <c r="C135" s="92"/>
      <c r="D135" s="92"/>
      <c r="E135" s="92"/>
      <c r="F135" s="92"/>
      <c r="G135" s="90"/>
      <c r="H135" s="89"/>
      <c r="J135" s="564" t="s">
        <v>787</v>
      </c>
      <c r="K135" s="565"/>
      <c r="L135" s="566"/>
      <c r="M135" s="566"/>
      <c r="N135" s="566"/>
      <c r="O135" s="567"/>
      <c r="P135" s="566"/>
      <c r="Q135" s="566"/>
      <c r="R135" s="566"/>
      <c r="S135" s="566"/>
      <c r="T135" s="568"/>
      <c r="U135" s="98"/>
    </row>
    <row r="136" spans="1:21">
      <c r="A136" s="6" t="s">
        <v>791</v>
      </c>
      <c r="B136" s="6" t="s">
        <v>792</v>
      </c>
      <c r="C136" s="92"/>
      <c r="D136" s="92"/>
      <c r="E136" s="92"/>
      <c r="F136" s="92"/>
      <c r="G136" s="90"/>
      <c r="H136" s="89"/>
      <c r="J136" s="538"/>
      <c r="K136" s="533"/>
      <c r="L136" s="550"/>
      <c r="M136" s="550"/>
      <c r="N136" s="550"/>
      <c r="O136" s="533"/>
      <c r="P136" s="550"/>
      <c r="Q136" s="550"/>
      <c r="R136" s="550"/>
      <c r="S136" s="550"/>
      <c r="T136" s="539"/>
      <c r="U136" s="98"/>
    </row>
    <row r="137" spans="1:21">
      <c r="A137" s="6" t="s">
        <v>796</v>
      </c>
      <c r="B137" s="6" t="s">
        <v>797</v>
      </c>
      <c r="C137" s="92"/>
      <c r="D137" s="92"/>
      <c r="E137" s="92"/>
      <c r="F137" s="92"/>
      <c r="G137" s="90"/>
      <c r="H137" s="89"/>
      <c r="J137" s="6" t="s">
        <v>4</v>
      </c>
      <c r="K137" s="6" t="s">
        <v>5</v>
      </c>
      <c r="L137" s="76"/>
      <c r="M137" s="76"/>
      <c r="N137" s="76"/>
      <c r="O137" s="76" t="s">
        <v>1555</v>
      </c>
      <c r="P137" s="100"/>
      <c r="Q137" s="100"/>
      <c r="R137" s="100"/>
      <c r="S137" s="100"/>
      <c r="T137" s="101" t="s">
        <v>12</v>
      </c>
      <c r="U137" s="98"/>
    </row>
    <row r="138" spans="1:21">
      <c r="A138" s="6" t="s">
        <v>800</v>
      </c>
      <c r="B138" s="93" t="s">
        <v>801</v>
      </c>
      <c r="C138" s="92"/>
      <c r="D138" s="92"/>
      <c r="E138" s="92"/>
      <c r="F138" s="92"/>
      <c r="G138" s="90"/>
      <c r="H138" s="89"/>
      <c r="J138" s="94" t="s">
        <v>802</v>
      </c>
      <c r="K138" s="95" t="s">
        <v>803</v>
      </c>
      <c r="L138" s="96"/>
      <c r="M138" s="96"/>
      <c r="N138" s="96"/>
      <c r="O138" s="96"/>
      <c r="P138" s="97"/>
      <c r="Q138" s="97"/>
      <c r="R138" s="97"/>
      <c r="S138" s="97"/>
      <c r="T138" s="99"/>
      <c r="U138" s="98"/>
    </row>
    <row r="139" spans="1:21" ht="36">
      <c r="A139" s="6" t="s">
        <v>807</v>
      </c>
      <c r="B139" s="6" t="s">
        <v>808</v>
      </c>
      <c r="C139" s="92"/>
      <c r="D139" s="92"/>
      <c r="E139" s="92"/>
      <c r="F139" s="92"/>
      <c r="G139" s="90"/>
      <c r="H139" s="89"/>
      <c r="J139" s="94" t="s">
        <v>809</v>
      </c>
      <c r="K139" s="95" t="s">
        <v>810</v>
      </c>
      <c r="L139" s="96"/>
      <c r="M139" s="96"/>
      <c r="N139" s="96"/>
      <c r="O139" s="96" t="s">
        <v>1859</v>
      </c>
      <c r="P139" s="97"/>
      <c r="Q139" s="97"/>
      <c r="R139" s="97"/>
      <c r="S139" s="97"/>
      <c r="T139" s="99"/>
      <c r="U139" s="98"/>
    </row>
    <row r="140" spans="1:21">
      <c r="A140" s="6" t="s">
        <v>814</v>
      </c>
      <c r="B140" s="6" t="s">
        <v>736</v>
      </c>
      <c r="C140" s="92"/>
      <c r="D140" s="92"/>
      <c r="E140" s="92"/>
      <c r="F140" s="92"/>
      <c r="G140" s="90"/>
      <c r="H140" s="89"/>
      <c r="J140" s="94" t="s">
        <v>755</v>
      </c>
      <c r="K140" s="95" t="s">
        <v>756</v>
      </c>
      <c r="L140" s="96" t="s">
        <v>1222</v>
      </c>
      <c r="M140" s="96"/>
      <c r="N140" s="96"/>
      <c r="O140" s="96" t="s">
        <v>1860</v>
      </c>
      <c r="P140" s="97"/>
      <c r="Q140" s="97"/>
      <c r="R140" s="97"/>
      <c r="S140" s="97"/>
      <c r="T140" s="99"/>
      <c r="U140" s="98"/>
    </row>
    <row r="141" spans="1:21">
      <c r="A141" s="6" t="s">
        <v>818</v>
      </c>
      <c r="B141" s="6" t="s">
        <v>819</v>
      </c>
      <c r="C141" s="92"/>
      <c r="D141" s="92"/>
      <c r="E141" s="92"/>
      <c r="F141" s="92"/>
      <c r="G141" s="90"/>
      <c r="H141" s="89"/>
      <c r="J141" s="94" t="s">
        <v>820</v>
      </c>
      <c r="K141" s="95" t="s">
        <v>821</v>
      </c>
      <c r="L141" s="96"/>
      <c r="M141" s="96"/>
      <c r="N141" s="96"/>
      <c r="O141" s="96" t="s">
        <v>1861</v>
      </c>
      <c r="P141" s="97"/>
      <c r="Q141" s="97"/>
      <c r="R141" s="97"/>
      <c r="S141" s="97"/>
      <c r="T141" s="99"/>
      <c r="U141" s="98"/>
    </row>
    <row r="142" spans="1:21">
      <c r="A142" s="6" t="s">
        <v>825</v>
      </c>
      <c r="B142" s="93" t="s">
        <v>826</v>
      </c>
      <c r="C142" s="92"/>
      <c r="D142" s="92"/>
      <c r="E142" s="92"/>
      <c r="F142" s="92"/>
      <c r="G142" s="90"/>
      <c r="H142" s="89"/>
      <c r="J142" s="94" t="s">
        <v>827</v>
      </c>
      <c r="K142" s="95" t="s">
        <v>828</v>
      </c>
      <c r="L142" s="96"/>
      <c r="M142" s="96"/>
      <c r="N142" s="96"/>
      <c r="O142" s="96" t="s">
        <v>1862</v>
      </c>
      <c r="P142" s="97"/>
      <c r="Q142" s="97"/>
      <c r="R142" s="97"/>
      <c r="S142" s="97"/>
      <c r="T142" s="99"/>
      <c r="U142" s="98"/>
    </row>
    <row r="143" spans="1:21" ht="36">
      <c r="A143" s="6" t="s">
        <v>832</v>
      </c>
      <c r="B143" s="6" t="s">
        <v>833</v>
      </c>
      <c r="C143" s="92"/>
      <c r="D143" s="92"/>
      <c r="E143" s="92"/>
      <c r="F143" s="92"/>
      <c r="G143" s="90"/>
      <c r="H143" s="89"/>
      <c r="J143" s="94" t="s">
        <v>812</v>
      </c>
      <c r="K143" s="95" t="s">
        <v>813</v>
      </c>
      <c r="L143" s="96" t="s">
        <v>1222</v>
      </c>
      <c r="M143" s="96"/>
      <c r="N143" s="96"/>
      <c r="O143" s="96" t="s">
        <v>1863</v>
      </c>
      <c r="P143" s="97"/>
      <c r="Q143" s="97"/>
      <c r="R143" s="97"/>
      <c r="S143" s="97"/>
      <c r="T143" s="99"/>
      <c r="U143" s="98"/>
    </row>
    <row r="144" spans="1:21" ht="36">
      <c r="A144" s="6" t="s">
        <v>837</v>
      </c>
      <c r="B144" s="6" t="s">
        <v>838</v>
      </c>
      <c r="C144" s="92"/>
      <c r="D144" s="92"/>
      <c r="E144" s="92"/>
      <c r="F144" s="92"/>
      <c r="G144" s="90"/>
      <c r="H144" s="89"/>
      <c r="J144" s="94" t="s">
        <v>839</v>
      </c>
      <c r="K144" s="95" t="s">
        <v>840</v>
      </c>
      <c r="L144" s="96" t="s">
        <v>1581</v>
      </c>
      <c r="M144" s="96"/>
      <c r="N144" s="96"/>
      <c r="O144" s="96" t="s">
        <v>1864</v>
      </c>
      <c r="P144" s="97"/>
      <c r="Q144" s="97"/>
      <c r="R144" s="97"/>
      <c r="S144" s="97"/>
      <c r="T144" s="99"/>
      <c r="U144" s="98"/>
    </row>
    <row r="145" spans="1:21">
      <c r="A145" s="6" t="s">
        <v>844</v>
      </c>
      <c r="B145" s="93" t="s">
        <v>627</v>
      </c>
      <c r="C145" s="92"/>
      <c r="D145" s="92"/>
      <c r="E145" s="92"/>
      <c r="F145" s="92"/>
      <c r="G145" s="90"/>
      <c r="H145" s="89"/>
      <c r="J145" s="94" t="s">
        <v>845</v>
      </c>
      <c r="K145" s="95" t="s">
        <v>846</v>
      </c>
      <c r="L145" s="96"/>
      <c r="M145" s="96"/>
      <c r="N145" s="96"/>
      <c r="O145" s="96" t="s">
        <v>1865</v>
      </c>
      <c r="P145" s="97"/>
      <c r="Q145" s="97"/>
      <c r="R145" s="97"/>
      <c r="S145" s="97"/>
      <c r="T145" s="99"/>
      <c r="U145" s="98"/>
    </row>
    <row r="146" spans="1:21">
      <c r="A146" s="6" t="s">
        <v>850</v>
      </c>
      <c r="B146" s="6" t="s">
        <v>851</v>
      </c>
      <c r="C146" s="92"/>
      <c r="D146" s="92"/>
      <c r="E146" s="92"/>
      <c r="F146" s="92"/>
      <c r="G146" s="90"/>
      <c r="H146" s="89"/>
      <c r="J146" s="94" t="s">
        <v>617</v>
      </c>
      <c r="K146" s="95" t="s">
        <v>618</v>
      </c>
      <c r="L146" s="96"/>
      <c r="M146" s="96"/>
      <c r="N146" s="96"/>
      <c r="O146" s="96" t="s">
        <v>1866</v>
      </c>
      <c r="P146" s="97"/>
      <c r="Q146" s="97"/>
      <c r="R146" s="97"/>
      <c r="S146" s="97"/>
      <c r="T146" s="99"/>
      <c r="U146" s="98"/>
    </row>
    <row r="147" spans="1:21" ht="36">
      <c r="A147" s="6" t="s">
        <v>855</v>
      </c>
      <c r="B147" s="93" t="s">
        <v>662</v>
      </c>
      <c r="C147" s="92"/>
      <c r="D147" s="92"/>
      <c r="E147" s="92"/>
      <c r="F147" s="92"/>
      <c r="G147" s="90"/>
      <c r="H147" s="89"/>
      <c r="J147" s="94" t="s">
        <v>856</v>
      </c>
      <c r="K147" s="95" t="s">
        <v>857</v>
      </c>
      <c r="L147" s="96"/>
      <c r="M147" s="96"/>
      <c r="N147" s="96"/>
      <c r="O147" s="96" t="s">
        <v>1867</v>
      </c>
      <c r="P147" s="97"/>
      <c r="Q147" s="97"/>
      <c r="R147" s="97"/>
      <c r="S147" s="97"/>
      <c r="T147" s="99"/>
      <c r="U147" s="98"/>
    </row>
    <row r="148" spans="1:21">
      <c r="A148" s="6" t="s">
        <v>859</v>
      </c>
      <c r="B148" s="6" t="s">
        <v>860</v>
      </c>
      <c r="C148" s="92"/>
      <c r="D148" s="92"/>
      <c r="E148" s="92"/>
      <c r="F148" s="92"/>
      <c r="G148" s="90"/>
      <c r="H148" s="89"/>
      <c r="J148" s="94" t="s">
        <v>783</v>
      </c>
      <c r="K148" s="95" t="s">
        <v>784</v>
      </c>
      <c r="L148" s="96"/>
      <c r="M148" s="96"/>
      <c r="N148" s="96"/>
      <c r="O148" s="96"/>
      <c r="P148" s="97"/>
      <c r="Q148" s="97"/>
      <c r="R148" s="97"/>
      <c r="S148" s="97"/>
      <c r="T148" s="99"/>
      <c r="U148" s="98"/>
    </row>
    <row r="149" spans="1:21">
      <c r="A149" s="6" t="s">
        <v>861</v>
      </c>
      <c r="B149" s="6" t="s">
        <v>862</v>
      </c>
      <c r="C149" s="92"/>
      <c r="D149" s="92"/>
      <c r="E149" s="92"/>
      <c r="F149" s="92"/>
      <c r="G149" s="90"/>
      <c r="H149" s="89"/>
      <c r="J149" s="94" t="s">
        <v>863</v>
      </c>
      <c r="K149" s="95" t="s">
        <v>864</v>
      </c>
      <c r="L149" s="96"/>
      <c r="M149" s="96"/>
      <c r="N149" s="96"/>
      <c r="O149" s="96"/>
      <c r="P149" s="97"/>
      <c r="Q149" s="97"/>
      <c r="R149" s="97"/>
      <c r="S149" s="97"/>
      <c r="T149" s="99"/>
      <c r="U149" s="98"/>
    </row>
    <row r="150" spans="1:21">
      <c r="A150" s="6" t="s">
        <v>865</v>
      </c>
      <c r="B150" s="6" t="s">
        <v>866</v>
      </c>
      <c r="C150" s="92"/>
      <c r="D150" s="92"/>
      <c r="E150" s="92"/>
      <c r="F150" s="92"/>
      <c r="G150" s="90"/>
      <c r="H150" s="89"/>
      <c r="J150" s="94" t="s">
        <v>551</v>
      </c>
      <c r="K150" s="95" t="s">
        <v>552</v>
      </c>
      <c r="L150" s="96"/>
      <c r="M150" s="96" t="s">
        <v>1222</v>
      </c>
      <c r="N150" s="96"/>
      <c r="O150" s="96" t="s">
        <v>1868</v>
      </c>
      <c r="P150" s="97"/>
      <c r="Q150" s="97"/>
      <c r="R150" s="97"/>
      <c r="S150" s="97"/>
      <c r="T150" s="99"/>
      <c r="U150" s="98"/>
    </row>
    <row r="151" spans="1:21">
      <c r="A151" s="6" t="s">
        <v>870</v>
      </c>
      <c r="B151" s="6" t="s">
        <v>843</v>
      </c>
      <c r="C151" s="92"/>
      <c r="D151" s="92"/>
      <c r="E151" s="92"/>
      <c r="F151" s="92"/>
      <c r="G151" s="90"/>
      <c r="H151" s="89"/>
      <c r="J151" s="94" t="s">
        <v>871</v>
      </c>
      <c r="K151" s="95" t="s">
        <v>872</v>
      </c>
      <c r="L151" s="96"/>
      <c r="M151" s="96"/>
      <c r="N151" s="96"/>
      <c r="O151" s="96"/>
      <c r="P151" s="97"/>
      <c r="Q151" s="97"/>
      <c r="R151" s="97"/>
      <c r="S151" s="97"/>
      <c r="T151" s="99"/>
      <c r="U151" s="98"/>
    </row>
    <row r="152" spans="1:21" ht="36">
      <c r="A152" s="6" t="s">
        <v>876</v>
      </c>
      <c r="B152" s="93" t="s">
        <v>877</v>
      </c>
      <c r="C152" s="92"/>
      <c r="D152" s="92"/>
      <c r="E152" s="92"/>
      <c r="F152" s="92"/>
      <c r="G152" s="90"/>
      <c r="H152" s="89"/>
      <c r="J152" s="94" t="s">
        <v>760</v>
      </c>
      <c r="K152" s="95" t="s">
        <v>761</v>
      </c>
      <c r="L152" s="96"/>
      <c r="M152" s="96"/>
      <c r="N152" s="96"/>
      <c r="O152" s="96"/>
      <c r="P152" s="97"/>
      <c r="Q152" s="97"/>
      <c r="R152" s="97"/>
      <c r="S152" s="97"/>
      <c r="T152" s="99"/>
      <c r="U152" s="98"/>
    </row>
    <row r="153" spans="1:21">
      <c r="A153" s="6" t="s">
        <v>881</v>
      </c>
      <c r="B153" s="93" t="s">
        <v>882</v>
      </c>
      <c r="C153" s="92"/>
      <c r="D153" s="92"/>
      <c r="E153" s="92"/>
      <c r="F153" s="92"/>
      <c r="G153" s="90"/>
      <c r="H153" s="89"/>
      <c r="J153" s="94" t="s">
        <v>883</v>
      </c>
      <c r="K153" s="95" t="s">
        <v>884</v>
      </c>
      <c r="L153" s="96"/>
      <c r="M153" s="96"/>
      <c r="N153" s="96"/>
      <c r="O153" s="96"/>
      <c r="P153" s="97"/>
      <c r="Q153" s="97"/>
      <c r="R153" s="97"/>
      <c r="S153" s="97"/>
      <c r="T153" s="99"/>
      <c r="U153" s="98"/>
    </row>
    <row r="154" spans="1:21">
      <c r="A154" s="6" t="s">
        <v>888</v>
      </c>
      <c r="B154" s="93" t="s">
        <v>889</v>
      </c>
      <c r="C154" s="92"/>
      <c r="D154" s="92"/>
      <c r="E154" s="92"/>
      <c r="F154" s="92"/>
      <c r="G154" s="90"/>
      <c r="H154" s="89"/>
      <c r="J154" s="94" t="s">
        <v>890</v>
      </c>
      <c r="K154" s="95" t="s">
        <v>891</v>
      </c>
      <c r="L154" s="96"/>
      <c r="M154" s="96"/>
      <c r="N154" s="96"/>
      <c r="O154" s="96"/>
      <c r="P154" s="97"/>
      <c r="Q154" s="97"/>
      <c r="R154" s="97"/>
      <c r="S154" s="97"/>
      <c r="T154" s="99"/>
      <c r="U154" s="98"/>
    </row>
    <row r="155" spans="1:21">
      <c r="A155" s="6" t="s">
        <v>895</v>
      </c>
      <c r="B155" s="93" t="s">
        <v>849</v>
      </c>
      <c r="C155" s="92"/>
      <c r="D155" s="92"/>
      <c r="E155" s="92"/>
      <c r="F155" s="92"/>
      <c r="G155" s="90"/>
      <c r="H155" s="89"/>
      <c r="J155" s="94" t="s">
        <v>750</v>
      </c>
      <c r="K155" s="95" t="s">
        <v>751</v>
      </c>
      <c r="L155" s="96"/>
      <c r="M155" s="96"/>
      <c r="N155" s="96"/>
      <c r="O155" s="96"/>
      <c r="P155" s="97"/>
      <c r="Q155" s="97"/>
      <c r="R155" s="97"/>
      <c r="S155" s="97"/>
      <c r="T155" s="99"/>
      <c r="U155" s="98"/>
    </row>
    <row r="156" spans="1:21">
      <c r="A156" s="6" t="s">
        <v>898</v>
      </c>
      <c r="B156" s="93" t="s">
        <v>899</v>
      </c>
      <c r="C156" s="92"/>
      <c r="D156" s="92"/>
      <c r="E156" s="92"/>
      <c r="F156" s="92"/>
      <c r="G156" s="90"/>
      <c r="H156" s="89"/>
      <c r="J156" s="94" t="s">
        <v>900</v>
      </c>
      <c r="K156" s="95" t="s">
        <v>901</v>
      </c>
      <c r="L156" s="96"/>
      <c r="M156" s="96"/>
      <c r="N156" s="96"/>
      <c r="O156" s="96"/>
      <c r="P156" s="97"/>
      <c r="Q156" s="97"/>
      <c r="R156" s="97"/>
      <c r="S156" s="97"/>
      <c r="T156" s="99"/>
      <c r="U156" s="98"/>
    </row>
    <row r="157" spans="1:21">
      <c r="A157" s="6" t="s">
        <v>905</v>
      </c>
      <c r="B157" s="6" t="s">
        <v>906</v>
      </c>
      <c r="C157" s="92"/>
      <c r="D157" s="92"/>
      <c r="E157" s="92"/>
      <c r="F157" s="92"/>
      <c r="G157" s="90"/>
      <c r="H157" s="89"/>
      <c r="J157" s="94" t="s">
        <v>907</v>
      </c>
      <c r="K157" s="95" t="s">
        <v>908</v>
      </c>
      <c r="L157" s="96"/>
      <c r="M157" s="96"/>
      <c r="N157" s="96"/>
      <c r="O157" s="96"/>
      <c r="P157" s="97"/>
      <c r="Q157" s="97"/>
      <c r="R157" s="97"/>
      <c r="S157" s="97"/>
      <c r="T157" s="99"/>
      <c r="U157" s="98"/>
    </row>
    <row r="158" spans="1:21">
      <c r="A158" s="6" t="s">
        <v>912</v>
      </c>
      <c r="B158" s="6" t="s">
        <v>913</v>
      </c>
      <c r="C158" s="92"/>
      <c r="D158" s="92"/>
      <c r="E158" s="92"/>
      <c r="F158" s="92"/>
      <c r="G158" s="90"/>
      <c r="H158" s="89"/>
      <c r="J158" s="94" t="s">
        <v>914</v>
      </c>
      <c r="K158" s="95" t="s">
        <v>915</v>
      </c>
      <c r="L158" s="96"/>
      <c r="M158" s="96"/>
      <c r="N158" s="96"/>
      <c r="O158" s="96"/>
      <c r="P158" s="97"/>
      <c r="Q158" s="97"/>
      <c r="R158" s="97"/>
      <c r="S158" s="97"/>
      <c r="T158" s="99"/>
      <c r="U158" s="98"/>
    </row>
    <row r="159" spans="1:21" ht="36">
      <c r="A159" s="6" t="s">
        <v>919</v>
      </c>
      <c r="B159" s="6" t="s">
        <v>920</v>
      </c>
      <c r="C159" s="92"/>
      <c r="D159" s="92"/>
      <c r="E159" s="92"/>
      <c r="F159" s="92"/>
      <c r="G159" s="90"/>
      <c r="H159" s="89"/>
      <c r="J159" s="94" t="s">
        <v>515</v>
      </c>
      <c r="K159" s="95" t="s">
        <v>516</v>
      </c>
      <c r="L159" s="96" t="s">
        <v>1581</v>
      </c>
      <c r="M159" s="96"/>
      <c r="N159" s="96"/>
      <c r="O159" s="96" t="s">
        <v>1869</v>
      </c>
      <c r="P159" s="97"/>
      <c r="Q159" s="97"/>
      <c r="R159" s="97"/>
      <c r="S159" s="97"/>
      <c r="T159" s="99"/>
      <c r="U159" s="98"/>
    </row>
    <row r="160" spans="1:21">
      <c r="A160" s="6" t="s">
        <v>924</v>
      </c>
      <c r="B160" s="6" t="s">
        <v>925</v>
      </c>
      <c r="C160" s="92"/>
      <c r="D160" s="92"/>
      <c r="E160" s="92"/>
      <c r="F160" s="92"/>
      <c r="G160" s="90"/>
      <c r="H160" s="89"/>
      <c r="J160" s="94" t="s">
        <v>679</v>
      </c>
      <c r="K160" s="95" t="s">
        <v>680</v>
      </c>
      <c r="L160" s="96"/>
      <c r="M160" s="96"/>
      <c r="N160" s="96"/>
      <c r="O160" s="96"/>
      <c r="P160" s="97"/>
      <c r="Q160" s="97"/>
      <c r="R160" s="97"/>
      <c r="S160" s="97"/>
      <c r="T160" s="99"/>
      <c r="U160" s="98"/>
    </row>
    <row r="161" spans="1:21">
      <c r="A161" s="6" t="s">
        <v>929</v>
      </c>
      <c r="B161" s="6" t="s">
        <v>930</v>
      </c>
      <c r="C161" s="92"/>
      <c r="D161" s="92"/>
      <c r="E161" s="92"/>
      <c r="F161" s="92"/>
      <c r="G161" s="90"/>
      <c r="H161" s="89"/>
      <c r="J161" s="94" t="s">
        <v>611</v>
      </c>
      <c r="K161" s="95" t="s">
        <v>612</v>
      </c>
      <c r="L161" s="96"/>
      <c r="M161" s="96"/>
      <c r="N161" s="96"/>
      <c r="O161" s="96"/>
      <c r="P161" s="97"/>
      <c r="Q161" s="97"/>
      <c r="R161" s="97"/>
      <c r="S161" s="97"/>
      <c r="T161" s="99"/>
      <c r="U161" s="98"/>
    </row>
    <row r="162" spans="1:21">
      <c r="A162" s="6" t="s">
        <v>934</v>
      </c>
      <c r="B162" s="6" t="s">
        <v>522</v>
      </c>
      <c r="C162" s="92"/>
      <c r="D162" s="92"/>
      <c r="E162" s="92"/>
      <c r="F162" s="92"/>
      <c r="G162" s="90"/>
      <c r="H162" s="89"/>
      <c r="J162" s="94" t="s">
        <v>713</v>
      </c>
      <c r="K162" s="95" t="s">
        <v>714</v>
      </c>
      <c r="L162" s="96"/>
      <c r="M162" s="96"/>
      <c r="N162" s="96"/>
      <c r="O162" s="96"/>
      <c r="P162" s="97"/>
      <c r="Q162" s="97"/>
      <c r="R162" s="97"/>
      <c r="S162" s="97"/>
      <c r="T162" s="99"/>
      <c r="U162" s="98"/>
    </row>
    <row r="163" spans="1:21" ht="36">
      <c r="A163" s="6" t="s">
        <v>937</v>
      </c>
      <c r="B163" s="6" t="s">
        <v>547</v>
      </c>
      <c r="C163" s="92"/>
      <c r="D163" s="92"/>
      <c r="E163" s="92"/>
      <c r="F163" s="92"/>
      <c r="G163" s="90"/>
      <c r="H163" s="89"/>
      <c r="J163" s="94" t="s">
        <v>938</v>
      </c>
      <c r="K163" s="95" t="s">
        <v>939</v>
      </c>
      <c r="L163" s="96"/>
      <c r="M163" s="96"/>
      <c r="N163" s="96"/>
      <c r="O163" s="96"/>
      <c r="P163" s="97"/>
      <c r="Q163" s="97"/>
      <c r="R163" s="97"/>
      <c r="S163" s="97"/>
      <c r="T163" s="99"/>
      <c r="U163" s="98"/>
    </row>
    <row r="164" spans="1:21" ht="36">
      <c r="A164" s="6" t="s">
        <v>943</v>
      </c>
      <c r="B164" s="6" t="s">
        <v>944</v>
      </c>
      <c r="C164" s="92"/>
      <c r="D164" s="92"/>
      <c r="E164" s="92"/>
      <c r="F164" s="92"/>
      <c r="G164" s="90"/>
      <c r="H164" s="89"/>
      <c r="J164" s="94" t="s">
        <v>945</v>
      </c>
      <c r="K164" s="95" t="s">
        <v>946</v>
      </c>
      <c r="L164" s="96"/>
      <c r="M164" s="96"/>
      <c r="N164" s="96"/>
      <c r="O164" s="96"/>
      <c r="P164" s="97"/>
      <c r="Q164" s="97"/>
      <c r="R164" s="97"/>
      <c r="S164" s="97"/>
      <c r="T164" s="99"/>
      <c r="U164" s="98"/>
    </row>
    <row r="165" spans="1:21">
      <c r="A165" s="6" t="s">
        <v>950</v>
      </c>
      <c r="B165" s="6" t="s">
        <v>951</v>
      </c>
      <c r="C165" s="92"/>
      <c r="D165" s="92"/>
      <c r="E165" s="92"/>
      <c r="F165" s="92"/>
      <c r="G165" s="90"/>
      <c r="H165" s="89"/>
      <c r="J165" s="94" t="s">
        <v>952</v>
      </c>
      <c r="K165" s="95" t="s">
        <v>953</v>
      </c>
      <c r="L165" s="96"/>
      <c r="M165" s="96" t="s">
        <v>1222</v>
      </c>
      <c r="N165" s="96"/>
      <c r="O165" s="96" t="s">
        <v>1870</v>
      </c>
      <c r="P165" s="97"/>
      <c r="Q165" s="97"/>
      <c r="R165" s="97"/>
      <c r="S165" s="97"/>
      <c r="T165" s="99"/>
      <c r="U165" s="98"/>
    </row>
    <row r="166" spans="1:21" ht="36">
      <c r="A166" s="6" t="s">
        <v>957</v>
      </c>
      <c r="B166" s="6" t="s">
        <v>958</v>
      </c>
      <c r="C166" s="92"/>
      <c r="D166" s="92"/>
      <c r="E166" s="92"/>
      <c r="F166" s="92"/>
      <c r="G166" s="90"/>
      <c r="H166" s="89"/>
      <c r="J166" s="94" t="s">
        <v>959</v>
      </c>
      <c r="K166" s="95" t="s">
        <v>960</v>
      </c>
      <c r="L166" s="96"/>
      <c r="M166" s="96"/>
      <c r="N166" s="96"/>
      <c r="O166" s="96"/>
      <c r="P166" s="97"/>
      <c r="Q166" s="97"/>
      <c r="R166" s="97"/>
      <c r="S166" s="97"/>
      <c r="T166" s="99"/>
      <c r="U166" s="98"/>
    </row>
    <row r="167" spans="1:21">
      <c r="A167" s="6" t="s">
        <v>964</v>
      </c>
      <c r="B167" s="6" t="s">
        <v>965</v>
      </c>
      <c r="C167" s="92"/>
      <c r="D167" s="92"/>
      <c r="E167" s="92"/>
      <c r="F167" s="92"/>
      <c r="G167" s="90"/>
      <c r="H167" s="89"/>
      <c r="J167" s="94" t="s">
        <v>966</v>
      </c>
      <c r="K167" s="95" t="s">
        <v>967</v>
      </c>
      <c r="L167" s="96"/>
      <c r="M167" s="96"/>
      <c r="N167" s="96"/>
      <c r="O167" s="96"/>
      <c r="P167" s="97"/>
      <c r="Q167" s="97"/>
      <c r="R167" s="97"/>
      <c r="S167" s="97"/>
      <c r="T167" s="99"/>
      <c r="U167" s="98"/>
    </row>
    <row r="168" spans="1:21">
      <c r="A168" s="6" t="s">
        <v>971</v>
      </c>
      <c r="B168" s="93" t="s">
        <v>972</v>
      </c>
      <c r="C168" s="92"/>
      <c r="D168" s="92"/>
      <c r="E168" s="92"/>
      <c r="F168" s="92"/>
      <c r="G168" s="90"/>
      <c r="H168" s="89"/>
      <c r="J168" s="94" t="s">
        <v>649</v>
      </c>
      <c r="K168" s="95" t="s">
        <v>650</v>
      </c>
      <c r="L168" s="96"/>
      <c r="M168" s="96"/>
      <c r="N168" s="96"/>
      <c r="O168" s="96"/>
      <c r="P168" s="97"/>
      <c r="Q168" s="97"/>
      <c r="R168" s="97"/>
      <c r="S168" s="97"/>
      <c r="T168" s="99"/>
      <c r="U168" s="98"/>
    </row>
    <row r="169" spans="1:21">
      <c r="A169" s="6" t="s">
        <v>976</v>
      </c>
      <c r="B169" s="6" t="s">
        <v>977</v>
      </c>
      <c r="C169" s="92"/>
      <c r="D169" s="92"/>
      <c r="E169" s="92"/>
      <c r="F169" s="92"/>
      <c r="G169" s="90"/>
      <c r="H169" s="89"/>
      <c r="J169" s="94" t="s">
        <v>631</v>
      </c>
      <c r="K169" s="95" t="s">
        <v>632</v>
      </c>
      <c r="L169" s="96"/>
      <c r="M169" s="96"/>
      <c r="N169" s="96"/>
      <c r="O169" s="96"/>
      <c r="P169" s="97"/>
      <c r="Q169" s="97"/>
      <c r="R169" s="97"/>
      <c r="S169" s="97"/>
      <c r="T169" s="99"/>
      <c r="U169" s="98"/>
    </row>
    <row r="170" spans="1:21">
      <c r="A170" s="6" t="s">
        <v>981</v>
      </c>
      <c r="B170" s="93" t="s">
        <v>624</v>
      </c>
      <c r="C170" s="92"/>
      <c r="D170" s="92"/>
      <c r="E170" s="92"/>
      <c r="F170" s="92"/>
      <c r="G170" s="90"/>
      <c r="H170" s="89"/>
      <c r="J170" s="94" t="s">
        <v>982</v>
      </c>
      <c r="K170" s="95" t="s">
        <v>983</v>
      </c>
      <c r="L170" s="96"/>
      <c r="M170" s="96"/>
      <c r="N170" s="96"/>
      <c r="O170" s="96"/>
      <c r="P170" s="97"/>
      <c r="Q170" s="97"/>
      <c r="R170" s="97"/>
      <c r="S170" s="97"/>
      <c r="T170" s="99"/>
      <c r="U170" s="98"/>
    </row>
    <row r="171" spans="1:21">
      <c r="A171" s="6" t="s">
        <v>986</v>
      </c>
      <c r="B171" s="93" t="s">
        <v>657</v>
      </c>
      <c r="C171" s="92"/>
      <c r="D171" s="92"/>
      <c r="E171" s="92"/>
      <c r="F171" s="92"/>
      <c r="G171" s="90"/>
      <c r="H171" s="89"/>
      <c r="J171" s="94" t="s">
        <v>765</v>
      </c>
      <c r="K171" s="95" t="s">
        <v>766</v>
      </c>
      <c r="L171" s="96"/>
      <c r="M171" s="96"/>
      <c r="N171" s="96"/>
      <c r="O171" s="96"/>
      <c r="P171" s="97"/>
      <c r="Q171" s="97"/>
      <c r="R171" s="97"/>
      <c r="S171" s="97"/>
      <c r="T171" s="99"/>
      <c r="U171" s="98"/>
    </row>
    <row r="172" spans="1:21" ht="36">
      <c r="A172" s="6" t="s">
        <v>990</v>
      </c>
      <c r="B172" s="93" t="s">
        <v>836</v>
      </c>
      <c r="C172" s="92"/>
      <c r="D172" s="92"/>
      <c r="E172" s="92"/>
      <c r="F172" s="92"/>
      <c r="G172" s="90"/>
      <c r="H172" s="89"/>
      <c r="J172" s="94" t="s">
        <v>991</v>
      </c>
      <c r="K172" s="95" t="s">
        <v>992</v>
      </c>
      <c r="L172" s="96"/>
      <c r="M172" s="96"/>
      <c r="N172" s="96" t="s">
        <v>1222</v>
      </c>
      <c r="O172" s="96" t="s">
        <v>1800</v>
      </c>
      <c r="P172" s="97"/>
      <c r="Q172" s="97"/>
      <c r="R172" s="97"/>
      <c r="S172" s="97"/>
      <c r="T172" s="99"/>
      <c r="U172" s="98"/>
    </row>
    <row r="173" spans="1:21" ht="36">
      <c r="A173" s="6" t="s">
        <v>996</v>
      </c>
      <c r="B173" s="6" t="s">
        <v>806</v>
      </c>
      <c r="C173" s="92"/>
      <c r="D173" s="92"/>
      <c r="E173" s="92"/>
      <c r="F173" s="92"/>
      <c r="G173" s="90"/>
      <c r="H173" s="89"/>
      <c r="J173" s="94" t="s">
        <v>997</v>
      </c>
      <c r="K173" s="95" t="s">
        <v>998</v>
      </c>
      <c r="L173" s="96"/>
      <c r="M173" s="96"/>
      <c r="N173" s="96"/>
      <c r="O173" s="96"/>
      <c r="P173" s="97"/>
      <c r="Q173" s="97"/>
      <c r="R173" s="97"/>
      <c r="S173" s="97"/>
      <c r="T173" s="99"/>
      <c r="U173" s="98"/>
    </row>
    <row r="174" spans="1:21">
      <c r="A174" s="6" t="s">
        <v>1002</v>
      </c>
      <c r="B174" s="93" t="s">
        <v>1003</v>
      </c>
      <c r="C174" s="92"/>
      <c r="D174" s="92"/>
      <c r="E174" s="92"/>
      <c r="F174" s="92"/>
      <c r="G174" s="90"/>
      <c r="H174" s="89"/>
      <c r="J174" s="94" t="s">
        <v>1004</v>
      </c>
      <c r="K174" s="95" t="s">
        <v>1005</v>
      </c>
      <c r="L174" s="96"/>
      <c r="M174" s="96"/>
      <c r="N174" s="96"/>
      <c r="O174" s="96"/>
      <c r="P174" s="97"/>
      <c r="Q174" s="97"/>
      <c r="R174" s="97"/>
      <c r="S174" s="97"/>
      <c r="T174" s="99"/>
      <c r="U174" s="98"/>
    </row>
    <row r="175" spans="1:21" ht="36">
      <c r="A175" s="6" t="s">
        <v>1009</v>
      </c>
      <c r="B175" s="6" t="s">
        <v>795</v>
      </c>
      <c r="C175" s="92"/>
      <c r="D175" s="92"/>
      <c r="E175" s="92"/>
      <c r="F175" s="92"/>
      <c r="G175" s="90"/>
      <c r="H175" s="89"/>
      <c r="J175" s="94" t="s">
        <v>830</v>
      </c>
      <c r="K175" s="95" t="s">
        <v>831</v>
      </c>
      <c r="L175" s="96"/>
      <c r="M175" s="96" t="s">
        <v>1581</v>
      </c>
      <c r="N175" s="96"/>
      <c r="O175" s="96" t="s">
        <v>1871</v>
      </c>
      <c r="P175" s="97"/>
      <c r="Q175" s="97"/>
      <c r="R175" s="97"/>
      <c r="S175" s="97"/>
      <c r="T175" s="99"/>
      <c r="U175" s="98"/>
    </row>
    <row r="176" spans="1:21" ht="36">
      <c r="A176" s="6" t="s">
        <v>1013</v>
      </c>
      <c r="B176" s="93" t="s">
        <v>1014</v>
      </c>
      <c r="C176" s="92"/>
      <c r="D176" s="92"/>
      <c r="E176" s="92"/>
      <c r="F176" s="92"/>
      <c r="G176" s="90"/>
      <c r="H176" s="89"/>
      <c r="J176" s="94" t="s">
        <v>789</v>
      </c>
      <c r="K176" s="95" t="s">
        <v>790</v>
      </c>
      <c r="L176" s="96"/>
      <c r="M176" s="96"/>
      <c r="N176" s="96"/>
      <c r="O176" s="96" t="s">
        <v>1872</v>
      </c>
      <c r="P176" s="97"/>
      <c r="Q176" s="97"/>
      <c r="R176" s="97"/>
      <c r="S176" s="97"/>
      <c r="T176" s="99"/>
      <c r="U176" s="98"/>
    </row>
    <row r="177" spans="1:21">
      <c r="A177" s="6" t="s">
        <v>1018</v>
      </c>
      <c r="B177" s="6" t="s">
        <v>1019</v>
      </c>
      <c r="C177" s="92"/>
      <c r="D177" s="92"/>
      <c r="E177" s="92"/>
      <c r="F177" s="92"/>
      <c r="G177" s="90"/>
      <c r="H177" s="89"/>
      <c r="J177" s="94" t="s">
        <v>527</v>
      </c>
      <c r="K177" s="95" t="s">
        <v>528</v>
      </c>
      <c r="L177" s="96"/>
      <c r="M177" s="96"/>
      <c r="N177" s="96"/>
      <c r="O177" s="96"/>
      <c r="P177" s="97"/>
      <c r="Q177" s="97"/>
      <c r="R177" s="97"/>
      <c r="S177" s="97"/>
      <c r="T177" s="99"/>
      <c r="U177" s="98"/>
    </row>
    <row r="178" spans="1:21">
      <c r="A178" s="6" t="s">
        <v>1023</v>
      </c>
      <c r="B178" s="6" t="s">
        <v>540</v>
      </c>
      <c r="C178" s="92"/>
      <c r="D178" s="92"/>
      <c r="E178" s="92"/>
      <c r="F178" s="92"/>
      <c r="G178" s="90"/>
      <c r="H178" s="89"/>
      <c r="J178" s="94" t="s">
        <v>1024</v>
      </c>
      <c r="K178" s="95" t="s">
        <v>1025</v>
      </c>
      <c r="L178" s="96"/>
      <c r="M178" s="96"/>
      <c r="N178" s="96"/>
      <c r="O178" s="96"/>
      <c r="P178" s="97"/>
      <c r="Q178" s="97"/>
      <c r="R178" s="97"/>
      <c r="S178" s="97"/>
      <c r="T178" s="99"/>
      <c r="U178" s="98"/>
    </row>
    <row r="179" spans="1:21" ht="36">
      <c r="A179" s="6" t="s">
        <v>1029</v>
      </c>
      <c r="B179" s="6" t="s">
        <v>1030</v>
      </c>
      <c r="C179" s="92"/>
      <c r="D179" s="92"/>
      <c r="E179" s="92"/>
      <c r="F179" s="92"/>
      <c r="G179" s="90"/>
      <c r="H179" s="89"/>
      <c r="J179" s="94" t="s">
        <v>1031</v>
      </c>
      <c r="K179" s="95" t="s">
        <v>1032</v>
      </c>
      <c r="L179" s="96" t="s">
        <v>1222</v>
      </c>
      <c r="M179" s="96"/>
      <c r="N179" s="96"/>
      <c r="O179" s="96" t="s">
        <v>1873</v>
      </c>
      <c r="P179" s="97"/>
      <c r="Q179" s="97"/>
      <c r="R179" s="97"/>
      <c r="S179" s="97"/>
      <c r="T179" s="99"/>
      <c r="U179" s="98"/>
    </row>
    <row r="180" spans="1:21" ht="18" customHeight="1">
      <c r="A180" s="561" t="s">
        <v>1034</v>
      </c>
      <c r="B180" s="531"/>
      <c r="C180" s="531"/>
      <c r="D180" s="531"/>
      <c r="E180" s="531"/>
      <c r="F180" s="531"/>
      <c r="G180" s="531"/>
      <c r="H180" s="537"/>
      <c r="J180" s="94" t="s">
        <v>816</v>
      </c>
      <c r="K180" s="95" t="s">
        <v>817</v>
      </c>
      <c r="L180" s="96"/>
      <c r="M180" s="96"/>
      <c r="N180" s="96"/>
      <c r="O180" s="96" t="s">
        <v>1874</v>
      </c>
      <c r="P180" s="97"/>
      <c r="Q180" s="97"/>
      <c r="R180" s="97"/>
      <c r="S180" s="97"/>
      <c r="T180" s="99"/>
      <c r="U180" s="98"/>
    </row>
    <row r="181" spans="1:21" ht="12.75" customHeight="1">
      <c r="A181" s="538"/>
      <c r="B181" s="533"/>
      <c r="C181" s="533"/>
      <c r="D181" s="533"/>
      <c r="E181" s="533"/>
      <c r="F181" s="533"/>
      <c r="G181" s="533"/>
      <c r="H181" s="539"/>
      <c r="J181" s="94" t="s">
        <v>1035</v>
      </c>
      <c r="K181" s="95" t="s">
        <v>1036</v>
      </c>
      <c r="L181" s="96"/>
      <c r="M181" s="96"/>
      <c r="N181" s="96"/>
      <c r="O181" s="96"/>
      <c r="P181" s="97"/>
      <c r="Q181" s="97"/>
      <c r="R181" s="97"/>
      <c r="S181" s="97"/>
      <c r="T181" s="99"/>
      <c r="U181" s="98"/>
    </row>
    <row r="182" spans="1:21" ht="57">
      <c r="A182" s="6" t="s">
        <v>4</v>
      </c>
      <c r="B182" s="6" t="s">
        <v>5</v>
      </c>
      <c r="C182" s="89" t="s">
        <v>7</v>
      </c>
      <c r="D182" s="89" t="s">
        <v>8</v>
      </c>
      <c r="E182" s="89" t="s">
        <v>9</v>
      </c>
      <c r="F182" s="89" t="s">
        <v>10</v>
      </c>
      <c r="G182" s="90" t="s">
        <v>11</v>
      </c>
      <c r="H182" s="89" t="s">
        <v>12</v>
      </c>
      <c r="J182" s="94" t="s">
        <v>672</v>
      </c>
      <c r="K182" s="95" t="s">
        <v>673</v>
      </c>
      <c r="L182" s="96"/>
      <c r="M182" s="96"/>
      <c r="N182" s="96"/>
      <c r="O182" s="96"/>
      <c r="P182" s="97"/>
      <c r="Q182" s="97"/>
      <c r="R182" s="97"/>
      <c r="S182" s="97"/>
      <c r="T182" s="99"/>
      <c r="U182" s="98"/>
    </row>
    <row r="183" spans="1:21" ht="19">
      <c r="A183" s="6" t="s">
        <v>1040</v>
      </c>
      <c r="B183" s="6" t="s">
        <v>1041</v>
      </c>
      <c r="C183" s="92"/>
      <c r="D183" s="92"/>
      <c r="E183" s="92"/>
      <c r="F183" s="92"/>
      <c r="G183" s="90"/>
      <c r="H183" s="89" t="s">
        <v>1042</v>
      </c>
      <c r="J183" s="94" t="s">
        <v>706</v>
      </c>
      <c r="K183" s="95" t="s">
        <v>707</v>
      </c>
      <c r="L183" s="96"/>
      <c r="M183" s="96"/>
      <c r="N183" s="96"/>
      <c r="O183" s="96"/>
      <c r="P183" s="97"/>
      <c r="Q183" s="97"/>
      <c r="R183" s="97"/>
      <c r="S183" s="97"/>
      <c r="T183" s="99"/>
      <c r="U183" s="98"/>
    </row>
    <row r="184" spans="1:21">
      <c r="A184" s="6" t="s">
        <v>1046</v>
      </c>
      <c r="B184" s="6" t="s">
        <v>1047</v>
      </c>
      <c r="C184" s="92"/>
      <c r="D184" s="92"/>
      <c r="E184" s="92"/>
      <c r="F184" s="92"/>
      <c r="G184" s="90"/>
      <c r="H184" s="89"/>
      <c r="J184" s="94" t="s">
        <v>1048</v>
      </c>
      <c r="K184" s="95" t="s">
        <v>1049</v>
      </c>
      <c r="L184" s="96"/>
      <c r="M184" s="96"/>
      <c r="N184" s="96"/>
      <c r="O184" s="96"/>
      <c r="P184" s="97"/>
      <c r="Q184" s="97"/>
      <c r="R184" s="97"/>
      <c r="S184" s="97"/>
      <c r="T184" s="99"/>
      <c r="U184" s="98"/>
    </row>
    <row r="185" spans="1:21">
      <c r="A185" s="6" t="s">
        <v>1053</v>
      </c>
      <c r="B185" s="6" t="s">
        <v>975</v>
      </c>
      <c r="C185" s="92"/>
      <c r="D185" s="92"/>
      <c r="E185" s="92"/>
      <c r="F185" s="92"/>
      <c r="G185" s="90"/>
      <c r="H185" s="89"/>
      <c r="J185" s="94" t="s">
        <v>1054</v>
      </c>
      <c r="K185" s="95" t="s">
        <v>1055</v>
      </c>
      <c r="L185" s="96"/>
      <c r="M185" s="96"/>
      <c r="N185" s="96"/>
      <c r="O185" s="96"/>
      <c r="P185" s="97"/>
      <c r="Q185" s="97"/>
      <c r="R185" s="97"/>
      <c r="S185" s="97"/>
      <c r="T185" s="99"/>
      <c r="U185" s="98"/>
    </row>
    <row r="186" spans="1:21">
      <c r="A186" s="6" t="s">
        <v>1059</v>
      </c>
      <c r="B186" s="6" t="s">
        <v>1060</v>
      </c>
      <c r="C186" s="92"/>
      <c r="D186" s="92"/>
      <c r="E186" s="92"/>
      <c r="F186" s="92"/>
      <c r="G186" s="90"/>
      <c r="H186" s="89"/>
      <c r="J186" s="94" t="s">
        <v>569</v>
      </c>
      <c r="K186" s="95" t="s">
        <v>570</v>
      </c>
      <c r="L186" s="96"/>
      <c r="M186" s="96"/>
      <c r="N186" s="96"/>
      <c r="O186" s="96" t="s">
        <v>1875</v>
      </c>
      <c r="P186" s="97"/>
      <c r="Q186" s="97"/>
      <c r="R186" s="97"/>
      <c r="S186" s="97"/>
      <c r="T186" s="99"/>
      <c r="U186" s="98"/>
    </row>
    <row r="187" spans="1:21">
      <c r="A187" s="6" t="s">
        <v>1064</v>
      </c>
      <c r="B187" s="102" t="s">
        <v>1017</v>
      </c>
      <c r="C187" s="92"/>
      <c r="D187" s="92"/>
      <c r="E187" s="92"/>
      <c r="F187" s="92"/>
      <c r="G187" s="90"/>
      <c r="H187" s="89"/>
      <c r="J187" s="94" t="s">
        <v>1065</v>
      </c>
      <c r="K187" s="95" t="s">
        <v>1066</v>
      </c>
      <c r="L187" s="96"/>
      <c r="M187" s="96"/>
      <c r="N187" s="96"/>
      <c r="O187" s="96"/>
      <c r="P187" s="97"/>
      <c r="Q187" s="97"/>
      <c r="R187" s="97"/>
      <c r="S187" s="97"/>
      <c r="T187" s="99"/>
      <c r="U187" s="98"/>
    </row>
    <row r="188" spans="1:21">
      <c r="A188" s="6" t="s">
        <v>1069</v>
      </c>
      <c r="B188" s="102" t="s">
        <v>1017</v>
      </c>
      <c r="C188" s="92"/>
      <c r="D188" s="92"/>
      <c r="E188" s="92"/>
      <c r="F188" s="92"/>
      <c r="G188" s="90"/>
      <c r="H188" s="89"/>
      <c r="J188" s="94" t="s">
        <v>1070</v>
      </c>
      <c r="K188" s="95" t="s">
        <v>1071</v>
      </c>
      <c r="L188" s="96"/>
      <c r="M188" s="96"/>
      <c r="N188" s="96"/>
      <c r="O188" s="96"/>
      <c r="P188" s="97"/>
      <c r="Q188" s="97"/>
      <c r="R188" s="97"/>
      <c r="S188" s="97"/>
      <c r="T188" s="99"/>
      <c r="U188" s="98"/>
    </row>
    <row r="189" spans="1:21" ht="36">
      <c r="A189" s="6" t="s">
        <v>1075</v>
      </c>
      <c r="B189" s="6" t="s">
        <v>1076</v>
      </c>
      <c r="C189" s="92"/>
      <c r="D189" s="92"/>
      <c r="E189" s="92"/>
      <c r="F189" s="92"/>
      <c r="G189" s="90"/>
      <c r="H189" s="89"/>
      <c r="J189" s="94" t="s">
        <v>605</v>
      </c>
      <c r="K189" s="95" t="s">
        <v>606</v>
      </c>
      <c r="L189" s="96" t="s">
        <v>1581</v>
      </c>
      <c r="M189" s="96"/>
      <c r="N189" s="96"/>
      <c r="O189" s="96" t="s">
        <v>1876</v>
      </c>
      <c r="P189" s="97"/>
      <c r="Q189" s="97"/>
      <c r="R189" s="97"/>
      <c r="S189" s="97"/>
      <c r="T189" s="99"/>
      <c r="U189" s="98"/>
    </row>
    <row r="190" spans="1:21">
      <c r="A190" s="6" t="s">
        <v>1080</v>
      </c>
      <c r="B190" s="6" t="s">
        <v>923</v>
      </c>
      <c r="C190" s="92"/>
      <c r="D190" s="92"/>
      <c r="E190" s="92"/>
      <c r="F190" s="92"/>
      <c r="G190" s="90"/>
      <c r="H190" s="89"/>
      <c r="J190" s="94" t="s">
        <v>1081</v>
      </c>
      <c r="K190" s="95" t="s">
        <v>1082</v>
      </c>
      <c r="L190" s="96"/>
      <c r="M190" s="96"/>
      <c r="N190" s="96"/>
      <c r="O190" s="96"/>
      <c r="P190" s="97"/>
      <c r="Q190" s="97"/>
      <c r="R190" s="97"/>
      <c r="S190" s="97"/>
      <c r="T190" s="99"/>
      <c r="U190" s="98"/>
    </row>
    <row r="191" spans="1:21">
      <c r="A191" s="6" t="s">
        <v>1086</v>
      </c>
      <c r="B191" s="6" t="s">
        <v>918</v>
      </c>
      <c r="C191" s="92"/>
      <c r="D191" s="92"/>
      <c r="E191" s="92"/>
      <c r="F191" s="92"/>
      <c r="G191" s="90"/>
      <c r="H191" s="89"/>
      <c r="J191" s="94" t="s">
        <v>1087</v>
      </c>
      <c r="K191" s="95" t="s">
        <v>1088</v>
      </c>
      <c r="L191" s="96"/>
      <c r="M191" s="96"/>
      <c r="N191" s="96"/>
      <c r="O191" s="96"/>
      <c r="P191" s="97"/>
      <c r="Q191" s="97"/>
      <c r="R191" s="97"/>
      <c r="S191" s="97"/>
      <c r="T191" s="99"/>
      <c r="U191" s="98"/>
    </row>
    <row r="192" spans="1:21">
      <c r="A192" s="6" t="s">
        <v>1092</v>
      </c>
      <c r="B192" s="6" t="s">
        <v>151</v>
      </c>
      <c r="C192" s="92"/>
      <c r="D192" s="92"/>
      <c r="E192" s="92"/>
      <c r="F192" s="92"/>
      <c r="G192" s="90"/>
      <c r="H192" s="89"/>
      <c r="J192" s="94" t="s">
        <v>1093</v>
      </c>
      <c r="K192" s="95" t="s">
        <v>1094</v>
      </c>
      <c r="L192" s="96"/>
      <c r="M192" s="96"/>
      <c r="N192" s="96"/>
      <c r="O192" s="96"/>
      <c r="P192" s="97"/>
      <c r="Q192" s="97"/>
      <c r="R192" s="97"/>
      <c r="S192" s="97"/>
      <c r="T192" s="99"/>
      <c r="U192" s="98"/>
    </row>
    <row r="193" spans="1:21">
      <c r="A193" s="6" t="s">
        <v>1098</v>
      </c>
      <c r="B193" s="6" t="s">
        <v>1099</v>
      </c>
      <c r="C193" s="92"/>
      <c r="D193" s="92"/>
      <c r="E193" s="92"/>
      <c r="F193" s="92"/>
      <c r="G193" s="90"/>
      <c r="H193" s="89"/>
      <c r="J193" s="94" t="s">
        <v>853</v>
      </c>
      <c r="K193" s="95" t="s">
        <v>854</v>
      </c>
      <c r="L193" s="96"/>
      <c r="M193" s="96"/>
      <c r="N193" s="96"/>
      <c r="O193" s="96" t="s">
        <v>1877</v>
      </c>
      <c r="P193" s="97"/>
      <c r="Q193" s="97"/>
      <c r="R193" s="97"/>
      <c r="S193" s="97"/>
      <c r="T193" s="99"/>
      <c r="U193" s="98"/>
    </row>
    <row r="194" spans="1:21">
      <c r="A194" s="6" t="s">
        <v>1103</v>
      </c>
      <c r="B194" s="6" t="s">
        <v>1104</v>
      </c>
      <c r="C194" s="92"/>
      <c r="D194" s="92"/>
      <c r="E194" s="92"/>
      <c r="F194" s="92"/>
      <c r="G194" s="90"/>
      <c r="H194" s="89"/>
      <c r="J194" s="94" t="s">
        <v>725</v>
      </c>
      <c r="K194" s="95" t="s">
        <v>726</v>
      </c>
      <c r="L194" s="96"/>
      <c r="M194" s="96" t="s">
        <v>1222</v>
      </c>
      <c r="N194" s="96"/>
      <c r="O194" s="96" t="s">
        <v>1878</v>
      </c>
      <c r="P194" s="97"/>
      <c r="Q194" s="97"/>
      <c r="R194" s="97"/>
      <c r="S194" s="97"/>
      <c r="T194" s="99"/>
      <c r="U194" s="98"/>
    </row>
    <row r="195" spans="1:21">
      <c r="A195" s="6" t="s">
        <v>1108</v>
      </c>
      <c r="B195" s="6" t="s">
        <v>970</v>
      </c>
      <c r="C195" s="92"/>
      <c r="D195" s="92"/>
      <c r="E195" s="92"/>
      <c r="F195" s="92"/>
      <c r="G195" s="90"/>
      <c r="H195" s="89"/>
      <c r="J195" s="94" t="s">
        <v>731</v>
      </c>
      <c r="K195" s="95" t="s">
        <v>732</v>
      </c>
      <c r="L195" s="96"/>
      <c r="M195" s="96" t="s">
        <v>1222</v>
      </c>
      <c r="N195" s="96"/>
      <c r="O195" s="96" t="s">
        <v>1879</v>
      </c>
      <c r="P195" s="97"/>
      <c r="Q195" s="97"/>
      <c r="R195" s="97"/>
      <c r="S195" s="97"/>
      <c r="T195" s="99"/>
      <c r="U195" s="98"/>
    </row>
    <row r="196" spans="1:21" ht="36">
      <c r="A196" s="6" t="s">
        <v>1111</v>
      </c>
      <c r="B196" s="6" t="s">
        <v>1112</v>
      </c>
      <c r="C196" s="92"/>
      <c r="D196" s="92"/>
      <c r="E196" s="92"/>
      <c r="F196" s="92"/>
      <c r="G196" s="90"/>
      <c r="H196" s="89"/>
      <c r="J196" s="94" t="s">
        <v>1113</v>
      </c>
      <c r="K196" s="95" t="s">
        <v>1114</v>
      </c>
      <c r="L196" s="96"/>
      <c r="M196" s="96"/>
      <c r="N196" s="96"/>
      <c r="O196" s="96"/>
      <c r="P196" s="97"/>
      <c r="Q196" s="97"/>
      <c r="R196" s="97"/>
      <c r="S196" s="97"/>
      <c r="T196" s="99"/>
      <c r="U196" s="98"/>
    </row>
    <row r="197" spans="1:21">
      <c r="A197" s="6" t="s">
        <v>1118</v>
      </c>
      <c r="B197" s="6" t="s">
        <v>1119</v>
      </c>
      <c r="C197" s="92"/>
      <c r="D197" s="92"/>
      <c r="E197" s="92"/>
      <c r="F197" s="92"/>
      <c r="G197" s="90"/>
      <c r="H197" s="89"/>
      <c r="J197" s="94" t="s">
        <v>642</v>
      </c>
      <c r="K197" s="95" t="s">
        <v>643</v>
      </c>
      <c r="L197" s="96"/>
      <c r="M197" s="96" t="s">
        <v>1222</v>
      </c>
      <c r="N197" s="96"/>
      <c r="O197" s="96" t="s">
        <v>1880</v>
      </c>
      <c r="P197" s="97"/>
      <c r="Q197" s="97"/>
      <c r="R197" s="97"/>
      <c r="S197" s="97"/>
      <c r="T197" s="99"/>
      <c r="U197" s="98"/>
    </row>
    <row r="198" spans="1:21">
      <c r="A198" s="6" t="s">
        <v>1123</v>
      </c>
      <c r="B198" s="6" t="s">
        <v>1124</v>
      </c>
      <c r="C198" s="92"/>
      <c r="D198" s="92"/>
      <c r="E198" s="92"/>
      <c r="F198" s="92"/>
      <c r="G198" s="90"/>
      <c r="H198" s="89"/>
      <c r="J198" s="94" t="s">
        <v>1125</v>
      </c>
      <c r="K198" s="95" t="s">
        <v>1126</v>
      </c>
      <c r="L198" s="96"/>
      <c r="M198" s="96"/>
      <c r="N198" s="96"/>
      <c r="O198" s="96"/>
      <c r="P198" s="97"/>
      <c r="Q198" s="97"/>
      <c r="R198" s="97"/>
      <c r="S198" s="97"/>
      <c r="T198" s="99"/>
      <c r="U198" s="98"/>
    </row>
    <row r="199" spans="1:21">
      <c r="A199" s="6" t="s">
        <v>1130</v>
      </c>
      <c r="B199" s="6" t="s">
        <v>1131</v>
      </c>
      <c r="C199" s="92"/>
      <c r="D199" s="92"/>
      <c r="E199" s="92"/>
      <c r="F199" s="92"/>
      <c r="G199" s="90"/>
      <c r="H199" s="89"/>
      <c r="J199" s="94" t="s">
        <v>1132</v>
      </c>
      <c r="K199" s="95" t="s">
        <v>1133</v>
      </c>
      <c r="L199" s="96"/>
      <c r="M199" s="96"/>
      <c r="N199" s="96"/>
      <c r="O199" s="96"/>
      <c r="P199" s="97"/>
      <c r="Q199" s="97"/>
      <c r="R199" s="97"/>
      <c r="S199" s="97"/>
      <c r="T199" s="99"/>
      <c r="U199" s="98"/>
    </row>
    <row r="200" spans="1:21">
      <c r="A200" s="6" t="s">
        <v>1137</v>
      </c>
      <c r="B200" s="6" t="s">
        <v>1138</v>
      </c>
      <c r="C200" s="92"/>
      <c r="D200" s="92"/>
      <c r="E200" s="92"/>
      <c r="F200" s="92"/>
      <c r="G200" s="90"/>
      <c r="H200" s="89"/>
      <c r="J200" s="94" t="s">
        <v>1139</v>
      </c>
      <c r="K200" s="95" t="s">
        <v>1140</v>
      </c>
      <c r="L200" s="96"/>
      <c r="M200" s="96"/>
      <c r="N200" s="96"/>
      <c r="O200" s="96"/>
      <c r="P200" s="97"/>
      <c r="Q200" s="97"/>
      <c r="R200" s="97"/>
      <c r="S200" s="97"/>
      <c r="T200" s="99"/>
      <c r="U200" s="98"/>
    </row>
    <row r="201" spans="1:21">
      <c r="A201" s="6" t="s">
        <v>1144</v>
      </c>
      <c r="B201" s="6" t="s">
        <v>1145</v>
      </c>
      <c r="C201" s="92"/>
      <c r="D201" s="92"/>
      <c r="E201" s="92"/>
      <c r="F201" s="92"/>
      <c r="G201" s="90"/>
      <c r="H201" s="89"/>
      <c r="J201" s="94" t="s">
        <v>600</v>
      </c>
      <c r="K201" s="95" t="s">
        <v>601</v>
      </c>
      <c r="L201" s="96"/>
      <c r="M201" s="96"/>
      <c r="N201" s="96"/>
      <c r="O201" s="96" t="s">
        <v>1881</v>
      </c>
      <c r="P201" s="97"/>
      <c r="Q201" s="97"/>
      <c r="R201" s="97"/>
      <c r="S201" s="97"/>
      <c r="T201" s="99"/>
      <c r="U201" s="98"/>
    </row>
    <row r="202" spans="1:21">
      <c r="A202" s="6" t="s">
        <v>1149</v>
      </c>
      <c r="B202" s="6" t="s">
        <v>918</v>
      </c>
      <c r="C202" s="92"/>
      <c r="D202" s="92"/>
      <c r="E202" s="92"/>
      <c r="F202" s="92"/>
      <c r="G202" s="90"/>
      <c r="H202" s="89"/>
      <c r="J202" s="94" t="s">
        <v>1150</v>
      </c>
      <c r="K202" s="95" t="s">
        <v>1151</v>
      </c>
      <c r="L202" s="96"/>
      <c r="M202" s="96"/>
      <c r="N202" s="96"/>
      <c r="O202" s="96"/>
      <c r="P202" s="97"/>
      <c r="Q202" s="97"/>
      <c r="R202" s="97"/>
      <c r="S202" s="97"/>
      <c r="T202" s="99"/>
      <c r="U202" s="98"/>
    </row>
    <row r="203" spans="1:21">
      <c r="A203" s="6" t="s">
        <v>1155</v>
      </c>
      <c r="B203" s="6" t="s">
        <v>942</v>
      </c>
      <c r="C203" s="92"/>
      <c r="D203" s="92"/>
      <c r="E203" s="92"/>
      <c r="F203" s="92"/>
      <c r="G203" s="90"/>
      <c r="H203" s="89"/>
      <c r="J203" s="94" t="s">
        <v>637</v>
      </c>
      <c r="K203" s="95" t="s">
        <v>638</v>
      </c>
      <c r="L203" s="96"/>
      <c r="M203" s="96"/>
      <c r="N203" s="96"/>
      <c r="O203" s="96"/>
      <c r="P203" s="97"/>
      <c r="Q203" s="97"/>
      <c r="R203" s="97"/>
      <c r="S203" s="97"/>
      <c r="T203" s="99"/>
      <c r="U203" s="98"/>
    </row>
    <row r="204" spans="1:21" ht="36">
      <c r="A204" s="6" t="s">
        <v>1159</v>
      </c>
      <c r="B204" s="6" t="s">
        <v>159</v>
      </c>
      <c r="C204" s="92"/>
      <c r="D204" s="92"/>
      <c r="E204" s="92"/>
      <c r="F204" s="92"/>
      <c r="G204" s="90"/>
      <c r="H204" s="89"/>
      <c r="J204" s="94" t="s">
        <v>1160</v>
      </c>
      <c r="K204" s="95" t="s">
        <v>1161</v>
      </c>
      <c r="L204" s="96"/>
      <c r="M204" s="96"/>
      <c r="N204" s="96"/>
      <c r="O204" s="96"/>
      <c r="P204" s="97"/>
      <c r="Q204" s="97"/>
      <c r="R204" s="97"/>
      <c r="S204" s="97"/>
      <c r="T204" s="99"/>
      <c r="U204" s="98"/>
    </row>
    <row r="205" spans="1:21">
      <c r="A205" s="6" t="s">
        <v>1165</v>
      </c>
      <c r="B205" s="6" t="s">
        <v>288</v>
      </c>
      <c r="C205" s="92"/>
      <c r="D205" s="92"/>
      <c r="E205" s="92"/>
      <c r="F205" s="92"/>
      <c r="G205" s="90"/>
      <c r="H205" s="89"/>
      <c r="J205" s="94" t="s">
        <v>777</v>
      </c>
      <c r="K205" s="95" t="s">
        <v>778</v>
      </c>
      <c r="L205" s="96"/>
      <c r="M205" s="96"/>
      <c r="N205" s="96"/>
      <c r="O205" s="96"/>
      <c r="P205" s="97"/>
      <c r="Q205" s="97"/>
      <c r="R205" s="97"/>
      <c r="S205" s="97"/>
      <c r="T205" s="99"/>
      <c r="U205" s="98"/>
    </row>
    <row r="206" spans="1:21">
      <c r="A206" s="6" t="s">
        <v>1169</v>
      </c>
      <c r="B206" s="6" t="s">
        <v>933</v>
      </c>
      <c r="C206" s="92"/>
      <c r="D206" s="92"/>
      <c r="E206" s="92"/>
      <c r="F206" s="92"/>
      <c r="G206" s="90"/>
      <c r="H206" s="89"/>
      <c r="J206" s="94" t="s">
        <v>1170</v>
      </c>
      <c r="K206" s="95" t="s">
        <v>1171</v>
      </c>
      <c r="L206" s="96"/>
      <c r="M206" s="96"/>
      <c r="N206" s="96"/>
      <c r="O206" s="96"/>
      <c r="P206" s="97"/>
      <c r="Q206" s="97"/>
      <c r="R206" s="97"/>
      <c r="S206" s="97"/>
      <c r="T206" s="99"/>
      <c r="U206" s="98"/>
    </row>
    <row r="207" spans="1:21">
      <c r="A207" s="6" t="s">
        <v>1175</v>
      </c>
      <c r="B207" s="6" t="s">
        <v>875</v>
      </c>
      <c r="C207" s="92"/>
      <c r="D207" s="92"/>
      <c r="E207" s="92"/>
      <c r="F207" s="92"/>
      <c r="G207" s="90"/>
      <c r="H207" s="89"/>
      <c r="J207" s="94" t="s">
        <v>1176</v>
      </c>
      <c r="K207" s="95" t="s">
        <v>1177</v>
      </c>
      <c r="L207" s="96"/>
      <c r="M207" s="96"/>
      <c r="N207" s="96"/>
      <c r="O207" s="96"/>
      <c r="P207" s="97"/>
      <c r="Q207" s="97"/>
      <c r="R207" s="97"/>
      <c r="S207" s="97"/>
      <c r="T207" s="99"/>
      <c r="U207" s="98"/>
    </row>
    <row r="208" spans="1:21">
      <c r="A208" s="6" t="s">
        <v>1181</v>
      </c>
      <c r="B208" s="6" t="s">
        <v>1182</v>
      </c>
      <c r="C208" s="92"/>
      <c r="D208" s="92"/>
      <c r="E208" s="92"/>
      <c r="F208" s="92"/>
      <c r="G208" s="90"/>
      <c r="H208" s="89"/>
      <c r="J208" s="94" t="s">
        <v>1183</v>
      </c>
      <c r="K208" s="95" t="s">
        <v>1184</v>
      </c>
      <c r="L208" s="96"/>
      <c r="M208" s="96"/>
      <c r="N208" s="96"/>
      <c r="O208" s="96"/>
      <c r="P208" s="97"/>
      <c r="Q208" s="97"/>
      <c r="R208" s="97"/>
      <c r="S208" s="97"/>
      <c r="T208" s="99"/>
      <c r="U208" s="98"/>
    </row>
    <row r="209" spans="1:21">
      <c r="A209" s="6" t="s">
        <v>1188</v>
      </c>
      <c r="B209" s="6" t="s">
        <v>911</v>
      </c>
      <c r="C209" s="92"/>
      <c r="D209" s="92"/>
      <c r="E209" s="92"/>
      <c r="F209" s="92"/>
      <c r="G209" s="90"/>
      <c r="H209" s="89"/>
      <c r="J209" s="94" t="s">
        <v>739</v>
      </c>
      <c r="K209" s="95" t="s">
        <v>740</v>
      </c>
      <c r="L209" s="96"/>
      <c r="M209" s="96"/>
      <c r="N209" s="96"/>
      <c r="O209" s="96"/>
      <c r="P209" s="97"/>
      <c r="Q209" s="97"/>
      <c r="R209" s="97"/>
      <c r="S209" s="97"/>
      <c r="T209" s="99"/>
      <c r="U209" s="98"/>
    </row>
    <row r="210" spans="1:21" ht="36">
      <c r="A210" s="6" t="s">
        <v>1192</v>
      </c>
      <c r="B210" s="6" t="s">
        <v>1193</v>
      </c>
      <c r="C210" s="92"/>
      <c r="D210" s="92"/>
      <c r="E210" s="92"/>
      <c r="F210" s="92"/>
      <c r="G210" s="90"/>
      <c r="H210" s="89"/>
      <c r="J210" s="94" t="s">
        <v>720</v>
      </c>
      <c r="K210" s="95" t="s">
        <v>721</v>
      </c>
      <c r="L210" s="96"/>
      <c r="M210" s="96"/>
      <c r="N210" s="96"/>
      <c r="O210" s="96"/>
      <c r="P210" s="97"/>
      <c r="Q210" s="97"/>
      <c r="R210" s="97"/>
      <c r="S210" s="97"/>
      <c r="T210" s="99"/>
      <c r="U210" s="98"/>
    </row>
    <row r="211" spans="1:21">
      <c r="A211" s="6" t="s">
        <v>1197</v>
      </c>
      <c r="B211" s="6" t="s">
        <v>1198</v>
      </c>
      <c r="C211" s="92"/>
      <c r="D211" s="92"/>
      <c r="E211" s="92"/>
      <c r="F211" s="92"/>
      <c r="G211" s="90"/>
      <c r="H211" s="89"/>
      <c r="J211" s="94" t="s">
        <v>563</v>
      </c>
      <c r="K211" s="95" t="s">
        <v>564</v>
      </c>
      <c r="L211" s="96"/>
      <c r="M211" s="96"/>
      <c r="N211" s="96"/>
      <c r="O211" s="96"/>
      <c r="P211" s="97"/>
      <c r="Q211" s="97"/>
      <c r="R211" s="97"/>
      <c r="S211" s="97"/>
      <c r="T211" s="99"/>
      <c r="U211" s="98"/>
    </row>
    <row r="212" spans="1:21">
      <c r="A212" s="6" t="s">
        <v>1202</v>
      </c>
      <c r="B212" s="6" t="s">
        <v>869</v>
      </c>
      <c r="C212" s="92"/>
      <c r="D212" s="92"/>
      <c r="E212" s="92"/>
      <c r="F212" s="92"/>
      <c r="G212" s="90"/>
      <c r="H212" s="89"/>
      <c r="J212" s="94" t="s">
        <v>1203</v>
      </c>
      <c r="K212" s="103" t="s">
        <v>1204</v>
      </c>
      <c r="L212" s="96"/>
      <c r="M212" s="96"/>
      <c r="N212" s="96"/>
      <c r="O212" s="96"/>
      <c r="P212" s="97"/>
      <c r="Q212" s="97"/>
      <c r="R212" s="97"/>
      <c r="S212" s="97"/>
      <c r="T212" s="99"/>
      <c r="U212" s="98"/>
    </row>
    <row r="213" spans="1:21">
      <c r="A213" s="6" t="s">
        <v>1208</v>
      </c>
      <c r="B213" s="6" t="s">
        <v>1012</v>
      </c>
      <c r="C213" s="92"/>
      <c r="D213" s="92"/>
      <c r="E213" s="92"/>
      <c r="F213" s="92"/>
      <c r="G213" s="90"/>
      <c r="H213" s="89"/>
      <c r="J213" s="94" t="s">
        <v>1209</v>
      </c>
      <c r="K213" s="95" t="s">
        <v>1210</v>
      </c>
      <c r="L213" s="96"/>
      <c r="M213" s="96"/>
      <c r="N213" s="96"/>
      <c r="O213" s="96"/>
      <c r="P213" s="97"/>
      <c r="Q213" s="97"/>
      <c r="R213" s="97"/>
      <c r="S213" s="97"/>
      <c r="T213" s="99"/>
      <c r="U213" s="98"/>
    </row>
    <row r="214" spans="1:21">
      <c r="A214" s="6" t="s">
        <v>1214</v>
      </c>
      <c r="B214" s="6" t="s">
        <v>108</v>
      </c>
      <c r="C214" s="92"/>
      <c r="D214" s="92"/>
      <c r="E214" s="92"/>
      <c r="F214" s="92"/>
      <c r="G214" s="90"/>
      <c r="H214" s="89"/>
      <c r="J214" s="94" t="s">
        <v>532</v>
      </c>
      <c r="K214" s="95" t="s">
        <v>533</v>
      </c>
      <c r="L214" s="96"/>
      <c r="M214" s="96"/>
      <c r="N214" s="96"/>
      <c r="O214" s="96"/>
      <c r="P214" s="97"/>
      <c r="Q214" s="97"/>
      <c r="R214" s="97"/>
      <c r="S214" s="97"/>
      <c r="T214" s="99"/>
      <c r="U214" s="98"/>
    </row>
    <row r="215" spans="1:21" ht="36">
      <c r="A215" s="6" t="s">
        <v>1217</v>
      </c>
      <c r="B215" s="6" t="s">
        <v>1218</v>
      </c>
      <c r="C215" s="92"/>
      <c r="D215" s="92"/>
      <c r="E215" s="92"/>
      <c r="F215" s="92"/>
      <c r="G215" s="90"/>
      <c r="H215" s="89"/>
      <c r="J215" s="94" t="s">
        <v>770</v>
      </c>
      <c r="K215" s="95" t="s">
        <v>1219</v>
      </c>
      <c r="L215" s="96"/>
      <c r="M215" s="96"/>
      <c r="N215" s="96"/>
      <c r="O215" s="96"/>
      <c r="P215" s="97"/>
      <c r="Q215" s="97"/>
      <c r="R215" s="97"/>
      <c r="S215" s="97"/>
      <c r="T215" s="99"/>
      <c r="U215" s="98"/>
    </row>
    <row r="216" spans="1:21">
      <c r="A216" s="6" t="s">
        <v>1223</v>
      </c>
      <c r="B216" s="6" t="s">
        <v>1224</v>
      </c>
      <c r="C216" s="92"/>
      <c r="D216" s="92"/>
      <c r="E216" s="92"/>
      <c r="F216" s="92"/>
      <c r="G216" s="90"/>
      <c r="H216" s="89"/>
      <c r="J216" s="94" t="s">
        <v>1225</v>
      </c>
      <c r="K216" s="95" t="s">
        <v>1226</v>
      </c>
      <c r="L216" s="96"/>
      <c r="M216" s="96"/>
      <c r="N216" s="96"/>
      <c r="O216" s="96"/>
      <c r="P216" s="97"/>
      <c r="Q216" s="97"/>
      <c r="R216" s="97"/>
      <c r="S216" s="97"/>
      <c r="T216" s="99"/>
      <c r="U216" s="98"/>
    </row>
    <row r="217" spans="1:21" ht="36">
      <c r="A217" s="6" t="s">
        <v>1230</v>
      </c>
      <c r="B217" s="6" t="s">
        <v>1231</v>
      </c>
      <c r="C217" s="92"/>
      <c r="D217" s="92"/>
      <c r="E217" s="92"/>
      <c r="F217" s="92"/>
      <c r="G217" s="90"/>
      <c r="H217" s="89"/>
      <c r="J217" s="94" t="s">
        <v>1232</v>
      </c>
      <c r="K217" s="95" t="s">
        <v>1233</v>
      </c>
      <c r="L217" s="96"/>
      <c r="M217" s="96"/>
      <c r="N217" s="96"/>
      <c r="O217" s="96"/>
      <c r="P217" s="97"/>
      <c r="Q217" s="97"/>
      <c r="R217" s="97"/>
      <c r="S217" s="97"/>
      <c r="T217" s="99"/>
      <c r="U217" s="98"/>
    </row>
    <row r="218" spans="1:21" ht="54">
      <c r="A218" s="6" t="s">
        <v>1237</v>
      </c>
      <c r="B218" s="6" t="s">
        <v>1238</v>
      </c>
      <c r="C218" s="92"/>
      <c r="D218" s="92"/>
      <c r="E218" s="92"/>
      <c r="F218" s="92"/>
      <c r="G218" s="90"/>
      <c r="H218" s="89"/>
      <c r="J218" s="94" t="s">
        <v>1239</v>
      </c>
      <c r="K218" s="95" t="s">
        <v>1240</v>
      </c>
      <c r="L218" s="96"/>
      <c r="M218" s="96"/>
      <c r="N218" s="96"/>
      <c r="O218" s="96"/>
      <c r="P218" s="97"/>
      <c r="Q218" s="97"/>
      <c r="R218" s="97"/>
      <c r="S218" s="97"/>
      <c r="T218" s="99"/>
      <c r="U218" s="98"/>
    </row>
    <row r="219" spans="1:21" ht="36">
      <c r="A219" s="6" t="s">
        <v>1241</v>
      </c>
      <c r="B219" s="6" t="s">
        <v>1242</v>
      </c>
      <c r="C219" s="92"/>
      <c r="D219" s="92"/>
      <c r="E219" s="92"/>
      <c r="F219" s="92"/>
      <c r="G219" s="90"/>
      <c r="H219" s="89"/>
      <c r="J219" s="94" t="s">
        <v>1243</v>
      </c>
      <c r="K219" s="95" t="s">
        <v>1244</v>
      </c>
      <c r="L219" s="96"/>
      <c r="M219" s="96"/>
      <c r="N219" s="96"/>
      <c r="O219" s="96" t="s">
        <v>1882</v>
      </c>
      <c r="P219" s="97"/>
      <c r="Q219" s="97"/>
      <c r="R219" s="97"/>
      <c r="S219" s="97"/>
      <c r="T219" s="99"/>
      <c r="U219" s="98"/>
    </row>
    <row r="220" spans="1:21" ht="36">
      <c r="A220" s="6" t="s">
        <v>1245</v>
      </c>
      <c r="B220" s="6" t="s">
        <v>1246</v>
      </c>
      <c r="C220" s="92"/>
      <c r="D220" s="92"/>
      <c r="E220" s="92"/>
      <c r="F220" s="92"/>
      <c r="G220" s="90"/>
      <c r="H220" s="89"/>
      <c r="J220" s="94" t="s">
        <v>1247</v>
      </c>
      <c r="K220" s="95" t="s">
        <v>1248</v>
      </c>
      <c r="L220" s="96"/>
      <c r="M220" s="96"/>
      <c r="N220" s="96"/>
      <c r="O220" s="96"/>
      <c r="P220" s="97"/>
      <c r="Q220" s="97"/>
      <c r="R220" s="97"/>
      <c r="S220" s="97"/>
      <c r="T220" s="99"/>
      <c r="U220" s="98"/>
    </row>
    <row r="221" spans="1:21">
      <c r="A221" s="6" t="s">
        <v>1249</v>
      </c>
      <c r="B221" s="6" t="s">
        <v>1250</v>
      </c>
      <c r="C221" s="92"/>
      <c r="D221" s="92"/>
      <c r="E221" s="92"/>
      <c r="F221" s="92"/>
      <c r="G221" s="90"/>
      <c r="H221" s="89"/>
      <c r="J221" s="94" t="s">
        <v>1251</v>
      </c>
      <c r="K221" s="95" t="s">
        <v>1252</v>
      </c>
      <c r="L221" s="96"/>
      <c r="M221" s="96"/>
      <c r="N221" s="96"/>
      <c r="O221" s="96"/>
      <c r="P221" s="97"/>
      <c r="Q221" s="97"/>
      <c r="R221" s="97"/>
      <c r="S221" s="97"/>
      <c r="T221" s="99"/>
      <c r="U221" s="98"/>
    </row>
    <row r="222" spans="1:21" ht="15" customHeight="1">
      <c r="A222" s="560" t="s">
        <v>1253</v>
      </c>
      <c r="B222" s="531"/>
      <c r="C222" s="531"/>
      <c r="D222" s="531"/>
      <c r="E222" s="531"/>
      <c r="F222" s="531"/>
      <c r="G222" s="531"/>
      <c r="H222" s="537"/>
      <c r="J222" s="94" t="s">
        <v>1254</v>
      </c>
      <c r="K222" s="95" t="s">
        <v>659</v>
      </c>
      <c r="L222" s="96"/>
      <c r="M222" s="96"/>
      <c r="N222" s="96"/>
      <c r="O222" s="96"/>
      <c r="P222" s="97"/>
      <c r="Q222" s="97"/>
      <c r="R222" s="97"/>
      <c r="S222" s="97"/>
      <c r="T222" s="99"/>
      <c r="U222" s="98"/>
    </row>
    <row r="223" spans="1:21" ht="16.5" customHeight="1">
      <c r="A223" s="538"/>
      <c r="B223" s="533"/>
      <c r="C223" s="533"/>
      <c r="D223" s="533"/>
      <c r="E223" s="533"/>
      <c r="F223" s="533"/>
      <c r="G223" s="533"/>
      <c r="H223" s="539"/>
      <c r="J223" s="94" t="s">
        <v>1255</v>
      </c>
      <c r="K223" s="95" t="s">
        <v>1256</v>
      </c>
      <c r="L223" s="96"/>
      <c r="M223" s="96"/>
      <c r="N223" s="96"/>
      <c r="O223" s="96"/>
      <c r="P223" s="97"/>
      <c r="Q223" s="97"/>
      <c r="R223" s="97"/>
      <c r="S223" s="97"/>
      <c r="T223" s="99"/>
      <c r="U223" s="98"/>
    </row>
    <row r="224" spans="1:21" ht="57">
      <c r="A224" s="6" t="s">
        <v>4</v>
      </c>
      <c r="B224" s="6" t="s">
        <v>5</v>
      </c>
      <c r="C224" s="89" t="s">
        <v>7</v>
      </c>
      <c r="D224" s="89" t="s">
        <v>8</v>
      </c>
      <c r="E224" s="89" t="s">
        <v>9</v>
      </c>
      <c r="F224" s="89" t="s">
        <v>10</v>
      </c>
      <c r="G224" s="90" t="s">
        <v>11</v>
      </c>
      <c r="H224" s="89" t="s">
        <v>12</v>
      </c>
      <c r="J224" s="94" t="s">
        <v>1257</v>
      </c>
      <c r="K224" s="95" t="s">
        <v>1258</v>
      </c>
      <c r="L224" s="96"/>
      <c r="M224" s="96"/>
      <c r="N224" s="96"/>
      <c r="O224" s="96"/>
      <c r="P224" s="97"/>
      <c r="Q224" s="97"/>
      <c r="R224" s="97"/>
      <c r="S224" s="97"/>
      <c r="T224" s="99"/>
      <c r="U224" s="98"/>
    </row>
    <row r="225" spans="1:21" ht="54">
      <c r="A225" s="6" t="s">
        <v>1259</v>
      </c>
      <c r="B225" s="6" t="s">
        <v>1201</v>
      </c>
      <c r="C225" s="92"/>
      <c r="D225" s="92"/>
      <c r="E225" s="92"/>
      <c r="F225" s="92"/>
      <c r="G225" s="90"/>
      <c r="H225" s="89"/>
      <c r="J225" s="94" t="s">
        <v>1260</v>
      </c>
      <c r="K225" s="95" t="s">
        <v>1261</v>
      </c>
      <c r="L225" s="96"/>
      <c r="M225" s="96"/>
      <c r="N225" s="96"/>
      <c r="O225" s="96"/>
      <c r="P225" s="97"/>
      <c r="Q225" s="97"/>
      <c r="R225" s="97"/>
      <c r="S225" s="97"/>
      <c r="T225" s="99"/>
      <c r="U225" s="98"/>
    </row>
    <row r="226" spans="1:21" ht="36">
      <c r="A226" s="6" t="s">
        <v>1262</v>
      </c>
      <c r="B226" s="6" t="s">
        <v>1263</v>
      </c>
      <c r="C226" s="92"/>
      <c r="D226" s="92"/>
      <c r="E226" s="92"/>
      <c r="F226" s="92"/>
      <c r="G226" s="90"/>
      <c r="H226" s="89"/>
      <c r="J226" s="94" t="s">
        <v>1264</v>
      </c>
      <c r="K226" s="95" t="s">
        <v>1265</v>
      </c>
      <c r="L226" s="96"/>
      <c r="M226" s="96"/>
      <c r="N226" s="96"/>
      <c r="O226" s="96"/>
      <c r="P226" s="97"/>
      <c r="Q226" s="97"/>
      <c r="R226" s="97"/>
      <c r="S226" s="97"/>
      <c r="T226" s="99"/>
      <c r="U226" s="98"/>
    </row>
    <row r="227" spans="1:21">
      <c r="A227" s="6" t="s">
        <v>1266</v>
      </c>
      <c r="B227" s="93" t="s">
        <v>1267</v>
      </c>
      <c r="C227" s="92"/>
      <c r="D227" s="92"/>
      <c r="E227" s="92"/>
      <c r="F227" s="92"/>
      <c r="G227" s="90"/>
      <c r="H227" s="89"/>
      <c r="J227" s="6" t="s">
        <v>583</v>
      </c>
      <c r="K227" s="84" t="s">
        <v>584</v>
      </c>
      <c r="L227" s="6"/>
      <c r="M227" s="96"/>
      <c r="N227" s="96" t="s">
        <v>1222</v>
      </c>
      <c r="O227" s="76" t="s">
        <v>1883</v>
      </c>
      <c r="P227" s="6"/>
      <c r="Q227" s="97"/>
      <c r="R227" s="97"/>
      <c r="S227" s="97"/>
      <c r="T227" s="78"/>
      <c r="U227" s="104"/>
    </row>
    <row r="228" spans="1:21">
      <c r="A228" s="6" t="s">
        <v>1268</v>
      </c>
      <c r="B228" s="6" t="s">
        <v>1269</v>
      </c>
      <c r="C228" s="92"/>
      <c r="D228" s="92"/>
      <c r="E228" s="92"/>
      <c r="F228" s="92"/>
      <c r="G228" s="90"/>
      <c r="H228" s="89"/>
      <c r="J228" s="559" t="s">
        <v>1270</v>
      </c>
      <c r="K228" s="544"/>
      <c r="L228" s="550"/>
      <c r="M228" s="550"/>
      <c r="N228" s="550"/>
      <c r="O228" s="543"/>
      <c r="P228" s="550"/>
      <c r="Q228" s="550"/>
      <c r="R228" s="550"/>
      <c r="S228" s="550"/>
      <c r="T228" s="543"/>
      <c r="U228" s="104"/>
    </row>
    <row r="229" spans="1:21" ht="36">
      <c r="A229" s="6" t="s">
        <v>1271</v>
      </c>
      <c r="B229" s="6" t="s">
        <v>1272</v>
      </c>
      <c r="C229" s="92"/>
      <c r="D229" s="92"/>
      <c r="E229" s="92"/>
      <c r="F229" s="92"/>
      <c r="G229" s="90"/>
      <c r="H229" s="89"/>
      <c r="J229" s="546"/>
      <c r="K229" s="547"/>
      <c r="L229" s="566"/>
      <c r="M229" s="566"/>
      <c r="N229" s="566"/>
      <c r="O229" s="567"/>
      <c r="P229" s="566"/>
      <c r="Q229" s="566"/>
      <c r="R229" s="566"/>
      <c r="S229" s="566"/>
      <c r="T229" s="568"/>
      <c r="U229" s="98"/>
    </row>
    <row r="230" spans="1:21">
      <c r="A230" s="6" t="s">
        <v>1273</v>
      </c>
      <c r="B230" s="93" t="s">
        <v>1274</v>
      </c>
      <c r="C230" s="92"/>
      <c r="D230" s="92"/>
      <c r="E230" s="92"/>
      <c r="F230" s="92"/>
      <c r="G230" s="90"/>
      <c r="H230" s="89"/>
      <c r="J230" s="6" t="s">
        <v>4</v>
      </c>
      <c r="K230" s="6" t="s">
        <v>5</v>
      </c>
      <c r="L230" s="76"/>
      <c r="M230" s="76"/>
      <c r="N230" s="76"/>
      <c r="O230" s="76" t="s">
        <v>11</v>
      </c>
      <c r="P230" s="77"/>
      <c r="Q230" s="77"/>
      <c r="R230" s="77"/>
      <c r="S230" s="77"/>
      <c r="T230" s="78" t="s">
        <v>12</v>
      </c>
      <c r="U230" s="98"/>
    </row>
    <row r="231" spans="1:21">
      <c r="A231" s="6" t="s">
        <v>1275</v>
      </c>
      <c r="B231" s="6" t="s">
        <v>939</v>
      </c>
      <c r="C231" s="92"/>
      <c r="D231" s="92"/>
      <c r="E231" s="92"/>
      <c r="F231" s="92"/>
      <c r="G231" s="90"/>
      <c r="H231" s="89"/>
      <c r="J231" s="94" t="s">
        <v>1276</v>
      </c>
      <c r="K231" s="95" t="s">
        <v>1277</v>
      </c>
      <c r="L231" s="96"/>
      <c r="M231" s="96"/>
      <c r="N231" s="96"/>
      <c r="O231" s="96"/>
      <c r="P231" s="97"/>
      <c r="Q231" s="97"/>
      <c r="R231" s="97"/>
      <c r="S231" s="97"/>
      <c r="T231" s="99"/>
      <c r="U231" s="98"/>
    </row>
    <row r="232" spans="1:21">
      <c r="A232" s="6" t="s">
        <v>1278</v>
      </c>
      <c r="B232" s="6" t="s">
        <v>1279</v>
      </c>
      <c r="C232" s="92"/>
      <c r="D232" s="92"/>
      <c r="E232" s="92"/>
      <c r="F232" s="92"/>
      <c r="G232" s="90"/>
      <c r="H232" s="89"/>
      <c r="J232" s="94" t="s">
        <v>1280</v>
      </c>
      <c r="K232" s="95" t="s">
        <v>1281</v>
      </c>
      <c r="L232" s="96"/>
      <c r="M232" s="96"/>
      <c r="N232" s="96"/>
      <c r="O232" s="96"/>
      <c r="P232" s="97"/>
      <c r="Q232" s="97"/>
      <c r="R232" s="97"/>
      <c r="S232" s="97"/>
      <c r="T232" s="99"/>
      <c r="U232" s="98"/>
    </row>
    <row r="233" spans="1:21">
      <c r="A233" s="6" t="s">
        <v>1282</v>
      </c>
      <c r="B233" s="6" t="s">
        <v>1283</v>
      </c>
      <c r="C233" s="92"/>
      <c r="D233" s="92"/>
      <c r="E233" s="92"/>
      <c r="F233" s="92"/>
      <c r="G233" s="90"/>
      <c r="H233" s="89"/>
      <c r="J233" s="94" t="s">
        <v>893</v>
      </c>
      <c r="K233" s="95" t="s">
        <v>894</v>
      </c>
      <c r="L233" s="96"/>
      <c r="M233" s="96"/>
      <c r="N233" s="96"/>
      <c r="O233" s="96"/>
      <c r="P233" s="97"/>
      <c r="Q233" s="97"/>
      <c r="R233" s="97"/>
      <c r="S233" s="97"/>
      <c r="T233" s="99"/>
      <c r="U233" s="98"/>
    </row>
    <row r="234" spans="1:21">
      <c r="A234" s="6" t="s">
        <v>1284</v>
      </c>
      <c r="B234" s="6" t="s">
        <v>1285</v>
      </c>
      <c r="C234" s="92"/>
      <c r="D234" s="92"/>
      <c r="E234" s="92"/>
      <c r="F234" s="92"/>
      <c r="G234" s="90"/>
      <c r="H234" s="89"/>
      <c r="J234" s="94" t="s">
        <v>1286</v>
      </c>
      <c r="K234" s="95" t="s">
        <v>1287</v>
      </c>
      <c r="L234" s="96"/>
      <c r="M234" s="96"/>
      <c r="N234" s="96"/>
      <c r="O234" s="96"/>
      <c r="P234" s="97"/>
      <c r="Q234" s="97"/>
      <c r="R234" s="97"/>
      <c r="S234" s="97"/>
      <c r="T234" s="99"/>
      <c r="U234" s="98"/>
    </row>
    <row r="235" spans="1:21">
      <c r="A235" s="6" t="s">
        <v>1288</v>
      </c>
      <c r="B235" s="93" t="s">
        <v>1129</v>
      </c>
      <c r="C235" s="92"/>
      <c r="D235" s="92"/>
      <c r="E235" s="92"/>
      <c r="F235" s="92"/>
      <c r="G235" s="90"/>
      <c r="H235" s="89"/>
      <c r="J235" s="94" t="s">
        <v>1289</v>
      </c>
      <c r="K235" s="95" t="s">
        <v>598</v>
      </c>
      <c r="L235" s="96"/>
      <c r="M235" s="96"/>
      <c r="N235" s="96"/>
      <c r="O235" s="96"/>
      <c r="P235" s="97"/>
      <c r="Q235" s="97"/>
      <c r="R235" s="97"/>
      <c r="S235" s="97"/>
      <c r="T235" s="99"/>
      <c r="U235" s="98"/>
    </row>
    <row r="236" spans="1:21">
      <c r="A236" s="6" t="s">
        <v>1290</v>
      </c>
      <c r="B236" s="93" t="s">
        <v>1158</v>
      </c>
      <c r="C236" s="92"/>
      <c r="D236" s="92"/>
      <c r="E236" s="92"/>
      <c r="F236" s="92"/>
      <c r="G236" s="90"/>
      <c r="H236" s="89"/>
      <c r="J236" s="94" t="s">
        <v>955</v>
      </c>
      <c r="K236" s="95" t="s">
        <v>1291</v>
      </c>
      <c r="L236" s="96"/>
      <c r="M236" s="96"/>
      <c r="N236" s="96"/>
      <c r="O236" s="96"/>
      <c r="P236" s="97"/>
      <c r="Q236" s="97"/>
      <c r="R236" s="97"/>
      <c r="S236" s="97"/>
      <c r="T236" s="99"/>
      <c r="U236" s="98"/>
    </row>
    <row r="237" spans="1:21">
      <c r="A237" s="6" t="s">
        <v>1292</v>
      </c>
      <c r="B237" s="93" t="s">
        <v>1293</v>
      </c>
      <c r="C237" s="92"/>
      <c r="D237" s="92"/>
      <c r="E237" s="92"/>
      <c r="F237" s="92"/>
      <c r="G237" s="90"/>
      <c r="H237" s="89"/>
      <c r="J237" s="94" t="s">
        <v>936</v>
      </c>
      <c r="K237" s="95" t="s">
        <v>33</v>
      </c>
      <c r="L237" s="96"/>
      <c r="M237" s="96"/>
      <c r="N237" s="96"/>
      <c r="O237" s="96"/>
      <c r="P237" s="97"/>
      <c r="Q237" s="97"/>
      <c r="R237" s="97"/>
      <c r="S237" s="97"/>
      <c r="T237" s="99"/>
      <c r="U237" s="98"/>
    </row>
    <row r="238" spans="1:21">
      <c r="A238" s="6" t="s">
        <v>1294</v>
      </c>
      <c r="B238" s="93" t="s">
        <v>1295</v>
      </c>
      <c r="C238" s="92"/>
      <c r="D238" s="92"/>
      <c r="E238" s="92"/>
      <c r="F238" s="92"/>
      <c r="G238" s="90"/>
      <c r="H238" s="89"/>
      <c r="J238" s="94" t="s">
        <v>1296</v>
      </c>
      <c r="K238" s="95" t="s">
        <v>501</v>
      </c>
      <c r="L238" s="96"/>
      <c r="M238" s="96"/>
      <c r="N238" s="96"/>
      <c r="O238" s="96"/>
      <c r="P238" s="97"/>
      <c r="Q238" s="97"/>
      <c r="R238" s="97"/>
      <c r="S238" s="97"/>
      <c r="T238" s="99"/>
      <c r="U238" s="98"/>
    </row>
    <row r="239" spans="1:21">
      <c r="A239" s="6" t="s">
        <v>1297</v>
      </c>
      <c r="B239" s="6" t="s">
        <v>1298</v>
      </c>
      <c r="C239" s="92"/>
      <c r="D239" s="92"/>
      <c r="E239" s="92"/>
      <c r="F239" s="92"/>
      <c r="G239" s="90"/>
      <c r="H239" s="89"/>
      <c r="J239" s="94" t="s">
        <v>1299</v>
      </c>
      <c r="K239" s="95" t="s">
        <v>1300</v>
      </c>
      <c r="L239" s="96"/>
      <c r="M239" s="96"/>
      <c r="N239" s="96"/>
      <c r="O239" s="96"/>
      <c r="P239" s="97"/>
      <c r="Q239" s="97"/>
      <c r="R239" s="97"/>
      <c r="S239" s="97"/>
      <c r="T239" s="99"/>
      <c r="U239" s="98"/>
    </row>
    <row r="240" spans="1:21">
      <c r="A240" s="6" t="s">
        <v>1301</v>
      </c>
      <c r="B240" s="6" t="s">
        <v>1302</v>
      </c>
      <c r="C240" s="92"/>
      <c r="D240" s="92"/>
      <c r="E240" s="92"/>
      <c r="F240" s="92"/>
      <c r="G240" s="90"/>
      <c r="H240" s="89"/>
      <c r="J240" s="94" t="s">
        <v>1303</v>
      </c>
      <c r="K240" s="95" t="s">
        <v>1304</v>
      </c>
      <c r="L240" s="96"/>
      <c r="M240" s="96"/>
      <c r="N240" s="96"/>
      <c r="O240" s="96"/>
      <c r="P240" s="97"/>
      <c r="Q240" s="97"/>
      <c r="R240" s="97"/>
      <c r="S240" s="97"/>
      <c r="T240" s="99"/>
      <c r="U240" s="98"/>
    </row>
    <row r="241" spans="1:21">
      <c r="A241" s="6" t="s">
        <v>1305</v>
      </c>
      <c r="B241" s="6" t="s">
        <v>1306</v>
      </c>
      <c r="C241" s="92"/>
      <c r="D241" s="92"/>
      <c r="E241" s="92"/>
      <c r="F241" s="92"/>
      <c r="G241" s="90"/>
      <c r="H241" s="89"/>
      <c r="J241" s="94" t="s">
        <v>948</v>
      </c>
      <c r="K241" s="95" t="s">
        <v>949</v>
      </c>
      <c r="L241" s="96"/>
      <c r="M241" s="96"/>
      <c r="N241" s="96"/>
      <c r="O241" s="96"/>
      <c r="P241" s="97"/>
      <c r="Q241" s="97"/>
      <c r="R241" s="97"/>
      <c r="S241" s="97"/>
      <c r="T241" s="99"/>
      <c r="U241" s="98"/>
    </row>
    <row r="242" spans="1:21">
      <c r="A242" s="6" t="s">
        <v>1307</v>
      </c>
      <c r="B242" s="6" t="s">
        <v>1308</v>
      </c>
      <c r="C242" s="92"/>
      <c r="D242" s="92"/>
      <c r="E242" s="92"/>
      <c r="F242" s="92"/>
      <c r="G242" s="90"/>
      <c r="H242" s="89"/>
      <c r="J242" s="94" t="s">
        <v>1309</v>
      </c>
      <c r="K242" s="95" t="s">
        <v>291</v>
      </c>
      <c r="L242" s="96"/>
      <c r="M242" s="96"/>
      <c r="N242" s="96"/>
      <c r="O242" s="96"/>
      <c r="P242" s="97"/>
      <c r="Q242" s="97"/>
      <c r="R242" s="97"/>
      <c r="S242" s="97"/>
      <c r="T242" s="99"/>
      <c r="U242" s="98"/>
    </row>
    <row r="243" spans="1:21">
      <c r="A243" s="6" t="s">
        <v>1310</v>
      </c>
      <c r="B243" s="6" t="s">
        <v>1085</v>
      </c>
      <c r="C243" s="92"/>
      <c r="D243" s="92"/>
      <c r="E243" s="92"/>
      <c r="F243" s="92"/>
      <c r="G243" s="90"/>
      <c r="H243" s="89"/>
      <c r="J243" s="94" t="s">
        <v>1311</v>
      </c>
      <c r="K243" s="95" t="s">
        <v>1312</v>
      </c>
      <c r="L243" s="96"/>
      <c r="M243" s="96"/>
      <c r="N243" s="96"/>
      <c r="O243" s="96"/>
      <c r="P243" s="97"/>
      <c r="Q243" s="97"/>
      <c r="R243" s="97"/>
      <c r="S243" s="97"/>
      <c r="T243" s="99"/>
      <c r="U243" s="98"/>
    </row>
    <row r="244" spans="1:21">
      <c r="A244" s="6" t="s">
        <v>1313</v>
      </c>
      <c r="B244" s="6" t="s">
        <v>1314</v>
      </c>
      <c r="C244" s="92"/>
      <c r="D244" s="92"/>
      <c r="E244" s="92"/>
      <c r="F244" s="92"/>
      <c r="G244" s="90"/>
      <c r="H244" s="89"/>
      <c r="J244" s="94" t="s">
        <v>1021</v>
      </c>
      <c r="K244" s="95" t="s">
        <v>1022</v>
      </c>
      <c r="L244" s="96"/>
      <c r="M244" s="96"/>
      <c r="N244" s="96"/>
      <c r="O244" s="96"/>
      <c r="P244" s="97"/>
      <c r="Q244" s="97"/>
      <c r="R244" s="97"/>
      <c r="S244" s="97"/>
      <c r="T244" s="99"/>
      <c r="U244" s="98"/>
    </row>
    <row r="245" spans="1:21" ht="36">
      <c r="A245" s="6" t="s">
        <v>1315</v>
      </c>
      <c r="B245" s="6" t="s">
        <v>1316</v>
      </c>
      <c r="C245" s="92"/>
      <c r="D245" s="92"/>
      <c r="E245" s="92"/>
      <c r="F245" s="92"/>
      <c r="G245" s="90"/>
      <c r="H245" s="89"/>
      <c r="J245" s="94" t="s">
        <v>1317</v>
      </c>
      <c r="K245" s="95" t="s">
        <v>1318</v>
      </c>
      <c r="L245" s="96"/>
      <c r="M245" s="96"/>
      <c r="N245" s="96"/>
      <c r="O245" s="96"/>
      <c r="P245" s="97"/>
      <c r="Q245" s="97"/>
      <c r="R245" s="97"/>
      <c r="S245" s="97"/>
      <c r="T245" s="99"/>
      <c r="U245" s="98"/>
    </row>
    <row r="246" spans="1:21">
      <c r="A246" s="6" t="s">
        <v>1319</v>
      </c>
      <c r="B246" s="6" t="s">
        <v>1320</v>
      </c>
      <c r="C246" s="92"/>
      <c r="D246" s="92"/>
      <c r="E246" s="92"/>
      <c r="F246" s="92"/>
      <c r="G246" s="90"/>
      <c r="H246" s="89"/>
      <c r="J246" s="94" t="s">
        <v>1321</v>
      </c>
      <c r="K246" s="95" t="s">
        <v>1322</v>
      </c>
      <c r="L246" s="96"/>
      <c r="M246" s="96"/>
      <c r="N246" s="96"/>
      <c r="O246" s="96"/>
      <c r="P246" s="97"/>
      <c r="Q246" s="97"/>
      <c r="R246" s="97"/>
      <c r="S246" s="97"/>
      <c r="T246" s="99"/>
      <c r="U246" s="98"/>
    </row>
    <row r="247" spans="1:21" ht="36">
      <c r="A247" s="6" t="s">
        <v>1323</v>
      </c>
      <c r="B247" s="6" t="s">
        <v>1079</v>
      </c>
      <c r="C247" s="92"/>
      <c r="D247" s="92"/>
      <c r="E247" s="92"/>
      <c r="F247" s="92"/>
      <c r="G247" s="90"/>
      <c r="H247" s="89"/>
      <c r="J247" s="94" t="s">
        <v>1000</v>
      </c>
      <c r="K247" s="95" t="s">
        <v>1001</v>
      </c>
      <c r="L247" s="96"/>
      <c r="M247" s="96"/>
      <c r="N247" s="96"/>
      <c r="O247" s="96"/>
      <c r="P247" s="97"/>
      <c r="Q247" s="97"/>
      <c r="R247" s="97"/>
      <c r="S247" s="97"/>
      <c r="T247" s="99"/>
      <c r="U247" s="98"/>
    </row>
    <row r="248" spans="1:21">
      <c r="A248" s="6" t="s">
        <v>1324</v>
      </c>
      <c r="B248" s="93" t="s">
        <v>1091</v>
      </c>
      <c r="C248" s="92"/>
      <c r="D248" s="92"/>
      <c r="E248" s="92"/>
      <c r="F248" s="92"/>
      <c r="G248" s="90"/>
      <c r="H248" s="89"/>
      <c r="J248" s="94" t="s">
        <v>1325</v>
      </c>
      <c r="K248" s="95" t="s">
        <v>1326</v>
      </c>
      <c r="L248" s="96"/>
      <c r="M248" s="96"/>
      <c r="N248" s="96"/>
      <c r="O248" s="96"/>
      <c r="P248" s="97"/>
      <c r="Q248" s="97"/>
      <c r="R248" s="97"/>
      <c r="S248" s="97"/>
      <c r="T248" s="99"/>
      <c r="U248" s="98"/>
    </row>
    <row r="249" spans="1:21">
      <c r="A249" s="6" t="s">
        <v>1327</v>
      </c>
      <c r="B249" s="6" t="s">
        <v>726</v>
      </c>
      <c r="C249" s="92"/>
      <c r="D249" s="92"/>
      <c r="E249" s="92"/>
      <c r="F249" s="92"/>
      <c r="G249" s="90"/>
      <c r="H249" s="89"/>
      <c r="J249" s="94" t="s">
        <v>1328</v>
      </c>
      <c r="K249" s="95" t="s">
        <v>1329</v>
      </c>
      <c r="L249" s="96"/>
      <c r="M249" s="96"/>
      <c r="N249" s="96"/>
      <c r="O249" s="96"/>
      <c r="P249" s="97"/>
      <c r="Q249" s="97"/>
      <c r="R249" s="97"/>
      <c r="S249" s="97"/>
      <c r="T249" s="99"/>
      <c r="U249" s="98"/>
    </row>
    <row r="250" spans="1:21">
      <c r="A250" s="6" t="s">
        <v>1330</v>
      </c>
      <c r="B250" s="6" t="s">
        <v>1102</v>
      </c>
      <c r="C250" s="92"/>
      <c r="D250" s="92"/>
      <c r="E250" s="92"/>
      <c r="F250" s="92"/>
      <c r="G250" s="90"/>
      <c r="H250" s="89"/>
      <c r="J250" s="94" t="s">
        <v>988</v>
      </c>
      <c r="K250" s="95" t="s">
        <v>989</v>
      </c>
      <c r="L250" s="96"/>
      <c r="M250" s="96"/>
      <c r="N250" s="96"/>
      <c r="O250" s="96"/>
      <c r="P250" s="97"/>
      <c r="Q250" s="97"/>
      <c r="R250" s="97"/>
      <c r="S250" s="97"/>
      <c r="T250" s="99"/>
      <c r="U250" s="98"/>
    </row>
    <row r="251" spans="1:21">
      <c r="A251" s="6" t="s">
        <v>1331</v>
      </c>
      <c r="B251" s="6" t="s">
        <v>1332</v>
      </c>
      <c r="C251" s="92"/>
      <c r="D251" s="92"/>
      <c r="E251" s="92"/>
      <c r="F251" s="92"/>
      <c r="G251" s="90"/>
      <c r="H251" s="89"/>
      <c r="J251" s="94" t="s">
        <v>1333</v>
      </c>
      <c r="K251" s="95" t="s">
        <v>1334</v>
      </c>
      <c r="L251" s="96"/>
      <c r="M251" s="96"/>
      <c r="N251" s="96"/>
      <c r="O251" s="96"/>
      <c r="P251" s="97"/>
      <c r="Q251" s="97"/>
      <c r="R251" s="97"/>
      <c r="S251" s="97"/>
      <c r="T251" s="99"/>
      <c r="U251" s="98"/>
    </row>
    <row r="252" spans="1:21">
      <c r="A252" s="6" t="s">
        <v>1336</v>
      </c>
      <c r="B252" s="6" t="s">
        <v>1168</v>
      </c>
      <c r="C252" s="92"/>
      <c r="D252" s="92"/>
      <c r="E252" s="92"/>
      <c r="F252" s="92"/>
      <c r="G252" s="90"/>
      <c r="H252" s="89"/>
      <c r="J252" s="94" t="s">
        <v>1337</v>
      </c>
      <c r="K252" s="95" t="s">
        <v>1338</v>
      </c>
      <c r="L252" s="96"/>
      <c r="M252" s="96"/>
      <c r="N252" s="96"/>
      <c r="O252" s="96"/>
      <c r="P252" s="97"/>
      <c r="Q252" s="97"/>
      <c r="R252" s="97"/>
      <c r="S252" s="97"/>
      <c r="T252" s="99"/>
      <c r="U252" s="98"/>
    </row>
    <row r="253" spans="1:21">
      <c r="A253" s="6" t="s">
        <v>1339</v>
      </c>
      <c r="B253" s="93" t="s">
        <v>1340</v>
      </c>
      <c r="C253" s="92"/>
      <c r="D253" s="92"/>
      <c r="E253" s="92"/>
      <c r="F253" s="92"/>
      <c r="G253" s="90"/>
      <c r="H253" s="89"/>
      <c r="J253" s="94" t="s">
        <v>1341</v>
      </c>
      <c r="K253" s="95" t="s">
        <v>1342</v>
      </c>
      <c r="L253" s="96"/>
      <c r="M253" s="96"/>
      <c r="N253" s="96"/>
      <c r="O253" s="96"/>
      <c r="P253" s="97"/>
      <c r="Q253" s="97"/>
      <c r="R253" s="97"/>
      <c r="S253" s="97"/>
      <c r="T253" s="99"/>
      <c r="U253" s="98"/>
    </row>
    <row r="254" spans="1:21">
      <c r="A254" s="6" t="s">
        <v>1343</v>
      </c>
      <c r="B254" s="6" t="s">
        <v>1063</v>
      </c>
      <c r="C254" s="92"/>
      <c r="D254" s="92"/>
      <c r="E254" s="92"/>
      <c r="F254" s="92"/>
      <c r="G254" s="90"/>
      <c r="H254" s="89"/>
      <c r="J254" s="94" t="s">
        <v>1344</v>
      </c>
      <c r="K254" s="95" t="s">
        <v>1345</v>
      </c>
      <c r="L254" s="96"/>
      <c r="M254" s="96"/>
      <c r="N254" s="96"/>
      <c r="O254" s="96"/>
      <c r="P254" s="97"/>
      <c r="Q254" s="97"/>
      <c r="R254" s="97"/>
      <c r="S254" s="97"/>
      <c r="T254" s="99"/>
      <c r="U254" s="98"/>
    </row>
    <row r="255" spans="1:21">
      <c r="A255" s="6" t="s">
        <v>1346</v>
      </c>
      <c r="B255" s="6" t="s">
        <v>1347</v>
      </c>
      <c r="C255" s="92"/>
      <c r="D255" s="92"/>
      <c r="E255" s="92"/>
      <c r="F255" s="92"/>
      <c r="G255" s="90"/>
      <c r="H255" s="89"/>
      <c r="J255" s="94" t="s">
        <v>1348</v>
      </c>
      <c r="K255" s="95" t="s">
        <v>1349</v>
      </c>
      <c r="L255" s="96"/>
      <c r="M255" s="96"/>
      <c r="N255" s="96"/>
      <c r="O255" s="96"/>
      <c r="P255" s="97"/>
      <c r="Q255" s="97"/>
      <c r="R255" s="97"/>
      <c r="S255" s="97"/>
      <c r="T255" s="99"/>
      <c r="U255" s="98"/>
    </row>
    <row r="256" spans="1:21">
      <c r="A256" s="6" t="s">
        <v>1350</v>
      </c>
      <c r="B256" s="6" t="s">
        <v>601</v>
      </c>
      <c r="C256" s="92"/>
      <c r="D256" s="92"/>
      <c r="E256" s="92"/>
      <c r="F256" s="92"/>
      <c r="G256" s="90"/>
      <c r="H256" s="89"/>
      <c r="J256" s="94" t="s">
        <v>927</v>
      </c>
      <c r="K256" s="95" t="s">
        <v>928</v>
      </c>
      <c r="L256" s="96"/>
      <c r="M256" s="96"/>
      <c r="N256" s="96"/>
      <c r="O256" s="96"/>
      <c r="P256" s="97"/>
      <c r="Q256" s="97"/>
      <c r="R256" s="97"/>
      <c r="S256" s="97"/>
      <c r="T256" s="99"/>
      <c r="U256" s="98"/>
    </row>
    <row r="257" spans="1:21">
      <c r="A257" s="6" t="s">
        <v>1351</v>
      </c>
      <c r="B257" s="6" t="s">
        <v>1352</v>
      </c>
      <c r="C257" s="92"/>
      <c r="D257" s="92"/>
      <c r="E257" s="92"/>
      <c r="F257" s="92"/>
      <c r="G257" s="90"/>
      <c r="H257" s="89"/>
      <c r="J257" s="94" t="s">
        <v>1353</v>
      </c>
      <c r="K257" s="95" t="s">
        <v>1354</v>
      </c>
      <c r="L257" s="96"/>
      <c r="M257" s="96"/>
      <c r="N257" s="96"/>
      <c r="O257" s="96"/>
      <c r="P257" s="97"/>
      <c r="Q257" s="97"/>
      <c r="R257" s="97"/>
      <c r="S257" s="97"/>
      <c r="T257" s="99"/>
      <c r="U257" s="98"/>
    </row>
    <row r="258" spans="1:21">
      <c r="A258" s="6" t="s">
        <v>1355</v>
      </c>
      <c r="B258" s="6" t="s">
        <v>1356</v>
      </c>
      <c r="C258" s="92"/>
      <c r="D258" s="92"/>
      <c r="E258" s="92"/>
      <c r="F258" s="92"/>
      <c r="G258" s="90"/>
      <c r="H258" s="89"/>
      <c r="J258" s="94" t="s">
        <v>886</v>
      </c>
      <c r="K258" s="95" t="s">
        <v>887</v>
      </c>
      <c r="L258" s="96"/>
      <c r="M258" s="96"/>
      <c r="N258" s="96"/>
      <c r="O258" s="96"/>
      <c r="P258" s="97"/>
      <c r="Q258" s="97"/>
      <c r="R258" s="97"/>
      <c r="S258" s="97"/>
      <c r="T258" s="99"/>
      <c r="U258" s="98"/>
    </row>
    <row r="259" spans="1:21">
      <c r="A259" s="6" t="s">
        <v>1357</v>
      </c>
      <c r="B259" s="6" t="s">
        <v>1358</v>
      </c>
      <c r="C259" s="92"/>
      <c r="D259" s="92"/>
      <c r="E259" s="92"/>
      <c r="F259" s="92"/>
      <c r="G259" s="90"/>
      <c r="H259" s="89"/>
      <c r="J259" s="94" t="s">
        <v>1359</v>
      </c>
      <c r="K259" s="95" t="s">
        <v>1360</v>
      </c>
      <c r="L259" s="96"/>
      <c r="M259" s="96"/>
      <c r="N259" s="96"/>
      <c r="O259" s="96"/>
      <c r="P259" s="97"/>
      <c r="Q259" s="97"/>
      <c r="R259" s="97"/>
      <c r="S259" s="97"/>
      <c r="T259" s="99"/>
      <c r="U259" s="98"/>
    </row>
    <row r="260" spans="1:21">
      <c r="A260" s="6" t="s">
        <v>1361</v>
      </c>
      <c r="B260" s="93" t="s">
        <v>1097</v>
      </c>
      <c r="C260" s="92"/>
      <c r="D260" s="92"/>
      <c r="E260" s="92"/>
      <c r="F260" s="92"/>
      <c r="G260" s="90"/>
      <c r="H260" s="89"/>
      <c r="J260" s="94" t="s">
        <v>1362</v>
      </c>
      <c r="K260" s="95" t="s">
        <v>1363</v>
      </c>
      <c r="L260" s="96"/>
      <c r="M260" s="96"/>
      <c r="N260" s="96"/>
      <c r="O260" s="96"/>
      <c r="P260" s="97"/>
      <c r="Q260" s="97"/>
      <c r="R260" s="97"/>
      <c r="S260" s="97"/>
      <c r="T260" s="99"/>
      <c r="U260" s="98"/>
    </row>
    <row r="261" spans="1:21">
      <c r="A261" s="6" t="s">
        <v>1364</v>
      </c>
      <c r="B261" s="6" t="s">
        <v>1117</v>
      </c>
      <c r="C261" s="92"/>
      <c r="D261" s="92"/>
      <c r="E261" s="92"/>
      <c r="F261" s="92"/>
      <c r="G261" s="90"/>
      <c r="H261" s="89"/>
      <c r="J261" s="94" t="s">
        <v>1365</v>
      </c>
      <c r="K261" s="95" t="s">
        <v>1366</v>
      </c>
      <c r="L261" s="96"/>
      <c r="M261" s="96"/>
      <c r="N261" s="96"/>
      <c r="O261" s="96"/>
      <c r="P261" s="97"/>
      <c r="Q261" s="97"/>
      <c r="R261" s="97"/>
      <c r="S261" s="97"/>
      <c r="T261" s="99"/>
      <c r="U261" s="98"/>
    </row>
    <row r="262" spans="1:21">
      <c r="A262" s="6" t="s">
        <v>1367</v>
      </c>
      <c r="B262" s="6" t="s">
        <v>1368</v>
      </c>
      <c r="C262" s="92"/>
      <c r="D262" s="92"/>
      <c r="E262" s="92"/>
      <c r="F262" s="92"/>
      <c r="G262" s="90"/>
      <c r="H262" s="89"/>
      <c r="J262" s="94" t="s">
        <v>979</v>
      </c>
      <c r="K262" s="95" t="s">
        <v>980</v>
      </c>
      <c r="L262" s="96"/>
      <c r="M262" s="96"/>
      <c r="N262" s="96"/>
      <c r="O262" s="96"/>
      <c r="P262" s="97"/>
      <c r="Q262" s="97"/>
      <c r="R262" s="97"/>
      <c r="S262" s="97"/>
      <c r="T262" s="99"/>
      <c r="U262" s="98"/>
    </row>
    <row r="263" spans="1:21">
      <c r="A263" s="6" t="s">
        <v>1369</v>
      </c>
      <c r="B263" s="6" t="s">
        <v>1370</v>
      </c>
      <c r="C263" s="92"/>
      <c r="D263" s="92"/>
      <c r="E263" s="92"/>
      <c r="F263" s="92"/>
      <c r="G263" s="90"/>
      <c r="H263" s="89"/>
      <c r="J263" s="94" t="s">
        <v>1371</v>
      </c>
      <c r="K263" s="95" t="s">
        <v>1372</v>
      </c>
      <c r="L263" s="96"/>
      <c r="M263" s="96"/>
      <c r="N263" s="96"/>
      <c r="O263" s="96"/>
      <c r="P263" s="97"/>
      <c r="Q263" s="97"/>
      <c r="R263" s="97"/>
      <c r="S263" s="97"/>
      <c r="T263" s="99"/>
      <c r="U263" s="98"/>
    </row>
    <row r="264" spans="1:21">
      <c r="A264" s="6" t="s">
        <v>1373</v>
      </c>
      <c r="B264" s="6" t="s">
        <v>1180</v>
      </c>
      <c r="C264" s="92"/>
      <c r="D264" s="92"/>
      <c r="E264" s="92"/>
      <c r="F264" s="92"/>
      <c r="G264" s="90"/>
      <c r="H264" s="89"/>
      <c r="J264" s="94" t="s">
        <v>1374</v>
      </c>
      <c r="K264" s="95" t="s">
        <v>1375</v>
      </c>
      <c r="L264" s="96"/>
      <c r="M264" s="96"/>
      <c r="N264" s="96"/>
      <c r="O264" s="96"/>
      <c r="P264" s="97"/>
      <c r="Q264" s="97"/>
      <c r="R264" s="97"/>
      <c r="S264" s="97"/>
      <c r="T264" s="99"/>
      <c r="U264" s="98"/>
    </row>
    <row r="265" spans="1:21">
      <c r="A265" s="6" t="s">
        <v>1376</v>
      </c>
      <c r="B265" s="6" t="s">
        <v>1143</v>
      </c>
      <c r="C265" s="92"/>
      <c r="D265" s="92"/>
      <c r="E265" s="92"/>
      <c r="F265" s="92"/>
      <c r="G265" s="90"/>
      <c r="H265" s="89"/>
      <c r="J265" s="94" t="s">
        <v>1377</v>
      </c>
      <c r="K265" s="95" t="s">
        <v>1378</v>
      </c>
      <c r="L265" s="96"/>
      <c r="M265" s="96"/>
      <c r="N265" s="96"/>
      <c r="O265" s="96"/>
      <c r="P265" s="97"/>
      <c r="Q265" s="97"/>
      <c r="R265" s="97"/>
      <c r="S265" s="97"/>
      <c r="T265" s="99"/>
      <c r="U265" s="98"/>
    </row>
    <row r="266" spans="1:21">
      <c r="A266" s="6" t="s">
        <v>1379</v>
      </c>
      <c r="B266" s="6" t="s">
        <v>1380</v>
      </c>
      <c r="C266" s="92"/>
      <c r="D266" s="92"/>
      <c r="E266" s="92"/>
      <c r="F266" s="92"/>
      <c r="G266" s="90"/>
      <c r="H266" s="89"/>
      <c r="J266" s="94" t="s">
        <v>1027</v>
      </c>
      <c r="K266" s="95" t="s">
        <v>1028</v>
      </c>
      <c r="L266" s="96"/>
      <c r="M266" s="96"/>
      <c r="N266" s="96"/>
      <c r="O266" s="96"/>
      <c r="P266" s="97"/>
      <c r="Q266" s="97"/>
      <c r="R266" s="97"/>
      <c r="S266" s="97"/>
      <c r="T266" s="99"/>
      <c r="U266" s="98"/>
    </row>
    <row r="267" spans="1:21">
      <c r="A267" s="6" t="s">
        <v>1381</v>
      </c>
      <c r="B267" s="6" t="s">
        <v>1039</v>
      </c>
      <c r="C267" s="92"/>
      <c r="D267" s="92"/>
      <c r="E267" s="92"/>
      <c r="F267" s="92"/>
      <c r="G267" s="90"/>
      <c r="H267" s="89"/>
      <c r="J267" s="94" t="s">
        <v>962</v>
      </c>
      <c r="K267" s="95" t="s">
        <v>963</v>
      </c>
      <c r="L267" s="96"/>
      <c r="M267" s="96"/>
      <c r="N267" s="96"/>
      <c r="O267" s="96"/>
      <c r="P267" s="97"/>
      <c r="Q267" s="97"/>
      <c r="R267" s="97"/>
      <c r="S267" s="97"/>
      <c r="T267" s="99"/>
      <c r="U267" s="98"/>
    </row>
    <row r="268" spans="1:21">
      <c r="A268" s="6" t="s">
        <v>1382</v>
      </c>
      <c r="B268" s="6" t="s">
        <v>1213</v>
      </c>
      <c r="C268" s="92"/>
      <c r="D268" s="92"/>
      <c r="E268" s="92"/>
      <c r="F268" s="92"/>
      <c r="G268" s="90"/>
      <c r="H268" s="89"/>
      <c r="J268" s="94" t="s">
        <v>994</v>
      </c>
      <c r="K268" s="95" t="s">
        <v>995</v>
      </c>
      <c r="L268" s="96"/>
      <c r="M268" s="96"/>
      <c r="N268" s="96"/>
      <c r="O268" s="96"/>
      <c r="P268" s="97"/>
      <c r="Q268" s="97"/>
      <c r="R268" s="97"/>
      <c r="S268" s="97"/>
      <c r="T268" s="99"/>
      <c r="U268" s="98"/>
    </row>
    <row r="269" spans="1:21">
      <c r="A269" s="6" t="s">
        <v>1383</v>
      </c>
      <c r="B269" s="6" t="s">
        <v>1384</v>
      </c>
      <c r="C269" s="92"/>
      <c r="D269" s="92"/>
      <c r="E269" s="92"/>
      <c r="F269" s="92"/>
      <c r="G269" s="90"/>
      <c r="H269" s="89"/>
      <c r="J269" s="94" t="s">
        <v>1385</v>
      </c>
      <c r="K269" s="95" t="s">
        <v>1386</v>
      </c>
      <c r="L269" s="96"/>
      <c r="M269" s="96"/>
      <c r="N269" s="96"/>
      <c r="O269" s="96"/>
      <c r="P269" s="97"/>
      <c r="Q269" s="97"/>
      <c r="R269" s="97"/>
      <c r="S269" s="97"/>
      <c r="T269" s="99"/>
      <c r="U269" s="98"/>
    </row>
    <row r="270" spans="1:21">
      <c r="A270" s="6"/>
      <c r="B270" s="6"/>
      <c r="C270" s="92"/>
      <c r="D270" s="92"/>
      <c r="E270" s="92"/>
      <c r="F270" s="92"/>
      <c r="G270" s="90"/>
      <c r="H270" s="89"/>
      <c r="J270" s="94" t="s">
        <v>903</v>
      </c>
      <c r="K270" s="95" t="s">
        <v>904</v>
      </c>
      <c r="L270" s="96"/>
      <c r="M270" s="96"/>
      <c r="N270" s="96"/>
      <c r="O270" s="96"/>
      <c r="P270" s="97"/>
      <c r="Q270" s="97"/>
      <c r="R270" s="97"/>
      <c r="S270" s="97"/>
      <c r="T270" s="99"/>
      <c r="U270" s="98"/>
    </row>
    <row r="271" spans="1:21">
      <c r="A271" s="6"/>
      <c r="B271" s="6"/>
      <c r="C271" s="92"/>
      <c r="D271" s="92"/>
      <c r="E271" s="92"/>
      <c r="F271" s="92"/>
      <c r="G271" s="90"/>
      <c r="H271" s="89"/>
      <c r="J271" s="94" t="s">
        <v>1387</v>
      </c>
      <c r="K271" s="95" t="s">
        <v>1388</v>
      </c>
      <c r="L271" s="96"/>
      <c r="M271" s="96"/>
      <c r="N271" s="96"/>
      <c r="O271" s="96"/>
      <c r="P271" s="97"/>
      <c r="Q271" s="97"/>
      <c r="R271" s="97"/>
      <c r="S271" s="97"/>
      <c r="T271" s="99"/>
      <c r="U271" s="98"/>
    </row>
    <row r="272" spans="1:21" ht="36">
      <c r="A272" s="6"/>
      <c r="B272" s="6"/>
      <c r="C272" s="92"/>
      <c r="D272" s="92"/>
      <c r="E272" s="92"/>
      <c r="F272" s="92"/>
      <c r="G272" s="90"/>
      <c r="H272" s="89"/>
      <c r="J272" s="94" t="s">
        <v>1389</v>
      </c>
      <c r="K272" s="95" t="s">
        <v>1390</v>
      </c>
      <c r="L272" s="96"/>
      <c r="M272" s="96"/>
      <c r="N272" s="96"/>
      <c r="O272" s="96"/>
      <c r="P272" s="97"/>
      <c r="Q272" s="97"/>
      <c r="R272" s="97"/>
      <c r="S272" s="97"/>
      <c r="T272" s="99"/>
      <c r="U272" s="98"/>
    </row>
    <row r="273" spans="1:21">
      <c r="A273" s="6"/>
      <c r="B273" s="6"/>
      <c r="C273" s="92"/>
      <c r="D273" s="92"/>
      <c r="E273" s="92"/>
      <c r="F273" s="92"/>
      <c r="G273" s="90"/>
      <c r="H273" s="89"/>
      <c r="J273" s="94" t="s">
        <v>879</v>
      </c>
      <c r="K273" s="95" t="s">
        <v>880</v>
      </c>
      <c r="L273" s="96"/>
      <c r="M273" s="96"/>
      <c r="N273" s="96"/>
      <c r="O273" s="96"/>
      <c r="P273" s="97"/>
      <c r="Q273" s="97"/>
      <c r="R273" s="97"/>
      <c r="S273" s="97"/>
      <c r="T273" s="99"/>
      <c r="U273" s="98"/>
    </row>
    <row r="274" spans="1:21">
      <c r="A274" s="6"/>
      <c r="B274" s="6"/>
      <c r="C274" s="92"/>
      <c r="D274" s="92"/>
      <c r="E274" s="92"/>
      <c r="F274" s="92"/>
      <c r="G274" s="90"/>
      <c r="H274" s="89"/>
      <c r="J274" s="94" t="s">
        <v>1391</v>
      </c>
      <c r="K274" s="95" t="s">
        <v>1392</v>
      </c>
      <c r="L274" s="96"/>
      <c r="M274" s="96"/>
      <c r="N274" s="96"/>
      <c r="O274" s="96"/>
      <c r="P274" s="97"/>
      <c r="Q274" s="97"/>
      <c r="R274" s="97"/>
      <c r="S274" s="97"/>
      <c r="T274" s="99"/>
      <c r="U274" s="98"/>
    </row>
    <row r="275" spans="1:21">
      <c r="A275" s="6"/>
      <c r="B275" s="6"/>
      <c r="C275" s="92"/>
      <c r="D275" s="92"/>
      <c r="E275" s="92"/>
      <c r="F275" s="92"/>
      <c r="G275" s="90"/>
      <c r="H275" s="89"/>
      <c r="J275" s="105" t="s">
        <v>1393</v>
      </c>
      <c r="K275" s="95" t="s">
        <v>215</v>
      </c>
      <c r="L275" s="96"/>
      <c r="M275" s="96"/>
      <c r="N275" s="96"/>
      <c r="O275" s="96"/>
      <c r="P275" s="97"/>
      <c r="Q275" s="97"/>
      <c r="R275" s="97"/>
      <c r="S275" s="97"/>
      <c r="T275" s="99"/>
      <c r="U275" s="98"/>
    </row>
    <row r="276" spans="1:21">
      <c r="A276" s="6"/>
      <c r="B276" s="6"/>
      <c r="C276" s="92"/>
      <c r="D276" s="92"/>
      <c r="E276" s="92"/>
      <c r="F276" s="92"/>
      <c r="G276" s="90"/>
      <c r="H276" s="89"/>
      <c r="J276" s="105" t="s">
        <v>1007</v>
      </c>
      <c r="K276" s="95" t="s">
        <v>1008</v>
      </c>
      <c r="L276" s="96"/>
      <c r="M276" s="96"/>
      <c r="N276" s="96"/>
      <c r="O276" s="96"/>
      <c r="P276" s="97"/>
      <c r="Q276" s="97"/>
      <c r="R276" s="97"/>
      <c r="S276" s="97"/>
      <c r="T276" s="99"/>
      <c r="U276" s="98"/>
    </row>
    <row r="277" spans="1:21">
      <c r="A277" s="6"/>
      <c r="B277" s="6"/>
      <c r="C277" s="92"/>
      <c r="D277" s="92"/>
      <c r="E277" s="92"/>
      <c r="F277" s="92"/>
      <c r="G277" s="90"/>
      <c r="H277" s="89"/>
      <c r="J277" s="569" t="s">
        <v>1394</v>
      </c>
      <c r="K277" s="547"/>
      <c r="L277" s="566"/>
      <c r="M277" s="566"/>
      <c r="N277" s="566"/>
      <c r="O277" s="567"/>
      <c r="P277" s="566"/>
      <c r="Q277" s="566"/>
      <c r="R277" s="566"/>
      <c r="S277" s="566"/>
      <c r="T277" s="568"/>
      <c r="U277" s="98"/>
    </row>
    <row r="278" spans="1:21">
      <c r="A278" s="6"/>
      <c r="B278" s="6"/>
      <c r="C278" s="92"/>
      <c r="D278" s="92"/>
      <c r="E278" s="92"/>
      <c r="F278" s="92"/>
      <c r="G278" s="90"/>
      <c r="H278" s="89"/>
      <c r="J278" s="548"/>
      <c r="K278" s="547"/>
      <c r="L278" s="566"/>
      <c r="M278" s="566"/>
      <c r="N278" s="566"/>
      <c r="O278" s="567"/>
      <c r="P278" s="566"/>
      <c r="Q278" s="566"/>
      <c r="R278" s="566"/>
      <c r="S278" s="566"/>
      <c r="T278" s="568"/>
      <c r="U278" s="98"/>
    </row>
    <row r="279" spans="1:21">
      <c r="A279" s="6"/>
      <c r="B279" s="6"/>
      <c r="C279" s="92"/>
      <c r="D279" s="92"/>
      <c r="E279" s="92"/>
      <c r="F279" s="92"/>
      <c r="G279" s="90"/>
      <c r="H279" s="89"/>
      <c r="J279" s="6" t="s">
        <v>4</v>
      </c>
      <c r="K279" s="6" t="s">
        <v>5</v>
      </c>
      <c r="L279" s="76"/>
      <c r="M279" s="76"/>
      <c r="N279" s="76"/>
      <c r="O279" s="76" t="s">
        <v>11</v>
      </c>
      <c r="P279" s="77"/>
      <c r="Q279" s="77"/>
      <c r="R279" s="77"/>
      <c r="S279" s="77"/>
      <c r="T279" s="78" t="s">
        <v>12</v>
      </c>
      <c r="U279" s="98"/>
    </row>
    <row r="280" spans="1:21">
      <c r="A280" s="6"/>
      <c r="B280" s="6"/>
      <c r="C280" s="92"/>
      <c r="D280" s="92"/>
      <c r="E280" s="92"/>
      <c r="F280" s="92"/>
      <c r="G280" s="90"/>
      <c r="H280" s="89"/>
      <c r="J280" s="94" t="s">
        <v>1395</v>
      </c>
      <c r="K280" s="95" t="s">
        <v>1396</v>
      </c>
      <c r="L280" s="96"/>
      <c r="M280" s="96"/>
      <c r="N280" s="96"/>
      <c r="O280" s="96"/>
      <c r="P280" s="97"/>
      <c r="Q280" s="97"/>
      <c r="R280" s="97"/>
      <c r="S280" s="97"/>
      <c r="T280" s="99"/>
      <c r="U280" s="98"/>
    </row>
    <row r="281" spans="1:21">
      <c r="A281" s="6"/>
      <c r="B281" s="6"/>
      <c r="C281" s="92"/>
      <c r="D281" s="92"/>
      <c r="E281" s="92"/>
      <c r="F281" s="92"/>
      <c r="G281" s="90"/>
      <c r="H281" s="89"/>
      <c r="J281" s="94" t="s">
        <v>1221</v>
      </c>
      <c r="K281" s="95" t="s">
        <v>1222</v>
      </c>
      <c r="L281" s="96"/>
      <c r="M281" s="96"/>
      <c r="N281" s="96"/>
      <c r="O281" s="96"/>
      <c r="P281" s="97"/>
      <c r="Q281" s="97"/>
      <c r="R281" s="97"/>
      <c r="S281" s="97"/>
      <c r="T281" s="99"/>
      <c r="U281" s="98"/>
    </row>
    <row r="282" spans="1:21">
      <c r="A282" s="6"/>
      <c r="B282" s="6"/>
      <c r="C282" s="92"/>
      <c r="D282" s="92"/>
      <c r="E282" s="92"/>
      <c r="F282" s="92"/>
      <c r="G282" s="90"/>
      <c r="H282" s="89"/>
      <c r="J282" s="94" t="s">
        <v>1235</v>
      </c>
      <c r="K282" s="95" t="s">
        <v>1236</v>
      </c>
      <c r="L282" s="96"/>
      <c r="M282" s="96"/>
      <c r="N282" s="96"/>
      <c r="O282" s="96"/>
      <c r="P282" s="97"/>
      <c r="Q282" s="97"/>
      <c r="R282" s="97"/>
      <c r="S282" s="97"/>
      <c r="T282" s="99"/>
      <c r="U282" s="98"/>
    </row>
    <row r="283" spans="1:21">
      <c r="A283" s="6"/>
      <c r="B283" s="6"/>
      <c r="C283" s="92"/>
      <c r="D283" s="92"/>
      <c r="E283" s="92"/>
      <c r="F283" s="92"/>
      <c r="G283" s="90"/>
      <c r="H283" s="89"/>
      <c r="J283" s="94" t="s">
        <v>1397</v>
      </c>
      <c r="K283" s="95" t="s">
        <v>1398</v>
      </c>
      <c r="L283" s="96"/>
      <c r="M283" s="96"/>
      <c r="N283" s="96"/>
      <c r="O283" s="96"/>
      <c r="P283" s="97"/>
      <c r="Q283" s="97"/>
      <c r="R283" s="97"/>
      <c r="S283" s="97"/>
      <c r="T283" s="99"/>
      <c r="U283" s="98"/>
    </row>
    <row r="284" spans="1:21" ht="36">
      <c r="A284" s="6"/>
      <c r="B284" s="6"/>
      <c r="C284" s="92"/>
      <c r="D284" s="92"/>
      <c r="E284" s="92"/>
      <c r="F284" s="92"/>
      <c r="G284" s="90"/>
      <c r="H284" s="89"/>
      <c r="J284" s="94" t="s">
        <v>1106</v>
      </c>
      <c r="K284" s="95" t="s">
        <v>1107</v>
      </c>
      <c r="L284" s="96"/>
      <c r="M284" s="96"/>
      <c r="N284" s="96"/>
      <c r="O284" s="96"/>
      <c r="P284" s="97"/>
      <c r="Q284" s="97"/>
      <c r="R284" s="97"/>
      <c r="S284" s="97"/>
      <c r="T284" s="99"/>
      <c r="U284" s="98"/>
    </row>
    <row r="285" spans="1:21">
      <c r="A285" s="6"/>
      <c r="B285" s="6"/>
      <c r="C285" s="92"/>
      <c r="D285" s="92"/>
      <c r="E285" s="92"/>
      <c r="F285" s="92"/>
      <c r="G285" s="90"/>
      <c r="H285" s="89"/>
      <c r="J285" s="94" t="s">
        <v>1399</v>
      </c>
      <c r="K285" s="95" t="s">
        <v>1400</v>
      </c>
      <c r="L285" s="96"/>
      <c r="M285" s="96"/>
      <c r="N285" s="96"/>
      <c r="O285" s="96"/>
      <c r="P285" s="97"/>
      <c r="Q285" s="97"/>
      <c r="R285" s="97"/>
      <c r="S285" s="97"/>
      <c r="T285" s="99"/>
      <c r="U285" s="98"/>
    </row>
    <row r="286" spans="1:21">
      <c r="A286" s="6"/>
      <c r="B286" s="6"/>
      <c r="C286" s="92"/>
      <c r="D286" s="92"/>
      <c r="E286" s="92"/>
      <c r="F286" s="92"/>
      <c r="G286" s="90"/>
      <c r="H286" s="89"/>
      <c r="J286" s="94" t="s">
        <v>1135</v>
      </c>
      <c r="K286" s="95" t="s">
        <v>1136</v>
      </c>
      <c r="L286" s="96"/>
      <c r="M286" s="96"/>
      <c r="N286" s="96"/>
      <c r="O286" s="96"/>
      <c r="P286" s="97"/>
      <c r="Q286" s="97"/>
      <c r="R286" s="97"/>
      <c r="S286" s="97"/>
      <c r="T286" s="99"/>
      <c r="U286" s="98"/>
    </row>
    <row r="287" spans="1:21">
      <c r="A287" s="6"/>
      <c r="B287" s="6"/>
      <c r="C287" s="92"/>
      <c r="D287" s="92"/>
      <c r="E287" s="92"/>
      <c r="F287" s="92"/>
      <c r="G287" s="90"/>
      <c r="H287" s="89"/>
      <c r="J287" s="94" t="s">
        <v>1401</v>
      </c>
      <c r="K287" s="95" t="s">
        <v>1402</v>
      </c>
      <c r="L287" s="96"/>
      <c r="M287" s="96"/>
      <c r="N287" s="96"/>
      <c r="O287" s="96"/>
      <c r="P287" s="97"/>
      <c r="Q287" s="97"/>
      <c r="R287" s="97"/>
      <c r="S287" s="97"/>
      <c r="T287" s="99"/>
      <c r="U287" s="98"/>
    </row>
    <row r="288" spans="1:21">
      <c r="A288" s="6"/>
      <c r="B288" s="6"/>
      <c r="C288" s="92"/>
      <c r="D288" s="92"/>
      <c r="E288" s="92"/>
      <c r="F288" s="92"/>
      <c r="G288" s="90"/>
      <c r="H288" s="89"/>
      <c r="J288" s="94" t="s">
        <v>1403</v>
      </c>
      <c r="K288" s="95" t="s">
        <v>1404</v>
      </c>
      <c r="L288" s="96"/>
      <c r="M288" s="96"/>
      <c r="N288" s="96"/>
      <c r="O288" s="96"/>
      <c r="P288" s="97"/>
      <c r="Q288" s="97"/>
      <c r="R288" s="97"/>
      <c r="S288" s="97"/>
      <c r="T288" s="99"/>
      <c r="U288" s="98"/>
    </row>
    <row r="289" spans="1:21">
      <c r="A289" s="6"/>
      <c r="B289" s="6"/>
      <c r="C289" s="92"/>
      <c r="D289" s="92"/>
      <c r="E289" s="92"/>
      <c r="F289" s="92"/>
      <c r="G289" s="90"/>
      <c r="H289" s="89"/>
      <c r="J289" s="94" t="s">
        <v>1405</v>
      </c>
      <c r="K289" s="95" t="s">
        <v>1406</v>
      </c>
      <c r="L289" s="96"/>
      <c r="M289" s="96"/>
      <c r="N289" s="96"/>
      <c r="O289" s="96"/>
      <c r="P289" s="97"/>
      <c r="Q289" s="97"/>
      <c r="R289" s="97"/>
      <c r="S289" s="97"/>
      <c r="T289" s="99"/>
      <c r="U289" s="98"/>
    </row>
    <row r="290" spans="1:21">
      <c r="A290" s="6"/>
      <c r="B290" s="6"/>
      <c r="C290" s="92"/>
      <c r="D290" s="92"/>
      <c r="E290" s="92"/>
      <c r="F290" s="92"/>
      <c r="G290" s="90"/>
      <c r="H290" s="89"/>
      <c r="J290" s="94" t="s">
        <v>1407</v>
      </c>
      <c r="K290" s="95" t="s">
        <v>1408</v>
      </c>
      <c r="L290" s="96"/>
      <c r="M290" s="96"/>
      <c r="N290" s="96"/>
      <c r="O290" s="96"/>
      <c r="P290" s="97"/>
      <c r="Q290" s="97"/>
      <c r="R290" s="97"/>
      <c r="S290" s="97"/>
      <c r="T290" s="99"/>
      <c r="U290" s="98"/>
    </row>
    <row r="291" spans="1:21" ht="36">
      <c r="A291" s="6"/>
      <c r="B291" s="6"/>
      <c r="C291" s="92"/>
      <c r="D291" s="92"/>
      <c r="E291" s="92"/>
      <c r="F291" s="92"/>
      <c r="G291" s="90"/>
      <c r="H291" s="89"/>
      <c r="J291" s="94" t="s">
        <v>1153</v>
      </c>
      <c r="K291" s="95" t="s">
        <v>1154</v>
      </c>
      <c r="L291" s="96"/>
      <c r="M291" s="96"/>
      <c r="N291" s="96"/>
      <c r="O291" s="96"/>
      <c r="P291" s="97"/>
      <c r="Q291" s="97"/>
      <c r="R291" s="97"/>
      <c r="S291" s="97"/>
      <c r="T291" s="99"/>
      <c r="U291" s="98"/>
    </row>
    <row r="292" spans="1:21">
      <c r="A292" s="6"/>
      <c r="B292" s="6"/>
      <c r="C292" s="92"/>
      <c r="D292" s="92"/>
      <c r="E292" s="92"/>
      <c r="F292" s="92"/>
      <c r="G292" s="90"/>
      <c r="H292" s="89"/>
      <c r="J292" s="94" t="s">
        <v>1409</v>
      </c>
      <c r="K292" s="95">
        <v>7</v>
      </c>
      <c r="L292" s="96"/>
      <c r="M292" s="96"/>
      <c r="N292" s="96"/>
      <c r="O292" s="96"/>
      <c r="P292" s="97"/>
      <c r="Q292" s="97"/>
      <c r="R292" s="97"/>
      <c r="S292" s="97"/>
      <c r="T292" s="99"/>
      <c r="U292" s="98"/>
    </row>
    <row r="293" spans="1:21">
      <c r="A293" s="6"/>
      <c r="B293" s="6"/>
      <c r="C293" s="92"/>
      <c r="D293" s="92"/>
      <c r="E293" s="92"/>
      <c r="F293" s="92"/>
      <c r="G293" s="90"/>
      <c r="H293" s="89"/>
      <c r="J293" s="94" t="s">
        <v>1186</v>
      </c>
      <c r="K293" s="95" t="s">
        <v>1187</v>
      </c>
      <c r="L293" s="96"/>
      <c r="M293" s="96"/>
      <c r="N293" s="96"/>
      <c r="O293" s="96"/>
      <c r="P293" s="97"/>
      <c r="Q293" s="97"/>
      <c r="R293" s="97"/>
      <c r="S293" s="97"/>
      <c r="T293" s="99"/>
      <c r="U293" s="98"/>
    </row>
    <row r="294" spans="1:21" ht="36">
      <c r="A294" s="6"/>
      <c r="B294" s="6"/>
      <c r="C294" s="92"/>
      <c r="D294" s="92"/>
      <c r="E294" s="92"/>
      <c r="F294" s="92"/>
      <c r="G294" s="90"/>
      <c r="H294" s="89"/>
      <c r="J294" s="94" t="s">
        <v>1044</v>
      </c>
      <c r="K294" s="95" t="s">
        <v>1410</v>
      </c>
      <c r="L294" s="96"/>
      <c r="M294" s="96"/>
      <c r="N294" s="96"/>
      <c r="O294" s="96"/>
      <c r="P294" s="97"/>
      <c r="Q294" s="97"/>
      <c r="R294" s="97"/>
      <c r="S294" s="97"/>
      <c r="T294" s="99"/>
      <c r="U294" s="98"/>
    </row>
    <row r="295" spans="1:21">
      <c r="A295" s="6"/>
      <c r="B295" s="6"/>
      <c r="C295" s="92"/>
      <c r="D295" s="92"/>
      <c r="E295" s="92"/>
      <c r="F295" s="92"/>
      <c r="G295" s="90"/>
      <c r="H295" s="89"/>
      <c r="J295" s="94" t="s">
        <v>1411</v>
      </c>
      <c r="K295" s="95" t="s">
        <v>1412</v>
      </c>
      <c r="L295" s="96"/>
      <c r="M295" s="96"/>
      <c r="N295" s="96"/>
      <c r="O295" s="96"/>
      <c r="P295" s="97"/>
      <c r="Q295" s="97"/>
      <c r="R295" s="97"/>
      <c r="S295" s="97"/>
      <c r="T295" s="99"/>
      <c r="U295" s="98"/>
    </row>
    <row r="296" spans="1:21">
      <c r="A296" s="6"/>
      <c r="B296" s="6"/>
      <c r="C296" s="92"/>
      <c r="D296" s="92"/>
      <c r="E296" s="92"/>
      <c r="F296" s="92"/>
      <c r="G296" s="90"/>
      <c r="H296" s="89"/>
      <c r="J296" s="94" t="s">
        <v>1173</v>
      </c>
      <c r="K296" s="95" t="s">
        <v>1174</v>
      </c>
      <c r="L296" s="96"/>
      <c r="M296" s="96"/>
      <c r="N296" s="96"/>
      <c r="O296" s="96"/>
      <c r="P296" s="97"/>
      <c r="Q296" s="97"/>
      <c r="R296" s="97"/>
      <c r="S296" s="97"/>
      <c r="T296" s="99"/>
      <c r="U296" s="98"/>
    </row>
    <row r="297" spans="1:21">
      <c r="A297" s="6"/>
      <c r="B297" s="6"/>
      <c r="C297" s="92"/>
      <c r="D297" s="92"/>
      <c r="E297" s="92"/>
      <c r="F297" s="92"/>
      <c r="G297" s="90"/>
      <c r="H297" s="89"/>
      <c r="J297" s="94" t="s">
        <v>1413</v>
      </c>
      <c r="K297" s="95" t="s">
        <v>1414</v>
      </c>
      <c r="L297" s="96"/>
      <c r="M297" s="96"/>
      <c r="N297" s="96"/>
      <c r="O297" s="96"/>
      <c r="P297" s="97"/>
      <c r="Q297" s="97"/>
      <c r="R297" s="97"/>
      <c r="S297" s="97"/>
      <c r="T297" s="99"/>
      <c r="U297" s="98"/>
    </row>
    <row r="298" spans="1:21">
      <c r="A298" s="6"/>
      <c r="B298" s="6"/>
      <c r="C298" s="92"/>
      <c r="D298" s="92"/>
      <c r="E298" s="92"/>
      <c r="F298" s="92"/>
      <c r="G298" s="90"/>
      <c r="H298" s="89"/>
      <c r="J298" s="94" t="s">
        <v>1415</v>
      </c>
      <c r="K298" s="95" t="s">
        <v>1416</v>
      </c>
      <c r="L298" s="96"/>
      <c r="M298" s="96"/>
      <c r="N298" s="96"/>
      <c r="O298" s="96"/>
      <c r="P298" s="97"/>
      <c r="Q298" s="97"/>
      <c r="R298" s="97"/>
      <c r="S298" s="97"/>
      <c r="T298" s="99"/>
      <c r="U298" s="98"/>
    </row>
    <row r="299" spans="1:21">
      <c r="A299" s="6"/>
      <c r="B299" s="6"/>
      <c r="C299" s="92"/>
      <c r="D299" s="92"/>
      <c r="E299" s="92"/>
      <c r="F299" s="92"/>
      <c r="G299" s="90"/>
      <c r="H299" s="89"/>
      <c r="J299" s="94" t="s">
        <v>1068</v>
      </c>
      <c r="K299" s="95" t="s">
        <v>726</v>
      </c>
      <c r="L299" s="96"/>
      <c r="M299" s="96"/>
      <c r="N299" s="96"/>
      <c r="O299" s="96"/>
      <c r="P299" s="97"/>
      <c r="Q299" s="97"/>
      <c r="R299" s="97"/>
      <c r="S299" s="97"/>
      <c r="T299" s="99"/>
      <c r="U299" s="98"/>
    </row>
    <row r="300" spans="1:21">
      <c r="A300" s="6"/>
      <c r="B300" s="6"/>
      <c r="C300" s="92"/>
      <c r="D300" s="92"/>
      <c r="E300" s="92"/>
      <c r="F300" s="92"/>
      <c r="G300" s="90"/>
      <c r="H300" s="89"/>
      <c r="J300" s="94" t="s">
        <v>1417</v>
      </c>
      <c r="K300" s="95" t="s">
        <v>1418</v>
      </c>
      <c r="L300" s="96"/>
      <c r="M300" s="96"/>
      <c r="N300" s="96"/>
      <c r="O300" s="96"/>
      <c r="P300" s="97"/>
      <c r="Q300" s="97"/>
      <c r="R300" s="97"/>
      <c r="S300" s="97"/>
      <c r="T300" s="99"/>
      <c r="U300" s="98"/>
    </row>
    <row r="301" spans="1:21">
      <c r="A301" s="6"/>
      <c r="B301" s="6"/>
      <c r="C301" s="92"/>
      <c r="D301" s="92"/>
      <c r="E301" s="92"/>
      <c r="F301" s="92"/>
      <c r="G301" s="90"/>
      <c r="H301" s="89"/>
      <c r="J301" s="94" t="s">
        <v>1419</v>
      </c>
      <c r="K301" s="95" t="s">
        <v>1420</v>
      </c>
      <c r="L301" s="96"/>
      <c r="M301" s="96"/>
      <c r="N301" s="96"/>
      <c r="O301" s="96"/>
      <c r="P301" s="97"/>
      <c r="Q301" s="97"/>
      <c r="R301" s="97"/>
      <c r="S301" s="97"/>
      <c r="T301" s="99"/>
      <c r="U301" s="98"/>
    </row>
    <row r="302" spans="1:21" ht="36">
      <c r="A302" s="6"/>
      <c r="B302" s="6"/>
      <c r="C302" s="92"/>
      <c r="D302" s="92"/>
      <c r="E302" s="92"/>
      <c r="F302" s="92"/>
      <c r="G302" s="90"/>
      <c r="H302" s="89"/>
      <c r="J302" s="94" t="s">
        <v>1421</v>
      </c>
      <c r="K302" s="95" t="s">
        <v>1422</v>
      </c>
      <c r="L302" s="96"/>
      <c r="M302" s="96"/>
      <c r="N302" s="96"/>
      <c r="O302" s="96"/>
      <c r="P302" s="97"/>
      <c r="Q302" s="97"/>
      <c r="R302" s="97"/>
      <c r="S302" s="97"/>
      <c r="T302" s="99"/>
      <c r="U302" s="98"/>
    </row>
    <row r="303" spans="1:21">
      <c r="A303" s="6"/>
      <c r="B303" s="6"/>
      <c r="C303" s="92"/>
      <c r="D303" s="92"/>
      <c r="E303" s="92"/>
      <c r="F303" s="92"/>
      <c r="G303" s="90"/>
      <c r="H303" s="89"/>
      <c r="J303" s="94" t="s">
        <v>1051</v>
      </c>
      <c r="K303" s="95" t="s">
        <v>1052</v>
      </c>
      <c r="L303" s="96"/>
      <c r="M303" s="96"/>
      <c r="N303" s="96"/>
      <c r="O303" s="96"/>
      <c r="P303" s="97"/>
      <c r="Q303" s="97"/>
      <c r="R303" s="97"/>
      <c r="S303" s="97"/>
      <c r="T303" s="99"/>
      <c r="U303" s="98"/>
    </row>
    <row r="304" spans="1:21">
      <c r="A304" s="6"/>
      <c r="B304" s="6"/>
      <c r="C304" s="92"/>
      <c r="D304" s="92"/>
      <c r="E304" s="92"/>
      <c r="F304" s="92"/>
      <c r="G304" s="90"/>
      <c r="H304" s="89"/>
      <c r="J304" s="94" t="s">
        <v>1062</v>
      </c>
      <c r="K304" s="95" t="s">
        <v>1063</v>
      </c>
      <c r="L304" s="96"/>
      <c r="M304" s="96"/>
      <c r="N304" s="96"/>
      <c r="O304" s="96"/>
      <c r="P304" s="97"/>
      <c r="Q304" s="97"/>
      <c r="R304" s="97"/>
      <c r="S304" s="97"/>
      <c r="T304" s="99"/>
      <c r="U304" s="98"/>
    </row>
    <row r="305" spans="1:21">
      <c r="A305" s="6"/>
      <c r="B305" s="6"/>
      <c r="C305" s="92"/>
      <c r="D305" s="92"/>
      <c r="E305" s="92"/>
      <c r="F305" s="92"/>
      <c r="G305" s="90"/>
      <c r="H305" s="89"/>
      <c r="J305" s="94" t="s">
        <v>1423</v>
      </c>
      <c r="K305" s="95" t="s">
        <v>1424</v>
      </c>
      <c r="L305" s="96"/>
      <c r="M305" s="96"/>
      <c r="N305" s="96"/>
      <c r="O305" s="96"/>
      <c r="P305" s="97"/>
      <c r="Q305" s="97"/>
      <c r="R305" s="97"/>
      <c r="S305" s="97"/>
      <c r="T305" s="99"/>
      <c r="U305" s="98"/>
    </row>
    <row r="306" spans="1:21">
      <c r="A306" s="6"/>
      <c r="B306" s="6"/>
      <c r="C306" s="92"/>
      <c r="D306" s="92"/>
      <c r="E306" s="92"/>
      <c r="F306" s="92"/>
      <c r="G306" s="90"/>
      <c r="H306" s="89"/>
      <c r="J306" s="94" t="s">
        <v>1425</v>
      </c>
      <c r="K306" s="95" t="s">
        <v>1426</v>
      </c>
      <c r="L306" s="96"/>
      <c r="M306" s="96"/>
      <c r="N306" s="96"/>
      <c r="O306" s="96"/>
      <c r="P306" s="97"/>
      <c r="Q306" s="97"/>
      <c r="R306" s="97"/>
      <c r="S306" s="97"/>
      <c r="T306" s="99"/>
      <c r="U306" s="98"/>
    </row>
    <row r="307" spans="1:21">
      <c r="A307" s="6"/>
      <c r="B307" s="6"/>
      <c r="C307" s="92"/>
      <c r="D307" s="92"/>
      <c r="E307" s="92"/>
      <c r="F307" s="92"/>
      <c r="G307" s="90"/>
      <c r="H307" s="89"/>
      <c r="J307" s="94" t="s">
        <v>1195</v>
      </c>
      <c r="K307" s="95" t="s">
        <v>1196</v>
      </c>
      <c r="L307" s="96"/>
      <c r="M307" s="96"/>
      <c r="N307" s="96"/>
      <c r="O307" s="96"/>
      <c r="P307" s="97"/>
      <c r="Q307" s="97"/>
      <c r="R307" s="97"/>
      <c r="S307" s="97"/>
      <c r="T307" s="99"/>
      <c r="U307" s="98"/>
    </row>
    <row r="308" spans="1:21">
      <c r="A308" s="6"/>
      <c r="B308" s="6"/>
      <c r="C308" s="92"/>
      <c r="D308" s="92"/>
      <c r="E308" s="92"/>
      <c r="F308" s="92"/>
      <c r="G308" s="90"/>
      <c r="H308" s="89"/>
      <c r="J308" s="94" t="s">
        <v>1427</v>
      </c>
      <c r="K308" s="95" t="s">
        <v>1428</v>
      </c>
      <c r="L308" s="96"/>
      <c r="M308" s="96"/>
      <c r="N308" s="96"/>
      <c r="O308" s="96"/>
      <c r="P308" s="97"/>
      <c r="Q308" s="97"/>
      <c r="R308" s="97"/>
      <c r="S308" s="97"/>
      <c r="T308" s="99"/>
      <c r="U308" s="98"/>
    </row>
    <row r="309" spans="1:21">
      <c r="A309" s="6"/>
      <c r="B309" s="6"/>
      <c r="C309" s="92"/>
      <c r="D309" s="92"/>
      <c r="E309" s="92"/>
      <c r="F309" s="92"/>
      <c r="G309" s="90"/>
      <c r="H309" s="89"/>
      <c r="J309" s="94" t="s">
        <v>1073</v>
      </c>
      <c r="K309" s="95" t="s">
        <v>1074</v>
      </c>
      <c r="L309" s="96"/>
      <c r="M309" s="96"/>
      <c r="N309" s="96"/>
      <c r="O309" s="96"/>
      <c r="P309" s="97"/>
      <c r="Q309" s="97"/>
      <c r="R309" s="97"/>
      <c r="S309" s="97"/>
      <c r="T309" s="99"/>
      <c r="U309" s="98"/>
    </row>
    <row r="310" spans="1:21">
      <c r="A310" s="6"/>
      <c r="B310" s="6"/>
      <c r="C310" s="92"/>
      <c r="D310" s="92"/>
      <c r="E310" s="92"/>
      <c r="F310" s="92"/>
      <c r="G310" s="90"/>
      <c r="H310" s="89"/>
      <c r="J310" s="94" t="s">
        <v>1429</v>
      </c>
      <c r="K310" s="95" t="s">
        <v>1430</v>
      </c>
      <c r="L310" s="96"/>
      <c r="M310" s="96"/>
      <c r="N310" s="96"/>
      <c r="O310" s="96"/>
      <c r="P310" s="97"/>
      <c r="Q310" s="97"/>
      <c r="R310" s="97"/>
      <c r="S310" s="97"/>
      <c r="T310" s="99"/>
      <c r="U310" s="98"/>
    </row>
    <row r="311" spans="1:21" ht="36">
      <c r="A311" s="6"/>
      <c r="B311" s="6"/>
      <c r="C311" s="92"/>
      <c r="D311" s="92"/>
      <c r="E311" s="92"/>
      <c r="F311" s="92"/>
      <c r="G311" s="90"/>
      <c r="H311" s="89"/>
      <c r="J311" s="94" t="s">
        <v>1190</v>
      </c>
      <c r="K311" s="95" t="s">
        <v>1191</v>
      </c>
      <c r="L311" s="96"/>
      <c r="M311" s="96"/>
      <c r="N311" s="96"/>
      <c r="O311" s="96"/>
      <c r="P311" s="97"/>
      <c r="Q311" s="97"/>
      <c r="R311" s="97"/>
      <c r="S311" s="97"/>
      <c r="T311" s="99"/>
      <c r="U311" s="98"/>
    </row>
    <row r="312" spans="1:21">
      <c r="A312" s="6"/>
      <c r="B312" s="6"/>
      <c r="C312" s="92"/>
      <c r="D312" s="92"/>
      <c r="E312" s="92"/>
      <c r="F312" s="92"/>
      <c r="G312" s="90"/>
      <c r="H312" s="89"/>
      <c r="J312" s="94" t="s">
        <v>1147</v>
      </c>
      <c r="K312" s="95" t="s">
        <v>1148</v>
      </c>
      <c r="L312" s="96"/>
      <c r="M312" s="96"/>
      <c r="N312" s="96"/>
      <c r="O312" s="96"/>
      <c r="P312" s="97"/>
      <c r="Q312" s="97"/>
      <c r="R312" s="97"/>
      <c r="S312" s="97"/>
      <c r="T312" s="99"/>
      <c r="U312" s="98"/>
    </row>
    <row r="313" spans="1:21" ht="36">
      <c r="A313" s="6"/>
      <c r="B313" s="6"/>
      <c r="C313" s="92"/>
      <c r="D313" s="92"/>
      <c r="E313" s="92"/>
      <c r="F313" s="92"/>
      <c r="G313" s="90"/>
      <c r="H313" s="89"/>
      <c r="J313" s="94" t="s">
        <v>1121</v>
      </c>
      <c r="K313" s="95" t="s">
        <v>1122</v>
      </c>
      <c r="L313" s="96"/>
      <c r="M313" s="96"/>
      <c r="N313" s="96"/>
      <c r="O313" s="96"/>
      <c r="P313" s="97"/>
      <c r="Q313" s="97"/>
      <c r="R313" s="97"/>
      <c r="S313" s="97"/>
      <c r="T313" s="99"/>
      <c r="U313" s="98"/>
    </row>
    <row r="314" spans="1:21">
      <c r="A314" s="6"/>
      <c r="B314" s="6"/>
      <c r="C314" s="92"/>
      <c r="D314" s="92"/>
      <c r="E314" s="92"/>
      <c r="F314" s="92"/>
      <c r="G314" s="90"/>
      <c r="H314" s="89"/>
      <c r="J314" s="94" t="s">
        <v>1431</v>
      </c>
      <c r="K314" s="95" t="s">
        <v>1432</v>
      </c>
      <c r="L314" s="96"/>
      <c r="M314" s="96"/>
      <c r="N314" s="96"/>
      <c r="O314" s="96"/>
      <c r="P314" s="97"/>
      <c r="Q314" s="97"/>
      <c r="R314" s="97"/>
      <c r="S314" s="97"/>
      <c r="T314" s="99"/>
      <c r="U314" s="98"/>
    </row>
    <row r="315" spans="1:21">
      <c r="A315" s="6"/>
      <c r="B315" s="6"/>
      <c r="C315" s="92"/>
      <c r="D315" s="92"/>
      <c r="E315" s="92"/>
      <c r="F315" s="92"/>
      <c r="G315" s="90"/>
      <c r="H315" s="89"/>
      <c r="J315" s="94" t="s">
        <v>1433</v>
      </c>
      <c r="K315" s="95" t="s">
        <v>1434</v>
      </c>
      <c r="L315" s="96"/>
      <c r="M315" s="96"/>
      <c r="N315" s="96"/>
      <c r="O315" s="96"/>
      <c r="P315" s="97"/>
      <c r="Q315" s="97"/>
      <c r="R315" s="97"/>
      <c r="S315" s="97"/>
      <c r="T315" s="99"/>
      <c r="U315" s="98"/>
    </row>
    <row r="316" spans="1:21">
      <c r="A316" s="6"/>
      <c r="B316" s="6"/>
      <c r="C316" s="92"/>
      <c r="D316" s="92"/>
      <c r="E316" s="92"/>
      <c r="F316" s="92"/>
      <c r="G316" s="90"/>
      <c r="H316" s="89"/>
      <c r="J316" s="94" t="s">
        <v>1435</v>
      </c>
      <c r="K316" s="95" t="s">
        <v>1436</v>
      </c>
      <c r="L316" s="96"/>
      <c r="M316" s="96"/>
      <c r="N316" s="96"/>
      <c r="O316" s="96"/>
      <c r="P316" s="97"/>
      <c r="Q316" s="97"/>
      <c r="R316" s="97"/>
      <c r="S316" s="97"/>
      <c r="T316" s="99"/>
      <c r="U316" s="98"/>
    </row>
    <row r="317" spans="1:21">
      <c r="A317" s="6"/>
      <c r="B317" s="6"/>
      <c r="C317" s="92"/>
      <c r="D317" s="92"/>
      <c r="E317" s="92"/>
      <c r="F317" s="92"/>
      <c r="G317" s="90"/>
      <c r="H317" s="89"/>
      <c r="J317" s="94" t="s">
        <v>1437</v>
      </c>
      <c r="K317" s="95" t="s">
        <v>1438</v>
      </c>
      <c r="L317" s="96"/>
      <c r="M317" s="96"/>
      <c r="N317" s="96"/>
      <c r="O317" s="96"/>
      <c r="P317" s="97"/>
      <c r="Q317" s="97"/>
      <c r="R317" s="97"/>
      <c r="S317" s="97"/>
      <c r="T317" s="99"/>
      <c r="U317" s="98"/>
    </row>
    <row r="318" spans="1:21">
      <c r="A318" s="6"/>
      <c r="B318" s="6"/>
      <c r="C318" s="92"/>
      <c r="D318" s="92"/>
      <c r="E318" s="92"/>
      <c r="F318" s="92"/>
      <c r="G318" s="90"/>
      <c r="H318" s="89"/>
      <c r="J318" s="94" t="s">
        <v>1206</v>
      </c>
      <c r="K318" s="95" t="s">
        <v>1207</v>
      </c>
      <c r="L318" s="96"/>
      <c r="M318" s="96"/>
      <c r="N318" s="96"/>
      <c r="O318" s="96"/>
      <c r="P318" s="97"/>
      <c r="Q318" s="97"/>
      <c r="R318" s="97"/>
      <c r="S318" s="97"/>
      <c r="T318" s="99"/>
      <c r="U318" s="98"/>
    </row>
    <row r="319" spans="1:21">
      <c r="A319" s="6"/>
      <c r="B319" s="6"/>
      <c r="C319" s="92"/>
      <c r="D319" s="92"/>
      <c r="E319" s="92"/>
      <c r="F319" s="92"/>
      <c r="G319" s="90"/>
      <c r="H319" s="89"/>
      <c r="J319" s="94" t="s">
        <v>1439</v>
      </c>
      <c r="K319" s="95" t="s">
        <v>1440</v>
      </c>
      <c r="L319" s="96"/>
      <c r="M319" s="96"/>
      <c r="N319" s="96"/>
      <c r="O319" s="96"/>
      <c r="P319" s="97"/>
      <c r="Q319" s="97"/>
      <c r="R319" s="97"/>
      <c r="S319" s="97"/>
      <c r="T319" s="99"/>
      <c r="U319" s="98"/>
    </row>
    <row r="320" spans="1:21">
      <c r="A320" s="6"/>
      <c r="B320" s="6"/>
      <c r="C320" s="92"/>
      <c r="D320" s="92"/>
      <c r="E320" s="92"/>
      <c r="F320" s="92"/>
      <c r="G320" s="90"/>
      <c r="H320" s="89"/>
      <c r="J320" s="94" t="s">
        <v>1228</v>
      </c>
      <c r="K320" s="84" t="s">
        <v>1229</v>
      </c>
      <c r="L320" s="96"/>
      <c r="M320" s="96"/>
      <c r="N320" s="96"/>
      <c r="O320" s="96"/>
      <c r="P320" s="97"/>
      <c r="Q320" s="97"/>
      <c r="R320" s="97"/>
      <c r="S320" s="97"/>
      <c r="T320" s="99"/>
      <c r="U320" s="98"/>
    </row>
    <row r="321" spans="1:21" ht="36">
      <c r="A321" s="94"/>
      <c r="B321" s="94"/>
      <c r="C321" s="106"/>
      <c r="D321" s="106"/>
      <c r="E321" s="106"/>
      <c r="F321" s="106"/>
      <c r="G321" s="107"/>
      <c r="H321" s="91"/>
      <c r="J321" s="94" t="s">
        <v>1441</v>
      </c>
      <c r="K321" s="95" t="s">
        <v>1442</v>
      </c>
      <c r="L321" s="96"/>
      <c r="M321" s="96"/>
      <c r="N321" s="96"/>
      <c r="O321" s="96"/>
      <c r="P321" s="97"/>
      <c r="Q321" s="97"/>
      <c r="R321" s="97"/>
      <c r="S321" s="97"/>
      <c r="T321" s="99"/>
      <c r="U321" s="98"/>
    </row>
    <row r="322" spans="1:21">
      <c r="A322" s="94"/>
      <c r="B322" s="94"/>
      <c r="C322" s="106"/>
      <c r="D322" s="106"/>
      <c r="E322" s="106"/>
      <c r="F322" s="106"/>
      <c r="G322" s="107"/>
      <c r="H322" s="91"/>
      <c r="J322" s="94" t="s">
        <v>1163</v>
      </c>
      <c r="K322" s="108" t="s">
        <v>1164</v>
      </c>
      <c r="L322" s="96"/>
      <c r="M322" s="96"/>
      <c r="N322" s="96"/>
      <c r="O322" s="96"/>
      <c r="P322" s="97"/>
      <c r="Q322" s="97"/>
      <c r="R322" s="97"/>
      <c r="S322" s="97"/>
      <c r="T322" s="99"/>
      <c r="U322" s="98"/>
    </row>
    <row r="323" spans="1:21">
      <c r="A323" s="94"/>
      <c r="B323" s="94"/>
      <c r="C323" s="106"/>
      <c r="D323" s="106"/>
      <c r="E323" s="106"/>
      <c r="F323" s="106"/>
      <c r="G323" s="107"/>
      <c r="H323" s="91"/>
      <c r="J323" s="94" t="s">
        <v>1443</v>
      </c>
      <c r="K323" s="108" t="s">
        <v>1444</v>
      </c>
      <c r="L323" s="96"/>
      <c r="M323" s="96"/>
      <c r="N323" s="96"/>
      <c r="O323" s="96"/>
      <c r="P323" s="97"/>
      <c r="Q323" s="97"/>
      <c r="R323" s="97"/>
      <c r="S323" s="97"/>
      <c r="T323" s="99"/>
      <c r="U323" s="98"/>
    </row>
  </sheetData>
  <mergeCells count="10">
    <mergeCell ref="J1:T1"/>
    <mergeCell ref="J2:T2"/>
    <mergeCell ref="J135:T136"/>
    <mergeCell ref="J228:T229"/>
    <mergeCell ref="J277:T278"/>
    <mergeCell ref="A2:H2"/>
    <mergeCell ref="A1:H1"/>
    <mergeCell ref="A222:H223"/>
    <mergeCell ref="A180:H181"/>
    <mergeCell ref="A106:H107"/>
  </mergeCells>
  <phoneticPr fontId="89" type="noConversion"/>
  <dataValidations count="1">
    <dataValidation type="list" allowBlank="1" showInputMessage="1" showErrorMessage="1" sqref="C109:F179 C225:F320 C183:F221" xr:uid="{00000000-0002-0000-0200-000000000000}">
      <formula1>"S,A+,A,B+,B,C+,C,D+,D,?,"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下半S组纯夸感想"/>
  <dimension ref="A1:L122"/>
  <sheetViews>
    <sheetView workbookViewId="0"/>
  </sheetViews>
  <sheetFormatPr baseColWidth="10" defaultColWidth="13.7109375" defaultRowHeight="18" customHeight="1"/>
  <cols>
    <col min="1" max="1" width="10.7109375" customWidth="1"/>
    <col min="2" max="2" width="42.7109375" customWidth="1"/>
    <col min="3" max="3" width="10.7109375" customWidth="1"/>
    <col min="4" max="4" width="70.28515625" customWidth="1"/>
    <col min="5" max="9" width="10.7109375" customWidth="1"/>
  </cols>
  <sheetData>
    <row r="1" spans="1:11">
      <c r="A1" s="572" t="s">
        <v>1884</v>
      </c>
      <c r="B1" s="571"/>
      <c r="C1" s="571"/>
      <c r="D1" s="571"/>
      <c r="E1" s="575" t="s">
        <v>1885</v>
      </c>
      <c r="F1" s="571"/>
      <c r="G1" s="571"/>
      <c r="H1" s="571"/>
      <c r="I1" s="110"/>
    </row>
    <row r="2" spans="1:11">
      <c r="A2" s="571"/>
      <c r="B2" s="571"/>
      <c r="C2" s="571"/>
      <c r="D2" s="571"/>
      <c r="E2" s="576"/>
      <c r="F2" s="577"/>
      <c r="G2" s="577"/>
      <c r="H2" s="578"/>
      <c r="I2" s="110"/>
    </row>
    <row r="3" spans="1:11">
      <c r="A3" s="570" t="s">
        <v>1394</v>
      </c>
      <c r="B3" s="571"/>
      <c r="C3" s="571"/>
      <c r="D3" s="571"/>
      <c r="E3" s="571"/>
      <c r="F3" s="571"/>
      <c r="G3" s="571"/>
      <c r="H3" s="571"/>
      <c r="I3" s="110"/>
    </row>
    <row r="4" spans="1:11">
      <c r="A4" s="571"/>
      <c r="B4" s="571"/>
      <c r="C4" s="571"/>
      <c r="D4" s="571"/>
      <c r="E4" s="571"/>
      <c r="F4" s="571"/>
      <c r="G4" s="571"/>
      <c r="H4" s="571"/>
      <c r="I4" s="110"/>
    </row>
    <row r="5" spans="1:11">
      <c r="A5" s="111" t="s">
        <v>4</v>
      </c>
      <c r="B5" s="108" t="s">
        <v>5</v>
      </c>
      <c r="C5" s="112" t="s">
        <v>1886</v>
      </c>
      <c r="D5" s="113" t="s">
        <v>1887</v>
      </c>
      <c r="E5" s="110"/>
      <c r="F5" s="110"/>
      <c r="G5" s="110"/>
      <c r="H5" s="110"/>
      <c r="I5" s="110"/>
    </row>
    <row r="6" spans="1:11" ht="16.5" customHeight="1">
      <c r="A6" s="111" t="s">
        <v>1395</v>
      </c>
      <c r="B6" s="111" t="s">
        <v>1396</v>
      </c>
      <c r="C6" s="114"/>
      <c r="D6" s="109" t="s">
        <v>5248</v>
      </c>
      <c r="E6" s="110"/>
      <c r="I6" s="573" t="s">
        <v>1888</v>
      </c>
      <c r="J6" s="574"/>
      <c r="K6" s="574"/>
    </row>
    <row r="7" spans="1:11">
      <c r="A7" s="111" t="s">
        <v>1221</v>
      </c>
      <c r="B7" s="111" t="s">
        <v>1222</v>
      </c>
      <c r="C7" s="114"/>
      <c r="D7" s="109" t="s">
        <v>1889</v>
      </c>
      <c r="E7" s="110"/>
      <c r="I7" s="574"/>
      <c r="J7" s="574"/>
      <c r="K7" s="574"/>
    </row>
    <row r="8" spans="1:11">
      <c r="A8" s="111" t="s">
        <v>1235</v>
      </c>
      <c r="B8" s="111" t="s">
        <v>1236</v>
      </c>
      <c r="C8" s="115"/>
      <c r="D8" s="109" t="s">
        <v>1890</v>
      </c>
      <c r="E8" s="116" t="s">
        <v>1891</v>
      </c>
      <c r="I8" s="574"/>
      <c r="J8" s="574"/>
      <c r="K8" s="574"/>
    </row>
    <row r="9" spans="1:11">
      <c r="A9" s="111" t="s">
        <v>1397</v>
      </c>
      <c r="B9" s="111" t="s">
        <v>1398</v>
      </c>
      <c r="C9" s="114"/>
      <c r="D9" s="109" t="s">
        <v>5249</v>
      </c>
      <c r="E9" s="110"/>
      <c r="I9" s="574"/>
      <c r="J9" s="574"/>
      <c r="K9" s="574"/>
    </row>
    <row r="10" spans="1:11">
      <c r="A10" s="111" t="s">
        <v>1106</v>
      </c>
      <c r="B10" s="111" t="s">
        <v>1107</v>
      </c>
      <c r="C10" s="114"/>
      <c r="D10" s="109" t="s">
        <v>1892</v>
      </c>
      <c r="E10" s="110"/>
      <c r="I10" s="574"/>
      <c r="J10" s="574"/>
      <c r="K10" s="574"/>
    </row>
    <row r="11" spans="1:11">
      <c r="A11" s="111" t="s">
        <v>1399</v>
      </c>
      <c r="B11" s="111" t="s">
        <v>1400</v>
      </c>
      <c r="C11" s="114"/>
      <c r="D11" s="109" t="s">
        <v>1893</v>
      </c>
      <c r="E11" s="110"/>
      <c r="I11" s="574"/>
      <c r="J11" s="574"/>
      <c r="K11" s="574"/>
    </row>
    <row r="12" spans="1:11">
      <c r="A12" s="111" t="s">
        <v>1135</v>
      </c>
      <c r="B12" s="111" t="s">
        <v>1136</v>
      </c>
      <c r="C12" s="115"/>
      <c r="D12" s="109" t="s">
        <v>1894</v>
      </c>
      <c r="E12" s="117" t="s">
        <v>1895</v>
      </c>
      <c r="I12" s="574"/>
      <c r="J12" s="574"/>
      <c r="K12" s="574"/>
    </row>
    <row r="13" spans="1:11">
      <c r="A13" s="111" t="s">
        <v>1401</v>
      </c>
      <c r="B13" s="111" t="s">
        <v>1402</v>
      </c>
      <c r="C13" s="114"/>
      <c r="D13" s="109" t="s">
        <v>1896</v>
      </c>
      <c r="E13" s="110"/>
      <c r="I13" s="574"/>
      <c r="J13" s="574"/>
      <c r="K13" s="574"/>
    </row>
    <row r="14" spans="1:11">
      <c r="A14" s="111" t="s">
        <v>1403</v>
      </c>
      <c r="B14" s="111" t="s">
        <v>1404</v>
      </c>
      <c r="C14" s="115"/>
      <c r="D14" s="109" t="s">
        <v>1897</v>
      </c>
      <c r="E14" s="117" t="s">
        <v>1898</v>
      </c>
      <c r="I14" s="574"/>
      <c r="J14" s="574"/>
      <c r="K14" s="574"/>
    </row>
    <row r="15" spans="1:11">
      <c r="A15" s="111" t="s">
        <v>1405</v>
      </c>
      <c r="B15" s="111" t="s">
        <v>1406</v>
      </c>
      <c r="C15" s="114"/>
      <c r="D15" s="109" t="s">
        <v>1899</v>
      </c>
      <c r="E15" s="110"/>
      <c r="F15" s="110"/>
      <c r="G15" s="110"/>
      <c r="H15" s="110"/>
      <c r="I15" s="110"/>
    </row>
    <row r="16" spans="1:11">
      <c r="A16" s="111" t="s">
        <v>1407</v>
      </c>
      <c r="B16" s="111" t="s">
        <v>1408</v>
      </c>
      <c r="C16" s="115"/>
      <c r="D16" s="109" t="s">
        <v>1900</v>
      </c>
      <c r="E16" s="110"/>
      <c r="I16" s="572" t="s">
        <v>1901</v>
      </c>
      <c r="J16" s="571"/>
      <c r="K16" s="571"/>
    </row>
    <row r="17" spans="1:12">
      <c r="A17" s="111" t="s">
        <v>1153</v>
      </c>
      <c r="B17" s="111" t="s">
        <v>1154</v>
      </c>
      <c r="C17" s="114"/>
      <c r="D17" s="109" t="s">
        <v>1902</v>
      </c>
      <c r="E17" s="118" t="s">
        <v>1903</v>
      </c>
      <c r="F17" s="110"/>
      <c r="G17" s="110"/>
      <c r="H17" s="110"/>
      <c r="I17" s="110"/>
    </row>
    <row r="18" spans="1:12">
      <c r="A18" s="111" t="s">
        <v>1409</v>
      </c>
      <c r="B18" s="111">
        <v>7</v>
      </c>
      <c r="C18" s="114"/>
      <c r="D18" s="109" t="s">
        <v>1904</v>
      </c>
      <c r="E18" s="110"/>
      <c r="F18" s="110"/>
      <c r="G18" s="110"/>
      <c r="H18" s="110"/>
      <c r="I18" s="110"/>
    </row>
    <row r="19" spans="1:12">
      <c r="A19" s="111" t="s">
        <v>1186</v>
      </c>
      <c r="B19" s="111" t="s">
        <v>1187</v>
      </c>
      <c r="C19" s="114"/>
      <c r="D19" s="109" t="s">
        <v>5250</v>
      </c>
      <c r="E19" s="118" t="s">
        <v>1905</v>
      </c>
      <c r="F19" s="110"/>
      <c r="G19" s="110"/>
      <c r="H19" s="110"/>
      <c r="I19" s="110"/>
    </row>
    <row r="20" spans="1:12">
      <c r="A20" s="111" t="s">
        <v>1044</v>
      </c>
      <c r="B20" s="111" t="s">
        <v>1410</v>
      </c>
      <c r="C20" s="114"/>
      <c r="D20" s="109" t="s">
        <v>1906</v>
      </c>
      <c r="E20" s="118" t="s">
        <v>1907</v>
      </c>
    </row>
    <row r="21" spans="1:12">
      <c r="A21" s="111" t="s">
        <v>1411</v>
      </c>
      <c r="B21" s="111" t="s">
        <v>1412</v>
      </c>
      <c r="C21" s="114"/>
      <c r="D21" s="109" t="s">
        <v>1908</v>
      </c>
      <c r="E21" s="110"/>
      <c r="F21" s="110"/>
      <c r="G21" s="110"/>
      <c r="H21" s="110"/>
      <c r="I21" s="110"/>
    </row>
    <row r="22" spans="1:12">
      <c r="A22" s="111" t="s">
        <v>1173</v>
      </c>
      <c r="B22" s="111" t="s">
        <v>1174</v>
      </c>
      <c r="C22" s="114"/>
      <c r="D22" s="109" t="s">
        <v>1909</v>
      </c>
      <c r="E22" s="119" t="s">
        <v>1910</v>
      </c>
    </row>
    <row r="23" spans="1:12">
      <c r="A23" s="111" t="s">
        <v>1413</v>
      </c>
      <c r="B23" s="111" t="s">
        <v>1414</v>
      </c>
      <c r="C23" s="114"/>
      <c r="D23" s="109" t="s">
        <v>1911</v>
      </c>
      <c r="E23" s="110"/>
      <c r="F23" s="110"/>
      <c r="G23" s="110"/>
      <c r="H23" s="110"/>
      <c r="I23" s="110"/>
    </row>
    <row r="24" spans="1:12">
      <c r="A24" s="111" t="s">
        <v>1415</v>
      </c>
      <c r="B24" s="111" t="s">
        <v>1416</v>
      </c>
      <c r="C24" s="114"/>
      <c r="D24" s="109" t="s">
        <v>5251</v>
      </c>
      <c r="E24" s="110"/>
      <c r="F24" s="110"/>
      <c r="G24" s="110"/>
      <c r="H24" s="110"/>
      <c r="I24" s="110"/>
    </row>
    <row r="25" spans="1:12">
      <c r="A25" s="111" t="s">
        <v>1068</v>
      </c>
      <c r="B25" s="111" t="s">
        <v>726</v>
      </c>
      <c r="C25" s="114"/>
      <c r="D25" s="109" t="s">
        <v>1912</v>
      </c>
      <c r="E25" s="110"/>
      <c r="F25" s="110"/>
      <c r="G25" s="110"/>
      <c r="H25" s="110"/>
      <c r="I25" s="110"/>
    </row>
    <row r="26" spans="1:12">
      <c r="A26" s="111" t="s">
        <v>1417</v>
      </c>
      <c r="B26" s="111" t="s">
        <v>1418</v>
      </c>
      <c r="C26" s="114"/>
      <c r="D26" s="109" t="s">
        <v>1913</v>
      </c>
      <c r="E26" s="110"/>
      <c r="F26" s="110"/>
      <c r="G26" s="110"/>
      <c r="H26" s="110"/>
      <c r="I26" s="110"/>
    </row>
    <row r="27" spans="1:12">
      <c r="A27" s="111" t="s">
        <v>1419</v>
      </c>
      <c r="B27" s="111" t="s">
        <v>1420</v>
      </c>
      <c r="C27" s="114"/>
      <c r="D27" s="109" t="s">
        <v>1914</v>
      </c>
      <c r="E27" s="118"/>
      <c r="F27" s="110"/>
      <c r="G27" s="110"/>
      <c r="H27" s="110"/>
      <c r="I27" s="110"/>
    </row>
    <row r="28" spans="1:12">
      <c r="A28" s="111" t="s">
        <v>1421</v>
      </c>
      <c r="B28" s="111" t="s">
        <v>1422</v>
      </c>
      <c r="C28" s="115"/>
      <c r="D28" s="109" t="s">
        <v>1915</v>
      </c>
      <c r="E28" s="110"/>
      <c r="F28" s="110"/>
      <c r="G28" s="110"/>
      <c r="H28" s="110"/>
      <c r="I28" s="110"/>
    </row>
    <row r="29" spans="1:12">
      <c r="A29" s="111" t="s">
        <v>1051</v>
      </c>
      <c r="B29" s="111" t="s">
        <v>1052</v>
      </c>
      <c r="C29" s="114"/>
      <c r="D29" s="109" t="s">
        <v>1916</v>
      </c>
      <c r="E29" s="118" t="s">
        <v>1917</v>
      </c>
      <c r="F29" s="110"/>
      <c r="G29" s="110"/>
      <c r="H29" s="110"/>
      <c r="I29" s="110"/>
    </row>
    <row r="30" spans="1:12">
      <c r="A30" s="111" t="s">
        <v>1062</v>
      </c>
      <c r="B30" s="111" t="s">
        <v>1063</v>
      </c>
      <c r="C30" s="114"/>
      <c r="D30" s="109" t="s">
        <v>1918</v>
      </c>
      <c r="E30" s="110"/>
      <c r="F30" s="110"/>
      <c r="G30" s="110"/>
      <c r="H30" s="110"/>
      <c r="I30" s="110"/>
    </row>
    <row r="31" spans="1:12">
      <c r="A31" s="111" t="s">
        <v>1423</v>
      </c>
      <c r="B31" s="111" t="s">
        <v>1424</v>
      </c>
      <c r="C31" s="114"/>
      <c r="D31" s="109" t="s">
        <v>1919</v>
      </c>
      <c r="E31" s="110" t="s">
        <v>1920</v>
      </c>
      <c r="F31" s="117" t="s">
        <v>1921</v>
      </c>
      <c r="G31" s="110"/>
      <c r="H31" s="110"/>
      <c r="I31" s="110"/>
      <c r="L31" t="s">
        <v>1922</v>
      </c>
    </row>
    <row r="32" spans="1:12">
      <c r="A32" s="111" t="s">
        <v>1425</v>
      </c>
      <c r="B32" s="111" t="s">
        <v>1426</v>
      </c>
      <c r="C32" s="114"/>
      <c r="D32" s="109" t="s">
        <v>1923</v>
      </c>
      <c r="E32" s="110"/>
      <c r="F32" s="110"/>
      <c r="G32" s="110"/>
      <c r="H32" s="110"/>
      <c r="I32" s="110"/>
    </row>
    <row r="33" spans="1:9">
      <c r="A33" s="111" t="s">
        <v>1195</v>
      </c>
      <c r="B33" s="111" t="s">
        <v>1196</v>
      </c>
      <c r="C33" s="114"/>
      <c r="D33" s="109" t="s">
        <v>1924</v>
      </c>
      <c r="E33" s="110"/>
      <c r="F33" s="110"/>
      <c r="G33" s="110"/>
      <c r="H33" s="110"/>
      <c r="I33" s="110"/>
    </row>
    <row r="34" spans="1:9">
      <c r="A34" s="111" t="s">
        <v>1427</v>
      </c>
      <c r="B34" s="111" t="s">
        <v>1428</v>
      </c>
      <c r="C34" s="114"/>
      <c r="D34" s="109" t="s">
        <v>1925</v>
      </c>
      <c r="E34" s="110"/>
      <c r="F34" s="110"/>
      <c r="G34" s="110"/>
      <c r="H34" s="110"/>
      <c r="I34" s="110"/>
    </row>
    <row r="35" spans="1:9">
      <c r="A35" s="111" t="s">
        <v>1073</v>
      </c>
      <c r="B35" s="111" t="s">
        <v>1074</v>
      </c>
      <c r="C35" s="114"/>
      <c r="D35" s="109" t="s">
        <v>1926</v>
      </c>
      <c r="E35" s="110"/>
      <c r="F35" s="110"/>
      <c r="G35" s="110"/>
      <c r="H35" s="110"/>
      <c r="I35" s="110"/>
    </row>
    <row r="36" spans="1:9">
      <c r="A36" s="111" t="s">
        <v>1429</v>
      </c>
      <c r="B36" s="111" t="s">
        <v>1430</v>
      </c>
      <c r="C36" s="114"/>
      <c r="D36" s="109" t="s">
        <v>5252</v>
      </c>
      <c r="E36" s="110"/>
      <c r="F36" s="110"/>
      <c r="G36" s="110"/>
      <c r="H36" s="110"/>
      <c r="I36" s="110"/>
    </row>
    <row r="37" spans="1:9">
      <c r="A37" s="111" t="s">
        <v>1190</v>
      </c>
      <c r="B37" s="111" t="s">
        <v>1191</v>
      </c>
      <c r="C37" s="115"/>
      <c r="D37" s="109" t="s">
        <v>1927</v>
      </c>
      <c r="E37" s="110"/>
      <c r="F37" s="110"/>
      <c r="G37" s="110"/>
      <c r="H37" s="110"/>
      <c r="I37" s="110"/>
    </row>
    <row r="38" spans="1:9">
      <c r="A38" s="111" t="s">
        <v>1147</v>
      </c>
      <c r="B38" s="111" t="s">
        <v>1148</v>
      </c>
      <c r="C38" s="115"/>
      <c r="D38" s="109" t="s">
        <v>1928</v>
      </c>
      <c r="E38" s="116" t="s">
        <v>1929</v>
      </c>
    </row>
    <row r="39" spans="1:9">
      <c r="A39" s="111" t="s">
        <v>1121</v>
      </c>
      <c r="B39" s="111" t="s">
        <v>1122</v>
      </c>
      <c r="C39" s="114"/>
      <c r="D39" s="109" t="s">
        <v>1930</v>
      </c>
      <c r="E39" s="110"/>
      <c r="F39" s="110"/>
      <c r="G39" s="110"/>
      <c r="H39" s="110"/>
      <c r="I39" s="110"/>
    </row>
    <row r="40" spans="1:9">
      <c r="A40" s="111" t="s">
        <v>1431</v>
      </c>
      <c r="B40" s="111" t="s">
        <v>1432</v>
      </c>
      <c r="C40" s="114"/>
      <c r="D40" s="109" t="s">
        <v>1931</v>
      </c>
      <c r="E40" s="110"/>
      <c r="F40" s="110"/>
      <c r="G40" s="110"/>
      <c r="H40" s="110"/>
      <c r="I40" s="110"/>
    </row>
    <row r="41" spans="1:9">
      <c r="A41" s="111" t="s">
        <v>1433</v>
      </c>
      <c r="B41" s="111" t="s">
        <v>1434</v>
      </c>
      <c r="C41" s="114"/>
      <c r="D41" s="109" t="s">
        <v>1932</v>
      </c>
      <c r="E41" s="110"/>
      <c r="F41" s="110"/>
      <c r="G41" s="110"/>
      <c r="H41" s="110"/>
      <c r="I41" s="110"/>
    </row>
    <row r="42" spans="1:9">
      <c r="A42" s="111" t="s">
        <v>1435</v>
      </c>
      <c r="B42" s="111" t="s">
        <v>1933</v>
      </c>
      <c r="C42" s="114"/>
      <c r="D42" s="109" t="s">
        <v>1934</v>
      </c>
      <c r="E42" s="110"/>
      <c r="F42" s="110"/>
      <c r="G42" s="110"/>
      <c r="H42" s="110"/>
      <c r="I42" s="110"/>
    </row>
    <row r="43" spans="1:9">
      <c r="A43" s="111" t="s">
        <v>1437</v>
      </c>
      <c r="B43" s="111" t="s">
        <v>1438</v>
      </c>
      <c r="C43" s="114"/>
      <c r="D43" s="109" t="s">
        <v>1935</v>
      </c>
      <c r="E43" s="110"/>
      <c r="F43" s="110"/>
      <c r="G43" s="110"/>
      <c r="H43" s="110"/>
      <c r="I43" s="110"/>
    </row>
    <row r="44" spans="1:9">
      <c r="A44" s="111" t="s">
        <v>1206</v>
      </c>
      <c r="B44" s="111" t="s">
        <v>1207</v>
      </c>
      <c r="C44" s="114"/>
      <c r="D44" s="109" t="s">
        <v>1936</v>
      </c>
      <c r="E44" s="118" t="s">
        <v>1937</v>
      </c>
      <c r="F44" s="110"/>
      <c r="G44" s="110"/>
      <c r="H44" s="110"/>
      <c r="I44" s="110"/>
    </row>
    <row r="45" spans="1:9">
      <c r="A45" s="111" t="s">
        <v>1439</v>
      </c>
      <c r="B45" s="111" t="s">
        <v>1440</v>
      </c>
      <c r="C45" s="115"/>
      <c r="D45" s="109" t="s">
        <v>5253</v>
      </c>
      <c r="E45" s="110"/>
      <c r="F45" s="110"/>
      <c r="G45" s="110"/>
      <c r="H45" s="110"/>
      <c r="I45" s="110"/>
    </row>
    <row r="46" spans="1:9">
      <c r="A46" s="111" t="s">
        <v>1228</v>
      </c>
      <c r="B46" s="111" t="s">
        <v>1229</v>
      </c>
      <c r="C46" s="114"/>
      <c r="D46" s="109" t="s">
        <v>1938</v>
      </c>
      <c r="E46" s="110"/>
      <c r="F46" s="110"/>
      <c r="G46" s="110"/>
      <c r="H46" s="110"/>
      <c r="I46" s="110"/>
    </row>
    <row r="47" spans="1:9">
      <c r="A47" s="111" t="s">
        <v>1441</v>
      </c>
      <c r="B47" s="111" t="s">
        <v>1442</v>
      </c>
      <c r="C47" s="114"/>
      <c r="D47" s="109" t="s">
        <v>1939</v>
      </c>
      <c r="E47" s="110"/>
      <c r="F47" s="110"/>
      <c r="G47" s="110"/>
      <c r="H47" s="110"/>
      <c r="I47" s="110"/>
    </row>
    <row r="48" spans="1:9">
      <c r="A48" s="111" t="s">
        <v>1163</v>
      </c>
      <c r="B48" s="111" t="s">
        <v>1164</v>
      </c>
      <c r="C48" s="114"/>
      <c r="D48" s="109" t="s">
        <v>1940</v>
      </c>
      <c r="E48" s="120" t="s">
        <v>1941</v>
      </c>
      <c r="H48" s="110"/>
      <c r="I48" s="110"/>
    </row>
    <row r="49" spans="1:9">
      <c r="A49" s="111" t="s">
        <v>1443</v>
      </c>
      <c r="B49" s="111" t="s">
        <v>1444</v>
      </c>
      <c r="C49" s="114"/>
      <c r="D49" s="109" t="s">
        <v>5254</v>
      </c>
      <c r="E49" s="110"/>
      <c r="F49" s="110"/>
      <c r="G49" s="110"/>
      <c r="H49" s="110"/>
      <c r="I49" s="110"/>
    </row>
    <row r="50" spans="1:9">
      <c r="A50" s="570" t="s">
        <v>1270</v>
      </c>
      <c r="B50" s="571"/>
      <c r="C50" s="571"/>
      <c r="D50" s="571"/>
      <c r="E50" s="571"/>
      <c r="F50" s="571"/>
      <c r="G50" s="571"/>
      <c r="H50" s="571"/>
      <c r="I50" s="571"/>
    </row>
    <row r="51" spans="1:9" ht="18" customHeight="1">
      <c r="A51" s="571"/>
      <c r="B51" s="571"/>
      <c r="C51" s="571"/>
      <c r="D51" s="571"/>
      <c r="E51" s="571"/>
      <c r="F51" s="571"/>
      <c r="G51" s="571"/>
      <c r="H51" s="571"/>
      <c r="I51" s="571"/>
    </row>
    <row r="52" spans="1:9">
      <c r="A52" s="111" t="s">
        <v>4</v>
      </c>
      <c r="B52" s="108" t="s">
        <v>5</v>
      </c>
      <c r="C52" s="121" t="s">
        <v>1942</v>
      </c>
      <c r="D52" s="121" t="s">
        <v>1887</v>
      </c>
      <c r="E52" s="110"/>
      <c r="F52" s="110"/>
      <c r="G52" s="110"/>
      <c r="H52" s="110"/>
      <c r="I52" s="121" t="s">
        <v>12</v>
      </c>
    </row>
    <row r="53" spans="1:9">
      <c r="A53" s="111" t="s">
        <v>1276</v>
      </c>
      <c r="B53" s="111" t="s">
        <v>1277</v>
      </c>
      <c r="C53" s="114" t="s">
        <v>1943</v>
      </c>
      <c r="D53" s="109" t="s">
        <v>1944</v>
      </c>
      <c r="E53" s="110"/>
      <c r="F53" s="110"/>
      <c r="G53" s="110"/>
      <c r="H53" s="110"/>
      <c r="I53" s="110"/>
    </row>
    <row r="54" spans="1:9">
      <c r="A54" s="111" t="s">
        <v>1280</v>
      </c>
      <c r="B54" s="111" t="s">
        <v>1281</v>
      </c>
      <c r="C54" s="114" t="s">
        <v>1945</v>
      </c>
      <c r="D54" s="109" t="s">
        <v>5255</v>
      </c>
      <c r="E54" s="110"/>
      <c r="F54" s="110"/>
      <c r="G54" s="110"/>
      <c r="H54" s="110"/>
      <c r="I54" s="110"/>
    </row>
    <row r="55" spans="1:9">
      <c r="A55" s="111" t="s">
        <v>893</v>
      </c>
      <c r="B55" s="111" t="s">
        <v>894</v>
      </c>
      <c r="C55" s="114" t="s">
        <v>1946</v>
      </c>
      <c r="D55" s="109" t="s">
        <v>1947</v>
      </c>
      <c r="E55" s="110"/>
      <c r="F55" s="110"/>
      <c r="G55" s="110"/>
      <c r="H55" s="110"/>
      <c r="I55" s="110"/>
    </row>
    <row r="56" spans="1:9">
      <c r="A56" s="111" t="s">
        <v>1286</v>
      </c>
      <c r="B56" s="111" t="s">
        <v>1287</v>
      </c>
      <c r="C56" s="114" t="s">
        <v>1948</v>
      </c>
      <c r="D56" s="109" t="s">
        <v>1949</v>
      </c>
      <c r="E56" s="110"/>
      <c r="F56" s="110"/>
      <c r="G56" s="110"/>
      <c r="H56" s="110"/>
      <c r="I56" s="110"/>
    </row>
    <row r="57" spans="1:9">
      <c r="A57" s="111" t="s">
        <v>1289</v>
      </c>
      <c r="B57" s="111" t="s">
        <v>598</v>
      </c>
      <c r="C57" s="114" t="s">
        <v>1950</v>
      </c>
      <c r="D57" s="109" t="s">
        <v>1951</v>
      </c>
      <c r="E57" s="110"/>
      <c r="F57" s="110"/>
      <c r="G57" s="110"/>
      <c r="H57" s="110"/>
      <c r="I57" s="110"/>
    </row>
    <row r="58" spans="1:9">
      <c r="A58" s="111" t="s">
        <v>955</v>
      </c>
      <c r="B58" s="111" t="s">
        <v>1291</v>
      </c>
      <c r="C58" s="114" t="s">
        <v>1952</v>
      </c>
      <c r="D58" s="109" t="s">
        <v>1953</v>
      </c>
      <c r="E58" s="110"/>
      <c r="F58" s="110"/>
      <c r="G58" s="110"/>
      <c r="H58" s="110"/>
      <c r="I58" s="110"/>
    </row>
    <row r="59" spans="1:9">
      <c r="A59" s="111" t="s">
        <v>936</v>
      </c>
      <c r="B59" s="111" t="s">
        <v>33</v>
      </c>
      <c r="C59" s="114" t="s">
        <v>1952</v>
      </c>
      <c r="D59" s="109" t="s">
        <v>1954</v>
      </c>
      <c r="E59" s="110"/>
      <c r="F59" s="110"/>
      <c r="G59" s="110"/>
      <c r="H59" s="110"/>
      <c r="I59" s="110"/>
    </row>
    <row r="60" spans="1:9">
      <c r="A60" s="111" t="s">
        <v>1296</v>
      </c>
      <c r="B60" s="111" t="s">
        <v>501</v>
      </c>
      <c r="C60" s="114" t="s">
        <v>1943</v>
      </c>
      <c r="D60" s="109" t="s">
        <v>1955</v>
      </c>
      <c r="E60" s="110"/>
      <c r="F60" s="110"/>
      <c r="G60" s="110"/>
      <c r="H60" s="110"/>
      <c r="I60" s="110"/>
    </row>
    <row r="61" spans="1:9">
      <c r="A61" s="111" t="s">
        <v>1299</v>
      </c>
      <c r="B61" s="111" t="s">
        <v>1300</v>
      </c>
      <c r="C61" s="114" t="s">
        <v>1945</v>
      </c>
      <c r="D61" s="109" t="s">
        <v>5256</v>
      </c>
      <c r="E61" s="110"/>
      <c r="F61" s="110"/>
      <c r="G61" s="110"/>
      <c r="H61" s="110"/>
      <c r="I61" s="110"/>
    </row>
    <row r="62" spans="1:9">
      <c r="A62" s="111" t="s">
        <v>1303</v>
      </c>
      <c r="B62" s="111" t="s">
        <v>1304</v>
      </c>
      <c r="C62" s="114" t="s">
        <v>1945</v>
      </c>
      <c r="D62" s="109" t="s">
        <v>1956</v>
      </c>
      <c r="E62" s="110"/>
      <c r="F62" s="110"/>
      <c r="G62" s="110"/>
      <c r="H62" s="110"/>
      <c r="I62" s="110"/>
    </row>
    <row r="63" spans="1:9">
      <c r="A63" s="111" t="s">
        <v>948</v>
      </c>
      <c r="B63" s="111" t="s">
        <v>949</v>
      </c>
      <c r="C63" s="114" t="s">
        <v>1948</v>
      </c>
      <c r="D63" s="109" t="s">
        <v>5257</v>
      </c>
      <c r="E63" s="122" t="s">
        <v>1957</v>
      </c>
      <c r="G63" s="110"/>
      <c r="H63" s="110"/>
      <c r="I63" s="110"/>
    </row>
    <row r="64" spans="1:9">
      <c r="A64" s="111" t="s">
        <v>1309</v>
      </c>
      <c r="B64" s="111" t="s">
        <v>291</v>
      </c>
      <c r="C64" s="114" t="s">
        <v>1945</v>
      </c>
      <c r="D64" s="109" t="s">
        <v>1958</v>
      </c>
      <c r="E64" s="110"/>
      <c r="F64" s="110"/>
      <c r="G64" s="110"/>
      <c r="H64" s="110"/>
      <c r="I64" s="110"/>
    </row>
    <row r="65" spans="1:9">
      <c r="A65" s="111" t="s">
        <v>1311</v>
      </c>
      <c r="B65" s="111" t="s">
        <v>1312</v>
      </c>
      <c r="C65" s="114" t="s">
        <v>1943</v>
      </c>
      <c r="D65" s="109" t="s">
        <v>1959</v>
      </c>
      <c r="E65" s="110"/>
      <c r="F65" s="110"/>
      <c r="G65" s="110"/>
      <c r="H65" s="110"/>
      <c r="I65" s="110"/>
    </row>
    <row r="66" spans="1:9">
      <c r="A66" s="111" t="s">
        <v>1021</v>
      </c>
      <c r="B66" s="111" t="s">
        <v>1022</v>
      </c>
      <c r="C66" s="114" t="s">
        <v>1952</v>
      </c>
      <c r="D66" s="109" t="s">
        <v>1960</v>
      </c>
      <c r="E66" s="122" t="s">
        <v>1961</v>
      </c>
      <c r="I66" s="110"/>
    </row>
    <row r="67" spans="1:9">
      <c r="A67" s="111" t="s">
        <v>1317</v>
      </c>
      <c r="B67" s="111" t="s">
        <v>1318</v>
      </c>
      <c r="C67" s="114" t="s">
        <v>1945</v>
      </c>
      <c r="D67" s="109" t="s">
        <v>5258</v>
      </c>
      <c r="E67" s="122" t="s">
        <v>1962</v>
      </c>
      <c r="H67" s="110"/>
      <c r="I67" s="110"/>
    </row>
    <row r="68" spans="1:9">
      <c r="A68" s="111" t="s">
        <v>1321</v>
      </c>
      <c r="B68" s="111" t="s">
        <v>1322</v>
      </c>
      <c r="C68" s="114" t="s">
        <v>1554</v>
      </c>
      <c r="D68" s="109" t="s">
        <v>1963</v>
      </c>
      <c r="E68" s="110"/>
      <c r="F68" s="110"/>
      <c r="G68" s="110"/>
      <c r="H68" s="110"/>
      <c r="I68" s="110"/>
    </row>
    <row r="69" spans="1:9">
      <c r="A69" s="111" t="s">
        <v>1000</v>
      </c>
      <c r="B69" s="111" t="s">
        <v>1001</v>
      </c>
      <c r="C69" s="114" t="s">
        <v>1946</v>
      </c>
      <c r="D69" s="109" t="s">
        <v>1964</v>
      </c>
      <c r="E69" s="110"/>
      <c r="F69" s="110"/>
      <c r="G69" s="110"/>
      <c r="H69" s="110"/>
      <c r="I69" s="110"/>
    </row>
    <row r="70" spans="1:9">
      <c r="A70" s="111" t="s">
        <v>1325</v>
      </c>
      <c r="B70" s="111" t="s">
        <v>1326</v>
      </c>
      <c r="C70" s="114" t="s">
        <v>1943</v>
      </c>
      <c r="D70" s="109" t="s">
        <v>1965</v>
      </c>
      <c r="E70" s="110"/>
      <c r="F70" s="110"/>
      <c r="G70" s="110"/>
      <c r="H70" s="110"/>
      <c r="I70" s="110"/>
    </row>
    <row r="71" spans="1:9">
      <c r="A71" s="111" t="s">
        <v>1328</v>
      </c>
      <c r="B71" s="111" t="s">
        <v>1329</v>
      </c>
      <c r="C71" s="114" t="s">
        <v>1966</v>
      </c>
      <c r="D71" s="109" t="s">
        <v>1967</v>
      </c>
      <c r="E71" s="110"/>
      <c r="F71" s="110"/>
      <c r="G71" s="110"/>
      <c r="H71" s="110"/>
      <c r="I71" s="110"/>
    </row>
    <row r="72" spans="1:9">
      <c r="A72" s="111" t="s">
        <v>988</v>
      </c>
      <c r="B72" s="111" t="s">
        <v>989</v>
      </c>
      <c r="C72" s="114" t="s">
        <v>1952</v>
      </c>
      <c r="D72" s="109" t="s">
        <v>5259</v>
      </c>
      <c r="E72" s="122" t="s">
        <v>1968</v>
      </c>
      <c r="G72" s="110"/>
      <c r="H72" s="110"/>
      <c r="I72" s="110"/>
    </row>
    <row r="73" spans="1:9">
      <c r="A73" s="111" t="s">
        <v>1333</v>
      </c>
      <c r="B73" s="111" t="s">
        <v>1334</v>
      </c>
      <c r="C73" s="114" t="s">
        <v>1943</v>
      </c>
      <c r="D73" s="109" t="s">
        <v>1969</v>
      </c>
      <c r="E73" s="110"/>
      <c r="F73" s="110"/>
      <c r="G73" s="110"/>
      <c r="H73" s="110"/>
      <c r="I73" s="110"/>
    </row>
    <row r="74" spans="1:9">
      <c r="A74" s="111" t="s">
        <v>1337</v>
      </c>
      <c r="B74" s="111" t="s">
        <v>1338</v>
      </c>
      <c r="C74" s="114" t="s">
        <v>1966</v>
      </c>
      <c r="D74" s="109" t="s">
        <v>5260</v>
      </c>
      <c r="E74" s="122" t="s">
        <v>1970</v>
      </c>
    </row>
    <row r="75" spans="1:9">
      <c r="A75" s="111" t="s">
        <v>1341</v>
      </c>
      <c r="B75" s="111" t="s">
        <v>1342</v>
      </c>
      <c r="C75" s="114" t="s">
        <v>1946</v>
      </c>
      <c r="D75" s="109" t="s">
        <v>5261</v>
      </c>
      <c r="E75" s="122" t="s">
        <v>1971</v>
      </c>
      <c r="I75" s="110"/>
    </row>
    <row r="76" spans="1:9">
      <c r="A76" s="111" t="s">
        <v>1344</v>
      </c>
      <c r="B76" s="111" t="s">
        <v>1345</v>
      </c>
      <c r="C76" s="114" t="s">
        <v>1948</v>
      </c>
      <c r="D76" s="109" t="s">
        <v>1972</v>
      </c>
      <c r="E76" s="110"/>
      <c r="F76" s="110"/>
      <c r="G76" s="110"/>
      <c r="H76" s="110"/>
      <c r="I76" s="110"/>
    </row>
    <row r="77" spans="1:9">
      <c r="A77" s="111" t="s">
        <v>1348</v>
      </c>
      <c r="B77" s="111" t="s">
        <v>1349</v>
      </c>
      <c r="C77" s="114" t="s">
        <v>1945</v>
      </c>
      <c r="D77" s="109" t="s">
        <v>1973</v>
      </c>
      <c r="E77" s="122" t="s">
        <v>1974</v>
      </c>
      <c r="I77" s="110"/>
    </row>
    <row r="78" spans="1:9">
      <c r="A78" s="111" t="s">
        <v>927</v>
      </c>
      <c r="B78" s="111" t="s">
        <v>928</v>
      </c>
      <c r="C78" s="114" t="s">
        <v>1966</v>
      </c>
      <c r="D78" s="109" t="s">
        <v>5262</v>
      </c>
      <c r="E78" s="122" t="s">
        <v>1975</v>
      </c>
      <c r="I78" s="110"/>
    </row>
    <row r="79" spans="1:9">
      <c r="A79" s="111" t="s">
        <v>1353</v>
      </c>
      <c r="B79" s="111" t="s">
        <v>1354</v>
      </c>
      <c r="C79" s="114" t="s">
        <v>1943</v>
      </c>
      <c r="D79" s="109" t="s">
        <v>1976</v>
      </c>
      <c r="E79" s="110"/>
      <c r="F79" s="110"/>
      <c r="G79" s="110"/>
      <c r="H79" s="110"/>
      <c r="I79" s="110"/>
    </row>
    <row r="80" spans="1:9">
      <c r="A80" s="111" t="s">
        <v>886</v>
      </c>
      <c r="B80" s="111" t="s">
        <v>887</v>
      </c>
      <c r="C80" s="114" t="s">
        <v>1950</v>
      </c>
      <c r="D80" s="109" t="s">
        <v>5252</v>
      </c>
      <c r="E80" s="110"/>
      <c r="F80" s="110"/>
      <c r="G80" s="110"/>
      <c r="H80" s="110"/>
      <c r="I80" s="110"/>
    </row>
    <row r="81" spans="1:9">
      <c r="A81" s="111" t="s">
        <v>1359</v>
      </c>
      <c r="B81" s="111" t="s">
        <v>1360</v>
      </c>
      <c r="C81" s="114" t="s">
        <v>1945</v>
      </c>
      <c r="D81" s="109" t="s">
        <v>1977</v>
      </c>
      <c r="E81" s="122" t="s">
        <v>1978</v>
      </c>
      <c r="H81" s="110"/>
      <c r="I81" s="110"/>
    </row>
    <row r="82" spans="1:9">
      <c r="A82" s="111" t="s">
        <v>1362</v>
      </c>
      <c r="B82" s="111" t="s">
        <v>1363</v>
      </c>
      <c r="C82" s="114" t="s">
        <v>1554</v>
      </c>
      <c r="D82" s="109" t="s">
        <v>1979</v>
      </c>
      <c r="E82" s="110"/>
      <c r="F82" s="110"/>
      <c r="G82" s="110"/>
      <c r="H82" s="110"/>
      <c r="I82" s="110"/>
    </row>
    <row r="83" spans="1:9">
      <c r="A83" s="111" t="s">
        <v>1365</v>
      </c>
      <c r="B83" s="111" t="s">
        <v>1366</v>
      </c>
      <c r="C83" s="114" t="s">
        <v>1554</v>
      </c>
      <c r="D83" s="109" t="s">
        <v>5263</v>
      </c>
      <c r="E83" s="110"/>
      <c r="F83" s="110"/>
      <c r="G83" s="110"/>
      <c r="H83" s="110"/>
      <c r="I83" s="110"/>
    </row>
    <row r="84" spans="1:9">
      <c r="A84" s="111" t="s">
        <v>979</v>
      </c>
      <c r="B84" s="111" t="s">
        <v>980</v>
      </c>
      <c r="C84" s="114" t="s">
        <v>1943</v>
      </c>
      <c r="D84" s="109" t="s">
        <v>1980</v>
      </c>
      <c r="E84" s="110"/>
      <c r="F84" s="110"/>
      <c r="G84" s="110"/>
      <c r="H84" s="110"/>
      <c r="I84" s="110"/>
    </row>
    <row r="85" spans="1:9">
      <c r="A85" s="111" t="s">
        <v>1371</v>
      </c>
      <c r="B85" s="111" t="s">
        <v>1372</v>
      </c>
      <c r="C85" s="114" t="s">
        <v>1945</v>
      </c>
      <c r="D85" s="109" t="s">
        <v>1981</v>
      </c>
      <c r="E85" s="122" t="s">
        <v>1982</v>
      </c>
    </row>
    <row r="86" spans="1:9">
      <c r="A86" s="111" t="s">
        <v>1374</v>
      </c>
      <c r="B86" s="111" t="s">
        <v>1375</v>
      </c>
      <c r="C86" s="114" t="s">
        <v>1943</v>
      </c>
      <c r="D86" s="109" t="s">
        <v>1983</v>
      </c>
      <c r="E86" s="110"/>
      <c r="F86" s="110"/>
      <c r="G86" s="110"/>
      <c r="H86" s="110"/>
      <c r="I86" s="110"/>
    </row>
    <row r="87" spans="1:9">
      <c r="A87" s="111" t="s">
        <v>1377</v>
      </c>
      <c r="B87" s="111" t="s">
        <v>1378</v>
      </c>
      <c r="C87" s="115" t="s">
        <v>1554</v>
      </c>
      <c r="D87" s="109" t="s">
        <v>1984</v>
      </c>
      <c r="E87" s="110"/>
      <c r="F87" s="110"/>
      <c r="G87" s="110"/>
      <c r="H87" s="110"/>
      <c r="I87" s="110"/>
    </row>
    <row r="88" spans="1:9">
      <c r="A88" s="111" t="s">
        <v>1027</v>
      </c>
      <c r="B88" s="111" t="s">
        <v>1028</v>
      </c>
      <c r="C88" s="114" t="s">
        <v>1952</v>
      </c>
      <c r="D88" s="109" t="s">
        <v>1985</v>
      </c>
      <c r="E88" s="110"/>
      <c r="F88" s="110"/>
      <c r="G88" s="110"/>
      <c r="H88" s="110"/>
      <c r="I88" s="110"/>
    </row>
    <row r="89" spans="1:9">
      <c r="A89" s="111" t="s">
        <v>962</v>
      </c>
      <c r="B89" s="111" t="s">
        <v>963</v>
      </c>
      <c r="C89" s="114" t="s">
        <v>1952</v>
      </c>
      <c r="D89" s="109" t="s">
        <v>1986</v>
      </c>
      <c r="E89" s="122" t="s">
        <v>1987</v>
      </c>
      <c r="H89" s="110"/>
      <c r="I89" s="110"/>
    </row>
    <row r="90" spans="1:9">
      <c r="A90" s="111" t="s">
        <v>994</v>
      </c>
      <c r="B90" s="111" t="s">
        <v>995</v>
      </c>
      <c r="C90" s="114" t="s">
        <v>1966</v>
      </c>
      <c r="D90" s="109" t="s">
        <v>1988</v>
      </c>
      <c r="E90" s="110"/>
      <c r="F90" s="110"/>
      <c r="G90" s="110"/>
      <c r="H90" s="110"/>
      <c r="I90" s="110"/>
    </row>
    <row r="91" spans="1:9">
      <c r="A91" s="111" t="s">
        <v>1385</v>
      </c>
      <c r="B91" s="111" t="s">
        <v>1386</v>
      </c>
      <c r="C91" s="114" t="s">
        <v>1945</v>
      </c>
      <c r="D91" s="109" t="s">
        <v>1989</v>
      </c>
      <c r="E91" s="110"/>
      <c r="F91" s="110"/>
      <c r="G91" s="110"/>
      <c r="H91" s="110"/>
      <c r="I91" s="110"/>
    </row>
    <row r="92" spans="1:9">
      <c r="A92" s="111" t="s">
        <v>903</v>
      </c>
      <c r="B92" s="111" t="s">
        <v>904</v>
      </c>
      <c r="C92" s="114" t="s">
        <v>1946</v>
      </c>
      <c r="D92" s="109" t="s">
        <v>1990</v>
      </c>
      <c r="E92" s="110"/>
      <c r="F92" s="110"/>
      <c r="G92" s="110"/>
      <c r="H92" s="110"/>
      <c r="I92" s="110"/>
    </row>
    <row r="93" spans="1:9">
      <c r="A93" s="111" t="s">
        <v>1387</v>
      </c>
      <c r="B93" s="111" t="s">
        <v>1388</v>
      </c>
      <c r="C93" s="114" t="s">
        <v>1946</v>
      </c>
      <c r="D93" s="109" t="s">
        <v>1991</v>
      </c>
      <c r="E93" s="110"/>
      <c r="F93" s="110"/>
      <c r="G93" s="110"/>
      <c r="H93" s="110"/>
      <c r="I93" s="110"/>
    </row>
    <row r="94" spans="1:9">
      <c r="A94" s="111" t="s">
        <v>1389</v>
      </c>
      <c r="B94" s="111" t="s">
        <v>1390</v>
      </c>
      <c r="C94" s="114" t="s">
        <v>1948</v>
      </c>
      <c r="D94" s="109" t="s">
        <v>1992</v>
      </c>
      <c r="E94" s="110"/>
      <c r="F94" s="110"/>
      <c r="G94" s="110"/>
      <c r="H94" s="110"/>
      <c r="I94" s="110"/>
    </row>
    <row r="95" spans="1:9">
      <c r="A95" s="111" t="s">
        <v>879</v>
      </c>
      <c r="B95" s="111" t="s">
        <v>880</v>
      </c>
      <c r="C95" s="114" t="s">
        <v>1945</v>
      </c>
      <c r="D95" s="109" t="s">
        <v>5264</v>
      </c>
      <c r="E95" s="110"/>
      <c r="F95" s="110"/>
      <c r="G95" s="110"/>
      <c r="H95" s="110"/>
      <c r="I95" s="110"/>
    </row>
    <row r="96" spans="1:9">
      <c r="A96" s="111" t="s">
        <v>1391</v>
      </c>
      <c r="B96" s="111" t="s">
        <v>1392</v>
      </c>
      <c r="C96" s="114" t="s">
        <v>1946</v>
      </c>
      <c r="D96" s="109" t="s">
        <v>1993</v>
      </c>
      <c r="E96" s="110"/>
      <c r="F96" s="110"/>
      <c r="G96" s="110"/>
      <c r="H96" s="110"/>
      <c r="I96" s="110"/>
    </row>
    <row r="97" spans="1:9">
      <c r="A97" s="111" t="s">
        <v>1393</v>
      </c>
      <c r="B97" s="111" t="s">
        <v>215</v>
      </c>
      <c r="C97" s="114" t="s">
        <v>1948</v>
      </c>
      <c r="D97" s="109" t="s">
        <v>1994</v>
      </c>
      <c r="E97" s="110"/>
      <c r="F97" s="110"/>
      <c r="G97" s="110"/>
      <c r="H97" s="110"/>
      <c r="I97" s="110"/>
    </row>
    <row r="98" spans="1:9">
      <c r="A98" s="111" t="s">
        <v>1007</v>
      </c>
      <c r="B98" s="111" t="s">
        <v>1008</v>
      </c>
      <c r="C98" s="115" t="s">
        <v>1554</v>
      </c>
      <c r="D98" s="109" t="s">
        <v>1995</v>
      </c>
      <c r="E98" s="122" t="s">
        <v>1996</v>
      </c>
      <c r="I98" s="110"/>
    </row>
    <row r="99" spans="1:9">
      <c r="A99" s="110"/>
      <c r="B99" s="110"/>
      <c r="C99" s="110"/>
      <c r="D99" s="109"/>
      <c r="E99" s="110"/>
      <c r="F99" s="110"/>
      <c r="G99" s="110"/>
      <c r="H99" s="110"/>
      <c r="I99" s="110"/>
    </row>
    <row r="100" spans="1:9">
      <c r="A100" s="110"/>
      <c r="B100" s="110"/>
      <c r="C100" s="110"/>
      <c r="D100" s="109"/>
      <c r="E100" s="110"/>
      <c r="F100" s="110"/>
      <c r="G100" s="110"/>
      <c r="H100" s="110"/>
      <c r="I100" s="110"/>
    </row>
    <row r="101" spans="1:9">
      <c r="A101" s="110"/>
      <c r="B101" s="110"/>
      <c r="C101" s="110"/>
      <c r="D101" s="109"/>
      <c r="E101" s="110"/>
      <c r="F101" s="110"/>
      <c r="G101" s="110"/>
      <c r="H101" s="110"/>
      <c r="I101" s="110"/>
    </row>
    <row r="102" spans="1:9">
      <c r="A102" s="110"/>
      <c r="B102" s="110"/>
      <c r="C102" s="110"/>
      <c r="D102" s="109"/>
      <c r="E102" s="110"/>
      <c r="F102" s="110"/>
      <c r="G102" s="110"/>
      <c r="H102" s="110"/>
      <c r="I102" s="110"/>
    </row>
    <row r="103" spans="1:9">
      <c r="A103" s="110"/>
      <c r="B103" s="110"/>
      <c r="C103" s="110"/>
      <c r="D103" s="109"/>
      <c r="E103" s="110"/>
      <c r="F103" s="110"/>
      <c r="G103" s="110"/>
      <c r="H103" s="110"/>
      <c r="I103" s="110"/>
    </row>
    <row r="104" spans="1:9">
      <c r="A104" s="110"/>
      <c r="B104" s="110"/>
      <c r="C104" s="110"/>
      <c r="D104" s="109"/>
      <c r="E104" s="110"/>
      <c r="F104" s="110"/>
      <c r="G104" s="110"/>
      <c r="H104" s="110"/>
      <c r="I104" s="110"/>
    </row>
    <row r="105" spans="1:9">
      <c r="A105" s="110"/>
      <c r="B105" s="110"/>
      <c r="C105" s="110"/>
      <c r="D105" s="109"/>
      <c r="E105" s="110"/>
      <c r="F105" s="110"/>
      <c r="G105" s="110"/>
      <c r="H105" s="110"/>
      <c r="I105" s="110"/>
    </row>
    <row r="106" spans="1:9">
      <c r="A106" s="110"/>
      <c r="B106" s="110"/>
      <c r="C106" s="110"/>
      <c r="D106" s="109"/>
      <c r="E106" s="110"/>
      <c r="F106" s="110"/>
      <c r="G106" s="110"/>
      <c r="H106" s="110"/>
      <c r="I106" s="110"/>
    </row>
    <row r="107" spans="1:9">
      <c r="A107" s="110"/>
      <c r="B107" s="110"/>
      <c r="C107" s="110"/>
      <c r="D107" s="109"/>
      <c r="E107" s="110"/>
      <c r="F107" s="110"/>
      <c r="G107" s="110"/>
      <c r="H107" s="110"/>
      <c r="I107" s="110"/>
    </row>
    <row r="108" spans="1:9">
      <c r="A108" s="110"/>
      <c r="B108" s="110"/>
      <c r="C108" s="110"/>
      <c r="D108" s="109"/>
      <c r="E108" s="110"/>
      <c r="F108" s="110"/>
      <c r="G108" s="110"/>
      <c r="H108" s="110"/>
      <c r="I108" s="110"/>
    </row>
    <row r="109" spans="1:9">
      <c r="A109" s="110"/>
      <c r="B109" s="110"/>
      <c r="C109" s="110"/>
      <c r="D109" s="109"/>
      <c r="E109" s="110"/>
      <c r="F109" s="110"/>
      <c r="G109" s="110"/>
      <c r="H109" s="110"/>
      <c r="I109" s="110"/>
    </row>
    <row r="110" spans="1:9">
      <c r="A110" s="110"/>
      <c r="B110" s="110"/>
      <c r="C110" s="110"/>
      <c r="D110" s="109"/>
      <c r="E110" s="110"/>
      <c r="F110" s="110"/>
      <c r="G110" s="110"/>
      <c r="H110" s="110"/>
      <c r="I110" s="110"/>
    </row>
    <row r="111" spans="1:9">
      <c r="A111" s="110"/>
      <c r="B111" s="110"/>
      <c r="C111" s="110"/>
      <c r="D111" s="109"/>
      <c r="E111" s="110"/>
      <c r="F111" s="110"/>
      <c r="G111" s="110"/>
      <c r="H111" s="110"/>
      <c r="I111" s="110"/>
    </row>
    <row r="112" spans="1:9">
      <c r="A112" s="110"/>
      <c r="B112" s="110"/>
      <c r="C112" s="110"/>
      <c r="D112" s="109"/>
      <c r="E112" s="110"/>
      <c r="F112" s="110"/>
      <c r="G112" s="110"/>
      <c r="H112" s="110"/>
      <c r="I112" s="110"/>
    </row>
    <row r="113" spans="1:9">
      <c r="A113" s="110"/>
      <c r="B113" s="110"/>
      <c r="C113" s="110"/>
      <c r="D113" s="109"/>
      <c r="E113" s="110"/>
      <c r="F113" s="110"/>
      <c r="G113" s="110"/>
      <c r="H113" s="110"/>
      <c r="I113" s="110"/>
    </row>
    <row r="114" spans="1:9">
      <c r="A114" s="110"/>
      <c r="B114" s="110"/>
      <c r="C114" s="110"/>
      <c r="D114" s="109"/>
      <c r="E114" s="110"/>
      <c r="F114" s="110"/>
      <c r="G114" s="110"/>
      <c r="H114" s="110"/>
      <c r="I114" s="110"/>
    </row>
    <row r="115" spans="1:9">
      <c r="A115" s="110" t="s">
        <v>1946</v>
      </c>
      <c r="B115" s="110"/>
      <c r="C115" s="110"/>
      <c r="D115" s="109"/>
      <c r="E115" s="110"/>
      <c r="F115" s="110"/>
      <c r="G115" s="110"/>
      <c r="H115" s="110"/>
      <c r="I115" s="110"/>
    </row>
    <row r="116" spans="1:9">
      <c r="A116" s="110" t="s">
        <v>1945</v>
      </c>
      <c r="B116" s="110"/>
      <c r="C116" s="110"/>
      <c r="D116" s="109"/>
      <c r="E116" s="110"/>
      <c r="F116" s="110"/>
      <c r="G116" s="110"/>
      <c r="H116" s="110"/>
      <c r="I116" s="110"/>
    </row>
    <row r="117" spans="1:9">
      <c r="A117" s="110" t="s">
        <v>1966</v>
      </c>
      <c r="B117" s="110"/>
      <c r="C117" s="110"/>
      <c r="D117" s="109"/>
      <c r="E117" s="110"/>
      <c r="F117" s="110"/>
      <c r="G117" s="110"/>
      <c r="H117" s="110"/>
      <c r="I117" s="110"/>
    </row>
    <row r="118" spans="1:9">
      <c r="A118" s="110" t="s">
        <v>1952</v>
      </c>
      <c r="B118" s="110"/>
      <c r="C118" s="110"/>
      <c r="D118" s="109"/>
      <c r="E118" s="110"/>
      <c r="F118" s="110"/>
      <c r="G118" s="110"/>
      <c r="H118" s="110"/>
      <c r="I118" s="110"/>
    </row>
    <row r="119" spans="1:9">
      <c r="A119" s="110" t="s">
        <v>1554</v>
      </c>
      <c r="B119" s="110"/>
      <c r="C119" s="110"/>
      <c r="D119" s="109"/>
      <c r="E119" s="110"/>
      <c r="F119" s="110"/>
      <c r="G119" s="110"/>
      <c r="H119" s="110"/>
      <c r="I119" s="110"/>
    </row>
    <row r="120" spans="1:9">
      <c r="A120" s="110" t="s">
        <v>1950</v>
      </c>
      <c r="B120" s="110"/>
      <c r="C120" s="110"/>
      <c r="D120" s="109"/>
      <c r="E120" s="110"/>
      <c r="F120" s="110"/>
      <c r="G120" s="110"/>
      <c r="H120" s="110"/>
      <c r="I120" s="110"/>
    </row>
    <row r="121" spans="1:9">
      <c r="A121" s="110" t="s">
        <v>1943</v>
      </c>
      <c r="B121" s="110"/>
      <c r="C121" s="110"/>
      <c r="D121" s="109"/>
      <c r="E121" s="110"/>
      <c r="F121" s="110"/>
      <c r="G121" s="110"/>
      <c r="H121" s="110"/>
      <c r="I121" s="110"/>
    </row>
    <row r="122" spans="1:9">
      <c r="A122" s="110" t="s">
        <v>1948</v>
      </c>
      <c r="B122" s="110"/>
      <c r="C122" s="110"/>
      <c r="D122" s="109"/>
      <c r="E122" s="110"/>
      <c r="F122" s="110"/>
      <c r="G122" s="110"/>
      <c r="H122" s="110"/>
      <c r="I122" s="110"/>
    </row>
  </sheetData>
  <mergeCells count="6">
    <mergeCell ref="A50:I51"/>
    <mergeCell ref="A1:D2"/>
    <mergeCell ref="A3:D4"/>
    <mergeCell ref="I6:K14"/>
    <mergeCell ref="I16:K16"/>
    <mergeCell ref="E1:H4"/>
  </mergeCells>
  <phoneticPr fontId="8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ctce SF瞎评价"/>
  <dimension ref="B12:M59"/>
  <sheetViews>
    <sheetView workbookViewId="0"/>
  </sheetViews>
  <sheetFormatPr baseColWidth="10" defaultColWidth="13.7109375" defaultRowHeight="18" customHeight="1"/>
  <sheetData>
    <row r="12" spans="2:13" ht="18" customHeight="1">
      <c r="D12" t="s">
        <v>1997</v>
      </c>
    </row>
    <row r="13" spans="2:13" ht="18" customHeight="1">
      <c r="B13" s="123"/>
      <c r="C13" s="549" t="s">
        <v>1394</v>
      </c>
      <c r="D13" s="557"/>
      <c r="E13" s="557"/>
      <c r="F13" s="557"/>
      <c r="G13" s="557"/>
      <c r="H13" s="557"/>
      <c r="I13" s="557"/>
      <c r="J13" s="571"/>
      <c r="K13" s="571"/>
    </row>
    <row r="14" spans="2:13" ht="18" customHeight="1">
      <c r="B14" s="123"/>
      <c r="C14" s="557"/>
      <c r="D14" s="557"/>
      <c r="E14" s="557"/>
      <c r="F14" s="557"/>
      <c r="G14" s="557"/>
      <c r="H14" s="557"/>
      <c r="I14" s="557"/>
      <c r="J14" s="571"/>
      <c r="K14" s="571"/>
    </row>
    <row r="15" spans="2:13" ht="18" customHeight="1">
      <c r="B15" s="123"/>
      <c r="C15" s="24" t="s">
        <v>4</v>
      </c>
      <c r="D15" s="94" t="s">
        <v>5</v>
      </c>
      <c r="E15" s="11" t="s">
        <v>1998</v>
      </c>
      <c r="F15" s="11" t="s">
        <v>7</v>
      </c>
      <c r="G15" s="11" t="s">
        <v>8</v>
      </c>
      <c r="H15" s="11" t="s">
        <v>9</v>
      </c>
      <c r="I15" s="11" t="s">
        <v>10</v>
      </c>
      <c r="J15" s="579" t="s">
        <v>11</v>
      </c>
      <c r="K15" s="571"/>
      <c r="L15" s="571"/>
      <c r="M15" t="s">
        <v>1999</v>
      </c>
    </row>
    <row r="16" spans="2:13" ht="18" customHeight="1">
      <c r="B16" s="123"/>
      <c r="C16" s="24" t="s">
        <v>1395</v>
      </c>
      <c r="D16" s="25" t="s">
        <v>1396</v>
      </c>
      <c r="E16" s="19" t="s">
        <v>18</v>
      </c>
      <c r="F16" s="19" t="s">
        <v>1567</v>
      </c>
      <c r="G16" s="19" t="s">
        <v>18</v>
      </c>
      <c r="H16" s="19" t="s">
        <v>18</v>
      </c>
      <c r="I16" s="19" t="s">
        <v>1567</v>
      </c>
      <c r="J16" s="571" t="s">
        <v>2000</v>
      </c>
      <c r="K16" s="571"/>
      <c r="L16" s="571"/>
    </row>
    <row r="17" spans="2:13" ht="18" customHeight="1">
      <c r="B17" s="123"/>
      <c r="C17" s="24" t="s">
        <v>1221</v>
      </c>
      <c r="D17" s="25" t="s">
        <v>1222</v>
      </c>
      <c r="E17" s="19" t="s">
        <v>21</v>
      </c>
      <c r="F17" s="19" t="s">
        <v>21</v>
      </c>
      <c r="G17" s="19" t="s">
        <v>1567</v>
      </c>
      <c r="H17" s="19" t="s">
        <v>28</v>
      </c>
      <c r="I17" s="19" t="s">
        <v>21</v>
      </c>
      <c r="J17" s="571" t="s">
        <v>2001</v>
      </c>
      <c r="K17" s="571"/>
      <c r="L17" s="571"/>
    </row>
    <row r="18" spans="2:13" ht="18" customHeight="1">
      <c r="B18" s="123"/>
      <c r="C18" s="24" t="s">
        <v>1235</v>
      </c>
      <c r="D18" s="25" t="s">
        <v>1236</v>
      </c>
      <c r="E18" s="19" t="s">
        <v>28</v>
      </c>
      <c r="F18" s="19" t="s">
        <v>21</v>
      </c>
      <c r="G18" s="19" t="s">
        <v>17</v>
      </c>
      <c r="H18" s="19" t="s">
        <v>28</v>
      </c>
      <c r="I18" s="19" t="s">
        <v>28</v>
      </c>
      <c r="J18" s="580" t="s">
        <v>2002</v>
      </c>
      <c r="K18" s="571"/>
      <c r="L18" s="571"/>
    </row>
    <row r="19" spans="2:13" ht="18" customHeight="1">
      <c r="B19" s="123"/>
      <c r="C19" s="24" t="s">
        <v>1397</v>
      </c>
      <c r="D19" s="25" t="s">
        <v>1398</v>
      </c>
      <c r="E19" s="19" t="s">
        <v>28</v>
      </c>
      <c r="F19" s="19" t="s">
        <v>17</v>
      </c>
      <c r="G19" s="19" t="s">
        <v>28</v>
      </c>
      <c r="H19" s="19" t="s">
        <v>17</v>
      </c>
      <c r="I19" s="19" t="s">
        <v>28</v>
      </c>
      <c r="J19" s="526" t="s">
        <v>2003</v>
      </c>
      <c r="K19" s="571"/>
      <c r="L19" s="571"/>
      <c r="M19" t="s">
        <v>1558</v>
      </c>
    </row>
    <row r="20" spans="2:13" ht="18" customHeight="1">
      <c r="B20" s="123"/>
      <c r="C20" s="24" t="s">
        <v>1106</v>
      </c>
      <c r="D20" s="25" t="s">
        <v>1107</v>
      </c>
      <c r="E20" s="19" t="s">
        <v>17</v>
      </c>
      <c r="F20" s="19" t="s">
        <v>28</v>
      </c>
      <c r="G20" s="19" t="s">
        <v>28</v>
      </c>
      <c r="H20" s="19" t="s">
        <v>17</v>
      </c>
      <c r="I20" s="19" t="s">
        <v>17</v>
      </c>
      <c r="J20" s="526" t="s">
        <v>2004</v>
      </c>
      <c r="K20" s="571"/>
      <c r="L20" s="571"/>
      <c r="M20" t="s">
        <v>1559</v>
      </c>
    </row>
    <row r="21" spans="2:13" ht="18" customHeight="1">
      <c r="B21" s="123"/>
      <c r="C21" s="24" t="s">
        <v>1399</v>
      </c>
      <c r="D21" s="25" t="s">
        <v>1400</v>
      </c>
      <c r="E21" s="19" t="s">
        <v>17</v>
      </c>
      <c r="F21" s="19" t="s">
        <v>28</v>
      </c>
      <c r="G21" s="19" t="s">
        <v>21</v>
      </c>
      <c r="H21" s="19" t="s">
        <v>17</v>
      </c>
      <c r="I21" s="19" t="s">
        <v>21</v>
      </c>
      <c r="J21" s="526" t="s">
        <v>2005</v>
      </c>
      <c r="K21" s="571"/>
      <c r="L21" s="571"/>
    </row>
    <row r="22" spans="2:13" ht="18" customHeight="1">
      <c r="B22" s="123"/>
      <c r="C22" s="24" t="s">
        <v>1135</v>
      </c>
      <c r="D22" s="25" t="s">
        <v>1136</v>
      </c>
      <c r="E22" s="19" t="s">
        <v>28</v>
      </c>
      <c r="F22" s="19" t="s">
        <v>21</v>
      </c>
      <c r="G22" s="19" t="s">
        <v>28</v>
      </c>
      <c r="H22" s="19" t="s">
        <v>28</v>
      </c>
      <c r="I22" s="19" t="s">
        <v>28</v>
      </c>
      <c r="J22" s="526" t="s">
        <v>2006</v>
      </c>
      <c r="K22" s="571"/>
      <c r="L22" s="571"/>
      <c r="M22" t="s">
        <v>1559</v>
      </c>
    </row>
    <row r="23" spans="2:13" ht="18" customHeight="1">
      <c r="B23" s="123"/>
      <c r="C23" s="24" t="s">
        <v>1401</v>
      </c>
      <c r="D23" s="25" t="s">
        <v>1402</v>
      </c>
      <c r="E23" s="19" t="s">
        <v>21</v>
      </c>
      <c r="F23" s="19" t="s">
        <v>21</v>
      </c>
      <c r="G23" s="19" t="s">
        <v>28</v>
      </c>
      <c r="H23" s="19" t="s">
        <v>21</v>
      </c>
      <c r="I23" s="19" t="s">
        <v>21</v>
      </c>
      <c r="J23" s="526" t="s">
        <v>2007</v>
      </c>
      <c r="K23" s="571"/>
      <c r="L23" s="571"/>
      <c r="M23" t="s">
        <v>1558</v>
      </c>
    </row>
    <row r="24" spans="2:13" ht="18" customHeight="1">
      <c r="B24" s="123"/>
      <c r="C24" s="24" t="s">
        <v>1403</v>
      </c>
      <c r="D24" s="25" t="s">
        <v>1404</v>
      </c>
      <c r="E24" s="19" t="s">
        <v>18</v>
      </c>
      <c r="F24" s="19" t="s">
        <v>18</v>
      </c>
      <c r="G24" s="19" t="s">
        <v>18</v>
      </c>
      <c r="H24" s="19" t="s">
        <v>1567</v>
      </c>
      <c r="I24" s="19" t="s">
        <v>18</v>
      </c>
      <c r="J24" s="526" t="s">
        <v>2008</v>
      </c>
      <c r="K24" s="571"/>
      <c r="L24" s="571"/>
    </row>
    <row r="25" spans="2:13" ht="18" customHeight="1">
      <c r="B25" s="123"/>
      <c r="C25" s="24" t="s">
        <v>1405</v>
      </c>
      <c r="D25" s="25" t="s">
        <v>1406</v>
      </c>
      <c r="E25" s="19" t="s">
        <v>28</v>
      </c>
      <c r="F25" s="19" t="s">
        <v>28</v>
      </c>
      <c r="G25" s="19" t="s">
        <v>28</v>
      </c>
      <c r="H25" s="19" t="s">
        <v>17</v>
      </c>
      <c r="I25" s="19" t="s">
        <v>28</v>
      </c>
      <c r="J25" s="526" t="s">
        <v>2009</v>
      </c>
      <c r="K25" s="571"/>
      <c r="L25" s="571"/>
      <c r="M25" t="s">
        <v>1559</v>
      </c>
    </row>
    <row r="26" spans="2:13" ht="18" customHeight="1">
      <c r="B26" s="123"/>
      <c r="C26" s="24" t="s">
        <v>1407</v>
      </c>
      <c r="D26" s="25" t="s">
        <v>1408</v>
      </c>
      <c r="E26" s="19" t="s">
        <v>22</v>
      </c>
      <c r="F26" s="19" t="s">
        <v>21</v>
      </c>
      <c r="G26" s="19" t="s">
        <v>1567</v>
      </c>
      <c r="H26" s="19" t="s">
        <v>28</v>
      </c>
      <c r="I26" s="19" t="s">
        <v>28</v>
      </c>
      <c r="J26" s="526" t="s">
        <v>2010</v>
      </c>
      <c r="K26" s="571"/>
      <c r="L26" s="571"/>
    </row>
    <row r="27" spans="2:13" ht="18" customHeight="1">
      <c r="B27" s="123"/>
      <c r="C27" s="24" t="s">
        <v>1153</v>
      </c>
      <c r="D27" s="25" t="s">
        <v>1154</v>
      </c>
      <c r="E27" s="19" t="s">
        <v>17</v>
      </c>
      <c r="F27" s="19" t="s">
        <v>21</v>
      </c>
      <c r="G27" s="19" t="s">
        <v>28</v>
      </c>
      <c r="H27" s="19" t="s">
        <v>28</v>
      </c>
      <c r="I27" s="19" t="s">
        <v>28</v>
      </c>
      <c r="J27" s="526" t="s">
        <v>2011</v>
      </c>
      <c r="K27" s="571"/>
      <c r="L27" s="571"/>
      <c r="M27" t="s">
        <v>1559</v>
      </c>
    </row>
    <row r="28" spans="2:13" ht="18" customHeight="1">
      <c r="B28" s="123"/>
      <c r="C28" s="24" t="s">
        <v>1409</v>
      </c>
      <c r="D28" s="25">
        <v>7</v>
      </c>
      <c r="E28" s="19" t="s">
        <v>22</v>
      </c>
      <c r="F28" s="19" t="s">
        <v>22</v>
      </c>
      <c r="G28" s="19" t="s">
        <v>22</v>
      </c>
      <c r="H28" s="19" t="s">
        <v>22</v>
      </c>
      <c r="I28" s="19" t="s">
        <v>22</v>
      </c>
      <c r="J28" s="526" t="s">
        <v>2012</v>
      </c>
      <c r="K28" s="571"/>
      <c r="L28" s="571"/>
    </row>
    <row r="29" spans="2:13" ht="18" customHeight="1">
      <c r="B29" s="123"/>
      <c r="C29" s="24" t="s">
        <v>1186</v>
      </c>
      <c r="D29" s="25" t="s">
        <v>1187</v>
      </c>
      <c r="E29" s="19" t="s">
        <v>21</v>
      </c>
      <c r="F29" s="19" t="s">
        <v>28</v>
      </c>
      <c r="G29" s="19" t="s">
        <v>17</v>
      </c>
      <c r="H29" s="19" t="s">
        <v>17</v>
      </c>
      <c r="I29" s="19" t="s">
        <v>28</v>
      </c>
      <c r="J29" s="526" t="s">
        <v>2013</v>
      </c>
      <c r="K29" s="571"/>
      <c r="L29" s="571"/>
    </row>
    <row r="30" spans="2:13" ht="18" customHeight="1">
      <c r="B30" s="123"/>
      <c r="C30" s="24" t="s">
        <v>1044</v>
      </c>
      <c r="D30" s="25" t="s">
        <v>1410</v>
      </c>
      <c r="E30" s="19" t="s">
        <v>21</v>
      </c>
      <c r="F30" s="19" t="s">
        <v>28</v>
      </c>
      <c r="G30" s="19" t="s">
        <v>28</v>
      </c>
      <c r="H30" s="19" t="s">
        <v>17</v>
      </c>
      <c r="I30" s="19" t="s">
        <v>21</v>
      </c>
      <c r="J30" s="526" t="s">
        <v>2014</v>
      </c>
      <c r="K30" s="571"/>
      <c r="L30" s="571"/>
    </row>
    <row r="31" spans="2:13" ht="18" customHeight="1">
      <c r="B31" s="123"/>
      <c r="C31" s="24" t="s">
        <v>1411</v>
      </c>
      <c r="D31" s="25" t="s">
        <v>1412</v>
      </c>
      <c r="E31" s="19" t="s">
        <v>1567</v>
      </c>
      <c r="F31" s="19" t="s">
        <v>18</v>
      </c>
      <c r="G31" s="19" t="s">
        <v>18</v>
      </c>
      <c r="H31" s="19" t="s">
        <v>21</v>
      </c>
      <c r="I31" s="19" t="s">
        <v>1567</v>
      </c>
      <c r="J31" s="526" t="s">
        <v>2015</v>
      </c>
      <c r="K31" s="571"/>
      <c r="L31" s="571"/>
    </row>
    <row r="32" spans="2:13" ht="18" customHeight="1">
      <c r="B32" s="123"/>
      <c r="C32" s="24" t="s">
        <v>1173</v>
      </c>
      <c r="D32" s="25" t="s">
        <v>1174</v>
      </c>
      <c r="E32" s="19" t="s">
        <v>21</v>
      </c>
      <c r="F32" s="19" t="s">
        <v>28</v>
      </c>
      <c r="G32" s="19" t="s">
        <v>28</v>
      </c>
      <c r="H32" s="19" t="s">
        <v>21</v>
      </c>
      <c r="I32" s="19" t="s">
        <v>17</v>
      </c>
      <c r="J32" s="526" t="s">
        <v>2016</v>
      </c>
      <c r="K32" s="571"/>
      <c r="L32" s="571"/>
      <c r="M32" t="s">
        <v>1559</v>
      </c>
    </row>
    <row r="33" spans="2:12" ht="18" customHeight="1">
      <c r="B33" s="123"/>
      <c r="C33" s="24" t="s">
        <v>1413</v>
      </c>
      <c r="D33" s="25" t="s">
        <v>1414</v>
      </c>
      <c r="E33" s="19" t="s">
        <v>1567</v>
      </c>
      <c r="F33" s="19"/>
      <c r="G33" s="19"/>
      <c r="H33" s="19"/>
      <c r="I33" s="19" t="str">
        <f>IF(AND(ISNUMBER(MATCH(E33,{"F","E","D","D+","C","C+","B","B+","A","A+","S"},0)),ISNUMBER(MATCH(F34,{"F","E","D","D+","C","C+","B","B+","A","A+","S"},0)),ISNUMBER(MATCH(G35,{"F","E","D","D+","C","C+","B","B+","A","A+","S"},0)),ISNUMBER(MATCH(H36,{"F","E","D","D+","C","C+","B","B+","A","A+","S"},0))),LOOKUP(AVERAGE(_xlfn.SWITCH(E37,"F",0,"E",10,"D",20,"D+",30,"C",40,"C+",50,"B",60,"B+",70,"A",80,"A+",90,"S",100),_xlfn.SWITCH(F38,"F",0,"E",10,"D",20,"D+",30,"C",40,"C+",50,"B",60,"B+",70,"A",80,"A+",90,"S",100),_xlfn.SWITCH(G39,"F",0,"E",10,"D",20,"D+",30,"C",40,"C+",50,"B",60,"B+",70,"A",80,"A+",90,"S",100),_xlfn.SWITCH(H40,"F",0,"E",10,"D",20,"D+",30,"C",40,"C+",50,"B",60,"B+",70,"A",80,"A+",90,"S",100)),{0,15,25,35,45,55,65,75,85,95},{"D","D","D+","C","C+","B","B+","A","A+","S"}),"?")</f>
        <v>?</v>
      </c>
      <c r="J33" s="526" t="s">
        <v>2017</v>
      </c>
      <c r="K33" s="571"/>
      <c r="L33" s="571"/>
    </row>
    <row r="34" spans="2:12" ht="18" customHeight="1">
      <c r="B34" s="123"/>
      <c r="C34" s="24" t="s">
        <v>1415</v>
      </c>
      <c r="D34" s="25" t="s">
        <v>1416</v>
      </c>
      <c r="E34" s="19" t="s">
        <v>18</v>
      </c>
      <c r="F34" s="19"/>
      <c r="G34" s="19"/>
      <c r="H34" s="19"/>
      <c r="I34" s="19" t="str">
        <f>IF(AND(ISNUMBER(MATCH(E34,{"F","E","D","D+","C","C+","B","B+","A","A+","S"},0)),ISNUMBER(MATCH(F35,{"F","E","D","D+","C","C+","B","B+","A","A+","S"},0)),ISNUMBER(MATCH(G36,{"F","E","D","D+","C","C+","B","B+","A","A+","S"},0)),ISNUMBER(MATCH(H37,{"F","E","D","D+","C","C+","B","B+","A","A+","S"},0))),LOOKUP(AVERAGE(_xlfn.SWITCH(E38,"F",0,"E",10,"D",20,"D+",30,"C",40,"C+",50,"B",60,"B+",70,"A",80,"A+",90,"S",100),_xlfn.SWITCH(F39,"F",0,"E",10,"D",20,"D+",30,"C",40,"C+",50,"B",60,"B+",70,"A",80,"A+",90,"S",100),_xlfn.SWITCH(G40,"F",0,"E",10,"D",20,"D+",30,"C",40,"C+",50,"B",60,"B+",70,"A",80,"A+",90,"S",100),_xlfn.SWITCH(H41,"F",0,"E",10,"D",20,"D+",30,"C",40,"C+",50,"B",60,"B+",70,"A",80,"A+",90,"S",100)),{0,15,25,35,45,55,65,75,85,95},{"D","D","D+","C","C+","B","B+","A","A+","S"}),"?")</f>
        <v>?</v>
      </c>
    </row>
    <row r="35" spans="2:12" ht="18" customHeight="1">
      <c r="B35" s="123"/>
      <c r="C35" s="24" t="s">
        <v>1068</v>
      </c>
      <c r="D35" s="25" t="s">
        <v>726</v>
      </c>
      <c r="E35" s="19" t="s">
        <v>1567</v>
      </c>
      <c r="F35" s="19"/>
      <c r="G35" s="19"/>
      <c r="H35" s="19"/>
      <c r="I35" s="19" t="str">
        <f>IF(AND(ISNUMBER(MATCH(E35,{"F","E","D","D+","C","C+","B","B+","A","A+","S"},0)),ISNUMBER(MATCH(F36,{"F","E","D","D+","C","C+","B","B+","A","A+","S"},0)),ISNUMBER(MATCH(G37,{"F","E","D","D+","C","C+","B","B+","A","A+","S"},0)),ISNUMBER(MATCH(H38,{"F","E","D","D+","C","C+","B","B+","A","A+","S"},0))),LOOKUP(AVERAGE(_xlfn.SWITCH(E39,"F",0,"E",10,"D",20,"D+",30,"C",40,"C+",50,"B",60,"B+",70,"A",80,"A+",90,"S",100),_xlfn.SWITCH(F40,"F",0,"E",10,"D",20,"D+",30,"C",40,"C+",50,"B",60,"B+",70,"A",80,"A+",90,"S",100),_xlfn.SWITCH(G41,"F",0,"E",10,"D",20,"D+",30,"C",40,"C+",50,"B",60,"B+",70,"A",80,"A+",90,"S",100),_xlfn.SWITCH(H42,"F",0,"E",10,"D",20,"D+",30,"C",40,"C+",50,"B",60,"B+",70,"A",80,"A+",90,"S",100)),{0,15,25,35,45,55,65,75,85,95},{"D","D","D+","C","C+","B","B+","A","A+","S"}),"?")</f>
        <v>?</v>
      </c>
    </row>
    <row r="36" spans="2:12" ht="18" customHeight="1">
      <c r="B36" s="123"/>
      <c r="C36" s="24" t="s">
        <v>1417</v>
      </c>
      <c r="D36" s="25" t="s">
        <v>1418</v>
      </c>
      <c r="E36" s="19" t="s">
        <v>21</v>
      </c>
      <c r="F36" s="19"/>
      <c r="G36" s="19"/>
      <c r="H36" s="19"/>
      <c r="I36" s="19" t="str">
        <f>IF(AND(ISNUMBER(MATCH(E36,{"F","E","D","D+","C","C+","B","B+","A","A+","S"},0)),ISNUMBER(MATCH(F37,{"F","E","D","D+","C","C+","B","B+","A","A+","S"},0)),ISNUMBER(MATCH(G38,{"F","E","D","D+","C","C+","B","B+","A","A+","S"},0)),ISNUMBER(MATCH(H39,{"F","E","D","D+","C","C+","B","B+","A","A+","S"},0))),LOOKUP(AVERAGE(_xlfn.SWITCH(E40,"F",0,"E",10,"D",20,"D+",30,"C",40,"C+",50,"B",60,"B+",70,"A",80,"A+",90,"S",100),_xlfn.SWITCH(F41,"F",0,"E",10,"D",20,"D+",30,"C",40,"C+",50,"B",60,"B+",70,"A",80,"A+",90,"S",100),_xlfn.SWITCH(G42,"F",0,"E",10,"D",20,"D+",30,"C",40,"C+",50,"B",60,"B+",70,"A",80,"A+",90,"S",100),_xlfn.SWITCH(H43,"F",0,"E",10,"D",20,"D+",30,"C",40,"C+",50,"B",60,"B+",70,"A",80,"A+",90,"S",100)),{0,15,25,35,45,55,65,75,85,95},{"D","D","D+","C","C+","B","B+","A","A+","S"}),"?")</f>
        <v>?</v>
      </c>
    </row>
    <row r="37" spans="2:12" ht="18" customHeight="1">
      <c r="B37" s="123"/>
      <c r="C37" s="24" t="s">
        <v>1419</v>
      </c>
      <c r="D37" s="25" t="s">
        <v>1420</v>
      </c>
      <c r="E37" s="19" t="s">
        <v>28</v>
      </c>
      <c r="F37" s="19"/>
      <c r="G37" s="19"/>
      <c r="H37" s="19"/>
      <c r="I37" s="19" t="str">
        <f>IF(AND(ISNUMBER(MATCH(E37,{"F","E","D","D+","C","C+","B","B+","A","A+","S"},0)),ISNUMBER(MATCH(F38,{"F","E","D","D+","C","C+","B","B+","A","A+","S"},0)),ISNUMBER(MATCH(G39,{"F","E","D","D+","C","C+","B","B+","A","A+","S"},0)),ISNUMBER(MATCH(H40,{"F","E","D","D+","C","C+","B","B+","A","A+","S"},0))),LOOKUP(AVERAGE(_xlfn.SWITCH(E41,"F",0,"E",10,"D",20,"D+",30,"C",40,"C+",50,"B",60,"B+",70,"A",80,"A+",90,"S",100),_xlfn.SWITCH(F42,"F",0,"E",10,"D",20,"D+",30,"C",40,"C+",50,"B",60,"B+",70,"A",80,"A+",90,"S",100),_xlfn.SWITCH(G43,"F",0,"E",10,"D",20,"D+",30,"C",40,"C+",50,"B",60,"B+",70,"A",80,"A+",90,"S",100),_xlfn.SWITCH(H44,"F",0,"E",10,"D",20,"D+",30,"C",40,"C+",50,"B",60,"B+",70,"A",80,"A+",90,"S",100)),{0,15,25,35,45,55,65,75,85,95},{"D","D","D+","C","C+","B","B+","A","A+","S"}),"?")</f>
        <v>?</v>
      </c>
    </row>
    <row r="38" spans="2:12" ht="18" customHeight="1">
      <c r="B38" s="123"/>
      <c r="C38" s="24" t="s">
        <v>1421</v>
      </c>
      <c r="D38" s="25" t="s">
        <v>1422</v>
      </c>
      <c r="E38" s="19" t="s">
        <v>18</v>
      </c>
      <c r="F38" s="19"/>
      <c r="G38" s="19"/>
      <c r="H38" s="19"/>
      <c r="I38" s="19" t="str">
        <f>IF(AND(ISNUMBER(MATCH(E38,{"F","E","D","D+","C","C+","B","B+","A","A+","S"},0)),ISNUMBER(MATCH(F39,{"F","E","D","D+","C","C+","B","B+","A","A+","S"},0)),ISNUMBER(MATCH(G40,{"F","E","D","D+","C","C+","B","B+","A","A+","S"},0)),ISNUMBER(MATCH(H41,{"F","E","D","D+","C","C+","B","B+","A","A+","S"},0))),LOOKUP(AVERAGE(_xlfn.SWITCH(E42,"F",0,"E",10,"D",20,"D+",30,"C",40,"C+",50,"B",60,"B+",70,"A",80,"A+",90,"S",100),_xlfn.SWITCH(F43,"F",0,"E",10,"D",20,"D+",30,"C",40,"C+",50,"B",60,"B+",70,"A",80,"A+",90,"S",100),_xlfn.SWITCH(G44,"F",0,"E",10,"D",20,"D+",30,"C",40,"C+",50,"B",60,"B+",70,"A",80,"A+",90,"S",100),_xlfn.SWITCH(H45,"F",0,"E",10,"D",20,"D+",30,"C",40,"C+",50,"B",60,"B+",70,"A",80,"A+",90,"S",100)),{0,15,25,35,45,55,65,75,85,95},{"D","D","D+","C","C+","B","B+","A","A+","S"}),"?")</f>
        <v>?</v>
      </c>
    </row>
    <row r="39" spans="2:12" ht="18" customHeight="1">
      <c r="B39" s="123"/>
      <c r="C39" s="24" t="s">
        <v>1051</v>
      </c>
      <c r="D39" s="25" t="s">
        <v>1052</v>
      </c>
      <c r="E39" s="19" t="s">
        <v>28</v>
      </c>
      <c r="F39" s="19"/>
      <c r="G39" s="19"/>
      <c r="H39" s="19"/>
      <c r="I39" s="19" t="str">
        <f>IF(AND(ISNUMBER(MATCH(E39,{"F","E","D","D+","C","C+","B","B+","A","A+","S"},0)),ISNUMBER(MATCH(F40,{"F","E","D","D+","C","C+","B","B+","A","A+","S"},0)),ISNUMBER(MATCH(G41,{"F","E","D","D+","C","C+","B","B+","A","A+","S"},0)),ISNUMBER(MATCH(H42,{"F","E","D","D+","C","C+","B","B+","A","A+","S"},0))),LOOKUP(AVERAGE(_xlfn.SWITCH(E43,"F",0,"E",10,"D",20,"D+",30,"C",40,"C+",50,"B",60,"B+",70,"A",80,"A+",90,"S",100),_xlfn.SWITCH(F44,"F",0,"E",10,"D",20,"D+",30,"C",40,"C+",50,"B",60,"B+",70,"A",80,"A+",90,"S",100),_xlfn.SWITCH(G45,"F",0,"E",10,"D",20,"D+",30,"C",40,"C+",50,"B",60,"B+",70,"A",80,"A+",90,"S",100),_xlfn.SWITCH(H46,"F",0,"E",10,"D",20,"D+",30,"C",40,"C+",50,"B",60,"B+",70,"A",80,"A+",90,"S",100)),{0,15,25,35,45,55,65,75,85,95},{"D","D","D+","C","C+","B","B+","A","A+","S"}),"?")</f>
        <v>?</v>
      </c>
    </row>
    <row r="40" spans="2:12" ht="18" customHeight="1">
      <c r="B40" s="123"/>
      <c r="C40" s="24" t="s">
        <v>1062</v>
      </c>
      <c r="D40" s="25" t="s">
        <v>1063</v>
      </c>
      <c r="E40" s="19" t="s">
        <v>21</v>
      </c>
      <c r="F40" s="19"/>
      <c r="G40" s="19"/>
      <c r="H40" s="19"/>
      <c r="I40" s="19" t="str">
        <f>IF(AND(ISNUMBER(MATCH(E40,{"F","E","D","D+","C","C+","B","B+","A","A+","S"},0)),ISNUMBER(MATCH(F41,{"F","E","D","D+","C","C+","B","B+","A","A+","S"},0)),ISNUMBER(MATCH(G42,{"F","E","D","D+","C","C+","B","B+","A","A+","S"},0)),ISNUMBER(MATCH(H43,{"F","E","D","D+","C","C+","B","B+","A","A+","S"},0))),LOOKUP(AVERAGE(_xlfn.SWITCH(E44,"F",0,"E",10,"D",20,"D+",30,"C",40,"C+",50,"B",60,"B+",70,"A",80,"A+",90,"S",100),_xlfn.SWITCH(F45,"F",0,"E",10,"D",20,"D+",30,"C",40,"C+",50,"B",60,"B+",70,"A",80,"A+",90,"S",100),_xlfn.SWITCH(G46,"F",0,"E",10,"D",20,"D+",30,"C",40,"C+",50,"B",60,"B+",70,"A",80,"A+",90,"S",100),_xlfn.SWITCH(H47,"F",0,"E",10,"D",20,"D+",30,"C",40,"C+",50,"B",60,"B+",70,"A",80,"A+",90,"S",100)),{0,15,25,35,45,55,65,75,85,95},{"D","D","D+","C","C+","B","B+","A","A+","S"}),"?")</f>
        <v>?</v>
      </c>
    </row>
    <row r="41" spans="2:12" ht="18" customHeight="1">
      <c r="B41" s="123"/>
      <c r="C41" s="24" t="s">
        <v>1423</v>
      </c>
      <c r="D41" s="25" t="s">
        <v>1424</v>
      </c>
      <c r="E41" s="19" t="s">
        <v>1567</v>
      </c>
      <c r="F41" s="19"/>
      <c r="G41" s="19"/>
      <c r="H41" s="19"/>
      <c r="I41" s="19" t="str">
        <f>IF(AND(ISNUMBER(MATCH(E41,{"F","E","D","D+","C","C+","B","B+","A","A+","S"},0)),ISNUMBER(MATCH(F42,{"F","E","D","D+","C","C+","B","B+","A","A+","S"},0)),ISNUMBER(MATCH(G43,{"F","E","D","D+","C","C+","B","B+","A","A+","S"},0)),ISNUMBER(MATCH(H44,{"F","E","D","D+","C","C+","B","B+","A","A+","S"},0))),LOOKUP(AVERAGE(_xlfn.SWITCH(E45,"F",0,"E",10,"D",20,"D+",30,"C",40,"C+",50,"B",60,"B+",70,"A",80,"A+",90,"S",100),_xlfn.SWITCH(F46,"F",0,"E",10,"D",20,"D+",30,"C",40,"C+",50,"B",60,"B+",70,"A",80,"A+",90,"S",100),_xlfn.SWITCH(G47,"F",0,"E",10,"D",20,"D+",30,"C",40,"C+",50,"B",60,"B+",70,"A",80,"A+",90,"S",100),_xlfn.SWITCH(H48,"F",0,"E",10,"D",20,"D+",30,"C",40,"C+",50,"B",60,"B+",70,"A",80,"A+",90,"S",100)),{0,15,25,35,45,55,65,75,85,95},{"D","D","D+","C","C+","B","B+","A","A+","S"}),"?")</f>
        <v>?</v>
      </c>
    </row>
    <row r="42" spans="2:12" ht="18" customHeight="1">
      <c r="B42" s="123"/>
      <c r="C42" s="24" t="s">
        <v>1425</v>
      </c>
      <c r="D42" s="25" t="s">
        <v>1426</v>
      </c>
      <c r="E42" s="19" t="s">
        <v>22</v>
      </c>
      <c r="F42" s="19"/>
      <c r="G42" s="19"/>
      <c r="H42" s="19"/>
      <c r="I42" s="19" t="str">
        <f>IF(AND(ISNUMBER(MATCH(E42,{"F","E","D","D+","C","C+","B","B+","A","A+","S"},0)),ISNUMBER(MATCH(F43,{"F","E","D","D+","C","C+","B","B+","A","A+","S"},0)),ISNUMBER(MATCH(G44,{"F","E","D","D+","C","C+","B","B+","A","A+","S"},0)),ISNUMBER(MATCH(H45,{"F","E","D","D+","C","C+","B","B+","A","A+","S"},0))),LOOKUP(AVERAGE(_xlfn.SWITCH(E46,"F",0,"E",10,"D",20,"D+",30,"C",40,"C+",50,"B",60,"B+",70,"A",80,"A+",90,"S",100),_xlfn.SWITCH(F47,"F",0,"E",10,"D",20,"D+",30,"C",40,"C+",50,"B",60,"B+",70,"A",80,"A+",90,"S",100),_xlfn.SWITCH(G48,"F",0,"E",10,"D",20,"D+",30,"C",40,"C+",50,"B",60,"B+",70,"A",80,"A+",90,"S",100),_xlfn.SWITCH(H49,"F",0,"E",10,"D",20,"D+",30,"C",40,"C+",50,"B",60,"B+",70,"A",80,"A+",90,"S",100)),{0,15,25,35,45,55,65,75,85,95},{"D","D","D+","C","C+","B","B+","A","A+","S"}),"?")</f>
        <v>?</v>
      </c>
    </row>
    <row r="43" spans="2:12">
      <c r="B43" s="123"/>
      <c r="C43" s="24" t="s">
        <v>1195</v>
      </c>
      <c r="D43" s="25" t="s">
        <v>1196</v>
      </c>
      <c r="E43" s="19" t="s">
        <v>1562</v>
      </c>
      <c r="F43" s="19"/>
      <c r="G43" s="19"/>
      <c r="H43" s="19"/>
      <c r="I43" s="19" t="str">
        <f>IF(AND(ISNUMBER(MATCH(E43,{"F","E","D","D+","C","C+","B","B+","A","A+","S"},0)),ISNUMBER(MATCH(F44,{"F","E","D","D+","C","C+","B","B+","A","A+","S"},0)),ISNUMBER(MATCH(G45,{"F","E","D","D+","C","C+","B","B+","A","A+","S"},0)),ISNUMBER(MATCH(H46,{"F","E","D","D+","C","C+","B","B+","A","A+","S"},0))),LOOKUP(AVERAGE(_xlfn.SWITCH(E47,"F",0,"E",10,"D",20,"D+",30,"C",40,"C+",50,"B",60,"B+",70,"A",80,"A+",90,"S",100),_xlfn.SWITCH(F48,"F",0,"E",10,"D",20,"D+",30,"C",40,"C+",50,"B",60,"B+",70,"A",80,"A+",90,"S",100),_xlfn.SWITCH(G49,"F",0,"E",10,"D",20,"D+",30,"C",40,"C+",50,"B",60,"B+",70,"A",80,"A+",90,"S",100),_xlfn.SWITCH(H50,"F",0,"E",10,"D",20,"D+",30,"C",40,"C+",50,"B",60,"B+",70,"A",80,"A+",90,"S",100)),{0,15,25,35,45,55,65,75,85,95},{"D","D","D+","C","C+","B","B+","A","A+","S"}),"?")</f>
        <v>?</v>
      </c>
    </row>
    <row r="44" spans="2:12">
      <c r="B44" s="123"/>
      <c r="C44" s="24" t="s">
        <v>1427</v>
      </c>
      <c r="D44" s="25" t="s">
        <v>1428</v>
      </c>
      <c r="E44" s="19" t="s">
        <v>18</v>
      </c>
      <c r="F44" s="19"/>
      <c r="G44" s="19"/>
      <c r="H44" s="19"/>
      <c r="I44" s="19" t="str">
        <f>IF(AND(ISNUMBER(MATCH(E44,{"F","E","D","D+","C","C+","B","B+","A","A+","S"},0)),ISNUMBER(MATCH(F45,{"F","E","D","D+","C","C+","B","B+","A","A+","S"},0)),ISNUMBER(MATCH(G46,{"F","E","D","D+","C","C+","B","B+","A","A+","S"},0)),ISNUMBER(MATCH(H47,{"F","E","D","D+","C","C+","B","B+","A","A+","S"},0))),LOOKUP(AVERAGE(_xlfn.SWITCH(E48,"F",0,"E",10,"D",20,"D+",30,"C",40,"C+",50,"B",60,"B+",70,"A",80,"A+",90,"S",100),_xlfn.SWITCH(F49,"F",0,"E",10,"D",20,"D+",30,"C",40,"C+",50,"B",60,"B+",70,"A",80,"A+",90,"S",100),_xlfn.SWITCH(G50,"F",0,"E",10,"D",20,"D+",30,"C",40,"C+",50,"B",60,"B+",70,"A",80,"A+",90,"S",100),_xlfn.SWITCH(H51,"F",0,"E",10,"D",20,"D+",30,"C",40,"C+",50,"B",60,"B+",70,"A",80,"A+",90,"S",100)),{0,15,25,35,45,55,65,75,85,95},{"D","D","D+","C","C+","B","B+","A","A+","S"}),"?")</f>
        <v>?</v>
      </c>
    </row>
    <row r="45" spans="2:12">
      <c r="B45" s="123"/>
      <c r="C45" s="24" t="s">
        <v>1073</v>
      </c>
      <c r="D45" s="25" t="s">
        <v>1074</v>
      </c>
      <c r="E45" s="19" t="s">
        <v>28</v>
      </c>
      <c r="F45" s="19"/>
      <c r="G45" s="19"/>
      <c r="H45" s="19"/>
      <c r="I45" s="19" t="str">
        <f>IF(AND(ISNUMBER(MATCH(E45,{"F","E","D","D+","C","C+","B","B+","A","A+","S"},0)),ISNUMBER(MATCH(F46,{"F","E","D","D+","C","C+","B","B+","A","A+","S"},0)),ISNUMBER(MATCH(G47,{"F","E","D","D+","C","C+","B","B+","A","A+","S"},0)),ISNUMBER(MATCH(H48,{"F","E","D","D+","C","C+","B","B+","A","A+","S"},0))),LOOKUP(AVERAGE(_xlfn.SWITCH(E49,"F",0,"E",10,"D",20,"D+",30,"C",40,"C+",50,"B",60,"B+",70,"A",80,"A+",90,"S",100),_xlfn.SWITCH(F50,"F",0,"E",10,"D",20,"D+",30,"C",40,"C+",50,"B",60,"B+",70,"A",80,"A+",90,"S",100),_xlfn.SWITCH(G51,"F",0,"E",10,"D",20,"D+",30,"C",40,"C+",50,"B",60,"B+",70,"A",80,"A+",90,"S",100),_xlfn.SWITCH(H52,"F",0,"E",10,"D",20,"D+",30,"C",40,"C+",50,"B",60,"B+",70,"A",80,"A+",90,"S",100)),{0,15,25,35,45,55,65,75,85,95},{"D","D","D+","C","C+","B","B+","A","A+","S"}),"?")</f>
        <v>?</v>
      </c>
    </row>
    <row r="46" spans="2:12">
      <c r="B46" s="123"/>
      <c r="C46" s="24" t="s">
        <v>1429</v>
      </c>
      <c r="D46" s="25" t="s">
        <v>1430</v>
      </c>
      <c r="E46" s="19" t="s">
        <v>1567</v>
      </c>
      <c r="F46" s="19"/>
      <c r="G46" s="19"/>
      <c r="H46" s="19"/>
      <c r="I46" s="19" t="str">
        <f>IF(AND(ISNUMBER(MATCH(E46,{"F","E","D","D+","C","C+","B","B+","A","A+","S"},0)),ISNUMBER(MATCH(F47,{"F","E","D","D+","C","C+","B","B+","A","A+","S"},0)),ISNUMBER(MATCH(G48,{"F","E","D","D+","C","C+","B","B+","A","A+","S"},0)),ISNUMBER(MATCH(H49,{"F","E","D","D+","C","C+","B","B+","A","A+","S"},0))),LOOKUP(AVERAGE(_xlfn.SWITCH(E50,"F",0,"E",10,"D",20,"D+",30,"C",40,"C+",50,"B",60,"B+",70,"A",80,"A+",90,"S",100),_xlfn.SWITCH(F51,"F",0,"E",10,"D",20,"D+",30,"C",40,"C+",50,"B",60,"B+",70,"A",80,"A+",90,"S",100),_xlfn.SWITCH(G52,"F",0,"E",10,"D",20,"D+",30,"C",40,"C+",50,"B",60,"B+",70,"A",80,"A+",90,"S",100),_xlfn.SWITCH(H53,"F",0,"E",10,"D",20,"D+",30,"C",40,"C+",50,"B",60,"B+",70,"A",80,"A+",90,"S",100)),{0,15,25,35,45,55,65,75,85,95},{"D","D","D+","C","C+","B","B+","A","A+","S"}),"?")</f>
        <v>?</v>
      </c>
    </row>
    <row r="47" spans="2:12">
      <c r="B47" s="123"/>
      <c r="C47" s="24" t="s">
        <v>1190</v>
      </c>
      <c r="D47" s="25" t="s">
        <v>1191</v>
      </c>
      <c r="E47" s="19" t="s">
        <v>21</v>
      </c>
      <c r="F47" s="19"/>
      <c r="G47" s="19"/>
      <c r="H47" s="19"/>
      <c r="I47" s="19" t="str">
        <f>IF(AND(ISNUMBER(MATCH(E47,{"F","E","D","D+","C","C+","B","B+","A","A+","S"},0)),ISNUMBER(MATCH(F48,{"F","E","D","D+","C","C+","B","B+","A","A+","S"},0)),ISNUMBER(MATCH(G49,{"F","E","D","D+","C","C+","B","B+","A","A+","S"},0)),ISNUMBER(MATCH(H50,{"F","E","D","D+","C","C+","B","B+","A","A+","S"},0))),LOOKUP(AVERAGE(_xlfn.SWITCH(E51,"F",0,"E",10,"D",20,"D+",30,"C",40,"C+",50,"B",60,"B+",70,"A",80,"A+",90,"S",100),_xlfn.SWITCH(F52,"F",0,"E",10,"D",20,"D+",30,"C",40,"C+",50,"B",60,"B+",70,"A",80,"A+",90,"S",100),_xlfn.SWITCH(G53,"F",0,"E",10,"D",20,"D+",30,"C",40,"C+",50,"B",60,"B+",70,"A",80,"A+",90,"S",100),_xlfn.SWITCH(H54,"F",0,"E",10,"D",20,"D+",30,"C",40,"C+",50,"B",60,"B+",70,"A",80,"A+",90,"S",100)),{0,15,25,35,45,55,65,75,85,95},{"D","D","D+","C","C+","B","B+","A","A+","S"}),"?")</f>
        <v>?</v>
      </c>
    </row>
    <row r="48" spans="2:12">
      <c r="B48" s="123"/>
      <c r="C48" s="24" t="s">
        <v>1147</v>
      </c>
      <c r="D48" s="25" t="s">
        <v>1148</v>
      </c>
      <c r="E48" s="19" t="s">
        <v>22</v>
      </c>
      <c r="F48" s="19"/>
      <c r="G48" s="19"/>
      <c r="H48" s="19"/>
      <c r="I48" s="19" t="str">
        <f>IF(AND(ISNUMBER(MATCH(E48,{"F","E","D","D+","C","C+","B","B+","A","A+","S"},0)),ISNUMBER(MATCH(F49,{"F","E","D","D+","C","C+","B","B+","A","A+","S"},0)),ISNUMBER(MATCH(G50,{"F","E","D","D+","C","C+","B","B+","A","A+","S"},0)),ISNUMBER(MATCH(H51,{"F","E","D","D+","C","C+","B","B+","A","A+","S"},0))),LOOKUP(AVERAGE(_xlfn.SWITCH(E52,"F",0,"E",10,"D",20,"D+",30,"C",40,"C+",50,"B",60,"B+",70,"A",80,"A+",90,"S",100),_xlfn.SWITCH(F53,"F",0,"E",10,"D",20,"D+",30,"C",40,"C+",50,"B",60,"B+",70,"A",80,"A+",90,"S",100),_xlfn.SWITCH(G54,"F",0,"E",10,"D",20,"D+",30,"C",40,"C+",50,"B",60,"B+",70,"A",80,"A+",90,"S",100),_xlfn.SWITCH(H55,"F",0,"E",10,"D",20,"D+",30,"C",40,"C+",50,"B",60,"B+",70,"A",80,"A+",90,"S",100)),{0,15,25,35,45,55,65,75,85,95},{"D","D","D+","C","C+","B","B+","A","A+","S"}),"?")</f>
        <v>?</v>
      </c>
    </row>
    <row r="49" spans="2:9">
      <c r="B49" s="123"/>
      <c r="C49" s="24" t="s">
        <v>1121</v>
      </c>
      <c r="D49" s="25" t="s">
        <v>1122</v>
      </c>
      <c r="E49" s="19" t="s">
        <v>1567</v>
      </c>
      <c r="F49" s="19"/>
      <c r="G49" s="19"/>
      <c r="H49" s="19"/>
      <c r="I49" s="19" t="str">
        <f>IF(AND(ISNUMBER(MATCH(E49,{"F","E","D","D+","C","C+","B","B+","A","A+","S"},0)),ISNUMBER(MATCH(F50,{"F","E","D","D+","C","C+","B","B+","A","A+","S"},0)),ISNUMBER(MATCH(G51,{"F","E","D","D+","C","C+","B","B+","A","A+","S"},0)),ISNUMBER(MATCH(H52,{"F","E","D","D+","C","C+","B","B+","A","A+","S"},0))),LOOKUP(AVERAGE(_xlfn.SWITCH(E53,"F",0,"E",10,"D",20,"D+",30,"C",40,"C+",50,"B",60,"B+",70,"A",80,"A+",90,"S",100),_xlfn.SWITCH(F54,"F",0,"E",10,"D",20,"D+",30,"C",40,"C+",50,"B",60,"B+",70,"A",80,"A+",90,"S",100),_xlfn.SWITCH(G55,"F",0,"E",10,"D",20,"D+",30,"C",40,"C+",50,"B",60,"B+",70,"A",80,"A+",90,"S",100),_xlfn.SWITCH(H56,"F",0,"E",10,"D",20,"D+",30,"C",40,"C+",50,"B",60,"B+",70,"A",80,"A+",90,"S",100)),{0,15,25,35,45,55,65,75,85,95},{"D","D","D+","C","C+","B","B+","A","A+","S"}),"?")</f>
        <v>?</v>
      </c>
    </row>
    <row r="50" spans="2:9">
      <c r="B50" s="123"/>
      <c r="C50" s="24" t="s">
        <v>1431</v>
      </c>
      <c r="D50" s="25" t="s">
        <v>1432</v>
      </c>
      <c r="E50" s="19" t="s">
        <v>22</v>
      </c>
      <c r="F50" s="19"/>
      <c r="G50" s="19"/>
      <c r="H50" s="19"/>
      <c r="I50" s="19" t="str">
        <f>IF(AND(ISNUMBER(MATCH(E50,{"F","E","D","D+","C","C+","B","B+","A","A+","S"},0)),ISNUMBER(MATCH(F51,{"F","E","D","D+","C","C+","B","B+","A","A+","S"},0)),ISNUMBER(MATCH(G52,{"F","E","D","D+","C","C+","B","B+","A","A+","S"},0)),ISNUMBER(MATCH(H53,{"F","E","D","D+","C","C+","B","B+","A","A+","S"},0))),LOOKUP(AVERAGE(_xlfn.SWITCH(E54,"F",0,"E",10,"D",20,"D+",30,"C",40,"C+",50,"B",60,"B+",70,"A",80,"A+",90,"S",100),_xlfn.SWITCH(F55,"F",0,"E",10,"D",20,"D+",30,"C",40,"C+",50,"B",60,"B+",70,"A",80,"A+",90,"S",100),_xlfn.SWITCH(G56,"F",0,"E",10,"D",20,"D+",30,"C",40,"C+",50,"B",60,"B+",70,"A",80,"A+",90,"S",100),_xlfn.SWITCH(H57,"F",0,"E",10,"D",20,"D+",30,"C",40,"C+",50,"B",60,"B+",70,"A",80,"A+",90,"S",100)),{0,15,25,35,45,55,65,75,85,95},{"D","D","D+","C","C+","B","B+","A","A+","S"}),"?")</f>
        <v>?</v>
      </c>
    </row>
    <row r="51" spans="2:9">
      <c r="B51" s="123"/>
      <c r="C51" s="24" t="s">
        <v>1433</v>
      </c>
      <c r="D51" s="25" t="s">
        <v>1434</v>
      </c>
      <c r="E51" s="19" t="s">
        <v>18</v>
      </c>
      <c r="F51" s="19"/>
      <c r="G51" s="19"/>
      <c r="H51" s="19"/>
      <c r="I51" s="19" t="str">
        <f>IF(AND(ISNUMBER(MATCH(E51,{"F","E","D","D+","C","C+","B","B+","A","A+","S"},0)),ISNUMBER(MATCH(F52,{"F","E","D","D+","C","C+","B","B+","A","A+","S"},0)),ISNUMBER(MATCH(G53,{"F","E","D","D+","C","C+","B","B+","A","A+","S"},0)),ISNUMBER(MATCH(H54,{"F","E","D","D+","C","C+","B","B+","A","A+","S"},0))),LOOKUP(AVERAGE(_xlfn.SWITCH(E55,"F",0,"E",10,"D",20,"D+",30,"C",40,"C+",50,"B",60,"B+",70,"A",80,"A+",90,"S",100),_xlfn.SWITCH(F56,"F",0,"E",10,"D",20,"D+",30,"C",40,"C+",50,"B",60,"B+",70,"A",80,"A+",90,"S",100),_xlfn.SWITCH(G57,"F",0,"E",10,"D",20,"D+",30,"C",40,"C+",50,"B",60,"B+",70,"A",80,"A+",90,"S",100),_xlfn.SWITCH(H58,"F",0,"E",10,"D",20,"D+",30,"C",40,"C+",50,"B",60,"B+",70,"A",80,"A+",90,"S",100)),{0,15,25,35,45,55,65,75,85,95},{"D","D","D+","C","C+","B","B+","A","A+","S"}),"?")</f>
        <v>?</v>
      </c>
    </row>
    <row r="52" spans="2:9">
      <c r="B52" s="123"/>
      <c r="C52" s="24" t="s">
        <v>1435</v>
      </c>
      <c r="D52" s="25" t="s">
        <v>1436</v>
      </c>
      <c r="E52" s="19" t="s">
        <v>1567</v>
      </c>
      <c r="F52" s="19"/>
      <c r="G52" s="19"/>
      <c r="H52" s="19"/>
      <c r="I52" s="19" t="str">
        <f>IF(AND(ISNUMBER(MATCH(E52,{"F","E","D","D+","C","C+","B","B+","A","A+","S"},0)),ISNUMBER(MATCH(F53,{"F","E","D","D+","C","C+","B","B+","A","A+","S"},0)),ISNUMBER(MATCH(G54,{"F","E","D","D+","C","C+","B","B+","A","A+","S"},0)),ISNUMBER(MATCH(H55,{"F","E","D","D+","C","C+","B","B+","A","A+","S"},0))),LOOKUP(AVERAGE(_xlfn.SWITCH(E56,"F",0,"E",10,"D",20,"D+",30,"C",40,"C+",50,"B",60,"B+",70,"A",80,"A+",90,"S",100),_xlfn.SWITCH(F57,"F",0,"E",10,"D",20,"D+",30,"C",40,"C+",50,"B",60,"B+",70,"A",80,"A+",90,"S",100),_xlfn.SWITCH(G58,"F",0,"E",10,"D",20,"D+",30,"C",40,"C+",50,"B",60,"B+",70,"A",80,"A+",90,"S",100),_xlfn.SWITCH(H59,"F",0,"E",10,"D",20,"D+",30,"C",40,"C+",50,"B",60,"B+",70,"A",80,"A+",90,"S",100)),{0,15,25,35,45,55,65,75,85,95},{"D","D","D+","C","C+","B","B+","A","A+","S"}),"?")</f>
        <v>?</v>
      </c>
    </row>
    <row r="53" spans="2:9">
      <c r="B53" s="123"/>
      <c r="C53" s="24" t="s">
        <v>1437</v>
      </c>
      <c r="D53" s="25" t="s">
        <v>1438</v>
      </c>
      <c r="E53" s="19" t="s">
        <v>1567</v>
      </c>
      <c r="F53" s="19"/>
      <c r="G53" s="19"/>
      <c r="H53" s="19"/>
      <c r="I53" s="19" t="str">
        <f>IF(AND(ISNUMBER(MATCH(E53,{"F","E","D","D+","C","C+","B","B+","A","A+","S"},0)),ISNUMBER(MATCH(F53,{"F","E","D","D+","C","C+","B","B+","A","A+","S"},0)),ISNUMBER(MATCH(G53,{"F","E","D","D+","C","C+","B","B+","A","A+","S"},0)),ISNUMBER(MATCH(H53,{"F","E","D","D+","C","C+","B","B+","A","A+","S"},0))),LOOKUP(AVERAGE(_xlfn.SWITCH(E53,"F",0,"E",10,"D",20,"D+",30,"C",40,"C+",50,"B",60,"B+",70,"A",80,"A+",90,"S",100),_xlfn.SWITCH(F53,"F",0,"E",10,"D",20,"D+",30,"C",40,"C+",50,"B",60,"B+",70,"A",80,"A+",90,"S",100),_xlfn.SWITCH(G53,"F",0,"E",10,"D",20,"D+",30,"C",40,"C+",50,"B",60,"B+",70,"A",80,"A+",90,"S",100),_xlfn.SWITCH(H53,"F",0,"E",10,"D",20,"D+",30,"C",40,"C+",50,"B",60,"B+",70,"A",80,"A+",90,"S",100)),{0,15,25,35,45,55,65,75,85,95},{"D","D","D+","C","C+","B","B+","A","A+","S"}),"?")</f>
        <v>?</v>
      </c>
    </row>
    <row r="54" spans="2:9">
      <c r="B54" s="123"/>
      <c r="C54" s="24" t="s">
        <v>1206</v>
      </c>
      <c r="D54" s="25" t="s">
        <v>1207</v>
      </c>
      <c r="E54" s="19" t="s">
        <v>28</v>
      </c>
      <c r="F54" s="19"/>
      <c r="G54" s="19"/>
      <c r="H54" s="19"/>
      <c r="I54" s="19" t="str">
        <f>IF(AND(ISNUMBER(MATCH(E54,{"F","E","D","D+","C","C+","B","B+","A","A+","S"},0)),ISNUMBER(MATCH(F54,{"F","E","D","D+","C","C+","B","B+","A","A+","S"},0)),ISNUMBER(MATCH(G54,{"F","E","D","D+","C","C+","B","B+","A","A+","S"},0)),ISNUMBER(MATCH(H54,{"F","E","D","D+","C","C+","B","B+","A","A+","S"},0))),LOOKUP(AVERAGE(_xlfn.SWITCH(E54,"F",0,"E",10,"D",20,"D+",30,"C",40,"C+",50,"B",60,"B+",70,"A",80,"A+",90,"S",100),_xlfn.SWITCH(F54,"F",0,"E",10,"D",20,"D+",30,"C",40,"C+",50,"B",60,"B+",70,"A",80,"A+",90,"S",100),_xlfn.SWITCH(G54,"F",0,"E",10,"D",20,"D+",30,"C",40,"C+",50,"B",60,"B+",70,"A",80,"A+",90,"S",100),_xlfn.SWITCH(H54,"F",0,"E",10,"D",20,"D+",30,"C",40,"C+",50,"B",60,"B+",70,"A",80,"A+",90,"S",100)),{0,15,25,35,45,55,65,75,85,95},{"D","D","D+","C","C+","B","B+","A","A+","S"}),"?")</f>
        <v>?</v>
      </c>
    </row>
    <row r="55" spans="2:9">
      <c r="B55" s="123"/>
      <c r="C55" s="24" t="s">
        <v>1439</v>
      </c>
      <c r="D55" s="25" t="s">
        <v>1440</v>
      </c>
      <c r="E55" s="19" t="s">
        <v>1567</v>
      </c>
      <c r="F55" s="19"/>
      <c r="G55" s="19"/>
      <c r="H55" s="19"/>
      <c r="I55" s="19" t="str">
        <f>IF(AND(ISNUMBER(MATCH(E55,{"F","E","D","D+","C","C+","B","B+","A","A+","S"},0)),ISNUMBER(MATCH(F55,{"F","E","D","D+","C","C+","B","B+","A","A+","S"},0)),ISNUMBER(MATCH(G55,{"F","E","D","D+","C","C+","B","B+","A","A+","S"},0)),ISNUMBER(MATCH(H55,{"F","E","D","D+","C","C+","B","B+","A","A+","S"},0))),LOOKUP(AVERAGE(_xlfn.SWITCH(E55,"F",0,"E",10,"D",20,"D+",30,"C",40,"C+",50,"B",60,"B+",70,"A",80,"A+",90,"S",100),_xlfn.SWITCH(F55,"F",0,"E",10,"D",20,"D+",30,"C",40,"C+",50,"B",60,"B+",70,"A",80,"A+",90,"S",100),_xlfn.SWITCH(G55,"F",0,"E",10,"D",20,"D+",30,"C",40,"C+",50,"B",60,"B+",70,"A",80,"A+",90,"S",100),_xlfn.SWITCH(H55,"F",0,"E",10,"D",20,"D+",30,"C",40,"C+",50,"B",60,"B+",70,"A",80,"A+",90,"S",100)),{0,15,25,35,45,55,65,75,85,95},{"D","D","D+","C","C+","B","B+","A","A+","S"}),"?")</f>
        <v>?</v>
      </c>
    </row>
    <row r="56" spans="2:9">
      <c r="B56" s="123"/>
      <c r="C56" s="24" t="s">
        <v>1228</v>
      </c>
      <c r="D56" s="42" t="s">
        <v>1229</v>
      </c>
      <c r="E56" s="19" t="s">
        <v>18</v>
      </c>
      <c r="F56" s="19"/>
      <c r="G56" s="19"/>
      <c r="H56" s="19"/>
      <c r="I56" s="19" t="str">
        <f>IF(AND(ISNUMBER(MATCH(E56,{"F","E","D","D+","C","C+","B","B+","A","A+","S"},0)),ISNUMBER(MATCH(F56,{"F","E","D","D+","C","C+","B","B+","A","A+","S"},0)),ISNUMBER(MATCH(G56,{"F","E","D","D+","C","C+","B","B+","A","A+","S"},0)),ISNUMBER(MATCH(H56,{"F","E","D","D+","C","C+","B","B+","A","A+","S"},0))),LOOKUP(AVERAGE(_xlfn.SWITCH(E56,"F",0,"E",10,"D",20,"D+",30,"C",40,"C+",50,"B",60,"B+",70,"A",80,"A+",90,"S",100),_xlfn.SWITCH(F56,"F",0,"E",10,"D",20,"D+",30,"C",40,"C+",50,"B",60,"B+",70,"A",80,"A+",90,"S",100),_xlfn.SWITCH(G56,"F",0,"E",10,"D",20,"D+",30,"C",40,"C+",50,"B",60,"B+",70,"A",80,"A+",90,"S",100),_xlfn.SWITCH(H56,"F",0,"E",10,"D",20,"D+",30,"C",40,"C+",50,"B",60,"B+",70,"A",80,"A+",90,"S",100)),{0,15,25,35,45,55,65,75,85,95},{"D","D","D+","C","C+","B","B+","A","A+","S"}),"?")</f>
        <v>?</v>
      </c>
    </row>
    <row r="57" spans="2:9">
      <c r="B57" s="123"/>
      <c r="C57" s="24" t="s">
        <v>1441</v>
      </c>
      <c r="D57" s="25" t="s">
        <v>1442</v>
      </c>
      <c r="E57" s="19" t="s">
        <v>1574</v>
      </c>
      <c r="F57" s="19"/>
      <c r="G57" s="19"/>
      <c r="H57" s="19"/>
      <c r="I57" s="19" t="str">
        <f>IF(AND(ISNUMBER(MATCH(E57,{"F","E","D","D+","C","C+","B","B+","A","A+","S"},0)),ISNUMBER(MATCH(F57,{"F","E","D","D+","C","C+","B","B+","A","A+","S"},0)),ISNUMBER(MATCH(G57,{"F","E","D","D+","C","C+","B","B+","A","A+","S"},0)),ISNUMBER(MATCH(H57,{"F","E","D","D+","C","C+","B","B+","A","A+","S"},0))),LOOKUP(AVERAGE(_xlfn.SWITCH(E57,"F",0,"E",10,"D",20,"D+",30,"C",40,"C+",50,"B",60,"B+",70,"A",80,"A+",90,"S",100),_xlfn.SWITCH(F57,"F",0,"E",10,"D",20,"D+",30,"C",40,"C+",50,"B",60,"B+",70,"A",80,"A+",90,"S",100),_xlfn.SWITCH(G57,"F",0,"E",10,"D",20,"D+",30,"C",40,"C+",50,"B",60,"B+",70,"A",80,"A+",90,"S",100),_xlfn.SWITCH(H57,"F",0,"E",10,"D",20,"D+",30,"C",40,"C+",50,"B",60,"B+",70,"A",80,"A+",90,"S",100)),{0,15,25,35,45,55,65,75,85,95},{"D","D","D+","C","C+","B","B+","A","A+","S"}),"?")</f>
        <v>?</v>
      </c>
    </row>
    <row r="58" spans="2:9">
      <c r="B58" s="123"/>
      <c r="C58" s="24" t="s">
        <v>1163</v>
      </c>
      <c r="D58" s="43" t="s">
        <v>1164</v>
      </c>
      <c r="E58" s="19" t="s">
        <v>1562</v>
      </c>
      <c r="F58" s="19"/>
      <c r="G58" s="19"/>
      <c r="H58" s="19"/>
      <c r="I58" s="19" t="str">
        <f>IF(AND(ISNUMBER(MATCH(E58,{"F","E","D","D+","C","C+","B","B+","A","A+","S"},0)),ISNUMBER(MATCH(F58,{"F","E","D","D+","C","C+","B","B+","A","A+","S"},0)),ISNUMBER(MATCH(G58,{"F","E","D","D+","C","C+","B","B+","A","A+","S"},0)),ISNUMBER(MATCH(H58,{"F","E","D","D+","C","C+","B","B+","A","A+","S"},0))),LOOKUP(AVERAGE(_xlfn.SWITCH(E58,"F",0,"E",10,"D",20,"D+",30,"C",40,"C+",50,"B",60,"B+",70,"A",80,"A+",90,"S",100),_xlfn.SWITCH(F58,"F",0,"E",10,"D",20,"D+",30,"C",40,"C+",50,"B",60,"B+",70,"A",80,"A+",90,"S",100),_xlfn.SWITCH(G58,"F",0,"E",10,"D",20,"D+",30,"C",40,"C+",50,"B",60,"B+",70,"A",80,"A+",90,"S",100),_xlfn.SWITCH(H58,"F",0,"E",10,"D",20,"D+",30,"C",40,"C+",50,"B",60,"B+",70,"A",80,"A+",90,"S",100)),{0,15,25,35,45,55,65,75,85,95},{"D","D","D+","C","C+","B","B+","A","A+","S"}),"?")</f>
        <v>?</v>
      </c>
    </row>
    <row r="59" spans="2:9">
      <c r="B59" s="123"/>
      <c r="C59" s="24" t="s">
        <v>1443</v>
      </c>
      <c r="D59" s="43" t="s">
        <v>1444</v>
      </c>
      <c r="E59" s="19" t="s">
        <v>18</v>
      </c>
      <c r="F59" s="19"/>
      <c r="G59" s="19"/>
      <c r="H59" s="19"/>
      <c r="I59" s="19" t="str">
        <f>IF(AND(ISNUMBER(MATCH(E59,{"F","E","D","D+","C","C+","B","B+","A","A+","S"},0)),ISNUMBER(MATCH(F59,{"F","E","D","D+","C","C+","B","B+","A","A+","S"},0)),ISNUMBER(MATCH(G59,{"F","E","D","D+","C","C+","B","B+","A","A+","S"},0)),ISNUMBER(MATCH(H59,{"F","E","D","D+","C","C+","B","B+","A","A+","S"},0))),LOOKUP(AVERAGE(_xlfn.SWITCH(E59,"F",0,"E",10,"D",20,"D+",30,"C",40,"C+",50,"B",60,"B+",70,"A",80,"A+",90,"S",100),_xlfn.SWITCH(F59,"F",0,"E",10,"D",20,"D+",30,"C",40,"C+",50,"B",60,"B+",70,"A",80,"A+",90,"S",100),_xlfn.SWITCH(G59,"F",0,"E",10,"D",20,"D+",30,"C",40,"C+",50,"B",60,"B+",70,"A",80,"A+",90,"S",100),_xlfn.SWITCH(H59,"F",0,"E",10,"D",20,"D+",30,"C",40,"C+",50,"B",60,"B+",70,"A",80,"A+",90,"S",100)),{0,15,25,35,45,55,65,75,85,95},{"D","D","D+","C","C+","B","B+","A","A+","S"}),"?")</f>
        <v>?</v>
      </c>
    </row>
  </sheetData>
  <mergeCells count="20">
    <mergeCell ref="C13:K14"/>
    <mergeCell ref="J16:L16"/>
    <mergeCell ref="J15:L15"/>
    <mergeCell ref="J17:L17"/>
    <mergeCell ref="J18:L18"/>
    <mergeCell ref="J19:L19"/>
    <mergeCell ref="J20:L20"/>
    <mergeCell ref="J21:L21"/>
    <mergeCell ref="J22:L22"/>
    <mergeCell ref="J23:L23"/>
    <mergeCell ref="J24:L24"/>
    <mergeCell ref="J25:L25"/>
    <mergeCell ref="J26:L26"/>
    <mergeCell ref="J27:L27"/>
    <mergeCell ref="J28:L28"/>
    <mergeCell ref="J29:L29"/>
    <mergeCell ref="J30:L30"/>
    <mergeCell ref="J31:L31"/>
    <mergeCell ref="J32:L32"/>
    <mergeCell ref="J33:L33"/>
  </mergeCells>
  <phoneticPr fontId="89" type="noConversion"/>
  <dataValidations count="1">
    <dataValidation type="list" allowBlank="1" showInputMessage="1" showErrorMessage="1" sqref="E16:I59" xr:uid="{00000000-0002-0000-0400-000000000000}">
      <formula1>"S,A+,A,B+,B,C+,C,D+,D,?,"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枫岚聊混音"/>
  <dimension ref="A1:AA266"/>
  <sheetViews>
    <sheetView workbookViewId="0"/>
  </sheetViews>
  <sheetFormatPr baseColWidth="10" defaultColWidth="13.7109375" defaultRowHeight="18" customHeight="1"/>
  <cols>
    <col min="1" max="1" width="11" style="159" customWidth="1"/>
    <col min="2" max="2" width="34.85546875" style="159" customWidth="1"/>
    <col min="3" max="3" width="17.28515625" style="124" customWidth="1"/>
    <col min="4" max="6" width="14.85546875" style="124" customWidth="1"/>
    <col min="7" max="7" width="54.140625" style="1" customWidth="1"/>
    <col min="8" max="8" width="41.5703125" style="1" customWidth="1"/>
    <col min="9" max="9" width="6" style="313" customWidth="1"/>
    <col min="10" max="27" width="12.5703125" style="1" customWidth="1"/>
  </cols>
  <sheetData>
    <row r="1" spans="1:27" ht="122.25" customHeight="1">
      <c r="A1" s="551" t="s">
        <v>2018</v>
      </c>
      <c r="B1" s="543"/>
      <c r="C1" s="543"/>
      <c r="D1" s="543"/>
      <c r="E1" s="543"/>
      <c r="F1" s="543"/>
      <c r="G1" s="552"/>
      <c r="H1" s="543"/>
      <c r="I1" s="2"/>
      <c r="J1" s="14"/>
      <c r="K1" s="14"/>
      <c r="L1" s="14"/>
      <c r="M1" s="14"/>
      <c r="N1" s="14"/>
      <c r="O1" s="14"/>
      <c r="P1" s="14"/>
      <c r="Q1" s="14"/>
      <c r="R1" s="14"/>
      <c r="S1" s="14"/>
      <c r="T1" s="14"/>
      <c r="U1" s="14"/>
      <c r="V1" s="14"/>
      <c r="W1" s="14"/>
      <c r="X1" s="14"/>
      <c r="Y1" s="14"/>
      <c r="Z1" s="14"/>
      <c r="AA1" s="14"/>
    </row>
    <row r="2" spans="1:27" ht="30" customHeight="1">
      <c r="A2" s="540" t="s">
        <v>1</v>
      </c>
      <c r="B2" s="543"/>
      <c r="C2" s="543"/>
      <c r="D2" s="543"/>
      <c r="E2" s="543"/>
      <c r="F2" s="543"/>
      <c r="G2" s="550"/>
      <c r="H2" s="543"/>
      <c r="I2" s="2"/>
      <c r="J2" s="581" t="s">
        <v>2</v>
      </c>
      <c r="K2" s="543"/>
      <c r="L2" s="543"/>
      <c r="M2" s="543"/>
      <c r="N2" s="543"/>
      <c r="O2" s="543"/>
      <c r="P2" s="543"/>
      <c r="Q2" s="543"/>
      <c r="R2" s="126"/>
      <c r="S2" s="14"/>
      <c r="T2" s="14"/>
      <c r="U2" s="14"/>
      <c r="V2" s="14"/>
      <c r="W2" s="14"/>
      <c r="X2" s="14"/>
      <c r="Y2" s="14"/>
      <c r="Z2" s="14"/>
      <c r="AA2" s="14"/>
    </row>
    <row r="3" spans="1:27" ht="27" customHeight="1">
      <c r="A3" s="5" t="s">
        <v>4</v>
      </c>
      <c r="B3" s="6" t="s">
        <v>5</v>
      </c>
      <c r="C3" s="7" t="s">
        <v>2019</v>
      </c>
      <c r="D3" s="7" t="s">
        <v>2020</v>
      </c>
      <c r="E3" s="7" t="s">
        <v>2021</v>
      </c>
      <c r="F3" s="7" t="s">
        <v>10</v>
      </c>
      <c r="G3" s="7" t="s">
        <v>11</v>
      </c>
      <c r="H3" s="7" t="s">
        <v>12</v>
      </c>
      <c r="I3" s="2"/>
      <c r="J3" s="7" t="s">
        <v>4</v>
      </c>
      <c r="K3" s="89" t="s">
        <v>5</v>
      </c>
      <c r="L3" s="7" t="s">
        <v>6</v>
      </c>
      <c r="M3" s="7" t="s">
        <v>7</v>
      </c>
      <c r="N3" s="7" t="s">
        <v>8</v>
      </c>
      <c r="O3" s="7" t="s">
        <v>9</v>
      </c>
      <c r="P3" s="7" t="s">
        <v>10</v>
      </c>
      <c r="Q3" s="7" t="s">
        <v>11</v>
      </c>
      <c r="R3" s="7" t="s">
        <v>12</v>
      </c>
      <c r="S3" s="14"/>
      <c r="T3" s="14"/>
      <c r="U3" s="14"/>
      <c r="V3" s="14"/>
      <c r="W3" s="14"/>
      <c r="X3" s="14"/>
      <c r="Y3" s="14"/>
      <c r="Z3" s="14"/>
      <c r="AA3" s="14"/>
    </row>
    <row r="4" spans="1:27" ht="21">
      <c r="A4" s="5" t="s">
        <v>14</v>
      </c>
      <c r="B4" s="5" t="s">
        <v>15</v>
      </c>
      <c r="C4" s="10" t="s">
        <v>22</v>
      </c>
      <c r="D4" s="10" t="s">
        <v>22</v>
      </c>
      <c r="E4" s="10" t="s">
        <v>22</v>
      </c>
      <c r="F4" s="10" t="s">
        <v>22</v>
      </c>
      <c r="H4" s="11"/>
      <c r="I4" s="2"/>
      <c r="J4" s="14"/>
      <c r="K4" s="14"/>
      <c r="L4" s="14"/>
      <c r="M4" s="14"/>
      <c r="N4" s="14"/>
      <c r="O4" s="14"/>
      <c r="P4" s="14"/>
      <c r="Q4" s="14"/>
      <c r="R4" s="14"/>
      <c r="S4" s="14"/>
      <c r="T4" s="14"/>
      <c r="U4" s="14"/>
      <c r="V4" s="14"/>
      <c r="W4" s="14"/>
      <c r="X4" s="14"/>
      <c r="Y4" s="14"/>
      <c r="Z4" s="14"/>
      <c r="AA4" s="14"/>
    </row>
    <row r="5" spans="1:27" ht="21">
      <c r="A5" s="5" t="s">
        <v>26</v>
      </c>
      <c r="B5" s="5" t="s">
        <v>27</v>
      </c>
      <c r="C5" s="10" t="s">
        <v>21</v>
      </c>
      <c r="D5" s="10" t="s">
        <v>1567</v>
      </c>
      <c r="E5" s="10" t="s">
        <v>21</v>
      </c>
      <c r="F5" s="10" t="s">
        <v>21</v>
      </c>
      <c r="G5" t="s">
        <v>2022</v>
      </c>
      <c r="H5" s="11"/>
      <c r="I5" s="2"/>
      <c r="J5" s="14"/>
      <c r="K5" s="14"/>
      <c r="L5" s="14"/>
      <c r="M5" s="14"/>
      <c r="N5" s="14"/>
      <c r="O5" s="14"/>
      <c r="P5" s="14"/>
      <c r="Q5" s="14"/>
      <c r="R5" s="14"/>
      <c r="S5" s="14"/>
      <c r="T5" s="14"/>
      <c r="U5" s="14"/>
      <c r="V5" s="14"/>
      <c r="W5" s="14"/>
      <c r="X5" s="14"/>
      <c r="Y5" s="14"/>
      <c r="Z5" s="14"/>
      <c r="AA5" s="14"/>
    </row>
    <row r="6" spans="1:27" ht="21">
      <c r="A6" s="5" t="s">
        <v>34</v>
      </c>
      <c r="B6" s="5" t="s">
        <v>35</v>
      </c>
      <c r="C6" s="10" t="s">
        <v>22</v>
      </c>
      <c r="D6" s="10" t="s">
        <v>22</v>
      </c>
      <c r="E6" s="10" t="s">
        <v>22</v>
      </c>
      <c r="F6" s="10" t="s">
        <v>22</v>
      </c>
      <c r="H6" s="11"/>
      <c r="I6" s="2"/>
      <c r="J6" s="14"/>
      <c r="K6" s="14"/>
      <c r="L6" s="14"/>
      <c r="M6" s="14"/>
      <c r="N6" s="14"/>
      <c r="O6" s="14"/>
      <c r="P6" s="14"/>
      <c r="Q6" s="14"/>
      <c r="R6" s="14"/>
      <c r="S6" s="14"/>
      <c r="T6" s="14"/>
      <c r="U6" s="14"/>
      <c r="V6" s="14"/>
      <c r="W6" s="14"/>
      <c r="X6" s="14"/>
      <c r="Y6" s="14"/>
      <c r="Z6" s="14"/>
      <c r="AA6" s="14"/>
    </row>
    <row r="7" spans="1:27" ht="21">
      <c r="A7" s="5" t="s">
        <v>41</v>
      </c>
      <c r="B7" s="5" t="s">
        <v>42</v>
      </c>
      <c r="C7" s="10" t="s">
        <v>1574</v>
      </c>
      <c r="D7" s="10" t="s">
        <v>1574</v>
      </c>
      <c r="E7" s="10" t="s">
        <v>18</v>
      </c>
      <c r="F7" s="10" t="s">
        <v>1562</v>
      </c>
      <c r="G7" t="s">
        <v>2023</v>
      </c>
      <c r="H7" s="11"/>
      <c r="I7" s="2"/>
      <c r="J7" s="14"/>
      <c r="K7" s="14"/>
      <c r="L7" s="14"/>
      <c r="M7" s="14"/>
      <c r="N7" s="14"/>
      <c r="O7" s="14"/>
      <c r="P7" s="14"/>
      <c r="Q7" s="14"/>
      <c r="R7" s="14"/>
      <c r="S7" s="14"/>
      <c r="T7" s="14"/>
      <c r="U7" s="14"/>
      <c r="V7" s="14"/>
      <c r="W7" s="14"/>
      <c r="X7" s="14"/>
      <c r="Y7" s="14"/>
      <c r="Z7" s="14"/>
      <c r="AA7" s="14"/>
    </row>
    <row r="8" spans="1:27" ht="21">
      <c r="A8" s="5" t="s">
        <v>48</v>
      </c>
      <c r="B8" s="5" t="s">
        <v>49</v>
      </c>
      <c r="C8" s="10" t="s">
        <v>18</v>
      </c>
      <c r="D8" s="10" t="s">
        <v>1562</v>
      </c>
      <c r="E8" s="10" t="s">
        <v>18</v>
      </c>
      <c r="F8" s="10" t="s">
        <v>1567</v>
      </c>
      <c r="G8" t="s">
        <v>2024</v>
      </c>
      <c r="H8" s="11"/>
      <c r="I8" s="2"/>
      <c r="J8" s="14"/>
      <c r="K8" s="14"/>
      <c r="L8" s="14"/>
      <c r="M8" s="14"/>
      <c r="N8" s="14"/>
      <c r="O8" s="14"/>
      <c r="P8" s="14"/>
      <c r="Q8" s="14"/>
      <c r="R8" s="14"/>
      <c r="S8" s="14"/>
      <c r="T8" s="14"/>
      <c r="U8" s="14"/>
      <c r="V8" s="14"/>
      <c r="W8" s="14"/>
      <c r="X8" s="14"/>
      <c r="Y8" s="14"/>
      <c r="Z8" s="14"/>
      <c r="AA8" s="14"/>
    </row>
    <row r="9" spans="1:27" ht="21">
      <c r="A9" s="5" t="s">
        <v>55</v>
      </c>
      <c r="B9" s="5" t="s">
        <v>56</v>
      </c>
      <c r="C9" s="10" t="s">
        <v>1574</v>
      </c>
      <c r="D9" s="10" t="s">
        <v>1574</v>
      </c>
      <c r="E9" s="10" t="s">
        <v>1574</v>
      </c>
      <c r="F9" s="10" t="s">
        <v>1574</v>
      </c>
      <c r="H9" s="11"/>
      <c r="I9" s="2"/>
      <c r="J9" s="14"/>
      <c r="K9" s="14"/>
      <c r="L9" s="14"/>
      <c r="M9" s="14"/>
      <c r="N9" s="14"/>
      <c r="O9" s="14"/>
      <c r="P9" s="14"/>
      <c r="Q9" s="14"/>
      <c r="R9" s="14"/>
      <c r="S9" s="14"/>
      <c r="T9" s="14"/>
      <c r="U9" s="14"/>
      <c r="V9" s="14"/>
      <c r="W9" s="14"/>
      <c r="X9" s="14"/>
      <c r="Y9" s="14"/>
      <c r="Z9" s="14"/>
      <c r="AA9" s="14"/>
    </row>
    <row r="10" spans="1:27" ht="21">
      <c r="A10" s="5" t="s">
        <v>62</v>
      </c>
      <c r="B10" s="5" t="s">
        <v>63</v>
      </c>
      <c r="C10" s="10" t="s">
        <v>1574</v>
      </c>
      <c r="D10" s="10" t="s">
        <v>1661</v>
      </c>
      <c r="E10" s="10" t="s">
        <v>1574</v>
      </c>
      <c r="F10" s="10" t="s">
        <v>1574</v>
      </c>
      <c r="G10" t="s">
        <v>2025</v>
      </c>
      <c r="H10" s="11"/>
      <c r="I10" s="2"/>
      <c r="J10" s="14"/>
      <c r="K10" s="14"/>
      <c r="L10" s="14"/>
      <c r="M10" s="14"/>
      <c r="N10" s="14"/>
      <c r="O10" s="14"/>
      <c r="P10" s="14"/>
      <c r="Q10" s="14"/>
      <c r="R10" s="14"/>
      <c r="S10" s="14"/>
      <c r="T10" s="14"/>
      <c r="U10" s="14"/>
      <c r="V10" s="14"/>
      <c r="W10" s="14"/>
      <c r="X10" s="14"/>
      <c r="Y10" s="14"/>
      <c r="Z10" s="14"/>
      <c r="AA10" s="14"/>
    </row>
    <row r="11" spans="1:27" ht="21">
      <c r="A11" s="5" t="s">
        <v>67</v>
      </c>
      <c r="B11" s="5" t="s">
        <v>68</v>
      </c>
      <c r="C11" s="10" t="s">
        <v>1574</v>
      </c>
      <c r="D11" s="10" t="s">
        <v>1574</v>
      </c>
      <c r="E11" s="10" t="s">
        <v>1574</v>
      </c>
      <c r="F11" s="10" t="s">
        <v>1574</v>
      </c>
      <c r="H11" s="11"/>
      <c r="I11" s="2"/>
      <c r="J11" s="14"/>
      <c r="K11" s="14"/>
      <c r="L11" s="14"/>
      <c r="M11" s="14"/>
      <c r="N11" s="14"/>
      <c r="O11" s="14"/>
      <c r="P11" s="14"/>
      <c r="Q11" s="14"/>
      <c r="R11" s="14"/>
      <c r="S11" s="14"/>
      <c r="T11" s="14"/>
      <c r="U11" s="14"/>
      <c r="V11" s="14"/>
      <c r="W11" s="14"/>
      <c r="X11" s="14"/>
      <c r="Y11" s="14"/>
      <c r="Z11" s="14"/>
      <c r="AA11" s="14"/>
    </row>
    <row r="12" spans="1:27" ht="21">
      <c r="A12" s="5" t="s">
        <v>74</v>
      </c>
      <c r="B12" s="5" t="s">
        <v>75</v>
      </c>
      <c r="C12" s="10" t="s">
        <v>1574</v>
      </c>
      <c r="D12" s="10" t="s">
        <v>1661</v>
      </c>
      <c r="E12" s="10" t="s">
        <v>1574</v>
      </c>
      <c r="F12" s="10" t="s">
        <v>1574</v>
      </c>
      <c r="H12" s="11"/>
      <c r="I12" s="2"/>
      <c r="J12" s="14"/>
      <c r="K12" s="14"/>
      <c r="L12" s="14"/>
      <c r="M12" s="14"/>
      <c r="N12" s="14"/>
      <c r="O12" s="14"/>
      <c r="P12" s="14"/>
      <c r="Q12" s="14"/>
      <c r="R12" s="14"/>
      <c r="S12" s="14"/>
      <c r="T12" s="14"/>
      <c r="U12" s="14"/>
      <c r="V12" s="14"/>
      <c r="W12" s="14"/>
      <c r="X12" s="14"/>
      <c r="Y12" s="14"/>
      <c r="Z12" s="14"/>
      <c r="AA12" s="14"/>
    </row>
    <row r="13" spans="1:27" ht="21">
      <c r="A13" s="5" t="s">
        <v>81</v>
      </c>
      <c r="B13" s="5" t="s">
        <v>82</v>
      </c>
      <c r="C13" s="10"/>
      <c r="D13" s="10"/>
      <c r="E13" s="10"/>
      <c r="F13" s="10" t="s">
        <v>22</v>
      </c>
      <c r="H13" s="11"/>
      <c r="I13" s="2"/>
      <c r="J13" s="14"/>
      <c r="K13" s="14"/>
      <c r="L13" s="14"/>
      <c r="M13" s="14"/>
      <c r="N13" s="14"/>
      <c r="O13" s="14"/>
      <c r="P13" s="14"/>
      <c r="Q13" s="14"/>
      <c r="R13" s="14"/>
      <c r="S13" s="14"/>
      <c r="T13" s="14"/>
      <c r="U13" s="14"/>
      <c r="V13" s="14"/>
      <c r="W13" s="14"/>
      <c r="X13" s="14"/>
      <c r="Y13" s="14"/>
      <c r="Z13" s="14"/>
      <c r="AA13" s="14"/>
    </row>
    <row r="14" spans="1:27" ht="21">
      <c r="A14" s="5" t="s">
        <v>88</v>
      </c>
      <c r="B14" s="5" t="s">
        <v>89</v>
      </c>
      <c r="C14" s="10" t="s">
        <v>1562</v>
      </c>
      <c r="D14" s="10" t="s">
        <v>1562</v>
      </c>
      <c r="E14" s="10" t="s">
        <v>1562</v>
      </c>
      <c r="F14" s="10" t="s">
        <v>1562</v>
      </c>
      <c r="H14" s="11"/>
      <c r="I14" s="2"/>
      <c r="J14" s="14"/>
      <c r="K14" s="14"/>
      <c r="L14" s="14"/>
      <c r="M14" s="14"/>
      <c r="N14" s="14"/>
      <c r="O14" s="14"/>
      <c r="P14" s="14"/>
      <c r="Q14" s="14"/>
      <c r="R14" s="14"/>
      <c r="S14" s="14"/>
      <c r="T14" s="14"/>
      <c r="U14" s="14"/>
      <c r="V14" s="14"/>
      <c r="W14" s="14"/>
      <c r="X14" s="14"/>
      <c r="Y14" s="14"/>
      <c r="Z14" s="14"/>
      <c r="AA14" s="14"/>
    </row>
    <row r="15" spans="1:27" ht="21">
      <c r="A15" s="5" t="s">
        <v>95</v>
      </c>
      <c r="B15" s="5" t="s">
        <v>96</v>
      </c>
      <c r="C15" s="10" t="s">
        <v>1562</v>
      </c>
      <c r="D15" s="10" t="s">
        <v>1562</v>
      </c>
      <c r="E15" s="10" t="s">
        <v>1661</v>
      </c>
      <c r="F15" s="10" t="s">
        <v>18</v>
      </c>
      <c r="H15" s="11"/>
      <c r="I15" s="2"/>
      <c r="J15" s="14"/>
      <c r="K15" s="14"/>
      <c r="L15" s="14"/>
      <c r="M15" s="14"/>
      <c r="N15" s="14"/>
      <c r="O15" s="14"/>
      <c r="P15" s="14"/>
      <c r="Q15" s="14"/>
      <c r="R15" s="14"/>
      <c r="S15" s="14"/>
      <c r="T15" s="14"/>
      <c r="U15" s="14"/>
      <c r="V15" s="14"/>
      <c r="W15" s="14"/>
      <c r="X15" s="14"/>
      <c r="Y15" s="14"/>
      <c r="Z15" s="14"/>
      <c r="AA15" s="14"/>
    </row>
    <row r="16" spans="1:27" ht="21">
      <c r="A16" s="5" t="s">
        <v>102</v>
      </c>
      <c r="B16" s="5" t="s">
        <v>103</v>
      </c>
      <c r="C16" s="10" t="s">
        <v>1661</v>
      </c>
      <c r="D16" s="10" t="s">
        <v>1574</v>
      </c>
      <c r="E16" s="10" t="s">
        <v>1574</v>
      </c>
      <c r="F16" s="10" t="s">
        <v>1574</v>
      </c>
      <c r="G16" t="s">
        <v>2026</v>
      </c>
      <c r="H16" s="11"/>
      <c r="I16" s="2"/>
      <c r="J16" s="14"/>
      <c r="K16" s="14"/>
      <c r="L16" s="14"/>
      <c r="M16" s="14"/>
      <c r="N16" s="14"/>
      <c r="O16" s="14"/>
      <c r="P16" s="14"/>
      <c r="Q16" s="14"/>
      <c r="R16" s="14"/>
      <c r="S16" s="14"/>
      <c r="T16" s="14"/>
      <c r="U16" s="14"/>
      <c r="V16" s="14"/>
      <c r="W16" s="14"/>
      <c r="X16" s="14"/>
      <c r="Y16" s="14"/>
      <c r="Z16" s="14"/>
      <c r="AA16" s="14"/>
    </row>
    <row r="17" spans="1:27" ht="21">
      <c r="A17" s="5" t="s">
        <v>109</v>
      </c>
      <c r="B17" s="5" t="s">
        <v>110</v>
      </c>
      <c r="C17" s="10" t="s">
        <v>1562</v>
      </c>
      <c r="D17" s="10" t="s">
        <v>1574</v>
      </c>
      <c r="E17" s="10" t="s">
        <v>1567</v>
      </c>
      <c r="F17" s="10" t="s">
        <v>1567</v>
      </c>
      <c r="G17" t="s">
        <v>2027</v>
      </c>
      <c r="H17" s="11"/>
      <c r="I17" s="2"/>
      <c r="J17" s="14"/>
      <c r="K17" s="14"/>
      <c r="L17" s="14"/>
      <c r="M17" s="14"/>
      <c r="N17" s="14"/>
      <c r="O17" s="14"/>
      <c r="P17" s="14"/>
      <c r="Q17" s="14"/>
      <c r="R17" s="14"/>
      <c r="S17" s="14"/>
      <c r="T17" s="14"/>
      <c r="U17" s="14"/>
      <c r="V17" s="14"/>
      <c r="W17" s="14"/>
      <c r="X17" s="14"/>
      <c r="Y17" s="14"/>
      <c r="Z17" s="14"/>
      <c r="AA17" s="14"/>
    </row>
    <row r="18" spans="1:27" ht="21">
      <c r="A18" s="5" t="s">
        <v>116</v>
      </c>
      <c r="B18" s="5" t="s">
        <v>117</v>
      </c>
      <c r="C18" s="10" t="s">
        <v>1661</v>
      </c>
      <c r="D18" s="10" t="s">
        <v>1661</v>
      </c>
      <c r="E18" s="10" t="s">
        <v>1661</v>
      </c>
      <c r="F18" s="10" t="s">
        <v>1661</v>
      </c>
      <c r="G18" t="s">
        <v>2028</v>
      </c>
      <c r="H18" s="11"/>
      <c r="I18" s="2"/>
      <c r="J18" s="14"/>
      <c r="K18" s="14"/>
      <c r="L18" s="14"/>
      <c r="M18" s="14"/>
      <c r="N18" s="14"/>
      <c r="O18" s="14"/>
      <c r="P18" s="14"/>
      <c r="Q18" s="14"/>
      <c r="R18" s="14"/>
      <c r="S18" s="14"/>
      <c r="T18" s="14"/>
      <c r="U18" s="14"/>
      <c r="V18" s="14"/>
      <c r="W18" s="14"/>
      <c r="X18" s="14"/>
      <c r="Y18" s="14"/>
      <c r="Z18" s="14"/>
      <c r="AA18" s="14"/>
    </row>
    <row r="19" spans="1:27" ht="21">
      <c r="A19" s="5" t="s">
        <v>123</v>
      </c>
      <c r="B19" s="5" t="s">
        <v>124</v>
      </c>
      <c r="C19" s="10" t="s">
        <v>21</v>
      </c>
      <c r="D19" s="10" t="s">
        <v>1567</v>
      </c>
      <c r="E19" s="10" t="s">
        <v>28</v>
      </c>
      <c r="F19" s="10" t="s">
        <v>28</v>
      </c>
      <c r="H19" s="11"/>
      <c r="I19" s="2"/>
      <c r="J19" s="14"/>
      <c r="K19" s="14"/>
      <c r="L19" s="14"/>
      <c r="M19" s="14"/>
      <c r="N19" s="14"/>
      <c r="O19" s="14"/>
      <c r="P19" s="14"/>
      <c r="Q19" s="14"/>
      <c r="R19" s="14"/>
      <c r="S19" s="14"/>
      <c r="T19" s="14"/>
      <c r="U19" s="14"/>
      <c r="V19" s="14"/>
      <c r="W19" s="14"/>
      <c r="X19" s="14"/>
      <c r="Y19" s="14"/>
      <c r="Z19" s="14"/>
      <c r="AA19" s="14"/>
    </row>
    <row r="20" spans="1:27" ht="21">
      <c r="A20" s="5" t="s">
        <v>130</v>
      </c>
      <c r="B20" s="5" t="s">
        <v>129</v>
      </c>
      <c r="C20" s="10" t="s">
        <v>1574</v>
      </c>
      <c r="D20" s="10" t="s">
        <v>1562</v>
      </c>
      <c r="E20" s="10" t="s">
        <v>1562</v>
      </c>
      <c r="F20" s="10" t="s">
        <v>1562</v>
      </c>
      <c r="G20" t="s">
        <v>2029</v>
      </c>
      <c r="H20" s="11"/>
      <c r="I20" s="2"/>
      <c r="J20" s="14"/>
      <c r="K20" s="14"/>
      <c r="L20" s="14"/>
      <c r="M20" s="14"/>
      <c r="N20" s="14"/>
      <c r="O20" s="14"/>
      <c r="P20" s="14"/>
      <c r="Q20" s="14"/>
      <c r="R20" s="14"/>
      <c r="S20" s="14"/>
      <c r="T20" s="14"/>
      <c r="U20" s="14"/>
      <c r="V20" s="14"/>
      <c r="W20" s="14"/>
      <c r="X20" s="14"/>
      <c r="Y20" s="14"/>
      <c r="Z20" s="14"/>
      <c r="AA20" s="14"/>
    </row>
    <row r="21" spans="1:27" ht="21">
      <c r="A21" s="5" t="s">
        <v>136</v>
      </c>
      <c r="B21" s="5" t="s">
        <v>137</v>
      </c>
      <c r="C21" s="10" t="s">
        <v>1574</v>
      </c>
      <c r="D21" s="10" t="s">
        <v>1562</v>
      </c>
      <c r="E21" s="10" t="s">
        <v>1574</v>
      </c>
      <c r="F21" s="10" t="s">
        <v>1562</v>
      </c>
      <c r="H21" s="11"/>
      <c r="I21" s="2"/>
      <c r="J21" s="14"/>
      <c r="K21" s="14"/>
      <c r="L21" s="14"/>
      <c r="M21" s="14"/>
      <c r="N21" s="14"/>
      <c r="O21" s="14"/>
      <c r="P21" s="14"/>
      <c r="Q21" s="14"/>
      <c r="R21" s="14"/>
      <c r="S21" s="14"/>
      <c r="T21" s="14"/>
      <c r="U21" s="14"/>
      <c r="V21" s="14"/>
      <c r="W21" s="14"/>
      <c r="X21" s="14"/>
      <c r="Y21" s="14"/>
      <c r="Z21" s="14"/>
      <c r="AA21" s="14"/>
    </row>
    <row r="22" spans="1:27" ht="21">
      <c r="A22" s="5" t="s">
        <v>143</v>
      </c>
      <c r="B22" s="5" t="s">
        <v>144</v>
      </c>
      <c r="C22" s="10"/>
      <c r="D22" s="10" t="s">
        <v>22</v>
      </c>
      <c r="E22" s="10"/>
      <c r="F22" s="10" t="s">
        <v>22</v>
      </c>
      <c r="H22" s="11"/>
      <c r="I22" s="2"/>
      <c r="J22" s="14"/>
      <c r="K22" s="14"/>
      <c r="L22" s="14"/>
      <c r="M22" s="14"/>
      <c r="N22" s="14"/>
      <c r="O22" s="14"/>
      <c r="P22" s="14"/>
      <c r="Q22" s="14"/>
      <c r="R22" s="14"/>
      <c r="S22" s="14"/>
      <c r="T22" s="14"/>
      <c r="U22" s="14"/>
      <c r="V22" s="14"/>
      <c r="W22" s="14"/>
      <c r="X22" s="14"/>
      <c r="Y22" s="14"/>
      <c r="Z22" s="14"/>
      <c r="AA22" s="14"/>
    </row>
    <row r="23" spans="1:27" ht="21">
      <c r="A23" s="5" t="s">
        <v>150</v>
      </c>
      <c r="B23" s="5" t="s">
        <v>151</v>
      </c>
      <c r="C23" s="10" t="s">
        <v>1574</v>
      </c>
      <c r="D23" s="10" t="s">
        <v>1574</v>
      </c>
      <c r="E23" s="10" t="s">
        <v>1661</v>
      </c>
      <c r="F23" s="10" t="s">
        <v>1661</v>
      </c>
      <c r="G23" t="s">
        <v>2030</v>
      </c>
      <c r="H23" s="11"/>
      <c r="I23" s="2"/>
      <c r="J23" s="14"/>
      <c r="K23" s="14"/>
      <c r="L23" s="14"/>
      <c r="M23" s="14"/>
      <c r="N23" s="14"/>
      <c r="O23" s="14"/>
      <c r="P23" s="14"/>
      <c r="Q23" s="14"/>
      <c r="R23" s="14"/>
      <c r="S23" s="14"/>
      <c r="T23" s="14"/>
      <c r="U23" s="14"/>
      <c r="V23" s="14"/>
      <c r="W23" s="14"/>
      <c r="X23" s="14"/>
      <c r="Y23" s="14"/>
      <c r="Z23" s="14"/>
      <c r="AA23" s="14"/>
    </row>
    <row r="24" spans="1:27" ht="21">
      <c r="A24" s="5" t="s">
        <v>156</v>
      </c>
      <c r="B24" s="5" t="s">
        <v>157</v>
      </c>
      <c r="C24" s="10" t="s">
        <v>16</v>
      </c>
      <c r="D24" s="10" t="s">
        <v>16</v>
      </c>
      <c r="E24" s="10" t="s">
        <v>1661</v>
      </c>
      <c r="F24" s="10" t="s">
        <v>1661</v>
      </c>
      <c r="G24" s="7"/>
      <c r="H24" s="7"/>
      <c r="I24" s="2"/>
      <c r="J24" s="14"/>
      <c r="K24" s="14"/>
      <c r="L24" s="14"/>
      <c r="M24" s="14"/>
      <c r="N24" s="14"/>
      <c r="O24" s="14"/>
      <c r="P24" s="14"/>
      <c r="Q24" s="14"/>
      <c r="R24" s="14"/>
      <c r="S24" s="14"/>
      <c r="T24" s="14"/>
      <c r="U24" s="14"/>
      <c r="V24" s="14"/>
      <c r="W24" s="14"/>
      <c r="X24" s="14"/>
      <c r="Y24" s="14"/>
      <c r="Z24" s="14"/>
      <c r="AA24" s="14"/>
    </row>
    <row r="25" spans="1:27" ht="21">
      <c r="A25" s="5" t="s">
        <v>163</v>
      </c>
      <c r="B25" s="5" t="s">
        <v>164</v>
      </c>
      <c r="C25" s="10" t="s">
        <v>1661</v>
      </c>
      <c r="D25" s="10" t="s">
        <v>1574</v>
      </c>
      <c r="E25" s="10" t="s">
        <v>1574</v>
      </c>
      <c r="F25" s="10" t="s">
        <v>1574</v>
      </c>
      <c r="G25" s="127" t="s">
        <v>2031</v>
      </c>
      <c r="H25" s="7"/>
      <c r="I25" s="2"/>
      <c r="J25" s="14"/>
      <c r="K25" s="14"/>
      <c r="L25" s="14"/>
      <c r="M25" s="14"/>
      <c r="N25" s="14"/>
      <c r="O25" s="14"/>
      <c r="P25" s="14"/>
      <c r="Q25" s="14"/>
      <c r="R25" s="14"/>
      <c r="S25" s="14"/>
      <c r="T25" s="14"/>
      <c r="U25" s="14"/>
      <c r="V25" s="14"/>
      <c r="W25" s="14"/>
      <c r="X25" s="14"/>
      <c r="Y25" s="14"/>
      <c r="Z25" s="14"/>
      <c r="AA25" s="14"/>
    </row>
    <row r="26" spans="1:27" ht="21">
      <c r="A26" s="5" t="s">
        <v>170</v>
      </c>
      <c r="B26" s="5" t="s">
        <v>171</v>
      </c>
      <c r="C26" s="10" t="s">
        <v>1661</v>
      </c>
      <c r="D26" s="10" t="s">
        <v>16</v>
      </c>
      <c r="E26" s="10"/>
      <c r="F26" s="10" t="s">
        <v>1661</v>
      </c>
      <c r="G26" s="7"/>
      <c r="H26" s="7"/>
      <c r="I26" s="2"/>
      <c r="J26" s="14"/>
      <c r="K26" s="14"/>
      <c r="L26" s="14"/>
      <c r="M26" s="14"/>
      <c r="N26" s="14"/>
      <c r="O26" s="14"/>
      <c r="P26" s="14"/>
      <c r="Q26" s="14"/>
      <c r="R26" s="14"/>
      <c r="S26" s="14"/>
      <c r="T26" s="14"/>
      <c r="U26" s="14"/>
      <c r="V26" s="14"/>
      <c r="W26" s="14"/>
      <c r="X26" s="14"/>
      <c r="Y26" s="14"/>
      <c r="Z26" s="14"/>
      <c r="AA26" s="14"/>
    </row>
    <row r="27" spans="1:27" ht="21">
      <c r="A27" s="5" t="s">
        <v>177</v>
      </c>
      <c r="B27" s="5" t="s">
        <v>178</v>
      </c>
      <c r="C27" s="10" t="s">
        <v>22</v>
      </c>
      <c r="D27" s="10" t="s">
        <v>16</v>
      </c>
      <c r="E27" s="10"/>
      <c r="F27" s="10" t="s">
        <v>22</v>
      </c>
      <c r="G27" s="7"/>
      <c r="H27" s="7"/>
      <c r="I27" s="2"/>
      <c r="J27" s="14"/>
      <c r="K27" s="14"/>
      <c r="L27" s="14"/>
      <c r="M27" s="14"/>
      <c r="N27" s="14"/>
      <c r="O27" s="14"/>
      <c r="P27" s="14"/>
      <c r="Q27" s="14"/>
      <c r="R27" s="14"/>
      <c r="S27" s="14"/>
      <c r="T27" s="14"/>
      <c r="U27" s="14"/>
      <c r="V27" s="14"/>
      <c r="W27" s="14"/>
      <c r="X27" s="14"/>
      <c r="Y27" s="14"/>
      <c r="Z27" s="14"/>
      <c r="AA27" s="14"/>
    </row>
    <row r="28" spans="1:27" ht="21">
      <c r="A28" s="5" t="s">
        <v>184</v>
      </c>
      <c r="B28" s="5" t="s">
        <v>185</v>
      </c>
      <c r="C28" s="10"/>
      <c r="D28" s="10" t="s">
        <v>16</v>
      </c>
      <c r="E28" s="10"/>
      <c r="F28" s="10" t="s">
        <v>22</v>
      </c>
      <c r="G28" s="7"/>
      <c r="H28" s="7"/>
      <c r="I28" s="2"/>
      <c r="J28" s="14"/>
      <c r="K28" s="14"/>
      <c r="L28" s="14"/>
      <c r="M28" s="14"/>
      <c r="N28" s="14"/>
      <c r="O28" s="14"/>
      <c r="P28" s="14"/>
      <c r="Q28" s="14"/>
      <c r="R28" s="14"/>
      <c r="S28" s="14"/>
      <c r="T28" s="14"/>
      <c r="U28" s="14"/>
      <c r="V28" s="14"/>
      <c r="W28" s="14"/>
      <c r="X28" s="14"/>
      <c r="Y28" s="14"/>
      <c r="Z28" s="14"/>
      <c r="AA28" s="14"/>
    </row>
    <row r="29" spans="1:27" ht="21">
      <c r="A29" s="5" t="s">
        <v>191</v>
      </c>
      <c r="B29" s="5" t="s">
        <v>192</v>
      </c>
      <c r="C29" s="10" t="s">
        <v>1574</v>
      </c>
      <c r="D29" s="10" t="s">
        <v>1574</v>
      </c>
      <c r="E29" s="10" t="s">
        <v>1574</v>
      </c>
      <c r="F29" s="10" t="s">
        <v>1574</v>
      </c>
      <c r="G29" s="7"/>
      <c r="H29" s="7"/>
      <c r="I29" s="2"/>
      <c r="J29" s="14"/>
      <c r="K29" s="14"/>
      <c r="L29" s="14"/>
      <c r="M29" s="14"/>
      <c r="N29" s="14"/>
      <c r="O29" s="14"/>
      <c r="P29" s="14"/>
      <c r="Q29" s="14"/>
      <c r="R29" s="14"/>
      <c r="S29" s="14"/>
      <c r="T29" s="14"/>
      <c r="U29" s="14"/>
      <c r="V29" s="14"/>
      <c r="W29" s="14"/>
      <c r="X29" s="14"/>
      <c r="Y29" s="14"/>
      <c r="Z29" s="14"/>
      <c r="AA29" s="14"/>
    </row>
    <row r="30" spans="1:27" ht="21">
      <c r="A30" s="5" t="s">
        <v>198</v>
      </c>
      <c r="B30" s="5" t="s">
        <v>199</v>
      </c>
      <c r="C30" s="10" t="s">
        <v>1574</v>
      </c>
      <c r="D30" s="10" t="s">
        <v>1562</v>
      </c>
      <c r="E30" s="10"/>
      <c r="F30" s="10" t="s">
        <v>1562</v>
      </c>
      <c r="G30" s="7"/>
      <c r="H30" s="7"/>
      <c r="I30" s="2"/>
      <c r="J30" s="14"/>
      <c r="K30" s="14"/>
      <c r="L30" s="14"/>
      <c r="M30" s="14"/>
      <c r="N30" s="14"/>
      <c r="O30" s="14"/>
      <c r="P30" s="14"/>
      <c r="Q30" s="14"/>
      <c r="R30" s="14"/>
      <c r="S30" s="14"/>
      <c r="T30" s="14"/>
      <c r="U30" s="14"/>
      <c r="V30" s="14"/>
      <c r="W30" s="14"/>
      <c r="X30" s="14"/>
      <c r="Y30" s="14"/>
      <c r="Z30" s="14"/>
      <c r="AA30" s="14"/>
    </row>
    <row r="31" spans="1:27" ht="21">
      <c r="A31" s="5" t="s">
        <v>205</v>
      </c>
      <c r="B31" s="5" t="s">
        <v>206</v>
      </c>
      <c r="C31" s="10" t="s">
        <v>18</v>
      </c>
      <c r="D31" s="10" t="s">
        <v>1574</v>
      </c>
      <c r="E31" s="10" t="s">
        <v>1661</v>
      </c>
      <c r="F31" s="19" t="s">
        <v>1562</v>
      </c>
      <c r="G31" s="7"/>
      <c r="H31" s="7"/>
      <c r="I31" s="2"/>
      <c r="J31" s="14"/>
      <c r="K31" s="14"/>
      <c r="L31" s="14"/>
      <c r="M31" s="14"/>
      <c r="N31" s="14"/>
      <c r="O31" s="14"/>
      <c r="P31" s="14"/>
      <c r="Q31" s="14"/>
      <c r="R31" s="14"/>
      <c r="S31" s="14"/>
      <c r="T31" s="14"/>
      <c r="U31" s="14"/>
      <c r="V31" s="14"/>
      <c r="W31" s="14"/>
      <c r="X31" s="14"/>
      <c r="Y31" s="14"/>
      <c r="Z31" s="14"/>
      <c r="AA31" s="14"/>
    </row>
    <row r="32" spans="1:27" ht="21">
      <c r="A32" s="5" t="s">
        <v>212</v>
      </c>
      <c r="B32" s="5" t="s">
        <v>213</v>
      </c>
      <c r="C32" s="10" t="s">
        <v>1574</v>
      </c>
      <c r="D32" s="10" t="s">
        <v>1562</v>
      </c>
      <c r="E32" s="10" t="s">
        <v>1562</v>
      </c>
      <c r="F32" s="10" t="s">
        <v>1562</v>
      </c>
      <c r="G32" s="7"/>
      <c r="H32" s="7"/>
      <c r="I32" s="2"/>
      <c r="J32" s="14"/>
      <c r="K32" s="14"/>
      <c r="L32" s="14"/>
      <c r="M32" s="14"/>
      <c r="N32" s="14"/>
      <c r="O32" s="14"/>
      <c r="P32" s="14"/>
      <c r="Q32" s="14"/>
      <c r="R32" s="14"/>
      <c r="S32" s="14"/>
      <c r="T32" s="14"/>
      <c r="U32" s="14"/>
      <c r="V32" s="14"/>
      <c r="W32" s="14"/>
      <c r="X32" s="14"/>
      <c r="Y32" s="14"/>
      <c r="Z32" s="14"/>
      <c r="AA32" s="14"/>
    </row>
    <row r="33" spans="1:27" ht="21">
      <c r="A33" s="5" t="s">
        <v>218</v>
      </c>
      <c r="B33" s="5" t="s">
        <v>219</v>
      </c>
      <c r="C33" s="10" t="s">
        <v>1562</v>
      </c>
      <c r="D33" s="10" t="s">
        <v>1661</v>
      </c>
      <c r="E33" s="10" t="s">
        <v>1574</v>
      </c>
      <c r="F33" s="10" t="s">
        <v>1574</v>
      </c>
      <c r="G33" s="7"/>
      <c r="H33" s="7"/>
      <c r="I33" s="2"/>
      <c r="J33" s="14"/>
      <c r="K33" s="14"/>
      <c r="L33" s="14"/>
      <c r="M33" s="14"/>
      <c r="N33" s="14"/>
      <c r="O33" s="14"/>
      <c r="P33" s="14"/>
      <c r="Q33" s="14"/>
      <c r="R33" s="14"/>
      <c r="S33" s="14"/>
      <c r="T33" s="14"/>
      <c r="U33" s="14"/>
      <c r="V33" s="14"/>
      <c r="W33" s="14"/>
      <c r="X33" s="14"/>
      <c r="Y33" s="14"/>
      <c r="Z33" s="14"/>
      <c r="AA33" s="14"/>
    </row>
    <row r="34" spans="1:27" ht="21">
      <c r="A34" s="5" t="s">
        <v>225</v>
      </c>
      <c r="B34" s="5" t="s">
        <v>226</v>
      </c>
      <c r="C34" s="10" t="s">
        <v>1574</v>
      </c>
      <c r="D34" s="10" t="s">
        <v>22</v>
      </c>
      <c r="E34" s="10" t="s">
        <v>1562</v>
      </c>
      <c r="F34" s="10" t="s">
        <v>1574</v>
      </c>
      <c r="G34" s="7" t="s">
        <v>2032</v>
      </c>
      <c r="H34" s="7"/>
      <c r="I34" s="2"/>
      <c r="J34" s="14"/>
      <c r="K34" s="14"/>
      <c r="L34" s="14"/>
      <c r="M34" s="14"/>
      <c r="N34" s="14"/>
      <c r="O34" s="14"/>
      <c r="P34" s="14"/>
      <c r="Q34" s="14"/>
      <c r="R34" s="14"/>
      <c r="S34" s="14"/>
      <c r="T34" s="14"/>
      <c r="U34" s="14"/>
      <c r="V34" s="14"/>
      <c r="W34" s="14"/>
      <c r="X34" s="14"/>
      <c r="Y34" s="14"/>
      <c r="Z34" s="14"/>
      <c r="AA34" s="14"/>
    </row>
    <row r="35" spans="1:27" ht="21">
      <c r="A35" s="5" t="s">
        <v>232</v>
      </c>
      <c r="B35" s="5" t="s">
        <v>233</v>
      </c>
      <c r="C35" s="10"/>
      <c r="D35" s="10"/>
      <c r="E35" s="10"/>
      <c r="F35" s="10" t="s">
        <v>22</v>
      </c>
      <c r="G35" s="7"/>
      <c r="H35" s="7"/>
      <c r="I35" s="2"/>
      <c r="J35" s="14"/>
      <c r="K35" s="14"/>
      <c r="L35" s="14"/>
      <c r="M35" s="14"/>
      <c r="N35" s="14"/>
      <c r="O35" s="14"/>
      <c r="P35" s="14"/>
      <c r="Q35" s="14"/>
      <c r="R35" s="14"/>
      <c r="S35" s="14"/>
      <c r="T35" s="14"/>
      <c r="U35" s="14"/>
      <c r="V35" s="14"/>
      <c r="W35" s="14"/>
      <c r="X35" s="14"/>
      <c r="Y35" s="14"/>
      <c r="Z35" s="14"/>
      <c r="AA35" s="14"/>
    </row>
    <row r="36" spans="1:27" ht="21">
      <c r="A36" s="5" t="s">
        <v>238</v>
      </c>
      <c r="B36" s="5" t="s">
        <v>239</v>
      </c>
      <c r="C36" s="10" t="s">
        <v>1661</v>
      </c>
      <c r="D36" s="10" t="s">
        <v>1661</v>
      </c>
      <c r="E36" s="10" t="s">
        <v>1574</v>
      </c>
      <c r="F36" s="10" t="s">
        <v>1661</v>
      </c>
      <c r="G36" s="7"/>
      <c r="H36" s="7"/>
      <c r="I36" s="2"/>
      <c r="J36" s="14"/>
      <c r="K36" s="14"/>
      <c r="L36" s="14"/>
      <c r="M36" s="14"/>
      <c r="N36" s="14"/>
      <c r="O36" s="14"/>
      <c r="P36" s="14"/>
      <c r="Q36" s="14"/>
      <c r="R36" s="14"/>
      <c r="S36" s="14"/>
      <c r="T36" s="14"/>
      <c r="U36" s="14"/>
      <c r="V36" s="14"/>
      <c r="W36" s="14"/>
      <c r="X36" s="14"/>
      <c r="Y36" s="14"/>
      <c r="Z36" s="14"/>
      <c r="AA36" s="14"/>
    </row>
    <row r="37" spans="1:27" ht="21">
      <c r="A37" s="5" t="s">
        <v>243</v>
      </c>
      <c r="B37" s="5" t="s">
        <v>244</v>
      </c>
      <c r="C37" s="10" t="s">
        <v>1574</v>
      </c>
      <c r="D37" s="10" t="s">
        <v>1574</v>
      </c>
      <c r="E37" s="10" t="s">
        <v>18</v>
      </c>
      <c r="F37" s="10" t="s">
        <v>1562</v>
      </c>
      <c r="G37" s="7"/>
      <c r="H37" s="7"/>
      <c r="I37" s="2"/>
      <c r="J37" s="14"/>
      <c r="K37" s="14"/>
      <c r="L37" s="14"/>
      <c r="M37" s="14"/>
      <c r="N37" s="14"/>
      <c r="O37" s="14"/>
      <c r="P37" s="14"/>
      <c r="Q37" s="14"/>
      <c r="R37" s="14"/>
      <c r="S37" s="14"/>
      <c r="T37" s="14"/>
      <c r="U37" s="14"/>
      <c r="V37" s="14"/>
      <c r="W37" s="14"/>
      <c r="X37" s="14"/>
      <c r="Y37" s="14"/>
      <c r="Z37" s="14"/>
      <c r="AA37" s="14"/>
    </row>
    <row r="38" spans="1:27" ht="21">
      <c r="A38" s="5" t="s">
        <v>250</v>
      </c>
      <c r="B38" s="5" t="s">
        <v>80</v>
      </c>
      <c r="C38" s="10" t="s">
        <v>21</v>
      </c>
      <c r="D38" s="10" t="s">
        <v>1567</v>
      </c>
      <c r="E38" s="10" t="s">
        <v>18</v>
      </c>
      <c r="F38" s="10" t="s">
        <v>21</v>
      </c>
      <c r="G38" s="7" t="s">
        <v>2033</v>
      </c>
      <c r="H38" s="7"/>
      <c r="I38" s="2"/>
      <c r="J38" s="14"/>
      <c r="K38" s="14"/>
      <c r="L38" s="14"/>
      <c r="M38" s="14"/>
      <c r="N38" s="14"/>
      <c r="O38" s="14"/>
      <c r="P38" s="14"/>
      <c r="Q38" s="14"/>
      <c r="R38" s="14"/>
      <c r="S38" s="14"/>
      <c r="T38" s="14"/>
      <c r="U38" s="14"/>
      <c r="V38" s="14"/>
      <c r="W38" s="14"/>
      <c r="X38" s="14"/>
      <c r="Y38" s="14"/>
      <c r="Z38" s="14"/>
      <c r="AA38" s="14"/>
    </row>
    <row r="39" spans="1:27" ht="21">
      <c r="A39" s="5" t="s">
        <v>256</v>
      </c>
      <c r="B39" s="5" t="s">
        <v>257</v>
      </c>
      <c r="C39" s="10"/>
      <c r="D39" s="10"/>
      <c r="E39" s="10"/>
      <c r="F39" s="10" t="s">
        <v>1661</v>
      </c>
      <c r="G39" s="7"/>
      <c r="H39" s="7"/>
      <c r="I39" s="2"/>
      <c r="J39" s="14"/>
      <c r="K39" s="14"/>
      <c r="L39" s="14"/>
      <c r="M39" s="14"/>
      <c r="N39" s="14"/>
      <c r="O39" s="14"/>
      <c r="P39" s="14"/>
      <c r="Q39" s="14"/>
      <c r="R39" s="14"/>
      <c r="S39" s="14"/>
      <c r="T39" s="14"/>
      <c r="U39" s="14"/>
      <c r="V39" s="14"/>
      <c r="W39" s="14"/>
      <c r="X39" s="14"/>
      <c r="Y39" s="14"/>
      <c r="Z39" s="14"/>
      <c r="AA39" s="14"/>
    </row>
    <row r="40" spans="1:27" ht="21">
      <c r="A40" s="5" t="s">
        <v>263</v>
      </c>
      <c r="B40" s="5" t="s">
        <v>264</v>
      </c>
      <c r="C40" s="10"/>
      <c r="D40" s="10"/>
      <c r="E40" s="10"/>
      <c r="F40" s="10" t="s">
        <v>22</v>
      </c>
      <c r="G40" s="7"/>
      <c r="H40" s="7"/>
      <c r="I40" s="2"/>
      <c r="J40" s="14"/>
      <c r="K40" s="14"/>
      <c r="L40" s="14"/>
      <c r="M40" s="14"/>
      <c r="N40" s="14"/>
      <c r="O40" s="14"/>
      <c r="P40" s="14"/>
      <c r="Q40" s="14"/>
      <c r="R40" s="14"/>
      <c r="S40" s="14"/>
      <c r="T40" s="14"/>
      <c r="U40" s="14"/>
      <c r="V40" s="14"/>
      <c r="W40" s="14"/>
      <c r="X40" s="14"/>
      <c r="Y40" s="14"/>
      <c r="Z40" s="14"/>
      <c r="AA40" s="14"/>
    </row>
    <row r="41" spans="1:27" ht="21">
      <c r="A41" s="5" t="s">
        <v>269</v>
      </c>
      <c r="B41" s="8" t="s">
        <v>270</v>
      </c>
      <c r="C41" s="10" t="s">
        <v>1661</v>
      </c>
      <c r="D41" s="10" t="s">
        <v>1661</v>
      </c>
      <c r="E41" s="10" t="s">
        <v>1661</v>
      </c>
      <c r="F41" s="10" t="s">
        <v>1661</v>
      </c>
      <c r="G41" s="7"/>
      <c r="H41" s="7"/>
      <c r="I41" s="2"/>
      <c r="J41" s="14"/>
      <c r="K41" s="14"/>
      <c r="L41" s="14"/>
      <c r="M41" s="14"/>
      <c r="N41" s="14"/>
      <c r="O41" s="14"/>
      <c r="P41" s="14"/>
      <c r="Q41" s="14"/>
      <c r="R41" s="14"/>
      <c r="S41" s="14"/>
      <c r="T41" s="14"/>
      <c r="U41" s="14"/>
      <c r="V41" s="14"/>
      <c r="W41" s="14"/>
      <c r="X41" s="14"/>
      <c r="Y41" s="14"/>
      <c r="Z41" s="14"/>
      <c r="AA41" s="14"/>
    </row>
    <row r="42" spans="1:27" ht="21">
      <c r="A42" s="5" t="s">
        <v>274</v>
      </c>
      <c r="B42" s="5" t="s">
        <v>275</v>
      </c>
      <c r="C42" s="10" t="s">
        <v>1661</v>
      </c>
      <c r="D42" s="10" t="s">
        <v>1661</v>
      </c>
      <c r="E42" s="10" t="s">
        <v>1574</v>
      </c>
      <c r="F42" s="10" t="s">
        <v>1661</v>
      </c>
      <c r="G42" s="7"/>
      <c r="H42" s="7"/>
      <c r="I42" s="2"/>
      <c r="J42" s="14"/>
      <c r="K42" s="14"/>
      <c r="L42" s="14"/>
      <c r="M42" s="14"/>
      <c r="N42" s="14"/>
      <c r="O42" s="14"/>
      <c r="P42" s="14"/>
      <c r="Q42" s="14"/>
      <c r="R42" s="14"/>
      <c r="S42" s="14"/>
      <c r="T42" s="14"/>
      <c r="U42" s="14"/>
      <c r="V42" s="14"/>
      <c r="W42" s="14"/>
      <c r="X42" s="14"/>
      <c r="Y42" s="14"/>
      <c r="Z42" s="14"/>
      <c r="AA42" s="14"/>
    </row>
    <row r="43" spans="1:27" ht="21">
      <c r="A43" s="5" t="s">
        <v>279</v>
      </c>
      <c r="B43" s="5" t="s">
        <v>280</v>
      </c>
      <c r="C43" s="10" t="s">
        <v>1562</v>
      </c>
      <c r="D43" s="10" t="s">
        <v>1562</v>
      </c>
      <c r="E43" s="10" t="s">
        <v>1567</v>
      </c>
      <c r="F43" s="10" t="s">
        <v>1574</v>
      </c>
      <c r="G43" s="7" t="s">
        <v>2025</v>
      </c>
      <c r="H43" s="7"/>
      <c r="I43" s="2"/>
      <c r="J43" s="14"/>
      <c r="K43" s="14"/>
      <c r="L43" s="14"/>
      <c r="M43" s="14"/>
      <c r="N43" s="14"/>
      <c r="O43" s="14"/>
      <c r="P43" s="14"/>
      <c r="Q43" s="14"/>
      <c r="R43" s="14"/>
      <c r="S43" s="14"/>
      <c r="T43" s="14"/>
      <c r="U43" s="14"/>
      <c r="V43" s="14"/>
      <c r="W43" s="14"/>
      <c r="X43" s="14"/>
      <c r="Y43" s="14"/>
      <c r="Z43" s="14"/>
      <c r="AA43" s="14"/>
    </row>
    <row r="44" spans="1:27" ht="21">
      <c r="A44" s="5" t="s">
        <v>286</v>
      </c>
      <c r="B44" s="5" t="s">
        <v>54</v>
      </c>
      <c r="C44" s="10"/>
      <c r="D44" s="10" t="s">
        <v>1661</v>
      </c>
      <c r="E44" s="10"/>
      <c r="F44" s="10" t="s">
        <v>22</v>
      </c>
      <c r="G44" s="7"/>
      <c r="H44" s="7"/>
      <c r="I44" s="2"/>
      <c r="J44" s="14"/>
      <c r="K44" s="14"/>
      <c r="L44" s="14"/>
      <c r="M44" s="14"/>
      <c r="N44" s="14"/>
      <c r="O44" s="14"/>
      <c r="P44" s="14"/>
      <c r="Q44" s="14"/>
      <c r="R44" s="14"/>
      <c r="S44" s="14"/>
      <c r="T44" s="14"/>
      <c r="U44" s="14"/>
      <c r="V44" s="14"/>
      <c r="W44" s="14"/>
      <c r="X44" s="14"/>
      <c r="Y44" s="14"/>
      <c r="Z44" s="14"/>
      <c r="AA44" s="14"/>
    </row>
    <row r="45" spans="1:27" ht="21">
      <c r="A45" s="5" t="s">
        <v>292</v>
      </c>
      <c r="B45" s="5" t="s">
        <v>293</v>
      </c>
      <c r="C45" s="10"/>
      <c r="D45" s="10"/>
      <c r="E45" s="10"/>
      <c r="F45" s="10" t="s">
        <v>22</v>
      </c>
      <c r="G45" s="7"/>
      <c r="H45" s="7"/>
      <c r="I45" s="2"/>
      <c r="J45" s="14"/>
      <c r="K45" s="14"/>
      <c r="L45" s="14"/>
      <c r="M45" s="14"/>
      <c r="N45" s="14"/>
      <c r="O45" s="14"/>
      <c r="P45" s="14"/>
      <c r="Q45" s="14"/>
      <c r="R45" s="14"/>
      <c r="S45" s="14"/>
      <c r="T45" s="14"/>
      <c r="U45" s="14"/>
      <c r="V45" s="14"/>
      <c r="W45" s="14"/>
      <c r="X45" s="14"/>
      <c r="Y45" s="14"/>
      <c r="Z45" s="14"/>
      <c r="AA45" s="14"/>
    </row>
    <row r="46" spans="1:27" ht="21">
      <c r="A46" s="5" t="s">
        <v>298</v>
      </c>
      <c r="B46" s="5" t="s">
        <v>299</v>
      </c>
      <c r="C46" s="10" t="s">
        <v>1574</v>
      </c>
      <c r="D46" s="10" t="s">
        <v>1562</v>
      </c>
      <c r="E46" s="128" t="s">
        <v>302</v>
      </c>
      <c r="F46" s="10" t="s">
        <v>1574</v>
      </c>
      <c r="G46" s="7" t="s">
        <v>2034</v>
      </c>
      <c r="H46" s="7"/>
      <c r="I46" s="2"/>
      <c r="J46" s="14"/>
      <c r="K46" s="14"/>
      <c r="L46" s="14"/>
      <c r="M46" s="14"/>
      <c r="N46" s="14"/>
      <c r="O46" s="14"/>
      <c r="P46" s="14"/>
      <c r="Q46" s="14"/>
      <c r="R46" s="14"/>
      <c r="S46" s="14"/>
      <c r="T46" s="14"/>
      <c r="U46" s="14"/>
      <c r="V46" s="14"/>
      <c r="W46" s="14"/>
      <c r="X46" s="14"/>
      <c r="Y46" s="14"/>
      <c r="Z46" s="14"/>
      <c r="AA46" s="14"/>
    </row>
    <row r="47" spans="1:27" ht="21">
      <c r="B47" s="5" t="s">
        <v>303</v>
      </c>
      <c r="C47" s="10" t="s">
        <v>1574</v>
      </c>
      <c r="D47" s="10"/>
      <c r="E47" s="10" t="s">
        <v>1574</v>
      </c>
      <c r="F47" s="10" t="s">
        <v>22</v>
      </c>
      <c r="G47" s="7"/>
      <c r="H47" s="7"/>
      <c r="I47" s="2"/>
      <c r="J47" s="14"/>
      <c r="K47" s="14"/>
      <c r="L47" s="14"/>
      <c r="M47" s="14"/>
      <c r="N47" s="14"/>
      <c r="O47" s="14"/>
      <c r="P47" s="14"/>
      <c r="Q47" s="14"/>
      <c r="R47" s="14"/>
      <c r="S47" s="14"/>
      <c r="T47" s="14"/>
      <c r="U47" s="14"/>
      <c r="V47" s="14"/>
      <c r="W47" s="14"/>
      <c r="X47" s="14"/>
      <c r="Y47" s="14"/>
      <c r="Z47" s="14"/>
      <c r="AA47" s="14"/>
    </row>
    <row r="48" spans="1:27" ht="21">
      <c r="A48" s="5" t="s">
        <v>309</v>
      </c>
      <c r="B48" s="5" t="s">
        <v>310</v>
      </c>
      <c r="C48" s="10" t="s">
        <v>1661</v>
      </c>
      <c r="D48" s="10" t="s">
        <v>1661</v>
      </c>
      <c r="E48" s="10" t="s">
        <v>1574</v>
      </c>
      <c r="F48" s="10" t="s">
        <v>1574</v>
      </c>
      <c r="G48" s="7"/>
      <c r="H48" s="7"/>
      <c r="I48" s="2"/>
      <c r="J48" s="14"/>
      <c r="K48" s="14"/>
      <c r="L48" s="14"/>
      <c r="M48" s="14"/>
      <c r="N48" s="14"/>
      <c r="O48" s="14"/>
      <c r="P48" s="14"/>
      <c r="Q48" s="14"/>
      <c r="R48" s="14"/>
      <c r="S48" s="14"/>
      <c r="T48" s="14"/>
      <c r="U48" s="14"/>
      <c r="V48" s="14"/>
      <c r="W48" s="14"/>
      <c r="X48" s="14"/>
      <c r="Y48" s="14"/>
      <c r="Z48" s="14"/>
      <c r="AA48" s="14"/>
    </row>
    <row r="49" spans="1:27" ht="21">
      <c r="A49" s="5" t="s">
        <v>315</v>
      </c>
      <c r="B49" s="5" t="s">
        <v>316</v>
      </c>
      <c r="C49" s="10" t="s">
        <v>1574</v>
      </c>
      <c r="D49" s="10" t="s">
        <v>18</v>
      </c>
      <c r="E49" s="10" t="s">
        <v>1574</v>
      </c>
      <c r="F49" s="10" t="s">
        <v>1562</v>
      </c>
      <c r="G49" s="7"/>
      <c r="H49" s="7"/>
      <c r="I49" s="2"/>
      <c r="J49" s="14"/>
      <c r="K49" s="14"/>
      <c r="L49" s="14"/>
      <c r="M49" s="14"/>
      <c r="N49" s="14"/>
      <c r="O49" s="14"/>
      <c r="P49" s="14"/>
      <c r="Q49" s="14"/>
      <c r="R49" s="14"/>
      <c r="S49" s="14"/>
      <c r="T49" s="14"/>
      <c r="U49" s="14"/>
      <c r="V49" s="14"/>
      <c r="W49" s="14"/>
      <c r="X49" s="14"/>
      <c r="Y49" s="14"/>
      <c r="Z49" s="14"/>
      <c r="AA49" s="14"/>
    </row>
    <row r="50" spans="1:27" ht="21">
      <c r="A50" s="5" t="s">
        <v>322</v>
      </c>
      <c r="B50" s="5" t="s">
        <v>162</v>
      </c>
      <c r="C50" s="10" t="s">
        <v>1567</v>
      </c>
      <c r="D50" s="10" t="s">
        <v>18</v>
      </c>
      <c r="E50" s="10" t="s">
        <v>18</v>
      </c>
      <c r="F50" s="10" t="str">
        <f>IF(AND(ISNUMBER(MATCH(C50,{"F","E","D","D+","C","C+","B","B+","A","A+","S"},0)),ISNUMBER(MATCH(D50,{"F","E","D","D+","C","C+","B","B+","A","A+","S"},0)),ISNUMBER(MATCH(E50,{"F","E","D","D+","C","C+","B","B+","A","A+","S"},0)),ISNUMBER(MATCH(#REF!,{"F","E","D","D+","C","C+","B","B+","A","A+","S"},0))),LOOKUP(AVERAGE(_xlfn.SWITCH(C50,"F",0,"E",10,"D",20,"D+",30,"C",40,"C+",50,"B",60,"B+",70,"A",80,"A+",90,"S",100),_xlfn.SWITCH(D50,"F",0,"E",10,"D",20,"D+",30,"C",40,"C+",50,"B",60,"B+",70,"A",80,"A+",90,"S",100),_xlfn.SWITCH(E50,"F",0,"E",10,"D",20,"D+",30,"C",40,"C+",50,"B",60,"B+",70,"A",80,"A+",90,"S",100),_xlfn.SWITCH(#REF!,"F",0,"E",10,"D",20,"D+",30,"C",40,"C+",50,"B",60,"B+",70,"A",80,"A+",90,"S",100)),{0,15,25,35,45,55,65,75,85,95},{"D","D","D+","C","C+","B","B+","A","A+","S"}),"?")</f>
        <v>?</v>
      </c>
      <c r="G50" s="7"/>
      <c r="H50" s="7"/>
      <c r="I50" s="2"/>
      <c r="J50" s="14"/>
      <c r="K50" s="14"/>
      <c r="L50" s="14"/>
      <c r="M50" s="14"/>
      <c r="N50" s="14"/>
      <c r="O50" s="14"/>
      <c r="P50" s="14"/>
      <c r="Q50" s="14"/>
      <c r="R50" s="14"/>
      <c r="S50" s="14"/>
      <c r="T50" s="14"/>
      <c r="U50" s="14"/>
      <c r="V50" s="14"/>
      <c r="W50" s="14"/>
      <c r="X50" s="14"/>
      <c r="Y50" s="14"/>
      <c r="Z50" s="14"/>
      <c r="AA50" s="14"/>
    </row>
    <row r="51" spans="1:27" ht="21">
      <c r="A51" s="5" t="s">
        <v>326</v>
      </c>
      <c r="B51" s="5" t="s">
        <v>94</v>
      </c>
      <c r="F51" s="10" t="s">
        <v>22</v>
      </c>
      <c r="G51" s="7"/>
      <c r="H51" s="7"/>
      <c r="I51" s="2"/>
      <c r="J51" s="14"/>
      <c r="K51" s="14"/>
      <c r="L51" s="14"/>
      <c r="M51" s="14"/>
      <c r="N51" s="14"/>
      <c r="O51" s="14"/>
      <c r="P51" s="14"/>
      <c r="Q51" s="14"/>
      <c r="R51" s="14"/>
      <c r="S51" s="14"/>
      <c r="T51" s="14"/>
      <c r="U51" s="14"/>
      <c r="V51" s="14"/>
      <c r="W51" s="14"/>
      <c r="X51" s="14"/>
      <c r="Y51" s="14"/>
      <c r="Z51" s="14"/>
      <c r="AA51" s="14"/>
    </row>
    <row r="52" spans="1:27" ht="21">
      <c r="A52" s="5" t="s">
        <v>331</v>
      </c>
      <c r="B52" s="5" t="s">
        <v>332</v>
      </c>
      <c r="C52" s="10" t="s">
        <v>1574</v>
      </c>
      <c r="D52" s="10" t="s">
        <v>1574</v>
      </c>
      <c r="E52" s="10" t="s">
        <v>1574</v>
      </c>
      <c r="F52" s="10" t="s">
        <v>1574</v>
      </c>
      <c r="G52" s="7"/>
      <c r="H52" s="7"/>
      <c r="I52" s="2"/>
      <c r="J52" s="14"/>
      <c r="K52" s="14"/>
      <c r="L52" s="14"/>
      <c r="M52" s="14"/>
      <c r="N52" s="14"/>
      <c r="O52" s="14"/>
      <c r="P52" s="14"/>
      <c r="Q52" s="14"/>
      <c r="R52" s="14"/>
      <c r="S52" s="14"/>
      <c r="T52" s="14"/>
      <c r="U52" s="14"/>
      <c r="V52" s="14"/>
      <c r="W52" s="14"/>
      <c r="X52" s="14"/>
      <c r="Y52" s="14"/>
      <c r="Z52" s="14"/>
      <c r="AA52" s="14"/>
    </row>
    <row r="53" spans="1:27" ht="21">
      <c r="A53" s="5" t="s">
        <v>334</v>
      </c>
      <c r="B53" s="5" t="s">
        <v>335</v>
      </c>
      <c r="C53" s="10"/>
      <c r="D53" s="10"/>
      <c r="E53" s="10"/>
      <c r="F53" s="10" t="s">
        <v>22</v>
      </c>
      <c r="G53" s="7"/>
      <c r="H53" s="7"/>
      <c r="I53" s="2"/>
      <c r="J53" s="14"/>
      <c r="K53" s="14"/>
      <c r="L53" s="14"/>
      <c r="M53" s="14"/>
      <c r="N53" s="14"/>
      <c r="O53" s="14"/>
      <c r="P53" s="14"/>
      <c r="Q53" s="14"/>
      <c r="R53" s="14"/>
      <c r="S53" s="14"/>
      <c r="T53" s="14"/>
      <c r="U53" s="14"/>
      <c r="V53" s="14"/>
      <c r="W53" s="14"/>
      <c r="X53" s="14"/>
      <c r="Y53" s="14"/>
      <c r="Z53" s="14"/>
      <c r="AA53" s="14"/>
    </row>
    <row r="54" spans="1:27" ht="21">
      <c r="A54" s="5" t="s">
        <v>339</v>
      </c>
      <c r="B54" s="5" t="s">
        <v>340</v>
      </c>
      <c r="C54" s="10" t="s">
        <v>1562</v>
      </c>
      <c r="D54" s="10" t="s">
        <v>1574</v>
      </c>
      <c r="E54" s="10" t="s">
        <v>1574</v>
      </c>
      <c r="F54" s="10" t="s">
        <v>1574</v>
      </c>
      <c r="G54" s="7"/>
      <c r="H54" s="7"/>
      <c r="I54" s="2"/>
      <c r="J54" s="14"/>
      <c r="K54" s="14"/>
      <c r="L54" s="14"/>
      <c r="M54" s="14"/>
      <c r="N54" s="14"/>
      <c r="O54" s="14"/>
      <c r="P54" s="14"/>
      <c r="Q54" s="14"/>
      <c r="R54" s="14"/>
      <c r="S54" s="14"/>
      <c r="T54" s="14"/>
      <c r="U54" s="14"/>
      <c r="V54" s="14"/>
      <c r="W54" s="14"/>
      <c r="X54" s="14"/>
      <c r="Y54" s="14"/>
      <c r="Z54" s="14"/>
      <c r="AA54" s="14"/>
    </row>
    <row r="55" spans="1:27" ht="21">
      <c r="A55" s="5" t="s">
        <v>346</v>
      </c>
      <c r="B55" s="5" t="s">
        <v>347</v>
      </c>
      <c r="C55" s="10" t="s">
        <v>1562</v>
      </c>
      <c r="D55" s="10" t="s">
        <v>1562</v>
      </c>
      <c r="E55" s="10" t="s">
        <v>1574</v>
      </c>
      <c r="F55" s="10" t="s">
        <v>1562</v>
      </c>
      <c r="G55" s="7"/>
      <c r="H55" s="7"/>
      <c r="I55" s="2"/>
      <c r="J55" s="14"/>
      <c r="K55" s="14"/>
      <c r="L55" s="14"/>
      <c r="M55" s="14"/>
      <c r="N55" s="14"/>
      <c r="O55" s="14"/>
      <c r="P55" s="14"/>
      <c r="Q55" s="14"/>
      <c r="R55" s="14"/>
      <c r="S55" s="14"/>
      <c r="T55" s="14"/>
      <c r="U55" s="14"/>
      <c r="V55" s="14"/>
      <c r="W55" s="14"/>
      <c r="X55" s="14"/>
      <c r="Y55" s="14"/>
      <c r="Z55" s="14"/>
      <c r="AA55" s="14"/>
    </row>
    <row r="56" spans="1:27" ht="21">
      <c r="A56" s="5" t="s">
        <v>353</v>
      </c>
      <c r="B56" s="5" t="s">
        <v>354</v>
      </c>
      <c r="C56" s="10"/>
      <c r="D56" s="10"/>
      <c r="E56" s="10"/>
      <c r="F56" s="10" t="s">
        <v>1562</v>
      </c>
      <c r="G56" s="7"/>
      <c r="H56" s="7"/>
      <c r="I56" s="2"/>
      <c r="J56" s="14"/>
      <c r="K56" s="14"/>
      <c r="L56" s="14"/>
      <c r="M56" s="14"/>
      <c r="N56" s="14"/>
      <c r="O56" s="14"/>
      <c r="P56" s="14"/>
      <c r="Q56" s="14"/>
      <c r="R56" s="14"/>
      <c r="S56" s="14"/>
      <c r="T56" s="14"/>
      <c r="U56" s="14"/>
      <c r="V56" s="14"/>
      <c r="W56" s="14"/>
      <c r="X56" s="14"/>
      <c r="Y56" s="14"/>
      <c r="Z56" s="14"/>
      <c r="AA56" s="14"/>
    </row>
    <row r="57" spans="1:27" ht="21">
      <c r="A57" s="5" t="s">
        <v>358</v>
      </c>
      <c r="B57" s="5" t="s">
        <v>359</v>
      </c>
      <c r="C57" s="10" t="s">
        <v>21</v>
      </c>
      <c r="D57" s="10" t="s">
        <v>1567</v>
      </c>
      <c r="E57" s="10" t="s">
        <v>18</v>
      </c>
      <c r="F57" s="10" t="s">
        <v>1567</v>
      </c>
      <c r="G57" s="7"/>
      <c r="H57" s="7"/>
      <c r="I57" s="2"/>
      <c r="J57" s="14"/>
      <c r="K57" s="14"/>
      <c r="L57" s="14"/>
      <c r="M57" s="14"/>
      <c r="N57" s="14"/>
      <c r="O57" s="14"/>
      <c r="P57" s="14"/>
      <c r="Q57" s="14"/>
      <c r="R57" s="14"/>
      <c r="S57" s="14"/>
      <c r="T57" s="14"/>
      <c r="U57" s="14"/>
      <c r="V57" s="14"/>
      <c r="W57" s="14"/>
      <c r="X57" s="14"/>
      <c r="Y57" s="14"/>
      <c r="Z57" s="14"/>
      <c r="AA57" s="14"/>
    </row>
    <row r="58" spans="1:27" ht="21">
      <c r="A58" s="5" t="s">
        <v>365</v>
      </c>
      <c r="B58" s="5" t="s">
        <v>366</v>
      </c>
      <c r="C58" s="10" t="s">
        <v>1567</v>
      </c>
      <c r="D58" s="10" t="s">
        <v>1574</v>
      </c>
      <c r="E58" s="10" t="s">
        <v>1567</v>
      </c>
      <c r="F58" s="10" t="s">
        <v>1567</v>
      </c>
      <c r="G58" s="7"/>
      <c r="H58" s="7"/>
      <c r="I58" s="2"/>
      <c r="J58" s="14"/>
      <c r="K58" s="14"/>
      <c r="L58" s="14"/>
      <c r="M58" s="14"/>
      <c r="N58" s="14"/>
      <c r="O58" s="14"/>
      <c r="P58" s="14"/>
      <c r="Q58" s="14"/>
      <c r="R58" s="14"/>
      <c r="S58" s="14"/>
      <c r="T58" s="14"/>
      <c r="U58" s="14"/>
      <c r="V58" s="14"/>
      <c r="W58" s="14"/>
      <c r="X58" s="14"/>
      <c r="Y58" s="14"/>
      <c r="Z58" s="14"/>
      <c r="AA58" s="14"/>
    </row>
    <row r="59" spans="1:27" ht="21">
      <c r="A59" s="5" t="s">
        <v>371</v>
      </c>
      <c r="B59" s="5" t="s">
        <v>372</v>
      </c>
      <c r="C59" s="10" t="s">
        <v>1562</v>
      </c>
      <c r="D59" s="10" t="s">
        <v>18</v>
      </c>
      <c r="E59" s="10" t="s">
        <v>1562</v>
      </c>
      <c r="F59" s="10" t="s">
        <v>1562</v>
      </c>
      <c r="G59" s="7"/>
      <c r="H59" s="7"/>
      <c r="I59" s="2"/>
      <c r="J59" s="14"/>
      <c r="K59" s="14"/>
      <c r="L59" s="14"/>
      <c r="M59" s="14"/>
      <c r="N59" s="14"/>
      <c r="O59" s="14"/>
      <c r="P59" s="14"/>
      <c r="Q59" s="14"/>
      <c r="R59" s="14"/>
      <c r="S59" s="14"/>
      <c r="T59" s="14"/>
      <c r="U59" s="14"/>
      <c r="V59" s="14"/>
      <c r="W59" s="14"/>
      <c r="X59" s="14"/>
      <c r="Y59" s="14"/>
      <c r="Z59" s="14"/>
      <c r="AA59" s="14"/>
    </row>
    <row r="60" spans="1:27" ht="21">
      <c r="A60" s="5" t="s">
        <v>376</v>
      </c>
      <c r="B60" s="5" t="s">
        <v>278</v>
      </c>
      <c r="C60" s="10" t="s">
        <v>28</v>
      </c>
      <c r="D60" s="10" t="s">
        <v>1567</v>
      </c>
      <c r="E60" s="10" t="s">
        <v>18</v>
      </c>
      <c r="F60" s="10" t="s">
        <v>21</v>
      </c>
      <c r="G60" s="7" t="s">
        <v>2035</v>
      </c>
      <c r="H60" s="7"/>
      <c r="I60" s="2"/>
      <c r="J60" s="14"/>
      <c r="K60" s="14"/>
      <c r="L60" s="14"/>
      <c r="M60" s="14"/>
      <c r="N60" s="14"/>
      <c r="O60" s="14"/>
      <c r="P60" s="14"/>
      <c r="Q60" s="14"/>
      <c r="R60" s="14"/>
      <c r="S60" s="14"/>
      <c r="T60" s="14"/>
      <c r="U60" s="14"/>
      <c r="V60" s="14"/>
      <c r="W60" s="14"/>
      <c r="X60" s="14"/>
      <c r="Y60" s="14"/>
      <c r="Z60" s="14"/>
      <c r="AA60" s="14"/>
    </row>
    <row r="61" spans="1:27" ht="21">
      <c r="A61" s="5" t="s">
        <v>382</v>
      </c>
      <c r="B61" s="5" t="s">
        <v>383</v>
      </c>
      <c r="C61" s="10"/>
      <c r="D61" s="10"/>
      <c r="E61" s="10"/>
      <c r="F61" s="10" t="s">
        <v>22</v>
      </c>
      <c r="G61" s="7"/>
      <c r="H61" s="7"/>
      <c r="I61" s="2"/>
      <c r="J61" s="14"/>
      <c r="K61" s="14"/>
      <c r="L61" s="14"/>
      <c r="M61" s="14"/>
      <c r="N61" s="14"/>
      <c r="O61" s="14"/>
      <c r="P61" s="14"/>
      <c r="Q61" s="14"/>
      <c r="R61" s="14"/>
      <c r="S61" s="14"/>
      <c r="T61" s="14"/>
      <c r="U61" s="14"/>
      <c r="V61" s="14"/>
      <c r="W61" s="14"/>
      <c r="X61" s="14"/>
      <c r="Y61" s="14"/>
      <c r="Z61" s="14"/>
      <c r="AA61" s="14"/>
    </row>
    <row r="62" spans="1:27" ht="21">
      <c r="A62" s="5" t="s">
        <v>387</v>
      </c>
      <c r="B62" s="5" t="s">
        <v>388</v>
      </c>
      <c r="C62" s="10" t="s">
        <v>1562</v>
      </c>
      <c r="D62" s="10" t="s">
        <v>1574</v>
      </c>
      <c r="E62" s="10" t="s">
        <v>1574</v>
      </c>
      <c r="F62" s="10" t="s">
        <v>1562</v>
      </c>
      <c r="G62" s="7" t="s">
        <v>2036</v>
      </c>
      <c r="H62" s="7"/>
      <c r="I62" s="2"/>
      <c r="J62" s="14"/>
      <c r="K62" s="14"/>
      <c r="L62" s="14"/>
      <c r="M62" s="14"/>
      <c r="N62" s="14"/>
      <c r="O62" s="14"/>
      <c r="P62" s="14"/>
      <c r="Q62" s="14"/>
      <c r="R62" s="14"/>
      <c r="S62" s="14"/>
      <c r="T62" s="14"/>
      <c r="U62" s="14"/>
      <c r="V62" s="14"/>
      <c r="W62" s="14"/>
      <c r="X62" s="14"/>
      <c r="Y62" s="14"/>
      <c r="Z62" s="14"/>
      <c r="AA62" s="14"/>
    </row>
    <row r="63" spans="1:27" ht="21">
      <c r="A63" s="5" t="s">
        <v>393</v>
      </c>
      <c r="B63" s="5" t="s">
        <v>394</v>
      </c>
      <c r="C63" s="10"/>
      <c r="D63" s="10"/>
      <c r="E63" s="10"/>
      <c r="F63" s="10" t="s">
        <v>22</v>
      </c>
      <c r="G63" s="7"/>
      <c r="H63" s="7"/>
      <c r="I63" s="2"/>
      <c r="J63" s="14"/>
      <c r="K63" s="14"/>
      <c r="L63" s="14"/>
      <c r="M63" s="14"/>
      <c r="N63" s="14"/>
      <c r="O63" s="14"/>
      <c r="P63" s="14"/>
      <c r="Q63" s="14"/>
      <c r="R63" s="14"/>
      <c r="S63" s="14"/>
      <c r="T63" s="14"/>
      <c r="U63" s="14"/>
      <c r="V63" s="14"/>
      <c r="W63" s="14"/>
      <c r="X63" s="14"/>
      <c r="Y63" s="14"/>
      <c r="Z63" s="14"/>
      <c r="AA63" s="14"/>
    </row>
    <row r="64" spans="1:27" ht="21">
      <c r="A64" s="5" t="s">
        <v>399</v>
      </c>
      <c r="B64" s="5" t="s">
        <v>400</v>
      </c>
      <c r="C64" s="10"/>
      <c r="D64" s="10"/>
      <c r="E64" s="10"/>
      <c r="F64" s="10" t="s">
        <v>22</v>
      </c>
      <c r="G64" s="7"/>
      <c r="H64" s="7"/>
      <c r="I64" s="2"/>
      <c r="J64" s="14"/>
      <c r="K64" s="14"/>
      <c r="L64" s="14"/>
      <c r="M64" s="14"/>
      <c r="N64" s="14"/>
      <c r="O64" s="14"/>
      <c r="P64" s="14"/>
      <c r="Q64" s="14"/>
      <c r="R64" s="14"/>
      <c r="S64" s="14"/>
      <c r="T64" s="14"/>
      <c r="U64" s="14"/>
      <c r="V64" s="14"/>
      <c r="W64" s="14"/>
      <c r="X64" s="14"/>
      <c r="Y64" s="14"/>
      <c r="Z64" s="14"/>
      <c r="AA64" s="14"/>
    </row>
    <row r="65" spans="1:27" ht="21">
      <c r="A65" s="5" t="s">
        <v>404</v>
      </c>
      <c r="B65" s="5" t="s">
        <v>405</v>
      </c>
      <c r="C65" s="10" t="s">
        <v>1574</v>
      </c>
      <c r="D65" s="10" t="s">
        <v>1574</v>
      </c>
      <c r="E65" s="10" t="s">
        <v>1574</v>
      </c>
      <c r="F65" s="10" t="s">
        <v>1574</v>
      </c>
      <c r="G65" s="7"/>
      <c r="H65" s="7"/>
      <c r="I65" s="2"/>
      <c r="J65" s="14"/>
      <c r="K65" s="14"/>
      <c r="L65" s="14"/>
      <c r="M65" s="14"/>
      <c r="N65" s="14"/>
      <c r="O65" s="14"/>
      <c r="P65" s="14"/>
      <c r="Q65" s="14"/>
      <c r="R65" s="14"/>
      <c r="S65" s="14"/>
      <c r="T65" s="14"/>
      <c r="U65" s="14"/>
      <c r="V65" s="14"/>
      <c r="W65" s="14"/>
      <c r="X65" s="14"/>
      <c r="Y65" s="14"/>
      <c r="Z65" s="14"/>
      <c r="AA65" s="14"/>
    </row>
    <row r="66" spans="1:27" ht="21">
      <c r="A66" s="5" t="s">
        <v>409</v>
      </c>
      <c r="B66" s="5" t="s">
        <v>308</v>
      </c>
      <c r="C66" s="10" t="s">
        <v>1562</v>
      </c>
      <c r="D66" s="10" t="s">
        <v>18</v>
      </c>
      <c r="E66" s="10" t="s">
        <v>1562</v>
      </c>
      <c r="F66" s="10" t="s">
        <v>18</v>
      </c>
      <c r="G66" s="7"/>
      <c r="H66" s="7"/>
      <c r="I66" s="2"/>
      <c r="J66" s="14"/>
      <c r="K66" s="14"/>
      <c r="L66" s="14"/>
      <c r="M66" s="14"/>
      <c r="N66" s="14"/>
      <c r="O66" s="14"/>
      <c r="P66" s="14"/>
      <c r="Q66" s="14"/>
      <c r="R66" s="14"/>
      <c r="S66" s="14"/>
      <c r="T66" s="14"/>
      <c r="U66" s="14"/>
      <c r="V66" s="14"/>
      <c r="W66" s="14"/>
      <c r="X66" s="14"/>
      <c r="Y66" s="14"/>
      <c r="Z66" s="14"/>
      <c r="AA66" s="14"/>
    </row>
    <row r="67" spans="1:27" ht="21">
      <c r="A67" s="5" t="s">
        <v>413</v>
      </c>
      <c r="B67" s="5" t="s">
        <v>414</v>
      </c>
      <c r="C67" s="10" t="s">
        <v>1562</v>
      </c>
      <c r="D67" s="10" t="s">
        <v>1574</v>
      </c>
      <c r="E67" s="10" t="s">
        <v>18</v>
      </c>
      <c r="F67" s="10" t="s">
        <v>1562</v>
      </c>
      <c r="G67" s="7" t="s">
        <v>2037</v>
      </c>
      <c r="H67" s="7"/>
      <c r="I67" s="2"/>
      <c r="J67" s="14"/>
      <c r="K67" s="14"/>
      <c r="L67" s="14"/>
      <c r="M67" s="14"/>
      <c r="N67" s="14"/>
      <c r="O67" s="14"/>
      <c r="P67" s="14"/>
      <c r="Q67" s="14"/>
      <c r="R67" s="14"/>
      <c r="S67" s="14"/>
      <c r="T67" s="14"/>
      <c r="U67" s="14"/>
      <c r="V67" s="14"/>
      <c r="W67" s="14"/>
      <c r="X67" s="14"/>
      <c r="Y67" s="14"/>
      <c r="Z67" s="14"/>
      <c r="AA67" s="14"/>
    </row>
    <row r="68" spans="1:27" ht="21">
      <c r="A68" s="5" t="s">
        <v>416</v>
      </c>
      <c r="B68" s="5" t="s">
        <v>417</v>
      </c>
      <c r="C68" s="10"/>
      <c r="D68" s="10"/>
      <c r="E68" s="10"/>
      <c r="F68" s="10" t="s">
        <v>1574</v>
      </c>
      <c r="G68" s="7"/>
      <c r="H68" s="7"/>
      <c r="I68" s="2"/>
      <c r="J68" s="14"/>
      <c r="K68" s="14"/>
      <c r="L68" s="14"/>
      <c r="M68" s="14"/>
      <c r="N68" s="14"/>
      <c r="O68" s="14"/>
      <c r="P68" s="14"/>
      <c r="Q68" s="14"/>
      <c r="R68" s="14"/>
      <c r="S68" s="14"/>
      <c r="T68" s="14"/>
      <c r="U68" s="14"/>
      <c r="V68" s="14"/>
      <c r="W68" s="14"/>
      <c r="X68" s="14"/>
      <c r="Y68" s="14"/>
      <c r="Z68" s="14"/>
      <c r="AA68" s="14"/>
    </row>
    <row r="69" spans="1:27" ht="21">
      <c r="A69" s="5" t="s">
        <v>421</v>
      </c>
      <c r="B69" s="5" t="s">
        <v>422</v>
      </c>
      <c r="C69" s="10" t="s">
        <v>1574</v>
      </c>
      <c r="D69" s="10" t="s">
        <v>1574</v>
      </c>
      <c r="E69" s="10"/>
      <c r="F69" s="10" t="s">
        <v>22</v>
      </c>
      <c r="G69" s="7"/>
      <c r="H69" s="7"/>
      <c r="I69" s="2"/>
      <c r="J69" s="14"/>
      <c r="K69" s="14"/>
      <c r="L69" s="14"/>
      <c r="M69" s="14"/>
      <c r="N69" s="14"/>
      <c r="O69" s="14"/>
      <c r="P69" s="14"/>
      <c r="Q69" s="14"/>
      <c r="R69" s="14"/>
      <c r="S69" s="14"/>
      <c r="T69" s="14"/>
      <c r="U69" s="14"/>
      <c r="V69" s="14"/>
      <c r="W69" s="14"/>
      <c r="X69" s="14"/>
      <c r="Y69" s="14"/>
      <c r="Z69" s="14"/>
      <c r="AA69" s="14"/>
    </row>
    <row r="70" spans="1:27" ht="21">
      <c r="A70" s="5" t="s">
        <v>426</v>
      </c>
      <c r="B70" s="5" t="s">
        <v>427</v>
      </c>
      <c r="C70" s="10"/>
      <c r="D70" s="10"/>
      <c r="E70" s="10"/>
      <c r="F70" s="10" t="s">
        <v>22</v>
      </c>
      <c r="G70" s="7"/>
      <c r="H70" s="7"/>
      <c r="I70" s="2"/>
      <c r="J70" s="14"/>
      <c r="K70" s="14"/>
      <c r="L70" s="14"/>
      <c r="M70" s="14"/>
      <c r="N70" s="14"/>
      <c r="O70" s="14"/>
      <c r="P70" s="14"/>
      <c r="Q70" s="14"/>
      <c r="R70" s="14"/>
      <c r="S70" s="14"/>
      <c r="T70" s="14"/>
      <c r="U70" s="14"/>
      <c r="V70" s="14"/>
      <c r="W70" s="14"/>
      <c r="X70" s="14"/>
      <c r="Y70" s="14"/>
      <c r="Z70" s="14"/>
      <c r="AA70" s="14"/>
    </row>
    <row r="71" spans="1:27" ht="21">
      <c r="A71" s="5" t="s">
        <v>432</v>
      </c>
      <c r="B71" s="5" t="s">
        <v>149</v>
      </c>
      <c r="C71" s="10"/>
      <c r="D71" s="10"/>
      <c r="E71" s="10"/>
      <c r="F71" s="10" t="s">
        <v>22</v>
      </c>
      <c r="G71" s="7"/>
      <c r="H71" s="7"/>
      <c r="I71" s="2"/>
      <c r="J71" s="14"/>
      <c r="K71" s="14"/>
      <c r="L71" s="14"/>
      <c r="M71" s="14"/>
      <c r="N71" s="14"/>
      <c r="O71" s="14"/>
      <c r="P71" s="14"/>
      <c r="Q71" s="14"/>
      <c r="R71" s="14"/>
      <c r="S71" s="14"/>
      <c r="T71" s="14"/>
      <c r="U71" s="14"/>
      <c r="V71" s="14"/>
      <c r="W71" s="14"/>
      <c r="X71" s="14"/>
      <c r="Y71" s="14"/>
      <c r="Z71" s="14"/>
      <c r="AA71" s="14"/>
    </row>
    <row r="72" spans="1:27" ht="21">
      <c r="A72" s="5" t="s">
        <v>435</v>
      </c>
      <c r="B72" s="5" t="s">
        <v>436</v>
      </c>
      <c r="C72" s="10"/>
      <c r="D72" s="10"/>
      <c r="E72" s="10"/>
      <c r="F72" s="10" t="s">
        <v>22</v>
      </c>
      <c r="G72" s="7"/>
      <c r="H72" s="7"/>
      <c r="I72" s="2"/>
      <c r="J72" s="14"/>
      <c r="K72" s="14"/>
      <c r="L72" s="14"/>
      <c r="M72" s="14"/>
      <c r="N72" s="14"/>
      <c r="O72" s="14"/>
      <c r="P72" s="14"/>
      <c r="Q72" s="14"/>
      <c r="R72" s="14"/>
      <c r="S72" s="14"/>
      <c r="T72" s="14"/>
      <c r="U72" s="14"/>
      <c r="V72" s="14"/>
      <c r="W72" s="14"/>
      <c r="X72" s="14"/>
      <c r="Y72" s="14"/>
      <c r="Z72" s="14"/>
      <c r="AA72" s="14"/>
    </row>
    <row r="73" spans="1:27" ht="21">
      <c r="A73" s="5" t="s">
        <v>442</v>
      </c>
      <c r="B73" s="5" t="s">
        <v>443</v>
      </c>
      <c r="C73" s="10"/>
      <c r="D73" s="10"/>
      <c r="E73" s="10"/>
      <c r="F73" s="10" t="s">
        <v>1574</v>
      </c>
      <c r="G73" s="7"/>
      <c r="H73" s="7"/>
      <c r="I73" s="2"/>
      <c r="J73" s="14"/>
      <c r="K73" s="14"/>
      <c r="L73" s="14"/>
      <c r="M73" s="14"/>
      <c r="N73" s="14"/>
      <c r="O73" s="14"/>
      <c r="P73" s="14"/>
      <c r="Q73" s="14"/>
      <c r="R73" s="14"/>
      <c r="S73" s="14"/>
      <c r="T73" s="14"/>
      <c r="U73" s="14"/>
      <c r="V73" s="14"/>
      <c r="W73" s="14"/>
      <c r="X73" s="14"/>
      <c r="Y73" s="14"/>
      <c r="Z73" s="14"/>
      <c r="AA73" s="14"/>
    </row>
    <row r="74" spans="1:27" ht="21">
      <c r="A74" s="5" t="s">
        <v>447</v>
      </c>
      <c r="B74" s="5" t="s">
        <v>47</v>
      </c>
      <c r="C74" s="10" t="s">
        <v>1574</v>
      </c>
      <c r="D74" s="10" t="s">
        <v>1661</v>
      </c>
      <c r="E74" s="10" t="s">
        <v>1562</v>
      </c>
      <c r="F74" s="10" t="s">
        <v>1574</v>
      </c>
      <c r="G74" s="7"/>
      <c r="H74" s="7"/>
      <c r="I74" s="2"/>
      <c r="J74" s="14"/>
      <c r="K74" s="14"/>
      <c r="L74" s="14"/>
      <c r="M74" s="14"/>
      <c r="N74" s="14"/>
      <c r="O74" s="14"/>
      <c r="P74" s="14"/>
      <c r="Q74" s="14"/>
      <c r="R74" s="14"/>
      <c r="S74" s="14"/>
      <c r="T74" s="14"/>
      <c r="U74" s="14"/>
      <c r="V74" s="14"/>
      <c r="W74" s="14"/>
      <c r="X74" s="14"/>
      <c r="Y74" s="14"/>
      <c r="Z74" s="14"/>
      <c r="AA74" s="14"/>
    </row>
    <row r="75" spans="1:27" ht="21">
      <c r="A75" s="5" t="s">
        <v>451</v>
      </c>
      <c r="B75" s="5" t="s">
        <v>169</v>
      </c>
      <c r="C75" s="10" t="s">
        <v>18</v>
      </c>
      <c r="D75" s="10" t="s">
        <v>1562</v>
      </c>
      <c r="E75" s="10" t="s">
        <v>1562</v>
      </c>
      <c r="F75" s="10" t="s">
        <v>1562</v>
      </c>
      <c r="G75" s="7"/>
      <c r="H75" s="7"/>
      <c r="I75" s="2"/>
      <c r="J75" s="14"/>
      <c r="K75" s="14"/>
      <c r="L75" s="14"/>
      <c r="M75" s="14"/>
      <c r="N75" s="14"/>
      <c r="O75" s="14"/>
      <c r="P75" s="14"/>
      <c r="Q75" s="14"/>
      <c r="R75" s="14"/>
      <c r="S75" s="14"/>
      <c r="T75" s="14"/>
      <c r="U75" s="14"/>
      <c r="V75" s="14"/>
      <c r="W75" s="14"/>
      <c r="X75" s="14"/>
      <c r="Y75" s="14"/>
      <c r="Z75" s="14"/>
      <c r="AA75" s="14"/>
    </row>
    <row r="76" spans="1:27" ht="21">
      <c r="A76" s="5" t="s">
        <v>455</v>
      </c>
      <c r="B76" s="5" t="s">
        <v>197</v>
      </c>
      <c r="C76" s="10"/>
      <c r="D76" s="10"/>
      <c r="E76" s="10"/>
      <c r="F76" s="10" t="s">
        <v>22</v>
      </c>
      <c r="G76" s="7" t="s">
        <v>2038</v>
      </c>
      <c r="H76" s="7"/>
      <c r="I76" s="2"/>
      <c r="J76" s="14"/>
      <c r="K76" s="14"/>
      <c r="L76" s="14"/>
      <c r="M76" s="14"/>
      <c r="N76" s="14"/>
      <c r="O76" s="14"/>
      <c r="P76" s="14"/>
      <c r="Q76" s="14"/>
      <c r="R76" s="14"/>
      <c r="S76" s="14"/>
      <c r="T76" s="14"/>
      <c r="U76" s="14"/>
      <c r="V76" s="14"/>
      <c r="W76" s="14"/>
      <c r="X76" s="14"/>
      <c r="Y76" s="14"/>
      <c r="Z76" s="14"/>
      <c r="AA76" s="14"/>
    </row>
    <row r="77" spans="1:27" ht="21">
      <c r="A77" s="5" t="s">
        <v>461</v>
      </c>
      <c r="B77" s="6" t="s">
        <v>378</v>
      </c>
      <c r="C77" s="10" t="s">
        <v>1562</v>
      </c>
      <c r="D77" s="10" t="s">
        <v>1562</v>
      </c>
      <c r="E77" s="10" t="s">
        <v>1574</v>
      </c>
      <c r="F77" s="10" t="s">
        <v>1562</v>
      </c>
      <c r="G77" s="7" t="s">
        <v>2039</v>
      </c>
      <c r="H77" s="7"/>
      <c r="I77" s="2"/>
      <c r="J77" s="14"/>
      <c r="K77" s="14"/>
      <c r="L77" s="14"/>
      <c r="M77" s="14"/>
      <c r="N77" s="14"/>
      <c r="O77" s="14"/>
      <c r="P77" s="14"/>
      <c r="Q77" s="14"/>
      <c r="R77" s="14"/>
      <c r="S77" s="14"/>
      <c r="T77" s="14"/>
      <c r="U77" s="14"/>
      <c r="V77" s="14"/>
      <c r="W77" s="14"/>
      <c r="X77" s="14"/>
      <c r="Y77" s="14"/>
      <c r="Z77" s="14"/>
      <c r="AA77" s="14"/>
    </row>
    <row r="78" spans="1:27" ht="21">
      <c r="A78" s="5" t="s">
        <v>467</v>
      </c>
      <c r="B78" s="5" t="s">
        <v>30</v>
      </c>
      <c r="C78" s="10" t="s">
        <v>1574</v>
      </c>
      <c r="D78" s="10" t="s">
        <v>1661</v>
      </c>
      <c r="E78" s="10" t="s">
        <v>1574</v>
      </c>
      <c r="F78" s="10" t="s">
        <v>1574</v>
      </c>
      <c r="G78" s="7"/>
      <c r="H78" s="7"/>
      <c r="I78" s="2"/>
      <c r="J78" s="14"/>
      <c r="K78" s="14"/>
      <c r="L78" s="14"/>
      <c r="M78" s="14"/>
      <c r="N78" s="14"/>
      <c r="O78" s="14"/>
      <c r="P78" s="14"/>
      <c r="Q78" s="14"/>
      <c r="R78" s="14"/>
      <c r="S78" s="14"/>
      <c r="T78" s="14"/>
      <c r="U78" s="14"/>
      <c r="V78" s="14"/>
      <c r="W78" s="14"/>
      <c r="X78" s="14"/>
      <c r="Y78" s="14"/>
      <c r="Z78" s="14"/>
      <c r="AA78" s="14"/>
    </row>
    <row r="79" spans="1:27" ht="21">
      <c r="A79" s="5" t="s">
        <v>472</v>
      </c>
      <c r="B79" s="5" t="s">
        <v>473</v>
      </c>
      <c r="C79" s="10"/>
      <c r="D79" s="10"/>
      <c r="E79" s="10"/>
      <c r="F79" s="10" t="s">
        <v>22</v>
      </c>
      <c r="G79" s="7"/>
      <c r="H79" s="7"/>
      <c r="I79" s="2"/>
      <c r="J79" s="14"/>
      <c r="K79" s="14"/>
      <c r="L79" s="14"/>
      <c r="M79" s="14"/>
      <c r="N79" s="14"/>
      <c r="O79" s="14"/>
      <c r="P79" s="14"/>
      <c r="Q79" s="14"/>
      <c r="R79" s="14"/>
      <c r="S79" s="14"/>
      <c r="T79" s="14"/>
      <c r="U79" s="14"/>
      <c r="V79" s="14"/>
      <c r="W79" s="14"/>
      <c r="X79" s="14"/>
      <c r="Y79" s="14"/>
      <c r="Z79" s="14"/>
      <c r="AA79" s="14"/>
    </row>
    <row r="80" spans="1:27" ht="21">
      <c r="A80" s="5" t="s">
        <v>475</v>
      </c>
      <c r="B80" s="5" t="s">
        <v>476</v>
      </c>
      <c r="C80" s="10"/>
      <c r="D80" s="10"/>
      <c r="E80" s="10"/>
      <c r="F80" s="10" t="s">
        <v>22</v>
      </c>
      <c r="G80" s="7"/>
      <c r="H80" s="7"/>
      <c r="I80" s="2"/>
      <c r="J80" s="14"/>
      <c r="K80" s="14"/>
      <c r="L80" s="14"/>
      <c r="M80" s="14"/>
      <c r="N80" s="14"/>
      <c r="O80" s="14"/>
      <c r="P80" s="14"/>
      <c r="Q80" s="14"/>
      <c r="R80" s="14"/>
      <c r="S80" s="14"/>
      <c r="T80" s="14"/>
      <c r="U80" s="14"/>
      <c r="V80" s="14"/>
      <c r="W80" s="14"/>
      <c r="X80" s="14"/>
      <c r="Y80" s="14"/>
      <c r="Z80" s="14"/>
      <c r="AA80" s="14"/>
    </row>
    <row r="81" spans="1:27" ht="21">
      <c r="A81" s="5" t="s">
        <v>478</v>
      </c>
      <c r="B81" s="5" t="s">
        <v>321</v>
      </c>
      <c r="C81" s="10"/>
      <c r="D81" s="10"/>
      <c r="E81" s="10"/>
      <c r="F81" s="10" t="s">
        <v>1574</v>
      </c>
      <c r="G81" s="7"/>
      <c r="H81" s="7"/>
      <c r="I81" s="2"/>
      <c r="J81" s="14"/>
      <c r="K81" s="14"/>
      <c r="L81" s="14"/>
      <c r="M81" s="14"/>
      <c r="N81" s="14"/>
      <c r="O81" s="14"/>
      <c r="P81" s="14"/>
      <c r="Q81" s="14"/>
      <c r="R81" s="14"/>
      <c r="S81" s="14"/>
      <c r="T81" s="14"/>
      <c r="U81" s="14"/>
      <c r="V81" s="14"/>
      <c r="W81" s="14"/>
      <c r="X81" s="14"/>
      <c r="Y81" s="14"/>
      <c r="Z81" s="14"/>
      <c r="AA81" s="14"/>
    </row>
    <row r="82" spans="1:27" ht="21">
      <c r="A82" s="5" t="s">
        <v>483</v>
      </c>
      <c r="B82" s="5" t="s">
        <v>484</v>
      </c>
      <c r="C82" s="10"/>
      <c r="D82" s="10"/>
      <c r="E82" s="10"/>
      <c r="F82" s="10" t="s">
        <v>22</v>
      </c>
      <c r="G82" s="7"/>
      <c r="H82" s="7"/>
      <c r="I82" s="2"/>
      <c r="J82" s="14"/>
      <c r="K82" s="14"/>
      <c r="L82" s="14"/>
      <c r="M82" s="14"/>
      <c r="N82" s="14"/>
      <c r="O82" s="14"/>
      <c r="P82" s="14"/>
      <c r="Q82" s="14"/>
      <c r="R82" s="14"/>
      <c r="S82" s="14"/>
      <c r="T82" s="14"/>
      <c r="U82" s="14"/>
      <c r="V82" s="14"/>
      <c r="W82" s="14"/>
      <c r="X82" s="14"/>
      <c r="Y82" s="14"/>
      <c r="Z82" s="14"/>
      <c r="AA82" s="14"/>
    </row>
    <row r="83" spans="1:27" ht="21">
      <c r="A83" s="5" t="s">
        <v>488</v>
      </c>
      <c r="B83" s="5" t="s">
        <v>489</v>
      </c>
      <c r="C83" s="10"/>
      <c r="D83" s="10"/>
      <c r="E83" s="10"/>
      <c r="F83" s="10" t="s">
        <v>22</v>
      </c>
      <c r="G83" s="7"/>
      <c r="H83" s="7"/>
      <c r="I83" s="2"/>
      <c r="J83" s="14"/>
      <c r="K83" s="14"/>
      <c r="L83" s="14"/>
      <c r="M83" s="14"/>
      <c r="N83" s="14"/>
      <c r="O83" s="14"/>
      <c r="P83" s="14"/>
      <c r="Q83" s="14"/>
      <c r="R83" s="14"/>
      <c r="S83" s="14"/>
      <c r="T83" s="14"/>
      <c r="U83" s="14"/>
      <c r="V83" s="14"/>
      <c r="W83" s="14"/>
      <c r="X83" s="14"/>
      <c r="Y83" s="14"/>
      <c r="Z83" s="14"/>
      <c r="AA83" s="14"/>
    </row>
    <row r="84" spans="1:27" ht="21">
      <c r="A84" s="5" t="s">
        <v>494</v>
      </c>
      <c r="B84" s="5" t="s">
        <v>495</v>
      </c>
      <c r="C84" s="10"/>
      <c r="D84" s="10"/>
      <c r="E84" s="10"/>
      <c r="F84" s="10" t="s">
        <v>1574</v>
      </c>
      <c r="G84" s="7"/>
      <c r="H84" s="7"/>
      <c r="I84" s="2"/>
      <c r="J84" s="14"/>
      <c r="K84" s="14"/>
      <c r="L84" s="14"/>
      <c r="M84" s="14"/>
      <c r="N84" s="14"/>
      <c r="O84" s="14"/>
      <c r="P84" s="14"/>
      <c r="Q84" s="14"/>
      <c r="R84" s="14"/>
      <c r="S84" s="14"/>
      <c r="T84" s="14"/>
      <c r="U84" s="14"/>
      <c r="V84" s="14"/>
      <c r="W84" s="14"/>
      <c r="X84" s="14"/>
      <c r="Y84" s="14"/>
      <c r="Z84" s="14"/>
      <c r="AA84" s="14"/>
    </row>
    <row r="85" spans="1:27" ht="21">
      <c r="A85" s="5" t="s">
        <v>500</v>
      </c>
      <c r="B85" s="5" t="s">
        <v>501</v>
      </c>
      <c r="C85" s="10" t="s">
        <v>1562</v>
      </c>
      <c r="D85" s="10" t="s">
        <v>1574</v>
      </c>
      <c r="E85" s="10" t="s">
        <v>1574</v>
      </c>
      <c r="F85" s="10" t="s">
        <v>1562</v>
      </c>
      <c r="G85" s="7"/>
      <c r="H85" s="7"/>
      <c r="I85" s="2"/>
      <c r="J85" s="14"/>
      <c r="K85" s="14"/>
      <c r="L85" s="14"/>
      <c r="M85" s="14"/>
      <c r="N85" s="14"/>
      <c r="O85" s="14"/>
      <c r="P85" s="14"/>
      <c r="Q85" s="14"/>
      <c r="R85" s="14"/>
      <c r="S85" s="14"/>
      <c r="T85" s="14"/>
      <c r="U85" s="14"/>
      <c r="V85" s="14"/>
      <c r="W85" s="14"/>
      <c r="X85" s="14"/>
      <c r="Y85" s="14"/>
      <c r="Z85" s="14"/>
      <c r="AA85" s="14"/>
    </row>
    <row r="86" spans="1:27" ht="21">
      <c r="A86" s="5" t="s">
        <v>505</v>
      </c>
      <c r="B86" s="5" t="s">
        <v>506</v>
      </c>
      <c r="C86" s="10"/>
      <c r="D86" s="10"/>
      <c r="E86" s="10"/>
      <c r="F86" s="10" t="s">
        <v>22</v>
      </c>
      <c r="G86" s="7"/>
      <c r="H86" s="7"/>
      <c r="I86" s="2"/>
      <c r="J86" s="14"/>
      <c r="K86" s="14"/>
      <c r="L86" s="14"/>
      <c r="M86" s="14"/>
      <c r="N86" s="14"/>
      <c r="O86" s="14"/>
      <c r="P86" s="14"/>
      <c r="Q86" s="14"/>
      <c r="R86" s="14"/>
      <c r="S86" s="14"/>
      <c r="T86" s="14"/>
      <c r="U86" s="14"/>
      <c r="V86" s="14"/>
      <c r="W86" s="14"/>
      <c r="X86" s="14"/>
      <c r="Y86" s="14"/>
      <c r="Z86" s="14"/>
      <c r="AA86" s="14"/>
    </row>
    <row r="87" spans="1:27" ht="21">
      <c r="A87" s="5" t="s">
        <v>509</v>
      </c>
      <c r="B87" s="5" t="s">
        <v>237</v>
      </c>
      <c r="C87" s="10" t="s">
        <v>1574</v>
      </c>
      <c r="D87" s="10" t="s">
        <v>1661</v>
      </c>
      <c r="E87" s="10" t="s">
        <v>1574</v>
      </c>
      <c r="F87" s="10" t="s">
        <v>1574</v>
      </c>
      <c r="G87" s="7"/>
      <c r="H87" s="7"/>
      <c r="I87" s="2"/>
      <c r="J87" s="14"/>
      <c r="K87" s="14"/>
      <c r="L87" s="14"/>
      <c r="M87" s="14"/>
      <c r="N87" s="14"/>
      <c r="O87" s="14"/>
      <c r="P87" s="14"/>
      <c r="Q87" s="14"/>
      <c r="R87" s="14"/>
      <c r="S87" s="14"/>
      <c r="T87" s="14"/>
      <c r="U87" s="14"/>
      <c r="V87" s="14"/>
      <c r="W87" s="14"/>
      <c r="X87" s="14"/>
      <c r="Y87" s="14"/>
      <c r="Z87" s="14"/>
      <c r="AA87" s="14"/>
    </row>
    <row r="88" spans="1:27" ht="21">
      <c r="A88" s="5" t="s">
        <v>510</v>
      </c>
      <c r="B88" s="5" t="s">
        <v>511</v>
      </c>
      <c r="C88" s="10" t="s">
        <v>18</v>
      </c>
      <c r="D88" s="10" t="s">
        <v>18</v>
      </c>
      <c r="E88" s="10" t="s">
        <v>1562</v>
      </c>
      <c r="F88" s="10" t="s">
        <v>1567</v>
      </c>
      <c r="G88" s="7" t="s">
        <v>2040</v>
      </c>
      <c r="H88" s="7"/>
      <c r="I88" s="2"/>
      <c r="J88" s="14"/>
      <c r="K88" s="14"/>
      <c r="L88" s="14"/>
      <c r="M88" s="14"/>
      <c r="N88" s="14"/>
      <c r="O88" s="14"/>
      <c r="P88" s="14"/>
      <c r="Q88" s="14"/>
      <c r="R88" s="14"/>
      <c r="S88" s="14"/>
      <c r="T88" s="14"/>
      <c r="U88" s="14"/>
      <c r="V88" s="14"/>
      <c r="W88" s="14"/>
      <c r="X88" s="14"/>
      <c r="Y88" s="14"/>
      <c r="Z88" s="14"/>
      <c r="AA88" s="14"/>
    </row>
    <row r="89" spans="1:27" ht="21">
      <c r="A89" s="5" t="s">
        <v>517</v>
      </c>
      <c r="B89" s="5" t="s">
        <v>224</v>
      </c>
      <c r="C89" s="10" t="s">
        <v>1562</v>
      </c>
      <c r="D89" s="10" t="s">
        <v>1562</v>
      </c>
      <c r="E89" s="10" t="s">
        <v>1562</v>
      </c>
      <c r="F89" s="10" t="s">
        <v>1562</v>
      </c>
      <c r="G89" s="7"/>
      <c r="H89" s="7"/>
      <c r="I89" s="2"/>
      <c r="J89" s="14"/>
      <c r="K89" s="14"/>
      <c r="L89" s="14"/>
      <c r="M89" s="14"/>
      <c r="N89" s="14"/>
      <c r="O89" s="14"/>
      <c r="P89" s="14"/>
      <c r="Q89" s="14"/>
      <c r="R89" s="14"/>
      <c r="S89" s="14"/>
      <c r="T89" s="14"/>
      <c r="U89" s="14"/>
      <c r="V89" s="14"/>
      <c r="W89" s="14"/>
      <c r="X89" s="14"/>
      <c r="Y89" s="14"/>
      <c r="Z89" s="14"/>
      <c r="AA89" s="14"/>
    </row>
    <row r="90" spans="1:27" ht="21">
      <c r="A90" s="5" t="s">
        <v>523</v>
      </c>
      <c r="B90" s="5" t="s">
        <v>460</v>
      </c>
      <c r="C90" s="10" t="s">
        <v>21</v>
      </c>
      <c r="D90" s="10" t="s">
        <v>1567</v>
      </c>
      <c r="E90" s="10" t="s">
        <v>18</v>
      </c>
      <c r="F90" s="10" t="s">
        <v>1567</v>
      </c>
      <c r="G90" s="7"/>
      <c r="H90" s="7"/>
      <c r="I90" s="2"/>
      <c r="J90" s="14"/>
      <c r="K90" s="14"/>
      <c r="L90" s="14"/>
      <c r="M90" s="14"/>
      <c r="N90" s="14"/>
      <c r="O90" s="14"/>
      <c r="P90" s="14"/>
      <c r="Q90" s="14"/>
      <c r="R90" s="14"/>
      <c r="S90" s="14"/>
      <c r="T90" s="14"/>
      <c r="U90" s="14"/>
      <c r="V90" s="14"/>
      <c r="W90" s="14"/>
      <c r="X90" s="14"/>
      <c r="Y90" s="14"/>
      <c r="Z90" s="14"/>
      <c r="AA90" s="14"/>
    </row>
    <row r="91" spans="1:27" ht="21">
      <c r="A91" s="5" t="s">
        <v>529</v>
      </c>
      <c r="B91" s="5" t="s">
        <v>530</v>
      </c>
      <c r="C91" s="10"/>
      <c r="D91" s="10"/>
      <c r="E91" s="10"/>
      <c r="F91" s="10" t="s">
        <v>22</v>
      </c>
      <c r="G91" s="7"/>
      <c r="H91" s="7"/>
      <c r="I91" s="2"/>
      <c r="J91" s="14"/>
      <c r="K91" s="14"/>
      <c r="L91" s="14"/>
      <c r="M91" s="14"/>
      <c r="N91" s="14"/>
      <c r="O91" s="14"/>
      <c r="P91" s="14"/>
      <c r="Q91" s="14"/>
      <c r="R91" s="14"/>
      <c r="S91" s="14"/>
      <c r="T91" s="14"/>
      <c r="U91" s="14"/>
      <c r="V91" s="14"/>
      <c r="W91" s="14"/>
      <c r="X91" s="14"/>
      <c r="Y91" s="14"/>
      <c r="Z91" s="14"/>
      <c r="AA91" s="14"/>
    </row>
    <row r="92" spans="1:27" ht="21">
      <c r="A92" s="5" t="s">
        <v>534</v>
      </c>
      <c r="B92" s="5" t="s">
        <v>535</v>
      </c>
      <c r="C92" s="10" t="s">
        <v>1562</v>
      </c>
      <c r="D92" s="10" t="s">
        <v>1562</v>
      </c>
      <c r="E92" s="10" t="s">
        <v>1574</v>
      </c>
      <c r="F92" s="10" t="s">
        <v>1562</v>
      </c>
      <c r="G92" s="7"/>
      <c r="H92" s="7"/>
      <c r="I92" s="2"/>
      <c r="J92" s="14"/>
      <c r="K92" s="14"/>
      <c r="L92" s="14"/>
      <c r="M92" s="14"/>
      <c r="N92" s="14"/>
      <c r="O92" s="14"/>
      <c r="P92" s="14"/>
      <c r="Q92" s="14"/>
      <c r="R92" s="14"/>
      <c r="S92" s="14"/>
      <c r="T92" s="14"/>
      <c r="U92" s="14"/>
      <c r="V92" s="14"/>
      <c r="W92" s="14"/>
      <c r="X92" s="14"/>
      <c r="Y92" s="14"/>
      <c r="Z92" s="14"/>
      <c r="AA92" s="14"/>
    </row>
    <row r="93" spans="1:27" ht="21">
      <c r="A93" s="5" t="s">
        <v>541</v>
      </c>
      <c r="B93" s="5" t="s">
        <v>542</v>
      </c>
      <c r="C93" s="10"/>
      <c r="D93" s="10"/>
      <c r="E93" s="10"/>
      <c r="F93" s="10" t="s">
        <v>1661</v>
      </c>
      <c r="G93" s="7"/>
      <c r="H93" s="7"/>
      <c r="I93" s="2"/>
      <c r="J93" s="14"/>
      <c r="K93" s="14"/>
      <c r="L93" s="14"/>
      <c r="M93" s="14"/>
      <c r="N93" s="14"/>
      <c r="O93" s="14"/>
      <c r="P93" s="14"/>
      <c r="Q93" s="14"/>
      <c r="R93" s="14"/>
      <c r="S93" s="14"/>
      <c r="T93" s="14"/>
      <c r="U93" s="14"/>
      <c r="V93" s="14"/>
      <c r="W93" s="14"/>
      <c r="X93" s="14"/>
      <c r="Y93" s="14"/>
      <c r="Z93" s="14"/>
      <c r="AA93" s="14"/>
    </row>
    <row r="94" spans="1:27" ht="21">
      <c r="A94" s="5" t="s">
        <v>548</v>
      </c>
      <c r="B94" s="5" t="s">
        <v>549</v>
      </c>
      <c r="C94" s="10" t="s">
        <v>21</v>
      </c>
      <c r="D94" s="10" t="s">
        <v>1567</v>
      </c>
      <c r="E94" s="10" t="s">
        <v>1567</v>
      </c>
      <c r="F94" s="10" t="s">
        <v>21</v>
      </c>
      <c r="G94" s="7"/>
      <c r="H94" s="7"/>
      <c r="I94" s="2"/>
      <c r="J94" s="14"/>
      <c r="K94" s="14"/>
      <c r="L94" s="14"/>
      <c r="M94" s="14"/>
      <c r="N94" s="14"/>
      <c r="O94" s="14"/>
      <c r="P94" s="14"/>
      <c r="Q94" s="14"/>
      <c r="R94" s="14"/>
      <c r="S94" s="14"/>
      <c r="T94" s="14"/>
      <c r="U94" s="14"/>
      <c r="V94" s="14"/>
      <c r="W94" s="14"/>
      <c r="X94" s="14"/>
      <c r="Y94" s="14"/>
      <c r="Z94" s="14"/>
      <c r="AA94" s="14"/>
    </row>
    <row r="95" spans="1:27" ht="21">
      <c r="A95" s="5" t="s">
        <v>553</v>
      </c>
      <c r="B95" s="5" t="s">
        <v>352</v>
      </c>
      <c r="C95" s="10" t="s">
        <v>1562</v>
      </c>
      <c r="D95" s="10" t="s">
        <v>1562</v>
      </c>
      <c r="E95" s="10" t="s">
        <v>18</v>
      </c>
      <c r="F95" s="10" t="s">
        <v>18</v>
      </c>
      <c r="G95" s="7"/>
      <c r="H95" s="7"/>
      <c r="I95" s="2"/>
      <c r="J95" s="14"/>
      <c r="K95" s="14"/>
      <c r="L95" s="14"/>
      <c r="M95" s="14"/>
      <c r="N95" s="14"/>
      <c r="O95" s="14"/>
      <c r="P95" s="14"/>
      <c r="Q95" s="14"/>
      <c r="R95" s="14"/>
      <c r="S95" s="14"/>
      <c r="T95" s="14"/>
      <c r="U95" s="14"/>
      <c r="V95" s="14"/>
      <c r="W95" s="14"/>
      <c r="X95" s="14"/>
      <c r="Y95" s="14"/>
      <c r="Z95" s="14"/>
      <c r="AA95" s="14"/>
    </row>
    <row r="96" spans="1:27" ht="21">
      <c r="A96" s="5" t="s">
        <v>559</v>
      </c>
      <c r="B96" s="5" t="s">
        <v>560</v>
      </c>
      <c r="C96" s="10" t="s">
        <v>1562</v>
      </c>
      <c r="D96" s="10" t="s">
        <v>1574</v>
      </c>
      <c r="E96" s="10" t="s">
        <v>1562</v>
      </c>
      <c r="F96" s="10" t="s">
        <v>1562</v>
      </c>
      <c r="G96" s="7"/>
      <c r="H96" s="7"/>
      <c r="I96" s="2"/>
      <c r="J96" s="14"/>
      <c r="K96" s="14"/>
      <c r="L96" s="14"/>
      <c r="M96" s="14"/>
      <c r="N96" s="14"/>
      <c r="O96" s="14"/>
      <c r="P96" s="14"/>
      <c r="Q96" s="14"/>
      <c r="R96" s="14"/>
      <c r="S96" s="14"/>
      <c r="T96" s="14"/>
      <c r="U96" s="14"/>
      <c r="V96" s="14"/>
      <c r="W96" s="14"/>
      <c r="X96" s="14"/>
      <c r="Y96" s="14"/>
      <c r="Z96" s="14"/>
      <c r="AA96" s="14"/>
    </row>
    <row r="97" spans="1:27" ht="21">
      <c r="A97" s="5" t="s">
        <v>565</v>
      </c>
      <c r="B97" s="5" t="s">
        <v>441</v>
      </c>
      <c r="C97" s="10" t="s">
        <v>1567</v>
      </c>
      <c r="D97" s="19" t="s">
        <v>1562</v>
      </c>
      <c r="E97" s="10" t="s">
        <v>1562</v>
      </c>
      <c r="F97" s="10" t="s">
        <v>18</v>
      </c>
      <c r="G97" s="7"/>
      <c r="H97" s="7"/>
      <c r="I97" s="2"/>
      <c r="J97" s="14"/>
      <c r="K97" s="14"/>
      <c r="L97" s="14"/>
      <c r="M97" s="14"/>
      <c r="N97" s="14"/>
      <c r="O97" s="14"/>
      <c r="P97" s="14"/>
      <c r="Q97" s="14"/>
      <c r="R97" s="14"/>
      <c r="S97" s="14"/>
      <c r="T97" s="14"/>
      <c r="U97" s="14"/>
      <c r="V97" s="14"/>
      <c r="W97" s="14"/>
      <c r="X97" s="14"/>
      <c r="Y97" s="14"/>
      <c r="Z97" s="14"/>
      <c r="AA97" s="14"/>
    </row>
    <row r="98" spans="1:27" ht="21">
      <c r="A98" s="5" t="s">
        <v>571</v>
      </c>
      <c r="B98" s="5" t="s">
        <v>572</v>
      </c>
      <c r="C98" s="10" t="s">
        <v>21</v>
      </c>
      <c r="D98" s="10" t="s">
        <v>1567</v>
      </c>
      <c r="E98" s="10" t="s">
        <v>21</v>
      </c>
      <c r="F98" s="10" t="s">
        <v>21</v>
      </c>
      <c r="G98" s="7"/>
      <c r="H98" s="7"/>
      <c r="I98" s="2"/>
      <c r="J98" s="14"/>
      <c r="K98" s="14"/>
      <c r="L98" s="14"/>
      <c r="M98" s="14"/>
      <c r="N98" s="14"/>
      <c r="O98" s="14"/>
      <c r="P98" s="14"/>
      <c r="Q98" s="14"/>
      <c r="R98" s="14"/>
      <c r="S98" s="14"/>
      <c r="T98" s="14"/>
      <c r="U98" s="14"/>
      <c r="V98" s="14"/>
      <c r="W98" s="14"/>
      <c r="X98" s="14"/>
      <c r="Y98" s="14"/>
      <c r="Z98" s="14"/>
      <c r="AA98" s="14"/>
    </row>
    <row r="99" spans="1:27" ht="21">
      <c r="A99" s="5" t="s">
        <v>578</v>
      </c>
      <c r="B99" s="5" t="s">
        <v>579</v>
      </c>
      <c r="C99" s="10" t="s">
        <v>1562</v>
      </c>
      <c r="D99" s="10" t="s">
        <v>1562</v>
      </c>
      <c r="E99" s="10" t="s">
        <v>1562</v>
      </c>
      <c r="F99" s="10" t="s">
        <v>1574</v>
      </c>
      <c r="G99" s="7"/>
      <c r="H99" s="7"/>
      <c r="I99" s="2"/>
      <c r="J99" s="14"/>
      <c r="K99" s="14"/>
      <c r="L99" s="14"/>
      <c r="M99" s="14"/>
      <c r="N99" s="14"/>
      <c r="O99" s="14"/>
      <c r="P99" s="14"/>
      <c r="Q99" s="14"/>
      <c r="R99" s="14"/>
      <c r="S99" s="14"/>
      <c r="T99" s="14"/>
      <c r="U99" s="14"/>
      <c r="V99" s="14"/>
      <c r="W99" s="14"/>
      <c r="X99" s="14"/>
      <c r="Y99" s="14"/>
      <c r="Z99" s="14"/>
      <c r="AA99" s="14"/>
    </row>
    <row r="100" spans="1:27" ht="21">
      <c r="A100" s="5" t="s">
        <v>585</v>
      </c>
      <c r="B100" s="5" t="s">
        <v>586</v>
      </c>
      <c r="C100" s="10"/>
      <c r="D100" s="10"/>
      <c r="E100" s="10"/>
      <c r="F100" s="10" t="s">
        <v>22</v>
      </c>
      <c r="G100" s="7"/>
      <c r="H100" s="7"/>
      <c r="I100" s="2"/>
      <c r="J100" s="14"/>
      <c r="K100" s="14"/>
      <c r="L100" s="14"/>
      <c r="M100" s="14"/>
      <c r="N100" s="14"/>
      <c r="O100" s="14"/>
      <c r="P100" s="14"/>
      <c r="Q100" s="14"/>
      <c r="R100" s="14"/>
      <c r="S100" s="14"/>
      <c r="T100" s="14"/>
      <c r="U100" s="14"/>
      <c r="V100" s="14"/>
      <c r="W100" s="14"/>
      <c r="X100" s="14"/>
      <c r="Y100" s="14"/>
      <c r="Z100" s="14"/>
      <c r="AA100" s="14"/>
    </row>
    <row r="101" spans="1:27" ht="21">
      <c r="A101" s="5" t="s">
        <v>590</v>
      </c>
      <c r="B101" s="5" t="s">
        <v>591</v>
      </c>
      <c r="C101" s="10" t="s">
        <v>1567</v>
      </c>
      <c r="D101" s="10" t="s">
        <v>1567</v>
      </c>
      <c r="E101" s="10" t="s">
        <v>1567</v>
      </c>
      <c r="F101" s="10" t="s">
        <v>21</v>
      </c>
      <c r="G101" s="7"/>
      <c r="H101" s="7"/>
      <c r="I101" s="2"/>
      <c r="J101" s="14"/>
      <c r="K101" s="14"/>
      <c r="L101" s="14"/>
      <c r="M101" s="14"/>
      <c r="N101" s="14"/>
      <c r="O101" s="14"/>
      <c r="P101" s="14"/>
      <c r="Q101" s="14"/>
      <c r="R101" s="14"/>
      <c r="S101" s="14"/>
      <c r="T101" s="14"/>
      <c r="U101" s="14"/>
      <c r="V101" s="14"/>
      <c r="W101" s="14"/>
      <c r="X101" s="14"/>
      <c r="Y101" s="14"/>
      <c r="Z101" s="14"/>
      <c r="AA101" s="14"/>
    </row>
    <row r="102" spans="1:27" ht="21">
      <c r="A102" s="5" t="s">
        <v>595</v>
      </c>
      <c r="B102" s="5" t="s">
        <v>596</v>
      </c>
      <c r="C102" s="10" t="s">
        <v>1574</v>
      </c>
      <c r="D102" s="10" t="s">
        <v>1574</v>
      </c>
      <c r="E102" s="10" t="s">
        <v>1562</v>
      </c>
      <c r="F102" s="10" t="s">
        <v>1574</v>
      </c>
      <c r="G102" s="7"/>
      <c r="H102" s="7"/>
      <c r="I102" s="2"/>
      <c r="J102" s="14"/>
      <c r="K102" s="14"/>
      <c r="L102" s="14"/>
      <c r="M102" s="14"/>
      <c r="N102" s="14"/>
      <c r="O102" s="14"/>
      <c r="P102" s="14"/>
      <c r="Q102" s="14"/>
      <c r="R102" s="14"/>
      <c r="S102" s="14"/>
      <c r="T102" s="14"/>
      <c r="U102" s="14"/>
      <c r="V102" s="14"/>
      <c r="W102" s="14"/>
      <c r="X102" s="14"/>
      <c r="Y102" s="14"/>
      <c r="Z102" s="14"/>
      <c r="AA102" s="14"/>
    </row>
    <row r="103" spans="1:27" ht="21">
      <c r="A103" s="5" t="s">
        <v>602</v>
      </c>
      <c r="B103" s="5" t="s">
        <v>603</v>
      </c>
      <c r="C103" s="10"/>
      <c r="D103" s="10"/>
      <c r="E103" s="10"/>
      <c r="F103" s="10" t="s">
        <v>22</v>
      </c>
      <c r="G103" s="7"/>
      <c r="H103" s="7"/>
      <c r="I103" s="2"/>
      <c r="J103" s="14"/>
      <c r="K103" s="14"/>
      <c r="L103" s="14"/>
      <c r="M103" s="14"/>
      <c r="N103" s="14"/>
      <c r="O103" s="14"/>
      <c r="P103" s="14"/>
      <c r="Q103" s="14"/>
      <c r="R103" s="14"/>
      <c r="S103" s="14"/>
      <c r="T103" s="14"/>
      <c r="U103" s="14"/>
      <c r="V103" s="14"/>
      <c r="W103" s="14"/>
      <c r="X103" s="14"/>
      <c r="Y103" s="14"/>
      <c r="Z103" s="14"/>
      <c r="AA103" s="14"/>
    </row>
    <row r="104" spans="1:27" ht="21">
      <c r="A104" s="5" t="s">
        <v>607</v>
      </c>
      <c r="B104" s="5" t="s">
        <v>381</v>
      </c>
      <c r="C104" s="10" t="s">
        <v>1567</v>
      </c>
      <c r="D104" s="10" t="s">
        <v>1567</v>
      </c>
      <c r="E104" s="10" t="s">
        <v>18</v>
      </c>
      <c r="F104" s="10" t="s">
        <v>18</v>
      </c>
      <c r="G104" s="7"/>
      <c r="H104" s="7"/>
      <c r="I104" s="2"/>
      <c r="J104" s="14"/>
      <c r="K104" s="14"/>
      <c r="L104" s="14"/>
      <c r="M104" s="14"/>
      <c r="N104" s="14"/>
      <c r="O104" s="14"/>
      <c r="P104" s="14"/>
      <c r="Q104" s="14"/>
      <c r="R104" s="14"/>
      <c r="S104" s="14"/>
      <c r="T104" s="14"/>
      <c r="U104" s="14"/>
      <c r="V104" s="14"/>
      <c r="W104" s="14"/>
      <c r="X104" s="14"/>
      <c r="Y104" s="14"/>
      <c r="Z104" s="14"/>
      <c r="AA104" s="14"/>
    </row>
    <row r="105" spans="1:27" ht="21">
      <c r="A105" s="5" t="s">
        <v>613</v>
      </c>
      <c r="B105" s="5" t="s">
        <v>108</v>
      </c>
      <c r="C105" s="10" t="s">
        <v>18</v>
      </c>
      <c r="D105" s="10" t="s">
        <v>1567</v>
      </c>
      <c r="E105" s="10" t="s">
        <v>18</v>
      </c>
      <c r="F105" s="10" t="s">
        <v>1567</v>
      </c>
      <c r="G105" s="7" t="s">
        <v>2041</v>
      </c>
      <c r="H105" s="7"/>
      <c r="I105" s="2"/>
      <c r="J105" s="14"/>
      <c r="K105" s="14"/>
      <c r="L105" s="14"/>
      <c r="M105" s="14"/>
      <c r="N105" s="14"/>
      <c r="O105" s="14"/>
      <c r="P105" s="14"/>
      <c r="Q105" s="14"/>
      <c r="R105" s="14"/>
      <c r="S105" s="14"/>
      <c r="T105" s="14"/>
      <c r="U105" s="14"/>
      <c r="V105" s="14"/>
      <c r="W105" s="14"/>
      <c r="X105" s="14"/>
      <c r="Y105" s="14"/>
      <c r="Z105" s="14"/>
      <c r="AA105" s="14"/>
    </row>
    <row r="106" spans="1:27" ht="35.25" customHeight="1">
      <c r="A106" s="540" t="s">
        <v>619</v>
      </c>
      <c r="B106" s="543"/>
      <c r="C106" s="543"/>
      <c r="D106" s="543"/>
      <c r="E106" s="543"/>
      <c r="F106" s="543"/>
      <c r="G106" s="550"/>
      <c r="H106" s="543"/>
      <c r="I106" s="2"/>
      <c r="J106" s="14"/>
      <c r="K106" s="14"/>
      <c r="L106" s="14"/>
      <c r="M106" s="14"/>
      <c r="N106" s="14"/>
      <c r="O106" s="14"/>
      <c r="P106" s="14"/>
      <c r="Q106" s="14"/>
      <c r="R106" s="14"/>
      <c r="S106" s="14"/>
      <c r="T106" s="14"/>
      <c r="U106" s="14"/>
      <c r="V106" s="14"/>
      <c r="W106" s="14"/>
      <c r="X106" s="14"/>
      <c r="Y106" s="14"/>
      <c r="Z106" s="14"/>
      <c r="AA106" s="14"/>
    </row>
    <row r="107" spans="1:27" ht="21">
      <c r="A107" s="5" t="s">
        <v>4</v>
      </c>
      <c r="B107" s="6" t="s">
        <v>5</v>
      </c>
      <c r="C107" s="7" t="s">
        <v>2019</v>
      </c>
      <c r="D107" s="7" t="s">
        <v>2020</v>
      </c>
      <c r="E107" s="7" t="s">
        <v>2021</v>
      </c>
      <c r="F107" s="7" t="s">
        <v>10</v>
      </c>
      <c r="G107" s="7" t="s">
        <v>11</v>
      </c>
      <c r="H107" s="11" t="s">
        <v>12</v>
      </c>
      <c r="I107" s="2"/>
      <c r="J107" s="14"/>
      <c r="K107" s="14"/>
      <c r="L107" s="14"/>
      <c r="M107" s="14"/>
      <c r="N107" s="14"/>
      <c r="O107" s="14"/>
      <c r="P107" s="14"/>
      <c r="Q107" s="14"/>
      <c r="R107" s="14"/>
      <c r="S107" s="14"/>
      <c r="T107" s="14"/>
      <c r="U107" s="14"/>
      <c r="V107" s="14"/>
      <c r="W107" s="14"/>
      <c r="X107" s="14"/>
      <c r="Y107" s="14"/>
      <c r="Z107" s="14"/>
      <c r="AA107" s="14"/>
    </row>
    <row r="108" spans="1:27" ht="21">
      <c r="A108" s="5" t="s">
        <v>633</v>
      </c>
      <c r="B108" s="5" t="s">
        <v>594</v>
      </c>
      <c r="C108" s="13" t="s">
        <v>18</v>
      </c>
      <c r="D108" s="13" t="s">
        <v>18</v>
      </c>
      <c r="E108" s="13" t="s">
        <v>18</v>
      </c>
      <c r="F108" s="13" t="s">
        <v>18</v>
      </c>
      <c r="G108" s="7"/>
      <c r="H108" s="7"/>
      <c r="I108" s="2"/>
      <c r="J108" s="14"/>
      <c r="K108" s="14"/>
      <c r="L108" s="14"/>
      <c r="M108" s="14"/>
      <c r="N108" s="14"/>
      <c r="O108" s="14"/>
      <c r="P108" s="14"/>
      <c r="Q108" s="14"/>
      <c r="R108" s="14"/>
      <c r="S108" s="14"/>
      <c r="T108" s="14"/>
      <c r="U108" s="14"/>
      <c r="V108" s="14"/>
      <c r="W108" s="14"/>
      <c r="X108" s="14"/>
      <c r="Y108" s="14"/>
      <c r="Z108" s="14"/>
      <c r="AA108" s="14"/>
    </row>
    <row r="109" spans="1:27" ht="21">
      <c r="A109" s="5" t="s">
        <v>639</v>
      </c>
      <c r="B109" s="5" t="s">
        <v>640</v>
      </c>
      <c r="C109" s="13" t="s">
        <v>1574</v>
      </c>
      <c r="D109" s="13" t="s">
        <v>1562</v>
      </c>
      <c r="E109" s="13" t="s">
        <v>1562</v>
      </c>
      <c r="F109" s="13" t="s">
        <v>1574</v>
      </c>
      <c r="G109" s="7"/>
      <c r="H109" s="7"/>
      <c r="I109" s="2"/>
      <c r="J109" s="14"/>
      <c r="K109" s="14"/>
      <c r="L109" s="14"/>
      <c r="M109" s="14"/>
      <c r="N109" s="14"/>
      <c r="O109" s="14"/>
      <c r="P109" s="14"/>
      <c r="Q109" s="14"/>
      <c r="R109" s="14"/>
      <c r="S109" s="14"/>
      <c r="T109" s="14"/>
      <c r="U109" s="14"/>
      <c r="V109" s="14"/>
      <c r="W109" s="14"/>
      <c r="X109" s="14"/>
      <c r="Y109" s="14"/>
      <c r="Z109" s="14"/>
      <c r="AA109" s="14"/>
    </row>
    <row r="110" spans="1:27" ht="21">
      <c r="A110" s="5" t="s">
        <v>644</v>
      </c>
      <c r="B110" s="5" t="s">
        <v>645</v>
      </c>
      <c r="C110" s="13" t="s">
        <v>1562</v>
      </c>
      <c r="D110" s="13" t="s">
        <v>1562</v>
      </c>
      <c r="E110" s="13" t="s">
        <v>1574</v>
      </c>
      <c r="F110" s="13" t="s">
        <v>1562</v>
      </c>
      <c r="G110" s="7"/>
      <c r="H110" s="7"/>
      <c r="I110" s="2"/>
      <c r="J110" s="14"/>
      <c r="K110" s="14"/>
      <c r="L110" s="14"/>
      <c r="M110" s="14"/>
      <c r="N110" s="14"/>
      <c r="O110" s="14"/>
      <c r="P110" s="14"/>
      <c r="Q110" s="14"/>
      <c r="R110" s="14"/>
      <c r="S110" s="14"/>
      <c r="T110" s="14"/>
      <c r="U110" s="14"/>
      <c r="V110" s="14"/>
      <c r="W110" s="14"/>
      <c r="X110" s="14"/>
      <c r="Y110" s="14"/>
      <c r="Z110" s="14"/>
      <c r="AA110" s="14"/>
    </row>
    <row r="111" spans="1:27" ht="21">
      <c r="A111" s="5" t="s">
        <v>651</v>
      </c>
      <c r="B111" s="5" t="s">
        <v>652</v>
      </c>
      <c r="C111" s="13" t="s">
        <v>1574</v>
      </c>
      <c r="D111" s="13" t="s">
        <v>1574</v>
      </c>
      <c r="E111" s="13" t="s">
        <v>1562</v>
      </c>
      <c r="F111" s="13" t="s">
        <v>1574</v>
      </c>
      <c r="G111" s="7"/>
      <c r="H111" s="7"/>
      <c r="I111" s="2"/>
      <c r="J111" s="14"/>
      <c r="K111" s="14"/>
      <c r="L111" s="14"/>
      <c r="M111" s="14"/>
      <c r="N111" s="14"/>
      <c r="O111" s="14"/>
      <c r="P111" s="14"/>
      <c r="Q111" s="14"/>
      <c r="R111" s="14"/>
      <c r="S111" s="14"/>
      <c r="T111" s="14"/>
      <c r="U111" s="14"/>
      <c r="V111" s="14"/>
      <c r="W111" s="14"/>
      <c r="X111" s="14"/>
      <c r="Y111" s="14"/>
      <c r="Z111" s="14"/>
      <c r="AA111" s="14"/>
    </row>
    <row r="112" spans="1:27" ht="21">
      <c r="A112" s="5" t="s">
        <v>658</v>
      </c>
      <c r="B112" s="5" t="s">
        <v>659</v>
      </c>
      <c r="C112" s="13" t="s">
        <v>1562</v>
      </c>
      <c r="D112" s="13" t="s">
        <v>1562</v>
      </c>
      <c r="E112" s="13" t="s">
        <v>18</v>
      </c>
      <c r="F112" s="13" t="s">
        <v>18</v>
      </c>
      <c r="G112" s="7"/>
      <c r="H112" s="7"/>
      <c r="I112" s="2"/>
      <c r="J112" s="14"/>
      <c r="K112" s="14"/>
      <c r="L112" s="14"/>
      <c r="M112" s="14"/>
      <c r="N112" s="14"/>
      <c r="O112" s="14"/>
      <c r="P112" s="14"/>
      <c r="Q112" s="14"/>
      <c r="R112" s="14"/>
      <c r="S112" s="14"/>
      <c r="T112" s="14"/>
      <c r="U112" s="14"/>
      <c r="V112" s="14"/>
      <c r="W112" s="14"/>
      <c r="X112" s="14"/>
      <c r="Y112" s="14"/>
      <c r="Z112" s="14"/>
      <c r="AA112" s="14"/>
    </row>
    <row r="113" spans="1:27" ht="21">
      <c r="A113" s="5" t="s">
        <v>663</v>
      </c>
      <c r="B113" s="5" t="s">
        <v>5246</v>
      </c>
      <c r="C113" s="13" t="s">
        <v>1562</v>
      </c>
      <c r="D113" s="13" t="s">
        <v>1562</v>
      </c>
      <c r="E113" s="13" t="s">
        <v>1562</v>
      </c>
      <c r="F113" s="13" t="s">
        <v>1574</v>
      </c>
      <c r="G113" s="7"/>
      <c r="H113" s="7"/>
      <c r="I113" s="2"/>
      <c r="J113" s="14"/>
      <c r="K113" s="14"/>
      <c r="L113" s="14"/>
      <c r="M113" s="14"/>
      <c r="N113" s="14"/>
      <c r="O113" s="14"/>
      <c r="P113" s="14"/>
      <c r="Q113" s="14"/>
      <c r="R113" s="14"/>
      <c r="S113" s="14"/>
      <c r="T113" s="14"/>
      <c r="U113" s="14"/>
      <c r="V113" s="14"/>
      <c r="W113" s="14"/>
      <c r="X113" s="14"/>
      <c r="Y113" s="14"/>
      <c r="Z113" s="14"/>
      <c r="AA113" s="14"/>
    </row>
    <row r="114" spans="1:27" ht="21">
      <c r="A114" s="5" t="s">
        <v>667</v>
      </c>
      <c r="B114" s="23" t="s">
        <v>668</v>
      </c>
      <c r="C114" s="13"/>
      <c r="D114" s="13"/>
      <c r="E114" s="13"/>
      <c r="F114" s="13" t="s">
        <v>22</v>
      </c>
      <c r="G114" s="7"/>
      <c r="H114" s="7"/>
      <c r="I114" s="2"/>
      <c r="J114" s="14"/>
      <c r="K114" s="14"/>
      <c r="L114" s="14"/>
      <c r="M114" s="14"/>
      <c r="N114" s="14"/>
      <c r="O114" s="14"/>
      <c r="P114" s="14"/>
      <c r="Q114" s="14"/>
      <c r="R114" s="14"/>
      <c r="S114" s="14"/>
      <c r="T114" s="14"/>
      <c r="U114" s="14"/>
      <c r="V114" s="14"/>
      <c r="W114" s="14"/>
      <c r="X114" s="14"/>
      <c r="Y114" s="14"/>
      <c r="Z114" s="14"/>
      <c r="AA114" s="14"/>
    </row>
    <row r="115" spans="1:27" ht="21">
      <c r="A115" s="5" t="s">
        <v>674</v>
      </c>
      <c r="B115" s="23" t="s">
        <v>675</v>
      </c>
      <c r="C115" s="13" t="s">
        <v>21</v>
      </c>
      <c r="D115" s="13" t="s">
        <v>18</v>
      </c>
      <c r="E115" s="13" t="s">
        <v>1567</v>
      </c>
      <c r="F115" s="13" t="s">
        <v>1567</v>
      </c>
      <c r="G115" s="7" t="s">
        <v>2042</v>
      </c>
      <c r="H115" s="7"/>
      <c r="I115" s="2"/>
      <c r="J115" s="14"/>
      <c r="K115" s="14"/>
      <c r="L115" s="14"/>
      <c r="M115" s="14"/>
      <c r="N115" s="14"/>
      <c r="O115" s="14"/>
      <c r="P115" s="14"/>
      <c r="Q115" s="14"/>
      <c r="R115" s="14"/>
      <c r="S115" s="14"/>
      <c r="T115" s="14"/>
      <c r="U115" s="14"/>
      <c r="V115" s="14"/>
      <c r="W115" s="14"/>
      <c r="X115" s="14"/>
      <c r="Y115" s="14"/>
      <c r="Z115" s="14"/>
      <c r="AA115" s="14"/>
    </row>
    <row r="116" spans="1:27" ht="21">
      <c r="A116" s="5" t="s">
        <v>681</v>
      </c>
      <c r="B116" s="5" t="s">
        <v>666</v>
      </c>
      <c r="C116" s="13" t="s">
        <v>18</v>
      </c>
      <c r="D116" s="13" t="s">
        <v>1562</v>
      </c>
      <c r="E116" s="13" t="s">
        <v>18</v>
      </c>
      <c r="F116" s="13" t="s">
        <v>18</v>
      </c>
      <c r="G116" s="7"/>
      <c r="H116" s="7"/>
      <c r="I116" s="2"/>
      <c r="J116" s="14"/>
      <c r="K116" s="14"/>
      <c r="L116" s="14"/>
      <c r="M116" s="14"/>
      <c r="N116" s="14"/>
      <c r="O116" s="14"/>
      <c r="P116" s="14"/>
      <c r="Q116" s="14"/>
      <c r="R116" s="14"/>
      <c r="S116" s="14"/>
      <c r="T116" s="14"/>
      <c r="U116" s="14"/>
      <c r="V116" s="14"/>
      <c r="W116" s="14"/>
      <c r="X116" s="14"/>
      <c r="Y116" s="14"/>
      <c r="Z116" s="14"/>
      <c r="AA116" s="14"/>
    </row>
    <row r="117" spans="1:27" ht="21">
      <c r="A117" s="5" t="s">
        <v>687</v>
      </c>
      <c r="B117" s="5" t="s">
        <v>688</v>
      </c>
      <c r="C117" s="13"/>
      <c r="D117" s="13"/>
      <c r="E117" s="13"/>
      <c r="F117" s="13" t="s">
        <v>22</v>
      </c>
      <c r="G117" s="7"/>
      <c r="H117" s="7"/>
      <c r="I117" s="2"/>
      <c r="J117" s="14"/>
      <c r="K117" s="14"/>
      <c r="L117" s="14"/>
      <c r="M117" s="14"/>
      <c r="N117" s="14"/>
      <c r="O117" s="14"/>
      <c r="P117" s="14"/>
      <c r="Q117" s="14"/>
      <c r="R117" s="14"/>
      <c r="S117" s="14"/>
      <c r="T117" s="14"/>
      <c r="U117" s="14"/>
      <c r="V117" s="14"/>
      <c r="W117" s="14"/>
      <c r="X117" s="14"/>
      <c r="Y117" s="14"/>
      <c r="Z117" s="14"/>
      <c r="AA117" s="14"/>
    </row>
    <row r="118" spans="1:27" ht="21">
      <c r="A118" s="5" t="s">
        <v>694</v>
      </c>
      <c r="B118" s="5" t="s">
        <v>695</v>
      </c>
      <c r="C118" s="13" t="s">
        <v>1562</v>
      </c>
      <c r="D118" s="13" t="s">
        <v>1562</v>
      </c>
      <c r="E118" s="13" t="s">
        <v>1562</v>
      </c>
      <c r="F118" s="13" t="s">
        <v>1562</v>
      </c>
      <c r="G118" s="7" t="s">
        <v>2043</v>
      </c>
      <c r="H118" s="7"/>
      <c r="I118" s="2"/>
      <c r="J118" s="14"/>
      <c r="K118" s="14"/>
      <c r="L118" s="14"/>
      <c r="M118" s="14"/>
      <c r="N118" s="14"/>
      <c r="O118" s="14"/>
      <c r="P118" s="14"/>
      <c r="Q118" s="14"/>
      <c r="R118" s="14"/>
      <c r="S118" s="14"/>
      <c r="T118" s="14"/>
      <c r="U118" s="14"/>
      <c r="V118" s="14"/>
      <c r="W118" s="14"/>
      <c r="X118" s="14"/>
      <c r="Y118" s="14"/>
      <c r="Z118" s="14"/>
      <c r="AA118" s="14"/>
    </row>
    <row r="119" spans="1:27" ht="21">
      <c r="A119" s="5" t="s">
        <v>701</v>
      </c>
      <c r="B119" s="5" t="s">
        <v>702</v>
      </c>
      <c r="C119" s="13"/>
      <c r="D119" s="13"/>
      <c r="E119" s="13"/>
      <c r="F119" s="13" t="s">
        <v>22</v>
      </c>
      <c r="G119" s="7"/>
      <c r="H119" s="7"/>
      <c r="I119" s="2"/>
      <c r="J119" s="14"/>
      <c r="K119" s="14"/>
      <c r="L119" s="14"/>
      <c r="M119" s="14"/>
      <c r="N119" s="14"/>
      <c r="O119" s="14"/>
      <c r="P119" s="14"/>
      <c r="Q119" s="14"/>
      <c r="R119" s="14"/>
      <c r="S119" s="14"/>
      <c r="T119" s="14"/>
      <c r="U119" s="14"/>
      <c r="V119" s="14"/>
      <c r="W119" s="14"/>
      <c r="X119" s="14"/>
      <c r="Y119" s="14"/>
      <c r="Z119" s="14"/>
      <c r="AA119" s="14"/>
    </row>
    <row r="120" spans="1:27" ht="21">
      <c r="A120" s="5" t="s">
        <v>708</v>
      </c>
      <c r="B120" s="5" t="s">
        <v>709</v>
      </c>
      <c r="C120" s="13" t="s">
        <v>1567</v>
      </c>
      <c r="D120" s="13" t="s">
        <v>18</v>
      </c>
      <c r="E120" s="13" t="s">
        <v>18</v>
      </c>
      <c r="F120" s="13" t="s">
        <v>18</v>
      </c>
      <c r="G120" s="7"/>
      <c r="H120" s="7"/>
      <c r="I120" s="2"/>
      <c r="J120" s="14"/>
      <c r="K120" s="14"/>
      <c r="L120" s="14"/>
      <c r="M120" s="14"/>
      <c r="N120" s="14"/>
      <c r="O120" s="14"/>
      <c r="P120" s="14"/>
      <c r="Q120" s="14"/>
      <c r="R120" s="14"/>
      <c r="S120" s="14"/>
      <c r="T120" s="14"/>
      <c r="U120" s="14"/>
      <c r="V120" s="14"/>
      <c r="W120" s="14"/>
      <c r="X120" s="14"/>
      <c r="Y120" s="14"/>
      <c r="Z120" s="14"/>
      <c r="AA120" s="14"/>
    </row>
    <row r="121" spans="1:27" ht="21">
      <c r="A121" s="5" t="s">
        <v>715</v>
      </c>
      <c r="B121" s="5" t="s">
        <v>716</v>
      </c>
      <c r="C121" s="13" t="s">
        <v>1567</v>
      </c>
      <c r="D121" s="13" t="s">
        <v>18</v>
      </c>
      <c r="E121" s="13" t="s">
        <v>21</v>
      </c>
      <c r="F121" s="13" t="s">
        <v>1567</v>
      </c>
      <c r="G121" s="7" t="s">
        <v>2044</v>
      </c>
      <c r="H121" s="7"/>
      <c r="I121" s="2"/>
      <c r="J121" s="14"/>
      <c r="K121" s="14"/>
      <c r="L121" s="14"/>
      <c r="M121" s="14"/>
      <c r="N121" s="14"/>
      <c r="O121" s="14"/>
      <c r="P121" s="14"/>
      <c r="Q121" s="14"/>
      <c r="R121" s="14"/>
      <c r="S121" s="14"/>
      <c r="T121" s="14"/>
      <c r="U121" s="14"/>
      <c r="V121" s="14"/>
      <c r="W121" s="14"/>
      <c r="X121" s="14"/>
      <c r="Y121" s="14"/>
      <c r="Z121" s="14"/>
      <c r="AA121" s="14"/>
    </row>
    <row r="122" spans="1:27" ht="21">
      <c r="A122" s="5" t="s">
        <v>722</v>
      </c>
      <c r="B122" s="5" t="s">
        <v>723</v>
      </c>
      <c r="C122" s="13" t="s">
        <v>18</v>
      </c>
      <c r="D122" s="13" t="s">
        <v>18</v>
      </c>
      <c r="E122" s="13" t="s">
        <v>1562</v>
      </c>
      <c r="F122" s="13" t="s">
        <v>1562</v>
      </c>
      <c r="G122" s="7" t="s">
        <v>2045</v>
      </c>
      <c r="H122" s="7"/>
      <c r="I122" s="2"/>
      <c r="J122" s="14"/>
      <c r="K122" s="14"/>
      <c r="L122" s="14"/>
      <c r="M122" s="14"/>
      <c r="N122" s="14"/>
      <c r="O122" s="14"/>
      <c r="P122" s="14"/>
      <c r="Q122" s="14"/>
      <c r="R122" s="14"/>
      <c r="S122" s="14"/>
      <c r="T122" s="14"/>
      <c r="U122" s="14"/>
      <c r="V122" s="14"/>
      <c r="W122" s="14"/>
      <c r="X122" s="14"/>
      <c r="Y122" s="14"/>
      <c r="Z122" s="14"/>
      <c r="AA122" s="14"/>
    </row>
    <row r="123" spans="1:27" ht="21">
      <c r="A123" s="5" t="s">
        <v>727</v>
      </c>
      <c r="B123" s="23" t="s">
        <v>558</v>
      </c>
      <c r="C123" s="13" t="s">
        <v>21</v>
      </c>
      <c r="D123" s="13" t="s">
        <v>1567</v>
      </c>
      <c r="E123" s="13" t="s">
        <v>21</v>
      </c>
      <c r="F123" s="13" t="s">
        <v>21</v>
      </c>
      <c r="G123" s="7"/>
      <c r="H123" s="7"/>
      <c r="I123" s="2"/>
      <c r="J123" s="14"/>
      <c r="K123" s="14"/>
      <c r="L123" s="14"/>
      <c r="M123" s="14"/>
      <c r="N123" s="14"/>
      <c r="O123" s="14"/>
      <c r="P123" s="14"/>
      <c r="Q123" s="14"/>
      <c r="R123" s="14"/>
      <c r="S123" s="14"/>
      <c r="T123" s="14"/>
      <c r="U123" s="14"/>
      <c r="V123" s="14"/>
      <c r="W123" s="14"/>
      <c r="X123" s="14"/>
      <c r="Y123" s="14"/>
      <c r="Z123" s="14"/>
      <c r="AA123" s="14"/>
    </row>
    <row r="124" spans="1:27" ht="21">
      <c r="A124" s="5" t="s">
        <v>733</v>
      </c>
      <c r="B124" s="5" t="s">
        <v>686</v>
      </c>
      <c r="C124" s="13" t="s">
        <v>1574</v>
      </c>
      <c r="D124" s="13" t="s">
        <v>1562</v>
      </c>
      <c r="E124" s="13" t="s">
        <v>1574</v>
      </c>
      <c r="F124" s="13" t="s">
        <v>1574</v>
      </c>
      <c r="G124" s="7" t="s">
        <v>2046</v>
      </c>
      <c r="H124" s="7"/>
      <c r="I124" s="2"/>
      <c r="J124" s="14"/>
      <c r="K124" s="14"/>
      <c r="L124" s="14"/>
      <c r="M124" s="14"/>
      <c r="N124" s="14"/>
      <c r="O124" s="14"/>
      <c r="P124" s="14"/>
      <c r="Q124" s="14"/>
      <c r="R124" s="14"/>
      <c r="S124" s="14"/>
      <c r="T124" s="14"/>
      <c r="U124" s="14"/>
      <c r="V124" s="14"/>
      <c r="W124" s="14"/>
      <c r="X124" s="14"/>
      <c r="Y124" s="14"/>
      <c r="Z124" s="14"/>
      <c r="AA124" s="14"/>
    </row>
    <row r="125" spans="1:27" ht="21">
      <c r="A125" s="5" t="s">
        <v>737</v>
      </c>
      <c r="B125" s="5" t="s">
        <v>700</v>
      </c>
      <c r="C125" s="13" t="s">
        <v>1567</v>
      </c>
      <c r="D125" s="13" t="s">
        <v>1567</v>
      </c>
      <c r="E125" s="13" t="s">
        <v>1567</v>
      </c>
      <c r="F125" s="13" t="s">
        <v>21</v>
      </c>
      <c r="G125" s="7"/>
      <c r="H125" s="7"/>
      <c r="I125" s="2"/>
      <c r="J125" s="14"/>
      <c r="K125" s="14"/>
      <c r="L125" s="14"/>
      <c r="M125" s="14"/>
      <c r="N125" s="14"/>
      <c r="O125" s="14"/>
      <c r="P125" s="14"/>
      <c r="Q125" s="14"/>
      <c r="R125" s="14"/>
      <c r="S125" s="14"/>
      <c r="T125" s="14"/>
      <c r="U125" s="14"/>
      <c r="V125" s="14"/>
      <c r="W125" s="14"/>
      <c r="X125" s="14"/>
      <c r="Y125" s="14"/>
      <c r="Z125" s="14"/>
      <c r="AA125" s="14"/>
    </row>
    <row r="126" spans="1:27">
      <c r="A126" s="5" t="s">
        <v>741</v>
      </c>
      <c r="B126" s="5" t="s">
        <v>742</v>
      </c>
      <c r="C126" s="13" t="s">
        <v>1562</v>
      </c>
      <c r="D126" s="13" t="s">
        <v>1574</v>
      </c>
      <c r="E126" s="13" t="s">
        <v>1562</v>
      </c>
      <c r="F126" s="13" t="s">
        <v>1562</v>
      </c>
      <c r="G126" s="7"/>
      <c r="H126" s="7"/>
    </row>
    <row r="127" spans="1:27">
      <c r="A127" s="5" t="s">
        <v>746</v>
      </c>
      <c r="B127" s="5" t="s">
        <v>693</v>
      </c>
      <c r="C127" s="13" t="s">
        <v>1574</v>
      </c>
      <c r="D127" s="13" t="s">
        <v>1574</v>
      </c>
      <c r="E127" s="13" t="s">
        <v>1562</v>
      </c>
      <c r="F127" s="13" t="s">
        <v>1574</v>
      </c>
      <c r="G127" s="7"/>
      <c r="H127" s="7"/>
    </row>
    <row r="128" spans="1:27">
      <c r="A128" s="5" t="s">
        <v>752</v>
      </c>
      <c r="B128" s="23" t="s">
        <v>753</v>
      </c>
      <c r="C128" s="13" t="s">
        <v>18</v>
      </c>
      <c r="D128" s="13" t="s">
        <v>18</v>
      </c>
      <c r="E128" s="13" t="s">
        <v>18</v>
      </c>
      <c r="F128" s="13" t="s">
        <v>18</v>
      </c>
      <c r="G128" s="7"/>
      <c r="H128" s="7"/>
    </row>
    <row r="129" spans="1:8">
      <c r="A129" s="5" t="s">
        <v>757</v>
      </c>
      <c r="B129" s="5" t="s">
        <v>758</v>
      </c>
      <c r="C129" s="13"/>
      <c r="D129" s="13" t="s">
        <v>1661</v>
      </c>
      <c r="E129" s="13"/>
      <c r="F129" s="13" t="s">
        <v>22</v>
      </c>
      <c r="G129" s="7"/>
      <c r="H129" s="7"/>
    </row>
    <row r="130" spans="1:8">
      <c r="A130" s="5" t="s">
        <v>762</v>
      </c>
      <c r="B130" s="5" t="s">
        <v>763</v>
      </c>
      <c r="C130" s="13" t="s">
        <v>1574</v>
      </c>
      <c r="D130" s="13" t="s">
        <v>1574</v>
      </c>
      <c r="E130" s="13" t="s">
        <v>1574</v>
      </c>
      <c r="F130" s="13" t="s">
        <v>1574</v>
      </c>
      <c r="G130" s="7"/>
      <c r="H130" s="7"/>
    </row>
    <row r="131" spans="1:8">
      <c r="A131" s="5" t="s">
        <v>767</v>
      </c>
      <c r="B131" s="5" t="s">
        <v>768</v>
      </c>
      <c r="C131" s="13" t="s">
        <v>18</v>
      </c>
      <c r="D131" s="13" t="s">
        <v>1562</v>
      </c>
      <c r="E131" s="13" t="s">
        <v>18</v>
      </c>
      <c r="F131" s="13" t="s">
        <v>18</v>
      </c>
      <c r="G131" s="7"/>
      <c r="H131" s="7"/>
    </row>
    <row r="132" spans="1:8">
      <c r="A132" s="5" t="s">
        <v>772</v>
      </c>
      <c r="B132" s="5" t="s">
        <v>773</v>
      </c>
      <c r="C132" s="13" t="s">
        <v>1562</v>
      </c>
      <c r="D132" s="13" t="s">
        <v>18</v>
      </c>
      <c r="E132" s="13" t="s">
        <v>1567</v>
      </c>
      <c r="F132" s="13" t="s">
        <v>1567</v>
      </c>
      <c r="G132" s="7"/>
      <c r="H132" s="7"/>
    </row>
    <row r="133" spans="1:8">
      <c r="A133" s="5" t="s">
        <v>779</v>
      </c>
      <c r="B133" s="5" t="s">
        <v>780</v>
      </c>
      <c r="C133" s="13"/>
      <c r="D133" s="13"/>
      <c r="E133" s="13"/>
      <c r="F133" s="13" t="s">
        <v>22</v>
      </c>
      <c r="G133" s="7"/>
      <c r="H133" s="7"/>
    </row>
    <row r="134" spans="1:8">
      <c r="A134" s="5" t="s">
        <v>785</v>
      </c>
      <c r="B134" s="23" t="s">
        <v>786</v>
      </c>
      <c r="C134" s="13" t="s">
        <v>1562</v>
      </c>
      <c r="D134" s="13" t="s">
        <v>18</v>
      </c>
      <c r="E134" s="13" t="s">
        <v>18</v>
      </c>
      <c r="F134" s="13" t="s">
        <v>18</v>
      </c>
      <c r="G134" s="7"/>
      <c r="H134" s="7"/>
    </row>
    <row r="135" spans="1:8">
      <c r="A135" s="5" t="s">
        <v>791</v>
      </c>
      <c r="B135" s="5" t="s">
        <v>792</v>
      </c>
      <c r="C135" s="13"/>
      <c r="D135" s="13"/>
      <c r="E135" s="13"/>
      <c r="F135" s="13" t="s">
        <v>1661</v>
      </c>
      <c r="G135" s="7"/>
      <c r="H135" s="7"/>
    </row>
    <row r="136" spans="1:8">
      <c r="A136" s="5" t="s">
        <v>796</v>
      </c>
      <c r="B136" s="5" t="s">
        <v>797</v>
      </c>
      <c r="C136" s="13" t="s">
        <v>1562</v>
      </c>
      <c r="D136" s="13" t="s">
        <v>1562</v>
      </c>
      <c r="E136" s="13" t="s">
        <v>1562</v>
      </c>
      <c r="F136" s="13" t="s">
        <v>1562</v>
      </c>
      <c r="G136" s="7"/>
      <c r="H136" s="7"/>
    </row>
    <row r="137" spans="1:8">
      <c r="A137" s="5" t="s">
        <v>800</v>
      </c>
      <c r="B137" s="23" t="s">
        <v>801</v>
      </c>
      <c r="C137" s="13" t="s">
        <v>1574</v>
      </c>
      <c r="D137" s="13" t="s">
        <v>1574</v>
      </c>
      <c r="E137" s="13" t="s">
        <v>1562</v>
      </c>
      <c r="F137" s="13" t="s">
        <v>1574</v>
      </c>
      <c r="G137" s="7"/>
      <c r="H137" s="7"/>
    </row>
    <row r="138" spans="1:8">
      <c r="A138" s="5" t="s">
        <v>807</v>
      </c>
      <c r="B138" s="5" t="s">
        <v>808</v>
      </c>
      <c r="C138" s="13"/>
      <c r="F138" s="13" t="s">
        <v>22</v>
      </c>
      <c r="G138" s="7"/>
      <c r="H138" s="7"/>
    </row>
    <row r="139" spans="1:8">
      <c r="A139" s="5" t="s">
        <v>814</v>
      </c>
      <c r="B139" s="5" t="s">
        <v>736</v>
      </c>
      <c r="C139" s="13" t="s">
        <v>18</v>
      </c>
      <c r="D139" s="13" t="s">
        <v>18</v>
      </c>
      <c r="E139" s="13" t="s">
        <v>1574</v>
      </c>
      <c r="F139" s="13" t="s">
        <v>18</v>
      </c>
      <c r="G139" s="7" t="s">
        <v>2047</v>
      </c>
      <c r="H139" s="7"/>
    </row>
    <row r="140" spans="1:8">
      <c r="A140" s="5" t="s">
        <v>818</v>
      </c>
      <c r="B140" s="5" t="s">
        <v>819</v>
      </c>
      <c r="C140" s="13"/>
      <c r="D140" s="13" t="s">
        <v>1661</v>
      </c>
      <c r="E140" s="13"/>
      <c r="F140" s="13" t="s">
        <v>1574</v>
      </c>
      <c r="G140" s="7"/>
      <c r="H140" s="7"/>
    </row>
    <row r="141" spans="1:8">
      <c r="A141" s="5" t="s">
        <v>825</v>
      </c>
      <c r="B141" s="23" t="s">
        <v>826</v>
      </c>
      <c r="C141" s="13"/>
      <c r="D141" s="13"/>
      <c r="E141" s="13"/>
      <c r="F141" s="13" t="s">
        <v>22</v>
      </c>
      <c r="G141" s="7"/>
      <c r="H141" s="7"/>
    </row>
    <row r="142" spans="1:8">
      <c r="A142" s="5" t="s">
        <v>832</v>
      </c>
      <c r="B142" s="5" t="s">
        <v>833</v>
      </c>
      <c r="C142" s="13"/>
      <c r="D142" s="13"/>
      <c r="E142" s="13"/>
      <c r="F142" s="13" t="s">
        <v>1574</v>
      </c>
      <c r="G142" s="7"/>
      <c r="H142" s="7"/>
    </row>
    <row r="143" spans="1:8">
      <c r="A143" s="5" t="s">
        <v>837</v>
      </c>
      <c r="B143" s="5" t="s">
        <v>838</v>
      </c>
      <c r="C143" s="13"/>
      <c r="D143" s="13"/>
      <c r="E143" s="13"/>
      <c r="F143" s="13" t="s">
        <v>1562</v>
      </c>
      <c r="G143" s="7" t="s">
        <v>2042</v>
      </c>
      <c r="H143" s="7"/>
    </row>
    <row r="144" spans="1:8">
      <c r="A144" s="5" t="s">
        <v>844</v>
      </c>
      <c r="B144" s="23" t="s">
        <v>627</v>
      </c>
      <c r="C144" s="13" t="s">
        <v>18</v>
      </c>
      <c r="D144" s="13" t="s">
        <v>1562</v>
      </c>
      <c r="E144" s="13" t="s">
        <v>1562</v>
      </c>
      <c r="F144" s="13" t="s">
        <v>18</v>
      </c>
      <c r="G144" s="7"/>
      <c r="H144" s="7"/>
    </row>
    <row r="145" spans="1:8">
      <c r="A145" s="5" t="s">
        <v>850</v>
      </c>
      <c r="B145" s="5" t="s">
        <v>851</v>
      </c>
      <c r="C145" s="13"/>
      <c r="D145" s="13"/>
      <c r="E145" s="13"/>
      <c r="F145" s="13" t="s">
        <v>22</v>
      </c>
      <c r="G145" s="7"/>
      <c r="H145" s="7"/>
    </row>
    <row r="146" spans="1:8">
      <c r="A146" s="5" t="s">
        <v>855</v>
      </c>
      <c r="B146" s="23" t="s">
        <v>662</v>
      </c>
      <c r="C146" s="13" t="s">
        <v>18</v>
      </c>
      <c r="D146" s="13" t="s">
        <v>18</v>
      </c>
      <c r="E146" s="13" t="s">
        <v>18</v>
      </c>
      <c r="F146" s="13" t="s">
        <v>18</v>
      </c>
      <c r="G146" s="7"/>
      <c r="H146" s="7"/>
    </row>
    <row r="147" spans="1:8">
      <c r="A147" s="5" t="s">
        <v>859</v>
      </c>
      <c r="B147" s="5" t="s">
        <v>860</v>
      </c>
      <c r="C147" s="13"/>
      <c r="D147" s="13"/>
      <c r="E147" s="13"/>
      <c r="F147" s="13" t="s">
        <v>22</v>
      </c>
      <c r="G147" s="7"/>
      <c r="H147" s="7"/>
    </row>
    <row r="148" spans="1:8">
      <c r="A148" s="5" t="s">
        <v>861</v>
      </c>
      <c r="B148" s="5" t="s">
        <v>862</v>
      </c>
      <c r="C148" s="13" t="s">
        <v>1562</v>
      </c>
      <c r="D148" s="13" t="s">
        <v>18</v>
      </c>
      <c r="E148" s="13" t="s">
        <v>18</v>
      </c>
      <c r="F148" s="13" t="s">
        <v>1562</v>
      </c>
      <c r="G148" s="7" t="s">
        <v>2048</v>
      </c>
      <c r="H148" s="7"/>
    </row>
    <row r="149" spans="1:8">
      <c r="A149" s="5" t="s">
        <v>865</v>
      </c>
      <c r="B149" s="5" t="s">
        <v>866</v>
      </c>
      <c r="C149" s="13"/>
      <c r="D149" s="13"/>
      <c r="E149" s="13"/>
      <c r="F149" s="13" t="s">
        <v>22</v>
      </c>
      <c r="G149" s="7"/>
      <c r="H149" s="7"/>
    </row>
    <row r="150" spans="1:8">
      <c r="A150" s="5" t="s">
        <v>870</v>
      </c>
      <c r="B150" s="5" t="s">
        <v>843</v>
      </c>
      <c r="C150" s="13" t="s">
        <v>1562</v>
      </c>
      <c r="D150" s="13" t="s">
        <v>18</v>
      </c>
      <c r="E150" s="13" t="s">
        <v>1562</v>
      </c>
      <c r="F150" s="13" t="s">
        <v>18</v>
      </c>
      <c r="G150" s="7"/>
      <c r="H150" s="7"/>
    </row>
    <row r="151" spans="1:8">
      <c r="A151" s="5" t="s">
        <v>876</v>
      </c>
      <c r="B151" s="23" t="s">
        <v>877</v>
      </c>
      <c r="C151" s="13" t="s">
        <v>1574</v>
      </c>
      <c r="D151" s="13" t="s">
        <v>1574</v>
      </c>
      <c r="E151" s="13" t="s">
        <v>1574</v>
      </c>
      <c r="F151" s="13" t="s">
        <v>1574</v>
      </c>
      <c r="G151" s="7" t="s">
        <v>2049</v>
      </c>
      <c r="H151" s="7"/>
    </row>
    <row r="152" spans="1:8">
      <c r="A152" s="5" t="s">
        <v>881</v>
      </c>
      <c r="B152" s="23" t="s">
        <v>882</v>
      </c>
      <c r="C152" s="13" t="s">
        <v>18</v>
      </c>
      <c r="D152" s="13" t="s">
        <v>1562</v>
      </c>
      <c r="E152" s="13" t="s">
        <v>18</v>
      </c>
      <c r="F152" s="13" t="s">
        <v>18</v>
      </c>
      <c r="G152" s="7" t="s">
        <v>2042</v>
      </c>
      <c r="H152" s="7"/>
    </row>
    <row r="153" spans="1:8">
      <c r="A153" s="5" t="s">
        <v>888</v>
      </c>
      <c r="B153" s="23" t="s">
        <v>889</v>
      </c>
      <c r="C153" s="13"/>
      <c r="D153" s="13"/>
      <c r="E153" s="13"/>
      <c r="F153" s="13" t="s">
        <v>22</v>
      </c>
      <c r="G153" s="7"/>
      <c r="H153" s="7"/>
    </row>
    <row r="154" spans="1:8">
      <c r="A154" s="5" t="s">
        <v>895</v>
      </c>
      <c r="B154" s="23" t="s">
        <v>849</v>
      </c>
      <c r="C154" s="13" t="s">
        <v>21</v>
      </c>
      <c r="D154" s="13" t="s">
        <v>18</v>
      </c>
      <c r="E154" s="13" t="s">
        <v>21</v>
      </c>
      <c r="F154" s="13" t="s">
        <v>21</v>
      </c>
      <c r="G154" s="7" t="s">
        <v>2050</v>
      </c>
      <c r="H154" s="7"/>
    </row>
    <row r="155" spans="1:8">
      <c r="A155" s="5" t="s">
        <v>898</v>
      </c>
      <c r="B155" s="23" t="s">
        <v>899</v>
      </c>
      <c r="C155" s="13"/>
      <c r="D155" s="13"/>
      <c r="E155" s="13"/>
      <c r="F155" s="13" t="s">
        <v>22</v>
      </c>
      <c r="G155" s="7"/>
      <c r="H155" s="7"/>
    </row>
    <row r="156" spans="1:8">
      <c r="A156" s="5" t="s">
        <v>905</v>
      </c>
      <c r="B156" s="5" t="s">
        <v>906</v>
      </c>
      <c r="C156" s="13"/>
      <c r="D156" s="13" t="s">
        <v>16</v>
      </c>
      <c r="E156" s="13"/>
      <c r="F156" s="13" t="s">
        <v>22</v>
      </c>
      <c r="G156" s="7" t="s">
        <v>2051</v>
      </c>
      <c r="H156" s="7"/>
    </row>
    <row r="157" spans="1:8">
      <c r="A157" s="5" t="s">
        <v>912</v>
      </c>
      <c r="B157" s="5" t="s">
        <v>913</v>
      </c>
      <c r="C157" s="13" t="s">
        <v>18</v>
      </c>
      <c r="D157" s="13" t="s">
        <v>1562</v>
      </c>
      <c r="E157" s="13" t="s">
        <v>1562</v>
      </c>
      <c r="F157" s="13" t="s">
        <v>18</v>
      </c>
      <c r="G157" s="7"/>
      <c r="H157" s="7"/>
    </row>
    <row r="158" spans="1:8">
      <c r="A158" s="5" t="s">
        <v>919</v>
      </c>
      <c r="B158" s="5" t="s">
        <v>920</v>
      </c>
      <c r="C158" s="13" t="s">
        <v>18</v>
      </c>
      <c r="D158" s="13" t="s">
        <v>1562</v>
      </c>
      <c r="E158" s="13" t="s">
        <v>18</v>
      </c>
      <c r="F158" s="13" t="s">
        <v>18</v>
      </c>
      <c r="G158" s="7"/>
      <c r="H158" s="7"/>
    </row>
    <row r="159" spans="1:8">
      <c r="A159" s="5" t="s">
        <v>924</v>
      </c>
      <c r="B159" s="5" t="s">
        <v>925</v>
      </c>
      <c r="C159" s="13" t="s">
        <v>1562</v>
      </c>
      <c r="D159" s="13" t="s">
        <v>1562</v>
      </c>
      <c r="E159" s="13" t="s">
        <v>18</v>
      </c>
      <c r="F159" s="13" t="s">
        <v>1562</v>
      </c>
      <c r="G159" s="7" t="s">
        <v>2052</v>
      </c>
      <c r="H159" s="7"/>
    </row>
    <row r="160" spans="1:8">
      <c r="A160" s="5" t="s">
        <v>929</v>
      </c>
      <c r="B160" s="5" t="s">
        <v>930</v>
      </c>
      <c r="C160" s="13" t="s">
        <v>1562</v>
      </c>
      <c r="D160" s="13" t="s">
        <v>1562</v>
      </c>
      <c r="E160" s="13" t="s">
        <v>1567</v>
      </c>
      <c r="F160" s="13" t="s">
        <v>18</v>
      </c>
      <c r="G160" s="7" t="s">
        <v>2042</v>
      </c>
      <c r="H160" s="7"/>
    </row>
    <row r="161" spans="1:8">
      <c r="A161" s="5" t="s">
        <v>934</v>
      </c>
      <c r="B161" s="5" t="s">
        <v>522</v>
      </c>
      <c r="C161" s="13" t="s">
        <v>18</v>
      </c>
      <c r="D161" s="13" t="s">
        <v>1562</v>
      </c>
      <c r="E161" s="13" t="s">
        <v>18</v>
      </c>
      <c r="F161" s="13" t="s">
        <v>18</v>
      </c>
      <c r="G161" s="7" t="s">
        <v>2053</v>
      </c>
      <c r="H161" s="7"/>
    </row>
    <row r="162" spans="1:8">
      <c r="A162" s="5" t="s">
        <v>937</v>
      </c>
      <c r="B162" s="5" t="s">
        <v>547</v>
      </c>
      <c r="C162" s="13" t="s">
        <v>18</v>
      </c>
      <c r="D162" s="13" t="s">
        <v>1562</v>
      </c>
      <c r="E162" s="13" t="s">
        <v>18</v>
      </c>
      <c r="F162" s="13" t="s">
        <v>18</v>
      </c>
      <c r="G162" s="7" t="s">
        <v>2054</v>
      </c>
      <c r="H162" s="7"/>
    </row>
    <row r="163" spans="1:8">
      <c r="A163" s="5" t="s">
        <v>943</v>
      </c>
      <c r="B163" s="5" t="s">
        <v>944</v>
      </c>
      <c r="C163" s="13"/>
      <c r="D163" s="13" t="s">
        <v>1661</v>
      </c>
      <c r="E163" s="13"/>
      <c r="F163" s="13" t="s">
        <v>22</v>
      </c>
      <c r="G163" s="7"/>
      <c r="H163" s="7"/>
    </row>
    <row r="164" spans="1:8">
      <c r="A164" s="5" t="s">
        <v>950</v>
      </c>
      <c r="B164" s="5" t="s">
        <v>951</v>
      </c>
      <c r="C164" s="13"/>
      <c r="D164" s="13" t="s">
        <v>1661</v>
      </c>
      <c r="E164" s="13"/>
      <c r="F164" s="13" t="s">
        <v>22</v>
      </c>
      <c r="G164" s="7"/>
      <c r="H164" s="7"/>
    </row>
    <row r="165" spans="1:8">
      <c r="A165" s="5" t="s">
        <v>957</v>
      </c>
      <c r="B165" s="5" t="s">
        <v>958</v>
      </c>
      <c r="C165" s="13" t="s">
        <v>1567</v>
      </c>
      <c r="D165" s="13" t="s">
        <v>18</v>
      </c>
      <c r="E165" s="13" t="s">
        <v>18</v>
      </c>
      <c r="F165" s="13" t="s">
        <v>1567</v>
      </c>
      <c r="G165" s="7" t="s">
        <v>2055</v>
      </c>
      <c r="H165" s="7"/>
    </row>
    <row r="166" spans="1:8">
      <c r="A166" s="5" t="s">
        <v>964</v>
      </c>
      <c r="B166" s="5" t="s">
        <v>965</v>
      </c>
      <c r="C166" s="13" t="s">
        <v>18</v>
      </c>
      <c r="D166" s="13" t="s">
        <v>1562</v>
      </c>
      <c r="E166" s="13" t="s">
        <v>18</v>
      </c>
      <c r="F166" s="13" t="s">
        <v>18</v>
      </c>
      <c r="G166" s="7"/>
      <c r="H166" s="7"/>
    </row>
    <row r="167" spans="1:8">
      <c r="A167" s="5" t="s">
        <v>971</v>
      </c>
      <c r="B167" s="23" t="s">
        <v>972</v>
      </c>
      <c r="C167" s="13" t="s">
        <v>1562</v>
      </c>
      <c r="D167" s="13" t="s">
        <v>1562</v>
      </c>
      <c r="E167" s="13" t="s">
        <v>1562</v>
      </c>
      <c r="F167" s="13" t="s">
        <v>1562</v>
      </c>
      <c r="G167" s="7" t="s">
        <v>2056</v>
      </c>
      <c r="H167" s="7"/>
    </row>
    <row r="168" spans="1:8">
      <c r="A168" s="5" t="s">
        <v>976</v>
      </c>
      <c r="B168" s="5" t="s">
        <v>977</v>
      </c>
      <c r="C168" s="13"/>
      <c r="E168" s="13"/>
      <c r="F168" s="13" t="s">
        <v>22</v>
      </c>
      <c r="G168" s="7"/>
      <c r="H168" s="7"/>
    </row>
    <row r="169" spans="1:8">
      <c r="A169" s="5" t="s">
        <v>981</v>
      </c>
      <c r="B169" s="23" t="s">
        <v>624</v>
      </c>
      <c r="C169" s="13" t="s">
        <v>1562</v>
      </c>
      <c r="D169" s="13" t="s">
        <v>1562</v>
      </c>
      <c r="E169" s="13" t="s">
        <v>1567</v>
      </c>
      <c r="F169" s="13" t="s">
        <v>18</v>
      </c>
      <c r="G169" s="7" t="s">
        <v>2057</v>
      </c>
      <c r="H169" s="7"/>
    </row>
    <row r="170" spans="1:8">
      <c r="A170" s="5" t="s">
        <v>986</v>
      </c>
      <c r="B170" s="23" t="s">
        <v>657</v>
      </c>
      <c r="C170" s="13" t="s">
        <v>28</v>
      </c>
      <c r="D170" s="13" t="s">
        <v>28</v>
      </c>
      <c r="E170" s="13" t="s">
        <v>28</v>
      </c>
      <c r="F170" s="13" t="s">
        <v>17</v>
      </c>
      <c r="G170" s="7" t="s">
        <v>2058</v>
      </c>
      <c r="H170" s="7"/>
    </row>
    <row r="171" spans="1:8">
      <c r="A171" s="5" t="s">
        <v>990</v>
      </c>
      <c r="B171" s="23" t="s">
        <v>836</v>
      </c>
      <c r="C171" s="13" t="s">
        <v>18</v>
      </c>
      <c r="D171" s="13" t="s">
        <v>18</v>
      </c>
      <c r="E171" s="13" t="s">
        <v>21</v>
      </c>
      <c r="F171" s="13" t="s">
        <v>1567</v>
      </c>
      <c r="G171" s="7"/>
      <c r="H171" s="7"/>
    </row>
    <row r="172" spans="1:8">
      <c r="A172" s="5" t="s">
        <v>996</v>
      </c>
      <c r="B172" s="5" t="s">
        <v>806</v>
      </c>
      <c r="C172" s="13" t="s">
        <v>1567</v>
      </c>
      <c r="D172" s="13" t="s">
        <v>1567</v>
      </c>
      <c r="E172" s="13" t="s">
        <v>1567</v>
      </c>
      <c r="F172" s="13" t="s">
        <v>1567</v>
      </c>
      <c r="G172" s="7" t="s">
        <v>2059</v>
      </c>
      <c r="H172" s="7"/>
    </row>
    <row r="173" spans="1:8">
      <c r="A173" s="5" t="s">
        <v>1002</v>
      </c>
      <c r="B173" s="23" t="s">
        <v>1003</v>
      </c>
      <c r="C173" s="13" t="s">
        <v>21</v>
      </c>
      <c r="D173" s="13" t="s">
        <v>1567</v>
      </c>
      <c r="E173" s="13" t="s">
        <v>21</v>
      </c>
      <c r="F173" s="13" t="s">
        <v>21</v>
      </c>
      <c r="G173" s="7"/>
      <c r="H173" s="7"/>
    </row>
    <row r="174" spans="1:8">
      <c r="A174" s="5" t="s">
        <v>1009</v>
      </c>
      <c r="B174" s="5" t="s">
        <v>795</v>
      </c>
      <c r="C174" s="13" t="s">
        <v>1567</v>
      </c>
      <c r="D174" s="13" t="s">
        <v>1567</v>
      </c>
      <c r="E174" s="13" t="s">
        <v>1567</v>
      </c>
      <c r="F174" s="13" t="s">
        <v>1567</v>
      </c>
      <c r="G174" s="7" t="s">
        <v>2060</v>
      </c>
      <c r="H174" s="7"/>
    </row>
    <row r="175" spans="1:8">
      <c r="A175" s="5" t="s">
        <v>1013</v>
      </c>
      <c r="B175" s="23" t="s">
        <v>1014</v>
      </c>
      <c r="C175" s="13"/>
      <c r="D175" s="13"/>
      <c r="E175" s="13"/>
      <c r="F175" s="13" t="s">
        <v>22</v>
      </c>
      <c r="G175" s="7"/>
      <c r="H175" s="7"/>
    </row>
    <row r="176" spans="1:8">
      <c r="A176" s="5" t="s">
        <v>1018</v>
      </c>
      <c r="B176" s="5" t="s">
        <v>1019</v>
      </c>
      <c r="C176" s="13" t="s">
        <v>1567</v>
      </c>
      <c r="D176" s="13" t="s">
        <v>1567</v>
      </c>
      <c r="E176" s="13" t="s">
        <v>1567</v>
      </c>
      <c r="F176" s="13" t="s">
        <v>1567</v>
      </c>
      <c r="G176" s="7" t="s">
        <v>2041</v>
      </c>
      <c r="H176" s="7"/>
    </row>
    <row r="177" spans="1:8">
      <c r="A177" s="5" t="s">
        <v>1023</v>
      </c>
      <c r="B177" s="5" t="s">
        <v>540</v>
      </c>
      <c r="C177" s="13" t="s">
        <v>1567</v>
      </c>
      <c r="D177" s="13" t="s">
        <v>1567</v>
      </c>
      <c r="E177" s="13" t="s">
        <v>21</v>
      </c>
      <c r="F177" s="13" t="s">
        <v>21</v>
      </c>
      <c r="G177" s="7" t="s">
        <v>2061</v>
      </c>
      <c r="H177" s="7"/>
    </row>
    <row r="178" spans="1:8">
      <c r="A178" s="5" t="s">
        <v>1029</v>
      </c>
      <c r="B178" s="5" t="s">
        <v>1030</v>
      </c>
      <c r="C178" s="13"/>
      <c r="D178" s="13" t="s">
        <v>1661</v>
      </c>
      <c r="E178" s="13"/>
      <c r="F178" s="13" t="s">
        <v>22</v>
      </c>
      <c r="G178" s="7"/>
      <c r="H178" s="7"/>
    </row>
    <row r="179" spans="1:8" ht="39" customHeight="1">
      <c r="A179" s="540" t="s">
        <v>1034</v>
      </c>
      <c r="B179" s="543"/>
      <c r="C179" s="543"/>
      <c r="D179" s="543"/>
      <c r="E179" s="543"/>
      <c r="F179" s="543"/>
      <c r="G179" s="550"/>
      <c r="H179" s="543"/>
    </row>
    <row r="180" spans="1:8">
      <c r="A180" s="5" t="s">
        <v>4</v>
      </c>
      <c r="B180" s="6" t="s">
        <v>5</v>
      </c>
      <c r="C180" s="7" t="s">
        <v>6</v>
      </c>
      <c r="D180" s="7" t="s">
        <v>7</v>
      </c>
      <c r="E180" s="7" t="s">
        <v>8</v>
      </c>
      <c r="F180" s="7" t="s">
        <v>10</v>
      </c>
      <c r="G180" s="7" t="s">
        <v>11</v>
      </c>
      <c r="H180" s="7" t="s">
        <v>12</v>
      </c>
    </row>
    <row r="181" spans="1:8">
      <c r="A181" s="5" t="s">
        <v>1040</v>
      </c>
      <c r="B181" s="5" t="s">
        <v>1041</v>
      </c>
      <c r="C181" s="13"/>
      <c r="D181" s="13"/>
      <c r="E181" s="13"/>
      <c r="F181" s="13"/>
      <c r="G181" s="7"/>
      <c r="H181" s="7" t="s">
        <v>1042</v>
      </c>
    </row>
    <row r="182" spans="1:8">
      <c r="A182" s="5" t="s">
        <v>1046</v>
      </c>
      <c r="B182" s="5" t="s">
        <v>1047</v>
      </c>
      <c r="C182" s="13"/>
      <c r="D182" s="13"/>
      <c r="E182" s="13"/>
      <c r="F182" s="13"/>
      <c r="G182" s="7"/>
      <c r="H182" s="7"/>
    </row>
    <row r="183" spans="1:8">
      <c r="A183" s="5" t="s">
        <v>1053</v>
      </c>
      <c r="B183" s="5" t="s">
        <v>975</v>
      </c>
      <c r="C183" s="13"/>
      <c r="D183" s="13"/>
      <c r="E183" s="13"/>
      <c r="F183" s="13"/>
      <c r="G183" s="7"/>
      <c r="H183" s="7"/>
    </row>
    <row r="184" spans="1:8">
      <c r="A184" s="5" t="s">
        <v>1059</v>
      </c>
      <c r="B184" s="5" t="s">
        <v>1060</v>
      </c>
      <c r="C184" s="13"/>
      <c r="D184" s="13"/>
      <c r="E184" s="13"/>
      <c r="F184" s="13"/>
      <c r="G184" s="7"/>
      <c r="H184" s="7"/>
    </row>
    <row r="185" spans="1:8">
      <c r="A185" s="5" t="s">
        <v>1064</v>
      </c>
      <c r="B185" s="34" t="s">
        <v>1017</v>
      </c>
      <c r="C185" s="13"/>
      <c r="D185" s="13"/>
      <c r="E185" s="13"/>
      <c r="F185" s="13"/>
      <c r="G185" s="7"/>
      <c r="H185" s="7"/>
    </row>
    <row r="186" spans="1:8">
      <c r="A186" s="5" t="s">
        <v>1069</v>
      </c>
      <c r="B186" s="34" t="s">
        <v>1017</v>
      </c>
      <c r="C186" s="13"/>
      <c r="D186" s="13"/>
      <c r="E186" s="13"/>
      <c r="F186" s="13"/>
      <c r="G186" s="7"/>
      <c r="H186" s="7"/>
    </row>
    <row r="187" spans="1:8">
      <c r="A187" s="5" t="s">
        <v>1075</v>
      </c>
      <c r="B187" s="5" t="s">
        <v>1076</v>
      </c>
      <c r="C187" s="13"/>
      <c r="D187" s="13"/>
      <c r="E187" s="13"/>
      <c r="F187" s="13"/>
      <c r="G187" s="7"/>
      <c r="H187" s="7"/>
    </row>
    <row r="188" spans="1:8">
      <c r="A188" s="5" t="s">
        <v>1080</v>
      </c>
      <c r="B188" s="5" t="s">
        <v>923</v>
      </c>
      <c r="C188" s="13"/>
      <c r="D188" s="13"/>
      <c r="E188" s="13"/>
      <c r="F188" s="13"/>
      <c r="G188" s="7"/>
      <c r="H188" s="7"/>
    </row>
    <row r="189" spans="1:8">
      <c r="A189" s="5" t="s">
        <v>1086</v>
      </c>
      <c r="B189" s="5" t="s">
        <v>918</v>
      </c>
      <c r="C189" s="13"/>
      <c r="D189" s="13"/>
      <c r="E189" s="13"/>
      <c r="F189" s="13"/>
      <c r="G189" s="7"/>
      <c r="H189" s="7"/>
    </row>
    <row r="190" spans="1:8">
      <c r="A190" s="5" t="s">
        <v>1092</v>
      </c>
      <c r="B190" s="5" t="s">
        <v>151</v>
      </c>
      <c r="C190" s="13"/>
      <c r="D190" s="13"/>
      <c r="E190" s="13"/>
      <c r="F190" s="13"/>
      <c r="G190" s="7"/>
      <c r="H190" s="7"/>
    </row>
    <row r="191" spans="1:8">
      <c r="A191" s="5" t="s">
        <v>1098</v>
      </c>
      <c r="B191" s="5" t="s">
        <v>1099</v>
      </c>
      <c r="C191" s="13"/>
      <c r="D191" s="13"/>
      <c r="E191" s="13"/>
      <c r="F191" s="13"/>
      <c r="G191" s="7"/>
      <c r="H191" s="7"/>
    </row>
    <row r="192" spans="1:8">
      <c r="A192" s="5" t="s">
        <v>1103</v>
      </c>
      <c r="B192" s="5" t="s">
        <v>1104</v>
      </c>
      <c r="C192" s="13"/>
      <c r="D192" s="13"/>
      <c r="E192" s="13"/>
      <c r="F192" s="13"/>
      <c r="G192" s="7"/>
      <c r="H192" s="7"/>
    </row>
    <row r="193" spans="1:8">
      <c r="A193" s="5" t="s">
        <v>1108</v>
      </c>
      <c r="B193" s="5" t="s">
        <v>970</v>
      </c>
      <c r="C193" s="13"/>
      <c r="D193" s="13"/>
      <c r="E193" s="13"/>
      <c r="F193" s="13"/>
      <c r="G193" s="7"/>
      <c r="H193" s="7"/>
    </row>
    <row r="194" spans="1:8">
      <c r="A194" s="5" t="s">
        <v>1111</v>
      </c>
      <c r="B194" s="5" t="s">
        <v>1112</v>
      </c>
      <c r="C194" s="13"/>
      <c r="D194" s="13"/>
      <c r="E194" s="13"/>
      <c r="F194" s="13"/>
      <c r="G194" s="7"/>
      <c r="H194" s="7"/>
    </row>
    <row r="195" spans="1:8">
      <c r="A195" s="5" t="s">
        <v>1118</v>
      </c>
      <c r="B195" s="5" t="s">
        <v>1119</v>
      </c>
      <c r="C195" s="13"/>
      <c r="D195" s="13"/>
      <c r="E195" s="13"/>
      <c r="F195" s="13"/>
      <c r="G195" s="7"/>
      <c r="H195" s="7"/>
    </row>
    <row r="196" spans="1:8">
      <c r="A196" s="5" t="s">
        <v>1123</v>
      </c>
      <c r="B196" s="5" t="s">
        <v>1124</v>
      </c>
      <c r="C196" s="13"/>
      <c r="D196" s="13"/>
      <c r="E196" s="13"/>
      <c r="F196" s="13"/>
      <c r="G196" s="7"/>
      <c r="H196" s="7"/>
    </row>
    <row r="197" spans="1:8">
      <c r="A197" s="5" t="s">
        <v>1130</v>
      </c>
      <c r="B197" s="5" t="s">
        <v>1131</v>
      </c>
      <c r="C197" s="13"/>
      <c r="D197" s="13"/>
      <c r="E197" s="13"/>
      <c r="F197" s="13"/>
      <c r="G197" s="7"/>
      <c r="H197" s="7"/>
    </row>
    <row r="198" spans="1:8">
      <c r="A198" s="5" t="s">
        <v>1137</v>
      </c>
      <c r="B198" s="5" t="s">
        <v>1138</v>
      </c>
      <c r="C198" s="13"/>
      <c r="D198" s="13"/>
      <c r="E198" s="13"/>
      <c r="F198" s="13"/>
      <c r="G198" s="7"/>
      <c r="H198" s="7"/>
    </row>
    <row r="199" spans="1:8">
      <c r="A199" s="5" t="s">
        <v>1144</v>
      </c>
      <c r="B199" s="5" t="s">
        <v>1145</v>
      </c>
      <c r="C199" s="13"/>
      <c r="D199" s="13"/>
      <c r="E199" s="13"/>
      <c r="F199" s="13"/>
      <c r="G199" s="7"/>
      <c r="H199" s="7"/>
    </row>
    <row r="200" spans="1:8">
      <c r="A200" s="5" t="s">
        <v>1149</v>
      </c>
      <c r="B200" s="5" t="s">
        <v>918</v>
      </c>
      <c r="C200" s="13"/>
      <c r="D200" s="13"/>
      <c r="E200" s="13"/>
      <c r="F200" s="13"/>
      <c r="G200" s="7"/>
      <c r="H200" s="7"/>
    </row>
    <row r="201" spans="1:8">
      <c r="A201" s="5" t="s">
        <v>1155</v>
      </c>
      <c r="B201" s="5" t="s">
        <v>942</v>
      </c>
      <c r="C201" s="13"/>
      <c r="D201" s="13"/>
      <c r="E201" s="13"/>
      <c r="F201" s="13"/>
      <c r="G201" s="7"/>
      <c r="H201" s="7"/>
    </row>
    <row r="202" spans="1:8">
      <c r="A202" s="5" t="s">
        <v>1159</v>
      </c>
      <c r="B202" s="5" t="s">
        <v>159</v>
      </c>
      <c r="C202" s="13"/>
      <c r="D202" s="13"/>
      <c r="E202" s="13"/>
      <c r="F202" s="13"/>
      <c r="G202" s="7"/>
      <c r="H202" s="7"/>
    </row>
    <row r="203" spans="1:8">
      <c r="A203" s="5" t="s">
        <v>1165</v>
      </c>
      <c r="B203" s="5" t="s">
        <v>288</v>
      </c>
      <c r="C203" s="13"/>
      <c r="D203" s="13"/>
      <c r="E203" s="13"/>
      <c r="F203" s="13"/>
      <c r="G203" s="7"/>
      <c r="H203" s="7"/>
    </row>
    <row r="204" spans="1:8">
      <c r="A204" s="5" t="s">
        <v>1169</v>
      </c>
      <c r="B204" s="5" t="s">
        <v>933</v>
      </c>
      <c r="C204" s="13"/>
      <c r="D204" s="13"/>
      <c r="E204" s="13"/>
      <c r="F204" s="13"/>
      <c r="G204" s="7"/>
      <c r="H204" s="7"/>
    </row>
    <row r="205" spans="1:8">
      <c r="A205" s="5" t="s">
        <v>1175</v>
      </c>
      <c r="B205" s="5" t="s">
        <v>875</v>
      </c>
      <c r="C205" s="13"/>
      <c r="D205" s="13"/>
      <c r="E205" s="13"/>
      <c r="F205" s="13"/>
      <c r="G205" s="7"/>
      <c r="H205" s="7"/>
    </row>
    <row r="206" spans="1:8">
      <c r="A206" s="5" t="s">
        <v>1181</v>
      </c>
      <c r="B206" s="5" t="s">
        <v>1182</v>
      </c>
      <c r="C206" s="13"/>
      <c r="D206" s="13"/>
      <c r="E206" s="13"/>
      <c r="F206" s="13"/>
      <c r="G206" s="7"/>
      <c r="H206" s="7"/>
    </row>
    <row r="207" spans="1:8">
      <c r="A207" s="5" t="s">
        <v>1188</v>
      </c>
      <c r="B207" s="5" t="s">
        <v>911</v>
      </c>
      <c r="C207" s="13"/>
      <c r="D207" s="13"/>
      <c r="E207" s="13"/>
      <c r="F207" s="13"/>
      <c r="G207" s="7"/>
      <c r="H207" s="7"/>
    </row>
    <row r="208" spans="1:8">
      <c r="A208" s="5" t="s">
        <v>1192</v>
      </c>
      <c r="B208" s="5" t="s">
        <v>1193</v>
      </c>
      <c r="C208" s="13"/>
      <c r="D208" s="13"/>
      <c r="E208" s="13"/>
      <c r="F208" s="13"/>
      <c r="G208" s="7"/>
      <c r="H208" s="7"/>
    </row>
    <row r="209" spans="1:8">
      <c r="A209" s="5" t="s">
        <v>1197</v>
      </c>
      <c r="B209" s="5" t="s">
        <v>1198</v>
      </c>
      <c r="C209" s="13"/>
      <c r="D209" s="13"/>
      <c r="E209" s="13"/>
      <c r="F209" s="13"/>
      <c r="G209" s="7"/>
      <c r="H209" s="7"/>
    </row>
    <row r="210" spans="1:8">
      <c r="A210" s="5" t="s">
        <v>1202</v>
      </c>
      <c r="B210" s="5" t="s">
        <v>869</v>
      </c>
      <c r="C210" s="13"/>
      <c r="D210" s="13"/>
      <c r="E210" s="13"/>
      <c r="F210" s="13"/>
      <c r="G210" s="7"/>
      <c r="H210" s="7"/>
    </row>
    <row r="211" spans="1:8">
      <c r="A211" s="5" t="s">
        <v>1208</v>
      </c>
      <c r="B211" s="5" t="s">
        <v>1012</v>
      </c>
      <c r="C211" s="13"/>
      <c r="D211" s="13"/>
      <c r="E211" s="13"/>
      <c r="F211" s="13"/>
      <c r="G211" s="7"/>
      <c r="H211" s="7"/>
    </row>
    <row r="212" spans="1:8">
      <c r="A212" s="5" t="s">
        <v>1214</v>
      </c>
      <c r="B212" s="5" t="s">
        <v>108</v>
      </c>
      <c r="C212" s="13"/>
      <c r="D212" s="13"/>
      <c r="E212" s="13"/>
      <c r="F212" s="13"/>
      <c r="G212" s="7"/>
      <c r="H212" s="7"/>
    </row>
    <row r="213" spans="1:8">
      <c r="A213" s="5" t="s">
        <v>1217</v>
      </c>
      <c r="B213" s="5" t="s">
        <v>1218</v>
      </c>
      <c r="C213" s="13"/>
      <c r="D213" s="13"/>
      <c r="E213" s="13"/>
      <c r="F213" s="13"/>
      <c r="G213" s="7"/>
      <c r="H213" s="7"/>
    </row>
    <row r="214" spans="1:8">
      <c r="A214" s="5" t="s">
        <v>1223</v>
      </c>
      <c r="B214" s="5" t="s">
        <v>1224</v>
      </c>
      <c r="C214" s="13"/>
      <c r="D214" s="13"/>
      <c r="E214" s="13"/>
      <c r="F214" s="13"/>
      <c r="G214" s="7"/>
      <c r="H214" s="7"/>
    </row>
    <row r="215" spans="1:8">
      <c r="A215" s="5" t="s">
        <v>1230</v>
      </c>
      <c r="B215" s="5" t="s">
        <v>1231</v>
      </c>
      <c r="C215" s="13"/>
      <c r="D215" s="13"/>
      <c r="E215" s="13"/>
      <c r="F215" s="13"/>
      <c r="G215" s="7"/>
      <c r="H215" s="7"/>
    </row>
    <row r="216" spans="1:8">
      <c r="A216" s="5" t="s">
        <v>1237</v>
      </c>
      <c r="B216" s="5" t="s">
        <v>1238</v>
      </c>
      <c r="C216" s="13"/>
      <c r="D216" s="13"/>
      <c r="E216" s="13"/>
      <c r="F216" s="13"/>
      <c r="G216" s="7"/>
      <c r="H216" s="7"/>
    </row>
    <row r="217" spans="1:8">
      <c r="A217" s="5" t="s">
        <v>1241</v>
      </c>
      <c r="B217" s="5" t="s">
        <v>1242</v>
      </c>
      <c r="C217" s="13"/>
      <c r="D217" s="13"/>
      <c r="E217" s="13"/>
      <c r="F217" s="13"/>
      <c r="G217" s="7"/>
      <c r="H217" s="7"/>
    </row>
    <row r="218" spans="1:8">
      <c r="A218" s="5" t="s">
        <v>1245</v>
      </c>
      <c r="B218" s="5" t="s">
        <v>1246</v>
      </c>
      <c r="C218" s="13"/>
      <c r="D218" s="13"/>
      <c r="E218" s="13"/>
      <c r="F218" s="13"/>
      <c r="G218" s="7"/>
      <c r="H218" s="7"/>
    </row>
    <row r="219" spans="1:8">
      <c r="A219" s="5" t="s">
        <v>1249</v>
      </c>
      <c r="B219" s="5" t="s">
        <v>1250</v>
      </c>
      <c r="C219" s="13"/>
      <c r="D219" s="13"/>
      <c r="E219" s="13"/>
      <c r="F219" s="13"/>
      <c r="G219" s="7"/>
      <c r="H219" s="7"/>
    </row>
    <row r="220" spans="1:8" ht="37.5" customHeight="1">
      <c r="A220" s="536" t="s">
        <v>1253</v>
      </c>
      <c r="B220" s="543"/>
      <c r="C220" s="543"/>
      <c r="D220" s="543"/>
      <c r="E220" s="543"/>
      <c r="F220" s="543"/>
      <c r="G220" s="550"/>
      <c r="H220" s="543"/>
    </row>
    <row r="221" spans="1:8">
      <c r="A221" s="5" t="s">
        <v>4</v>
      </c>
      <c r="B221" s="6" t="s">
        <v>5</v>
      </c>
      <c r="C221" s="7" t="s">
        <v>6</v>
      </c>
      <c r="D221" s="7" t="s">
        <v>7</v>
      </c>
      <c r="E221" s="7" t="s">
        <v>8</v>
      </c>
      <c r="F221" s="7" t="s">
        <v>10</v>
      </c>
      <c r="G221" s="7" t="s">
        <v>11</v>
      </c>
      <c r="H221" s="7" t="s">
        <v>12</v>
      </c>
    </row>
    <row r="222" spans="1:8">
      <c r="A222" s="5" t="s">
        <v>1259</v>
      </c>
      <c r="B222" s="5" t="s">
        <v>1201</v>
      </c>
      <c r="C222" s="13"/>
      <c r="D222" s="13"/>
      <c r="E222" s="13"/>
      <c r="F222" s="13"/>
      <c r="G222" s="7"/>
      <c r="H222" s="7"/>
    </row>
    <row r="223" spans="1:8">
      <c r="A223" s="5" t="s">
        <v>1262</v>
      </c>
      <c r="B223" s="5" t="s">
        <v>1263</v>
      </c>
      <c r="C223" s="13"/>
      <c r="D223" s="13"/>
      <c r="E223" s="13"/>
      <c r="F223" s="13"/>
      <c r="G223" s="7"/>
      <c r="H223" s="7"/>
    </row>
    <row r="224" spans="1:8">
      <c r="A224" s="5" t="s">
        <v>1266</v>
      </c>
      <c r="B224" s="23" t="s">
        <v>1267</v>
      </c>
      <c r="C224" s="13"/>
      <c r="D224" s="13"/>
      <c r="E224" s="13"/>
      <c r="F224" s="13"/>
      <c r="G224" s="7"/>
      <c r="H224" s="7"/>
    </row>
    <row r="225" spans="1:8">
      <c r="A225" s="5" t="s">
        <v>1268</v>
      </c>
      <c r="B225" s="5" t="s">
        <v>1269</v>
      </c>
      <c r="C225" s="13"/>
      <c r="D225" s="13"/>
      <c r="E225" s="13"/>
      <c r="F225" s="13"/>
      <c r="G225" s="7"/>
      <c r="H225" s="7"/>
    </row>
    <row r="226" spans="1:8">
      <c r="A226" s="5" t="s">
        <v>1271</v>
      </c>
      <c r="B226" s="5" t="s">
        <v>1272</v>
      </c>
      <c r="C226" s="13"/>
      <c r="D226" s="13"/>
      <c r="E226" s="13"/>
      <c r="F226" s="13"/>
      <c r="G226" s="7"/>
      <c r="H226" s="7"/>
    </row>
    <row r="227" spans="1:8">
      <c r="A227" s="5" t="s">
        <v>1273</v>
      </c>
      <c r="B227" s="23" t="s">
        <v>1274</v>
      </c>
      <c r="C227" s="13"/>
      <c r="D227" s="13"/>
      <c r="E227" s="13"/>
      <c r="F227" s="13"/>
      <c r="G227" s="7"/>
      <c r="H227" s="7"/>
    </row>
    <row r="228" spans="1:8">
      <c r="A228" s="5" t="s">
        <v>1275</v>
      </c>
      <c r="B228" s="5" t="s">
        <v>939</v>
      </c>
      <c r="C228" s="13"/>
      <c r="D228" s="13"/>
      <c r="E228" s="13"/>
      <c r="F228" s="13"/>
      <c r="G228" s="7"/>
      <c r="H228" s="7"/>
    </row>
    <row r="229" spans="1:8">
      <c r="A229" s="5" t="s">
        <v>1278</v>
      </c>
      <c r="B229" s="5" t="s">
        <v>1279</v>
      </c>
      <c r="C229" s="13"/>
      <c r="D229" s="13"/>
      <c r="E229" s="13"/>
      <c r="F229" s="13"/>
      <c r="G229" s="7"/>
      <c r="H229" s="7"/>
    </row>
    <row r="230" spans="1:8">
      <c r="A230" s="5" t="s">
        <v>1282</v>
      </c>
      <c r="B230" s="5" t="s">
        <v>1283</v>
      </c>
      <c r="C230" s="13"/>
      <c r="D230" s="13"/>
      <c r="E230" s="13"/>
      <c r="F230" s="13"/>
      <c r="G230" s="7"/>
      <c r="H230" s="7"/>
    </row>
    <row r="231" spans="1:8">
      <c r="A231" s="5" t="s">
        <v>1284</v>
      </c>
      <c r="B231" s="5" t="s">
        <v>1285</v>
      </c>
      <c r="C231" s="13"/>
      <c r="D231" s="13"/>
      <c r="E231" s="13"/>
      <c r="F231" s="13"/>
      <c r="G231" s="7"/>
      <c r="H231" s="7"/>
    </row>
    <row r="232" spans="1:8">
      <c r="A232" s="5" t="s">
        <v>1288</v>
      </c>
      <c r="B232" s="23" t="s">
        <v>1129</v>
      </c>
      <c r="C232" s="13"/>
      <c r="D232" s="13"/>
      <c r="E232" s="13"/>
      <c r="F232" s="13"/>
      <c r="G232" s="7"/>
      <c r="H232" s="7"/>
    </row>
    <row r="233" spans="1:8">
      <c r="A233" s="5" t="s">
        <v>1290</v>
      </c>
      <c r="B233" s="23" t="s">
        <v>1158</v>
      </c>
      <c r="C233" s="13"/>
      <c r="D233" s="13"/>
      <c r="E233" s="13"/>
      <c r="F233" s="13"/>
      <c r="G233" s="7"/>
      <c r="H233" s="7"/>
    </row>
    <row r="234" spans="1:8">
      <c r="A234" s="5" t="s">
        <v>1292</v>
      </c>
      <c r="B234" s="23" t="s">
        <v>1293</v>
      </c>
      <c r="C234" s="13"/>
      <c r="D234" s="13"/>
      <c r="E234" s="13"/>
      <c r="F234" s="13"/>
      <c r="G234" s="7"/>
      <c r="H234" s="7"/>
    </row>
    <row r="235" spans="1:8">
      <c r="A235" s="5" t="s">
        <v>1294</v>
      </c>
      <c r="B235" s="23" t="s">
        <v>1295</v>
      </c>
      <c r="C235" s="13"/>
      <c r="D235" s="13"/>
      <c r="E235" s="13"/>
      <c r="F235" s="13"/>
      <c r="G235" s="7"/>
      <c r="H235" s="7"/>
    </row>
    <row r="236" spans="1:8">
      <c r="A236" s="5" t="s">
        <v>1297</v>
      </c>
      <c r="B236" s="5" t="s">
        <v>1298</v>
      </c>
      <c r="C236" s="13"/>
      <c r="D236" s="13"/>
      <c r="E236" s="13"/>
      <c r="F236" s="13"/>
      <c r="G236" s="7"/>
      <c r="H236" s="7"/>
    </row>
    <row r="237" spans="1:8">
      <c r="A237" s="5" t="s">
        <v>1301</v>
      </c>
      <c r="B237" s="5" t="s">
        <v>1302</v>
      </c>
      <c r="C237" s="13"/>
      <c r="D237" s="13"/>
      <c r="E237" s="13"/>
      <c r="F237" s="13"/>
      <c r="G237" s="7"/>
      <c r="H237" s="7"/>
    </row>
    <row r="238" spans="1:8">
      <c r="A238" s="5" t="s">
        <v>1305</v>
      </c>
      <c r="B238" s="5" t="s">
        <v>1306</v>
      </c>
      <c r="C238" s="13"/>
      <c r="D238" s="13"/>
      <c r="E238" s="13"/>
      <c r="F238" s="13"/>
      <c r="G238" s="7"/>
      <c r="H238" s="7"/>
    </row>
    <row r="239" spans="1:8">
      <c r="A239" s="5" t="s">
        <v>1307</v>
      </c>
      <c r="B239" s="5" t="s">
        <v>1308</v>
      </c>
      <c r="C239" s="13"/>
      <c r="D239" s="13"/>
      <c r="E239" s="13"/>
      <c r="F239" s="13"/>
      <c r="G239" s="7"/>
      <c r="H239" s="7"/>
    </row>
    <row r="240" spans="1:8">
      <c r="A240" s="5" t="s">
        <v>1310</v>
      </c>
      <c r="B240" s="5" t="s">
        <v>1085</v>
      </c>
      <c r="C240" s="13"/>
      <c r="D240" s="13"/>
      <c r="E240" s="13"/>
      <c r="F240" s="13"/>
      <c r="G240" s="7"/>
      <c r="H240" s="7"/>
    </row>
    <row r="241" spans="1:8">
      <c r="A241" s="5" t="s">
        <v>1313</v>
      </c>
      <c r="B241" s="5" t="s">
        <v>1314</v>
      </c>
      <c r="C241" s="13"/>
      <c r="D241" s="13"/>
      <c r="E241" s="13"/>
      <c r="F241" s="13"/>
      <c r="G241" s="7"/>
      <c r="H241" s="7"/>
    </row>
    <row r="242" spans="1:8">
      <c r="A242" s="5" t="s">
        <v>1315</v>
      </c>
      <c r="B242" s="5" t="s">
        <v>1316</v>
      </c>
      <c r="C242" s="13"/>
      <c r="D242" s="13"/>
      <c r="E242" s="13"/>
      <c r="F242" s="13"/>
      <c r="G242" s="7"/>
      <c r="H242" s="7"/>
    </row>
    <row r="243" spans="1:8">
      <c r="A243" s="5" t="s">
        <v>1319</v>
      </c>
      <c r="B243" s="5" t="s">
        <v>1320</v>
      </c>
      <c r="C243" s="13"/>
      <c r="D243" s="13"/>
      <c r="E243" s="13"/>
      <c r="F243" s="13"/>
      <c r="G243" s="7"/>
      <c r="H243" s="7"/>
    </row>
    <row r="244" spans="1:8">
      <c r="A244" s="5" t="s">
        <v>1323</v>
      </c>
      <c r="B244" s="5" t="s">
        <v>1079</v>
      </c>
      <c r="C244" s="13"/>
      <c r="D244" s="13"/>
      <c r="E244" s="13"/>
      <c r="F244" s="13"/>
      <c r="G244" s="7"/>
      <c r="H244" s="7"/>
    </row>
    <row r="245" spans="1:8">
      <c r="A245" s="5" t="s">
        <v>1324</v>
      </c>
      <c r="B245" s="23" t="s">
        <v>1091</v>
      </c>
      <c r="C245" s="13"/>
      <c r="D245" s="13"/>
      <c r="E245" s="13"/>
      <c r="F245" s="13"/>
      <c r="G245" s="7"/>
      <c r="H245" s="7"/>
    </row>
    <row r="246" spans="1:8">
      <c r="A246" s="5" t="s">
        <v>1327</v>
      </c>
      <c r="B246" s="5" t="s">
        <v>726</v>
      </c>
      <c r="C246" s="13"/>
      <c r="D246" s="13"/>
      <c r="E246" s="13"/>
      <c r="F246" s="13"/>
      <c r="G246" s="7"/>
      <c r="H246" s="7"/>
    </row>
    <row r="247" spans="1:8">
      <c r="A247" s="5" t="s">
        <v>1330</v>
      </c>
      <c r="B247" s="5" t="s">
        <v>1102</v>
      </c>
      <c r="C247" s="13"/>
      <c r="D247" s="13"/>
      <c r="E247" s="13"/>
      <c r="F247" s="13"/>
      <c r="G247" s="7"/>
      <c r="H247" s="7"/>
    </row>
    <row r="248" spans="1:8">
      <c r="A248" s="5" t="s">
        <v>1331</v>
      </c>
      <c r="B248" s="5" t="s">
        <v>1332</v>
      </c>
      <c r="C248" s="13"/>
      <c r="D248" s="13"/>
      <c r="E248" s="13"/>
      <c r="F248" s="13"/>
      <c r="G248" s="7"/>
      <c r="H248" s="7"/>
    </row>
    <row r="249" spans="1:8">
      <c r="A249" s="5" t="s">
        <v>1336</v>
      </c>
      <c r="B249" s="5" t="s">
        <v>1168</v>
      </c>
      <c r="C249" s="13"/>
      <c r="D249" s="13"/>
      <c r="E249" s="13"/>
      <c r="F249" s="13"/>
      <c r="G249" s="7"/>
      <c r="H249" s="7"/>
    </row>
    <row r="250" spans="1:8">
      <c r="A250" s="5" t="s">
        <v>1339</v>
      </c>
      <c r="B250" s="23" t="s">
        <v>1340</v>
      </c>
      <c r="C250" s="13"/>
      <c r="D250" s="13"/>
      <c r="E250" s="13"/>
      <c r="F250" s="13"/>
      <c r="G250" s="7"/>
      <c r="H250" s="7"/>
    </row>
    <row r="251" spans="1:8">
      <c r="A251" s="5" t="s">
        <v>1343</v>
      </c>
      <c r="B251" s="5" t="s">
        <v>1063</v>
      </c>
      <c r="C251" s="13"/>
      <c r="D251" s="13"/>
      <c r="E251" s="13"/>
      <c r="F251" s="13"/>
      <c r="G251" s="7"/>
      <c r="H251" s="7"/>
    </row>
    <row r="252" spans="1:8">
      <c r="A252" s="5" t="s">
        <v>1346</v>
      </c>
      <c r="B252" s="5" t="s">
        <v>1347</v>
      </c>
      <c r="C252" s="13"/>
      <c r="D252" s="13"/>
      <c r="E252" s="13"/>
      <c r="F252" s="13"/>
      <c r="G252" s="7"/>
      <c r="H252" s="7"/>
    </row>
    <row r="253" spans="1:8">
      <c r="A253" s="5" t="s">
        <v>1350</v>
      </c>
      <c r="B253" s="5" t="s">
        <v>601</v>
      </c>
      <c r="C253" s="13"/>
      <c r="D253" s="13"/>
      <c r="E253" s="13"/>
      <c r="F253" s="13"/>
      <c r="G253" s="7"/>
      <c r="H253" s="7"/>
    </row>
    <row r="254" spans="1:8">
      <c r="A254" s="5" t="s">
        <v>1351</v>
      </c>
      <c r="B254" s="5" t="s">
        <v>1352</v>
      </c>
      <c r="C254" s="13"/>
      <c r="D254" s="13"/>
      <c r="E254" s="13"/>
      <c r="F254" s="13"/>
      <c r="G254" s="7"/>
      <c r="H254" s="7"/>
    </row>
    <row r="255" spans="1:8">
      <c r="A255" s="5" t="s">
        <v>1355</v>
      </c>
      <c r="B255" s="5" t="s">
        <v>1356</v>
      </c>
      <c r="C255" s="13"/>
      <c r="D255" s="13"/>
      <c r="E255" s="13"/>
      <c r="F255" s="13"/>
      <c r="G255" s="7"/>
      <c r="H255" s="7"/>
    </row>
    <row r="256" spans="1:8">
      <c r="A256" s="5" t="s">
        <v>1357</v>
      </c>
      <c r="B256" s="5" t="s">
        <v>1358</v>
      </c>
      <c r="C256" s="13"/>
      <c r="D256" s="13"/>
      <c r="E256" s="13"/>
      <c r="F256" s="13"/>
      <c r="G256" s="7"/>
      <c r="H256" s="7"/>
    </row>
    <row r="257" spans="1:8">
      <c r="A257" s="5" t="s">
        <v>1361</v>
      </c>
      <c r="B257" s="23" t="s">
        <v>1097</v>
      </c>
      <c r="C257" s="13"/>
      <c r="D257" s="13"/>
      <c r="E257" s="13"/>
      <c r="F257" s="13"/>
      <c r="G257" s="7"/>
      <c r="H257" s="7"/>
    </row>
    <row r="258" spans="1:8">
      <c r="A258" s="5" t="s">
        <v>1364</v>
      </c>
      <c r="B258" s="5" t="s">
        <v>1117</v>
      </c>
      <c r="C258" s="13"/>
      <c r="D258" s="13"/>
      <c r="E258" s="13"/>
      <c r="F258" s="13"/>
      <c r="G258" s="7"/>
      <c r="H258" s="7"/>
    </row>
    <row r="259" spans="1:8">
      <c r="A259" s="5" t="s">
        <v>1367</v>
      </c>
      <c r="B259" s="5" t="s">
        <v>1368</v>
      </c>
      <c r="C259" s="13"/>
      <c r="D259" s="13"/>
      <c r="E259" s="13"/>
      <c r="F259" s="13"/>
      <c r="G259" s="7"/>
      <c r="H259" s="7"/>
    </row>
    <row r="260" spans="1:8">
      <c r="A260" s="5" t="s">
        <v>1369</v>
      </c>
      <c r="B260" s="5" t="s">
        <v>1370</v>
      </c>
      <c r="C260" s="13"/>
      <c r="D260" s="13"/>
      <c r="E260" s="13"/>
      <c r="F260" s="13"/>
      <c r="G260" s="7"/>
      <c r="H260" s="7"/>
    </row>
    <row r="261" spans="1:8">
      <c r="A261" s="5" t="s">
        <v>1373</v>
      </c>
      <c r="B261" s="5" t="s">
        <v>1180</v>
      </c>
      <c r="C261" s="13"/>
      <c r="D261" s="13"/>
      <c r="E261" s="13"/>
      <c r="F261" s="13"/>
      <c r="G261" s="7"/>
      <c r="H261" s="7"/>
    </row>
    <row r="262" spans="1:8">
      <c r="A262" s="5" t="s">
        <v>1376</v>
      </c>
      <c r="B262" s="5" t="s">
        <v>1143</v>
      </c>
      <c r="C262" s="13"/>
      <c r="D262" s="13"/>
      <c r="E262" s="13"/>
      <c r="F262" s="13"/>
      <c r="G262" s="7"/>
      <c r="H262" s="7"/>
    </row>
    <row r="263" spans="1:8">
      <c r="A263" s="5" t="s">
        <v>1379</v>
      </c>
      <c r="B263" s="5" t="s">
        <v>1380</v>
      </c>
      <c r="C263" s="13"/>
      <c r="D263" s="13"/>
      <c r="E263" s="13"/>
      <c r="F263" s="13"/>
      <c r="G263" s="7"/>
      <c r="H263" s="7"/>
    </row>
    <row r="264" spans="1:8">
      <c r="A264" s="5" t="s">
        <v>1381</v>
      </c>
      <c r="B264" s="5" t="s">
        <v>1039</v>
      </c>
      <c r="C264" s="13"/>
      <c r="D264" s="13"/>
      <c r="E264" s="13"/>
      <c r="F264" s="13"/>
      <c r="G264" s="7"/>
      <c r="H264" s="7"/>
    </row>
    <row r="265" spans="1:8">
      <c r="A265" s="5" t="s">
        <v>1382</v>
      </c>
      <c r="B265" s="5" t="s">
        <v>1213</v>
      </c>
      <c r="C265" s="13"/>
      <c r="D265" s="13"/>
      <c r="E265" s="13"/>
      <c r="F265" s="13"/>
      <c r="G265" s="7"/>
      <c r="H265" s="7"/>
    </row>
    <row r="266" spans="1:8">
      <c r="A266" s="5" t="s">
        <v>1383</v>
      </c>
      <c r="B266" s="5" t="s">
        <v>1384</v>
      </c>
      <c r="C266" s="13"/>
      <c r="D266" s="13"/>
      <c r="E266" s="13"/>
      <c r="F266" s="13"/>
      <c r="G266" s="7"/>
      <c r="H266" s="7"/>
    </row>
  </sheetData>
  <autoFilter ref="A1:H266" xr:uid="{00000000-0009-0000-0000-000005000000}"/>
  <mergeCells count="6">
    <mergeCell ref="J2:Q2"/>
    <mergeCell ref="A2:H2"/>
    <mergeCell ref="A1:H1"/>
    <mergeCell ref="A106:H106"/>
    <mergeCell ref="A220:H220"/>
    <mergeCell ref="A179:H179"/>
  </mergeCells>
  <phoneticPr fontId="89" type="noConversion"/>
  <dataValidations count="1">
    <dataValidation type="list" allowBlank="1" showInputMessage="1" showErrorMessage="1" sqref="F108:F178 F4:F105 E139:E178 E47:E50 E4:E45 D169:D178 D139:D167 D108:E137 C4:D50 C222:F266 C181:F219 C108:C178 C52:E105" xr:uid="{00000000-0002-0000-0500-000000000000}">
      <formula1>"S,A+,A,B+,B,C+,C,D+,D,?,"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imi的sc乱评"/>
  <dimension ref="A1:T41"/>
  <sheetViews>
    <sheetView workbookViewId="0"/>
  </sheetViews>
  <sheetFormatPr baseColWidth="10" defaultColWidth="13.7109375" defaultRowHeight="18" customHeight="1"/>
  <cols>
    <col min="8" max="8" width="166.85546875" customWidth="1"/>
  </cols>
  <sheetData>
    <row r="1" spans="1:20" ht="18" customHeight="1">
      <c r="A1" s="582" t="s">
        <v>1034</v>
      </c>
      <c r="B1" s="571"/>
      <c r="C1" s="571"/>
      <c r="D1" s="571"/>
      <c r="E1" s="571"/>
      <c r="F1" s="571"/>
      <c r="G1" s="571"/>
      <c r="H1" s="571"/>
      <c r="I1" s="571"/>
      <c r="J1" s="571" t="s">
        <v>2062</v>
      </c>
      <c r="K1" s="571"/>
      <c r="L1" s="571"/>
      <c r="M1" s="571"/>
      <c r="N1" s="571"/>
      <c r="O1" s="571"/>
      <c r="P1" s="571"/>
      <c r="Q1" s="571"/>
      <c r="R1" s="571"/>
      <c r="S1" s="571"/>
      <c r="T1" s="571"/>
    </row>
    <row r="2" spans="1:20" ht="18" customHeight="1">
      <c r="A2" s="24" t="s">
        <v>4</v>
      </c>
      <c r="B2" s="94" t="s">
        <v>5</v>
      </c>
      <c r="C2" s="11" t="s">
        <v>6</v>
      </c>
      <c r="D2" s="11" t="s">
        <v>7</v>
      </c>
      <c r="E2" s="11" t="s">
        <v>8</v>
      </c>
      <c r="F2" s="11" t="s">
        <v>9</v>
      </c>
      <c r="G2" s="11" t="s">
        <v>10</v>
      </c>
      <c r="H2" s="11" t="s">
        <v>11</v>
      </c>
      <c r="I2" s="11" t="s">
        <v>12</v>
      </c>
      <c r="J2" s="571"/>
      <c r="K2" s="571"/>
      <c r="L2" s="571"/>
      <c r="M2" s="571"/>
      <c r="N2" s="571"/>
      <c r="O2" s="571"/>
      <c r="P2" s="571"/>
      <c r="Q2" s="571"/>
      <c r="R2" s="571"/>
      <c r="S2" s="571"/>
      <c r="T2" s="571"/>
    </row>
    <row r="3" spans="1:20" ht="18" customHeight="1">
      <c r="A3" s="24" t="s">
        <v>1040</v>
      </c>
      <c r="B3" s="24" t="s">
        <v>1041</v>
      </c>
      <c r="C3" s="19" t="s">
        <v>1562</v>
      </c>
      <c r="D3" s="19" t="s">
        <v>1562</v>
      </c>
      <c r="E3" s="19" t="s">
        <v>1574</v>
      </c>
      <c r="F3" s="19" t="s">
        <v>1574</v>
      </c>
      <c r="G3" s="19" t="s">
        <v>1574</v>
      </c>
      <c r="H3" s="11" t="s">
        <v>2063</v>
      </c>
      <c r="I3" s="11"/>
    </row>
    <row r="4" spans="1:20" ht="18" customHeight="1">
      <c r="A4" s="24" t="s">
        <v>1046</v>
      </c>
      <c r="B4" s="24" t="s">
        <v>1047</v>
      </c>
      <c r="C4" s="19" t="s">
        <v>1562</v>
      </c>
      <c r="D4" s="19" t="s">
        <v>1562</v>
      </c>
      <c r="E4" s="19" t="s">
        <v>1574</v>
      </c>
      <c r="F4" s="19" t="s">
        <v>1574</v>
      </c>
      <c r="G4" s="19" t="s">
        <v>1574</v>
      </c>
      <c r="H4" s="11" t="s">
        <v>2064</v>
      </c>
      <c r="I4" s="11"/>
    </row>
    <row r="5" spans="1:20" ht="18" customHeight="1">
      <c r="A5" s="24" t="s">
        <v>1053</v>
      </c>
      <c r="B5" s="24" t="s">
        <v>975</v>
      </c>
      <c r="C5" s="19" t="s">
        <v>28</v>
      </c>
      <c r="D5" s="19" t="s">
        <v>17</v>
      </c>
      <c r="E5" s="19" t="s">
        <v>17</v>
      </c>
      <c r="F5" s="19" t="s">
        <v>17</v>
      </c>
      <c r="G5" s="19" t="s">
        <v>17</v>
      </c>
      <c r="H5" s="11" t="s">
        <v>2065</v>
      </c>
      <c r="I5" s="11"/>
    </row>
    <row r="6" spans="1:20" ht="18" customHeight="1">
      <c r="A6" s="24" t="s">
        <v>1059</v>
      </c>
      <c r="B6" s="24" t="s">
        <v>1060</v>
      </c>
      <c r="C6" s="19" t="s">
        <v>1574</v>
      </c>
      <c r="D6" s="19" t="s">
        <v>1562</v>
      </c>
      <c r="E6" s="19" t="s">
        <v>1574</v>
      </c>
      <c r="F6" s="19" t="s">
        <v>18</v>
      </c>
      <c r="G6" s="19" t="s">
        <v>1574</v>
      </c>
      <c r="H6" s="11" t="s">
        <v>2066</v>
      </c>
      <c r="I6" s="11"/>
    </row>
    <row r="7" spans="1:20" ht="18" customHeight="1">
      <c r="A7" s="24" t="s">
        <v>1064</v>
      </c>
      <c r="B7" s="129" t="s">
        <v>1017</v>
      </c>
      <c r="C7" s="19" t="s">
        <v>28</v>
      </c>
      <c r="D7" s="19" t="s">
        <v>1567</v>
      </c>
      <c r="E7" s="19" t="s">
        <v>1567</v>
      </c>
      <c r="F7" s="19" t="s">
        <v>28</v>
      </c>
      <c r="G7" s="19" t="s">
        <v>21</v>
      </c>
      <c r="H7" s="11" t="s">
        <v>2067</v>
      </c>
      <c r="I7" s="11"/>
    </row>
    <row r="8" spans="1:20" ht="18" customHeight="1">
      <c r="A8" s="24" t="s">
        <v>1069</v>
      </c>
      <c r="B8" s="129" t="s">
        <v>1017</v>
      </c>
      <c r="C8" s="19" t="s">
        <v>1567</v>
      </c>
      <c r="D8" s="19" t="s">
        <v>1567</v>
      </c>
      <c r="E8" s="19" t="s">
        <v>1567</v>
      </c>
      <c r="F8" s="19" t="s">
        <v>1567</v>
      </c>
      <c r="G8" s="19" t="s">
        <v>1567</v>
      </c>
      <c r="H8" s="11" t="s">
        <v>2068</v>
      </c>
      <c r="I8" s="11"/>
    </row>
    <row r="9" spans="1:20" ht="18" customHeight="1">
      <c r="A9" s="24" t="s">
        <v>1075</v>
      </c>
      <c r="B9" s="24" t="s">
        <v>1076</v>
      </c>
      <c r="C9" s="19" t="s">
        <v>1574</v>
      </c>
      <c r="D9" s="19" t="s">
        <v>1574</v>
      </c>
      <c r="E9" s="19" t="s">
        <v>18</v>
      </c>
      <c r="F9" s="19" t="s">
        <v>18</v>
      </c>
      <c r="G9" s="19" t="s">
        <v>1562</v>
      </c>
      <c r="H9" s="11" t="s">
        <v>2069</v>
      </c>
      <c r="I9" s="11"/>
    </row>
    <row r="10" spans="1:20" ht="18" customHeight="1">
      <c r="A10" s="24" t="s">
        <v>1080</v>
      </c>
      <c r="B10" s="24" t="s">
        <v>923</v>
      </c>
      <c r="C10" s="19" t="s">
        <v>18</v>
      </c>
      <c r="D10" s="19" t="s">
        <v>18</v>
      </c>
      <c r="E10" s="19" t="s">
        <v>1567</v>
      </c>
      <c r="F10" s="19" t="s">
        <v>1567</v>
      </c>
      <c r="G10" s="19" t="s">
        <v>18</v>
      </c>
      <c r="H10" s="11" t="s">
        <v>2070</v>
      </c>
      <c r="I10" s="11"/>
    </row>
    <row r="11" spans="1:20" ht="18" customHeight="1">
      <c r="A11" s="24" t="s">
        <v>1086</v>
      </c>
      <c r="B11" s="24" t="s">
        <v>918</v>
      </c>
      <c r="C11" s="19" t="s">
        <v>18</v>
      </c>
      <c r="D11" s="19" t="s">
        <v>18</v>
      </c>
      <c r="E11" s="19" t="s">
        <v>1567</v>
      </c>
      <c r="F11" s="19" t="s">
        <v>1567</v>
      </c>
      <c r="G11" s="19" t="s">
        <v>18</v>
      </c>
      <c r="H11" s="11" t="s">
        <v>2071</v>
      </c>
      <c r="I11" s="11"/>
    </row>
    <row r="12" spans="1:20" ht="18" customHeight="1">
      <c r="A12" s="24" t="s">
        <v>1092</v>
      </c>
      <c r="B12" s="24" t="s">
        <v>151</v>
      </c>
      <c r="C12" s="19" t="s">
        <v>17</v>
      </c>
      <c r="D12" s="19" t="s">
        <v>17</v>
      </c>
      <c r="E12" s="19" t="s">
        <v>28</v>
      </c>
      <c r="F12" s="19" t="s">
        <v>17</v>
      </c>
      <c r="G12" s="19" t="s">
        <v>17</v>
      </c>
      <c r="H12" s="11" t="s">
        <v>2072</v>
      </c>
      <c r="I12" s="11"/>
    </row>
    <row r="13" spans="1:20" ht="18" customHeight="1">
      <c r="A13" s="24" t="s">
        <v>1098</v>
      </c>
      <c r="B13" s="24" t="s">
        <v>1099</v>
      </c>
      <c r="C13" s="19" t="s">
        <v>1574</v>
      </c>
      <c r="D13" s="19" t="s">
        <v>1574</v>
      </c>
      <c r="E13" s="19" t="s">
        <v>1574</v>
      </c>
      <c r="F13" s="19" t="s">
        <v>1574</v>
      </c>
      <c r="G13" s="19" t="s">
        <v>1574</v>
      </c>
      <c r="H13" s="11" t="s">
        <v>2073</v>
      </c>
      <c r="I13" s="11"/>
    </row>
    <row r="14" spans="1:20" ht="18" customHeight="1">
      <c r="A14" s="24" t="s">
        <v>1103</v>
      </c>
      <c r="B14" s="24" t="s">
        <v>1104</v>
      </c>
      <c r="C14" s="19" t="s">
        <v>1661</v>
      </c>
      <c r="D14" s="19" t="s">
        <v>1574</v>
      </c>
      <c r="E14" s="19" t="s">
        <v>1574</v>
      </c>
      <c r="F14" s="19" t="s">
        <v>1574</v>
      </c>
      <c r="G14" s="19" t="s">
        <v>1574</v>
      </c>
      <c r="H14" s="11" t="s">
        <v>2074</v>
      </c>
      <c r="I14" s="11"/>
    </row>
    <row r="15" spans="1:20" ht="18" customHeight="1">
      <c r="A15" s="24" t="s">
        <v>1108</v>
      </c>
      <c r="B15" s="24" t="s">
        <v>970</v>
      </c>
      <c r="C15" s="19" t="s">
        <v>21</v>
      </c>
      <c r="D15" s="19" t="s">
        <v>21</v>
      </c>
      <c r="E15" s="19" t="s">
        <v>28</v>
      </c>
      <c r="F15" s="19" t="s">
        <v>21</v>
      </c>
      <c r="G15" s="19" t="s">
        <v>21</v>
      </c>
      <c r="H15" s="11" t="s">
        <v>2075</v>
      </c>
      <c r="I15" s="11"/>
    </row>
    <row r="16" spans="1:20" ht="18" customHeight="1">
      <c r="A16" s="24" t="s">
        <v>1111</v>
      </c>
      <c r="B16" s="24" t="s">
        <v>1112</v>
      </c>
      <c r="C16" s="19"/>
      <c r="D16" s="19"/>
      <c r="E16" s="19"/>
      <c r="F16" s="19"/>
      <c r="G16" s="19"/>
      <c r="H16" s="11"/>
      <c r="I16" s="11"/>
    </row>
    <row r="17" spans="1:9" ht="18" customHeight="1">
      <c r="A17" s="24" t="s">
        <v>1118</v>
      </c>
      <c r="B17" s="24" t="s">
        <v>1119</v>
      </c>
      <c r="C17" s="19" t="s">
        <v>1661</v>
      </c>
      <c r="D17" s="19" t="s">
        <v>1574</v>
      </c>
      <c r="E17" s="19" t="s">
        <v>1661</v>
      </c>
      <c r="F17" s="19" t="s">
        <v>1574</v>
      </c>
      <c r="G17" s="19" t="s">
        <v>1661</v>
      </c>
      <c r="H17" s="11" t="s">
        <v>2076</v>
      </c>
      <c r="I17" s="11"/>
    </row>
    <row r="18" spans="1:9" ht="18" customHeight="1">
      <c r="A18" s="24" t="s">
        <v>1123</v>
      </c>
      <c r="B18" s="24" t="s">
        <v>1124</v>
      </c>
      <c r="C18" s="19" t="s">
        <v>18</v>
      </c>
      <c r="D18" s="19" t="s">
        <v>18</v>
      </c>
      <c r="E18" s="19" t="s">
        <v>18</v>
      </c>
      <c r="F18" s="19" t="s">
        <v>18</v>
      </c>
      <c r="G18" s="19" t="s">
        <v>18</v>
      </c>
      <c r="H18" s="11" t="s">
        <v>2077</v>
      </c>
      <c r="I18" s="11"/>
    </row>
    <row r="19" spans="1:9" ht="18" customHeight="1">
      <c r="A19" s="24" t="s">
        <v>1130</v>
      </c>
      <c r="B19" s="24" t="s">
        <v>1131</v>
      </c>
      <c r="C19" s="19"/>
      <c r="D19" s="19"/>
      <c r="E19" s="19"/>
      <c r="F19" s="19"/>
      <c r="G19" s="19"/>
      <c r="H19" s="11"/>
      <c r="I19" s="11"/>
    </row>
    <row r="20" spans="1:9" ht="18" customHeight="1">
      <c r="A20" s="24" t="s">
        <v>1137</v>
      </c>
      <c r="B20" s="24" t="s">
        <v>1138</v>
      </c>
      <c r="C20" s="19"/>
      <c r="D20" s="19"/>
      <c r="E20" s="19"/>
      <c r="F20" s="19"/>
      <c r="G20" s="19"/>
      <c r="H20" s="11"/>
      <c r="I20" s="11"/>
    </row>
    <row r="21" spans="1:9" ht="18" customHeight="1">
      <c r="A21" s="24" t="s">
        <v>1144</v>
      </c>
      <c r="B21" s="24" t="s">
        <v>1145</v>
      </c>
      <c r="C21" s="19"/>
      <c r="D21" s="19"/>
      <c r="E21" s="19"/>
      <c r="F21" s="19"/>
      <c r="G21" s="19"/>
      <c r="H21" s="11"/>
      <c r="I21" s="11"/>
    </row>
    <row r="22" spans="1:9" ht="18" customHeight="1">
      <c r="A22" s="24" t="s">
        <v>1149</v>
      </c>
      <c r="B22" s="24" t="s">
        <v>918</v>
      </c>
      <c r="C22" s="19" t="s">
        <v>1567</v>
      </c>
      <c r="D22" s="19" t="s">
        <v>21</v>
      </c>
      <c r="E22" s="19" t="s">
        <v>1567</v>
      </c>
      <c r="F22" s="19" t="s">
        <v>21</v>
      </c>
      <c r="G22" s="19" t="s">
        <v>1567</v>
      </c>
      <c r="H22" s="11" t="s">
        <v>2078</v>
      </c>
      <c r="I22" s="11"/>
    </row>
    <row r="23" spans="1:9" ht="18" customHeight="1">
      <c r="A23" s="24" t="s">
        <v>1155</v>
      </c>
      <c r="B23" s="24" t="s">
        <v>942</v>
      </c>
      <c r="C23" s="19" t="s">
        <v>21</v>
      </c>
      <c r="D23" s="19" t="s">
        <v>28</v>
      </c>
      <c r="E23" s="19" t="s">
        <v>28</v>
      </c>
      <c r="F23" s="19" t="s">
        <v>28</v>
      </c>
      <c r="G23" s="19" t="s">
        <v>28</v>
      </c>
      <c r="H23" s="11" t="s">
        <v>2079</v>
      </c>
      <c r="I23" s="11"/>
    </row>
    <row r="24" spans="1:9" ht="18" customHeight="1">
      <c r="A24" s="24" t="s">
        <v>1159</v>
      </c>
      <c r="B24" s="24" t="s">
        <v>159</v>
      </c>
      <c r="C24" s="19" t="s">
        <v>28</v>
      </c>
      <c r="D24" s="19" t="s">
        <v>28</v>
      </c>
      <c r="E24" s="19" t="s">
        <v>28</v>
      </c>
      <c r="F24" s="19" t="s">
        <v>17</v>
      </c>
      <c r="G24" s="19" t="s">
        <v>28</v>
      </c>
      <c r="H24" s="11" t="s">
        <v>2080</v>
      </c>
      <c r="I24" s="11"/>
    </row>
    <row r="25" spans="1:9" ht="18" customHeight="1">
      <c r="A25" s="24" t="s">
        <v>1165</v>
      </c>
      <c r="B25" s="24" t="s">
        <v>288</v>
      </c>
      <c r="C25" s="19" t="s">
        <v>1567</v>
      </c>
      <c r="D25" s="19" t="s">
        <v>21</v>
      </c>
      <c r="E25" s="19" t="s">
        <v>21</v>
      </c>
      <c r="F25" s="19" t="s">
        <v>21</v>
      </c>
      <c r="G25" s="19" t="s">
        <v>21</v>
      </c>
      <c r="H25" s="11" t="s">
        <v>2081</v>
      </c>
      <c r="I25" s="11"/>
    </row>
    <row r="26" spans="1:9" ht="18" customHeight="1">
      <c r="A26" s="24" t="s">
        <v>1169</v>
      </c>
      <c r="B26" s="24" t="s">
        <v>933</v>
      </c>
      <c r="C26" s="19" t="s">
        <v>17</v>
      </c>
      <c r="D26" s="19" t="s">
        <v>1567</v>
      </c>
      <c r="E26" s="19" t="s">
        <v>28</v>
      </c>
      <c r="F26" s="19" t="s">
        <v>17</v>
      </c>
      <c r="G26" s="19" t="s">
        <v>28</v>
      </c>
      <c r="H26" s="11" t="s">
        <v>2082</v>
      </c>
      <c r="I26" s="11"/>
    </row>
    <row r="27" spans="1:9" ht="18" customHeight="1">
      <c r="A27" s="24" t="s">
        <v>1175</v>
      </c>
      <c r="B27" s="24" t="s">
        <v>875</v>
      </c>
      <c r="C27" s="19" t="s">
        <v>21</v>
      </c>
      <c r="D27" s="19" t="s">
        <v>21</v>
      </c>
      <c r="E27" s="19" t="s">
        <v>28</v>
      </c>
      <c r="F27" s="19" t="s">
        <v>28</v>
      </c>
      <c r="G27" s="19" t="s">
        <v>21</v>
      </c>
      <c r="H27" s="11" t="s">
        <v>2083</v>
      </c>
      <c r="I27" s="11"/>
    </row>
    <row r="28" spans="1:9" ht="18" customHeight="1">
      <c r="A28" s="24" t="s">
        <v>1181</v>
      </c>
      <c r="B28" s="24" t="s">
        <v>1182</v>
      </c>
      <c r="C28" s="19" t="s">
        <v>1567</v>
      </c>
      <c r="D28" s="19" t="s">
        <v>18</v>
      </c>
      <c r="E28" s="19" t="s">
        <v>18</v>
      </c>
      <c r="F28" s="19" t="s">
        <v>18</v>
      </c>
      <c r="G28" s="19" t="s">
        <v>18</v>
      </c>
      <c r="H28" s="11" t="s">
        <v>2084</v>
      </c>
      <c r="I28" s="11"/>
    </row>
    <row r="29" spans="1:9" ht="18" customHeight="1">
      <c r="A29" s="24" t="s">
        <v>1188</v>
      </c>
      <c r="B29" s="24" t="s">
        <v>911</v>
      </c>
      <c r="C29" s="19"/>
      <c r="D29" s="19"/>
      <c r="E29" s="19"/>
      <c r="F29" s="19"/>
      <c r="G29" s="19"/>
      <c r="H29" s="11"/>
      <c r="I29" s="11"/>
    </row>
    <row r="30" spans="1:9" ht="18" customHeight="1">
      <c r="A30" s="24" t="s">
        <v>1192</v>
      </c>
      <c r="B30" s="24" t="s">
        <v>1193</v>
      </c>
      <c r="C30" s="19"/>
      <c r="D30" s="19"/>
      <c r="E30" s="19"/>
      <c r="F30" s="19"/>
      <c r="G30" s="19"/>
      <c r="H30" s="11"/>
      <c r="I30" s="11"/>
    </row>
    <row r="31" spans="1:9" ht="18" customHeight="1">
      <c r="A31" s="24" t="s">
        <v>1197</v>
      </c>
      <c r="B31" s="24" t="s">
        <v>1198</v>
      </c>
      <c r="C31" s="19"/>
      <c r="D31" s="19"/>
      <c r="E31" s="19"/>
      <c r="F31" s="19"/>
      <c r="G31" s="19"/>
      <c r="H31" s="11"/>
      <c r="I31" s="11"/>
    </row>
    <row r="32" spans="1:9" ht="18" customHeight="1">
      <c r="A32" s="24" t="s">
        <v>1202</v>
      </c>
      <c r="B32" s="24" t="s">
        <v>869</v>
      </c>
      <c r="C32" s="19"/>
      <c r="D32" s="19"/>
      <c r="E32" s="19"/>
      <c r="F32" s="19"/>
      <c r="G32" s="19"/>
      <c r="H32" s="11"/>
      <c r="I32" s="11"/>
    </row>
    <row r="33" spans="1:9" ht="18" customHeight="1">
      <c r="A33" s="24" t="s">
        <v>1208</v>
      </c>
      <c r="B33" s="24" t="s">
        <v>1012</v>
      </c>
      <c r="C33" s="19" t="s">
        <v>17</v>
      </c>
      <c r="D33" s="19" t="s">
        <v>28</v>
      </c>
      <c r="E33" s="19" t="s">
        <v>1567</v>
      </c>
      <c r="F33" s="19" t="s">
        <v>17</v>
      </c>
      <c r="G33" s="19" t="s">
        <v>28</v>
      </c>
      <c r="H33" s="11" t="s">
        <v>2085</v>
      </c>
      <c r="I33" s="11"/>
    </row>
    <row r="34" spans="1:9" ht="18" customHeight="1">
      <c r="A34" s="24" t="s">
        <v>1214</v>
      </c>
      <c r="B34" s="24" t="s">
        <v>108</v>
      </c>
      <c r="C34" s="19"/>
      <c r="D34" s="19"/>
      <c r="E34" s="19"/>
      <c r="F34" s="19"/>
      <c r="G34" s="19"/>
      <c r="H34" s="11"/>
      <c r="I34" s="11"/>
    </row>
    <row r="35" spans="1:9" ht="18" customHeight="1">
      <c r="A35" s="24" t="s">
        <v>1217</v>
      </c>
      <c r="B35" s="24" t="s">
        <v>1218</v>
      </c>
      <c r="C35" s="19"/>
      <c r="D35" s="19"/>
      <c r="E35" s="19"/>
      <c r="F35" s="19"/>
      <c r="G35" s="19"/>
      <c r="H35" s="11"/>
      <c r="I35" s="11"/>
    </row>
    <row r="36" spans="1:9" ht="18" customHeight="1">
      <c r="A36" s="24" t="s">
        <v>1223</v>
      </c>
      <c r="B36" s="24" t="s">
        <v>1224</v>
      </c>
      <c r="C36" s="19"/>
      <c r="D36" s="19"/>
      <c r="E36" s="19"/>
      <c r="F36" s="19"/>
      <c r="G36" s="19"/>
      <c r="H36" s="11"/>
      <c r="I36" s="11"/>
    </row>
    <row r="37" spans="1:9" ht="18" customHeight="1">
      <c r="A37" s="24" t="s">
        <v>1230</v>
      </c>
      <c r="B37" s="24" t="s">
        <v>1231</v>
      </c>
      <c r="C37" s="19"/>
      <c r="D37" s="19"/>
      <c r="E37" s="19"/>
      <c r="F37" s="19"/>
      <c r="G37" s="19"/>
      <c r="H37" s="11"/>
      <c r="I37" s="11"/>
    </row>
    <row r="38" spans="1:9" ht="18" customHeight="1">
      <c r="A38" s="24" t="s">
        <v>1237</v>
      </c>
      <c r="B38" s="24" t="s">
        <v>1238</v>
      </c>
      <c r="C38" s="19"/>
      <c r="D38" s="19"/>
      <c r="E38" s="19"/>
      <c r="F38" s="19"/>
      <c r="G38" s="19"/>
      <c r="H38" s="11"/>
      <c r="I38" s="11"/>
    </row>
    <row r="39" spans="1:9" ht="18" customHeight="1">
      <c r="A39" s="24" t="s">
        <v>1241</v>
      </c>
      <c r="B39" s="24" t="s">
        <v>1242</v>
      </c>
      <c r="C39" s="19"/>
      <c r="D39" s="19"/>
      <c r="E39" s="19"/>
      <c r="F39" s="19"/>
      <c r="G39" s="19"/>
      <c r="H39" s="11"/>
      <c r="I39" s="11"/>
    </row>
    <row r="40" spans="1:9" ht="18" customHeight="1">
      <c r="A40" s="24" t="s">
        <v>1245</v>
      </c>
      <c r="B40" s="24" t="s">
        <v>1246</v>
      </c>
      <c r="C40" s="19" t="s">
        <v>21</v>
      </c>
      <c r="D40" s="19" t="s">
        <v>21</v>
      </c>
      <c r="E40" s="19" t="s">
        <v>21</v>
      </c>
      <c r="F40" s="19" t="s">
        <v>21</v>
      </c>
      <c r="G40" s="19" t="s">
        <v>21</v>
      </c>
      <c r="H40" s="11" t="s">
        <v>2086</v>
      </c>
      <c r="I40" s="11"/>
    </row>
    <row r="41" spans="1:9" ht="18" customHeight="1">
      <c r="A41" s="24" t="s">
        <v>1249</v>
      </c>
      <c r="B41" s="24" t="s">
        <v>1250</v>
      </c>
      <c r="C41" s="19"/>
      <c r="D41" s="19"/>
      <c r="E41" s="19"/>
      <c r="F41" s="19"/>
      <c r="G41" s="19"/>
      <c r="H41" s="11"/>
      <c r="I41" s="11"/>
    </row>
  </sheetData>
  <mergeCells count="2">
    <mergeCell ref="A1:I1"/>
    <mergeCell ref="J1:T2"/>
  </mergeCells>
  <phoneticPr fontId="89" type="noConversion"/>
  <dataValidations count="1">
    <dataValidation type="list" showInputMessage="1" showErrorMessage="1" sqref="C3:G41" xr:uid="{00000000-0002-0000-0600-000000000000}">
      <formula1>"S,A+,A,B+,B,C+,C,D+,D,?,"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乱评价"/>
  <dimension ref="A1:I266"/>
  <sheetViews>
    <sheetView workbookViewId="0"/>
  </sheetViews>
  <sheetFormatPr baseColWidth="10" defaultColWidth="13.7109375" defaultRowHeight="18" customHeight="1"/>
  <sheetData>
    <row r="1" spans="1:9" ht="18" customHeight="1">
      <c r="A1" s="583" t="s">
        <v>5245</v>
      </c>
      <c r="B1" s="571"/>
      <c r="C1" s="571"/>
      <c r="D1" s="571"/>
      <c r="E1" s="571"/>
      <c r="F1" s="571"/>
      <c r="G1" s="571"/>
      <c r="H1" s="583"/>
      <c r="I1" s="571"/>
    </row>
    <row r="2" spans="1:9" ht="18" customHeight="1">
      <c r="A2" s="549" t="s">
        <v>1</v>
      </c>
      <c r="B2" s="571"/>
      <c r="C2" s="571"/>
      <c r="D2" s="571"/>
      <c r="E2" s="571"/>
      <c r="F2" s="571"/>
      <c r="G2" s="571"/>
      <c r="H2" s="549"/>
      <c r="I2" s="571"/>
    </row>
    <row r="3" spans="1:9" ht="18" customHeight="1">
      <c r="A3" s="24" t="s">
        <v>4</v>
      </c>
      <c r="B3" s="94" t="s">
        <v>5</v>
      </c>
      <c r="C3" s="11" t="s">
        <v>6</v>
      </c>
      <c r="D3" s="11" t="s">
        <v>7</v>
      </c>
      <c r="E3" s="11" t="s">
        <v>8</v>
      </c>
      <c r="F3" s="11" t="s">
        <v>9</v>
      </c>
      <c r="G3" s="11" t="s">
        <v>10</v>
      </c>
      <c r="H3" s="11" t="s">
        <v>11</v>
      </c>
      <c r="I3" s="11" t="s">
        <v>12</v>
      </c>
    </row>
    <row r="4" spans="1:9" ht="18" customHeight="1">
      <c r="A4" s="24" t="s">
        <v>14</v>
      </c>
      <c r="B4" s="24" t="s">
        <v>15</v>
      </c>
      <c r="C4" s="19" t="s">
        <v>16</v>
      </c>
      <c r="D4" s="19" t="s">
        <v>16</v>
      </c>
      <c r="E4" s="19" t="s">
        <v>17</v>
      </c>
      <c r="F4" s="19" t="s">
        <v>17</v>
      </c>
      <c r="G4" s="19" t="str">
        <f>IF(AND(ISNUMBER(MATCH(C4,{"F","E","D","D+","C","C+","B","B+","A","A+","S"},0)),ISNUMBER(MATCH(D4,{"F","E","D","D+","C","C+","B","B+","A","A+","S"},0)),ISNUMBER(MATCH(E4,{"F","E","D","D+","C","C+","B","B+","A","A+","S"},0)),ISNUMBER(MATCH(F4,{"F","E","D","D+","C","C+","B","B+","A","A+","S"},0))),LOOKUP(AVERAGE(_xlfn.SWITCH(C4,"F",0,"E",10,"D",20,"D+",30,"C",40,"C+",50,"B",60,"B+",70,"A",80,"A+",90,"S",100),_xlfn.SWITCH(D4,"F",0,"E",10,"D",20,"D+",30,"C",40,"C+",50,"B",60,"B+",70,"A",80,"A+",90,"S",100),_xlfn.SWITCH(E4,"F",0,"E",10,"D",20,"D+",30,"C",40,"C+",50,"B",60,"B+",70,"A",80,"A+",90,"S",100),_xlfn.SWITCH(F4,"F",0,"E",10,"D",20,"D+",30,"C",40,"C+",50,"B",60,"B+",70,"A",80,"A+",90,"S",100)),{0,15,25,35,45,55,65,75,85,95},{"D","D","D+","C","C+","B","B+","A","A+","S"}),"?")</f>
        <v>B</v>
      </c>
      <c r="I4" s="11"/>
    </row>
    <row r="5" spans="1:9" ht="18" customHeight="1">
      <c r="A5" s="24" t="s">
        <v>26</v>
      </c>
      <c r="B5" s="24" t="s">
        <v>27</v>
      </c>
      <c r="C5" s="19"/>
      <c r="D5" s="19"/>
      <c r="E5" s="19"/>
      <c r="F5" s="19"/>
      <c r="G5" s="19" t="str">
        <f>IF(AND(ISNUMBER(MATCH(C5,{"F","E","D","D+","C","C+","B","B+","A","A+","S"},0)),ISNUMBER(MATCH(D5,{"F","E","D","D+","C","C+","B","B+","A","A+","S"},0)),ISNUMBER(MATCH(E5,{"F","E","D","D+","C","C+","B","B+","A","A+","S"},0)),ISNUMBER(MATCH(F5,{"F","E","D","D+","C","C+","B","B+","A","A+","S"},0))),LOOKUP(AVERAGE(_xlfn.SWITCH(C5,"F",0,"E",10,"D",20,"D+",30,"C",40,"C+",50,"B",60,"B+",70,"A",80,"A+",90,"S",100),_xlfn.SWITCH(D5,"F",0,"E",10,"D",20,"D+",30,"C",40,"C+",50,"B",60,"B+",70,"A",80,"A+",90,"S",100),_xlfn.SWITCH(E5,"F",0,"E",10,"D",20,"D+",30,"C",40,"C+",50,"B",60,"B+",70,"A",80,"A+",90,"S",100),_xlfn.SWITCH(F5,"F",0,"E",10,"D",20,"D+",30,"C",40,"C+",50,"B",60,"B+",70,"A",80,"A+",90,"S",100)),{0,15,25,35,45,55,65,75,85,95},{"D","D","D+","C","C+","B","B+","A","A+","S"}),"?")</f>
        <v>?</v>
      </c>
      <c r="I5" s="11"/>
    </row>
    <row r="6" spans="1:9" ht="18" customHeight="1">
      <c r="A6" s="24" t="s">
        <v>34</v>
      </c>
      <c r="B6" s="24" t="s">
        <v>35</v>
      </c>
      <c r="C6" s="19"/>
      <c r="D6" s="19"/>
      <c r="E6" s="19"/>
      <c r="F6" s="19"/>
      <c r="G6" s="19" t="str">
        <f>IF(AND(ISNUMBER(MATCH(C6,{"F","E","D","D+","C","C+","B","B+","A","A+","S"},0)),ISNUMBER(MATCH(D6,{"F","E","D","D+","C","C+","B","B+","A","A+","S"},0)),ISNUMBER(MATCH(E6,{"F","E","D","D+","C","C+","B","B+","A","A+","S"},0)),ISNUMBER(MATCH(F6,{"F","E","D","D+","C","C+","B","B+","A","A+","S"},0))),LOOKUP(AVERAGE(_xlfn.SWITCH(C6,"F",0,"E",10,"D",20,"D+",30,"C",40,"C+",50,"B",60,"B+",70,"A",80,"A+",90,"S",100),_xlfn.SWITCH(D6,"F",0,"E",10,"D",20,"D+",30,"C",40,"C+",50,"B",60,"B+",70,"A",80,"A+",90,"S",100),_xlfn.SWITCH(E6,"F",0,"E",10,"D",20,"D+",30,"C",40,"C+",50,"B",60,"B+",70,"A",80,"A+",90,"S",100),_xlfn.SWITCH(F6,"F",0,"E",10,"D",20,"D+",30,"C",40,"C+",50,"B",60,"B+",70,"A",80,"A+",90,"S",100)),{0,15,25,35,45,55,65,75,85,95},{"D","D","D+","C","C+","B","B+","A","A+","S"}),"?")</f>
        <v>?</v>
      </c>
      <c r="I6" s="11"/>
    </row>
    <row r="7" spans="1:9" ht="18" customHeight="1">
      <c r="A7" s="24" t="s">
        <v>41</v>
      </c>
      <c r="B7" s="24" t="s">
        <v>42</v>
      </c>
      <c r="C7" s="19"/>
      <c r="D7" s="19"/>
      <c r="E7" s="19"/>
      <c r="F7" s="19"/>
      <c r="G7" s="19" t="str">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v>
      </c>
      <c r="I7" s="11"/>
    </row>
    <row r="8" spans="1:9" ht="18" customHeight="1">
      <c r="A8" s="24" t="s">
        <v>48</v>
      </c>
      <c r="B8" s="24" t="s">
        <v>49</v>
      </c>
      <c r="C8" s="19"/>
      <c r="D8" s="19"/>
      <c r="E8" s="19"/>
      <c r="F8" s="19"/>
      <c r="G8" s="19" t="str">
        <f>IF(AND(ISNUMBER(MATCH(C8,{"F","E","D","D+","C","C+","B","B+","A","A+","S"},0)),ISNUMBER(MATCH(D8,{"F","E","D","D+","C","C+","B","B+","A","A+","S"},0)),ISNUMBER(MATCH(E8,{"F","E","D","D+","C","C+","B","B+","A","A+","S"},0)),ISNUMBER(MATCH(F8,{"F","E","D","D+","C","C+","B","B+","A","A+","S"},0))),LOOKUP(AVERAGE(_xlfn.SWITCH(C8,"F",0,"E",10,"D",20,"D+",30,"C",40,"C+",50,"B",60,"B+",70,"A",80,"A+",90,"S",100),_xlfn.SWITCH(D8,"F",0,"E",10,"D",20,"D+",30,"C",40,"C+",50,"B",60,"B+",70,"A",80,"A+",90,"S",100),_xlfn.SWITCH(E8,"F",0,"E",10,"D",20,"D+",30,"C",40,"C+",50,"B",60,"B+",70,"A",80,"A+",90,"S",100),_xlfn.SWITCH(F8,"F",0,"E",10,"D",20,"D+",30,"C",40,"C+",50,"B",60,"B+",70,"A",80,"A+",90,"S",100)),{0,15,25,35,45,55,65,75,85,95},{"D","D","D+","C","C+","B","B+","A","A+","S"}),"?")</f>
        <v>?</v>
      </c>
      <c r="I8" s="11"/>
    </row>
    <row r="9" spans="1:9" ht="18" customHeight="1">
      <c r="A9" s="24" t="s">
        <v>55</v>
      </c>
      <c r="B9" s="24" t="s">
        <v>56</v>
      </c>
      <c r="C9" s="19"/>
      <c r="D9" s="19"/>
      <c r="E9" s="19"/>
      <c r="F9" s="19"/>
      <c r="G9" s="19"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v>
      </c>
      <c r="I9" s="11"/>
    </row>
    <row r="10" spans="1:9" ht="18" customHeight="1">
      <c r="A10" s="24" t="s">
        <v>62</v>
      </c>
      <c r="B10" s="24" t="s">
        <v>63</v>
      </c>
      <c r="C10" s="19"/>
      <c r="D10" s="19"/>
      <c r="E10" s="19"/>
      <c r="F10" s="19"/>
      <c r="G10" s="19"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v>
      </c>
      <c r="I10" s="11"/>
    </row>
    <row r="11" spans="1:9" ht="18" customHeight="1">
      <c r="A11" s="24" t="s">
        <v>67</v>
      </c>
      <c r="B11" s="24" t="s">
        <v>68</v>
      </c>
      <c r="C11" s="19"/>
      <c r="D11" s="19"/>
      <c r="E11" s="19"/>
      <c r="F11" s="19"/>
      <c r="G11" s="19"/>
      <c r="I11" s="11"/>
    </row>
    <row r="12" spans="1:9" ht="18" customHeight="1">
      <c r="A12" s="24" t="s">
        <v>74</v>
      </c>
      <c r="B12" s="24" t="s">
        <v>75</v>
      </c>
      <c r="C12" s="19"/>
      <c r="D12" s="19"/>
      <c r="E12" s="19"/>
      <c r="F12" s="19"/>
      <c r="G12" s="19"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v>
      </c>
      <c r="I12" s="11"/>
    </row>
    <row r="13" spans="1:9" ht="18" customHeight="1">
      <c r="A13" s="24" t="s">
        <v>81</v>
      </c>
      <c r="B13" s="24" t="s">
        <v>82</v>
      </c>
      <c r="C13" s="19"/>
      <c r="D13" s="19"/>
      <c r="E13" s="19"/>
      <c r="F13" s="19"/>
      <c r="G13" s="19" t="str">
        <f>IF(AND(ISNUMBER(MATCH(C13,{"F","E","D","D+","C","C+","B","B+","A","A+","S"},0)),ISNUMBER(MATCH(D13,{"F","E","D","D+","C","C+","B","B+","A","A+","S"},0)),ISNUMBER(MATCH(E13,{"F","E","D","D+","C","C+","B","B+","A","A+","S"},0)),ISNUMBER(MATCH(F13,{"F","E","D","D+","C","C+","B","B+","A","A+","S"},0))),LOOKUP(AVERAGE(_xlfn.SWITCH(C13,"F",0,"E",10,"D",20,"D+",30,"C",40,"C+",50,"B",60,"B+",70,"A",80,"A+",90,"S",100),_xlfn.SWITCH(D13,"F",0,"E",10,"D",20,"D+",30,"C",40,"C+",50,"B",60,"B+",70,"A",80,"A+",90,"S",100),_xlfn.SWITCH(E13,"F",0,"E",10,"D",20,"D+",30,"C",40,"C+",50,"B",60,"B+",70,"A",80,"A+",90,"S",100),_xlfn.SWITCH(F13,"F",0,"E",10,"D",20,"D+",30,"C",40,"C+",50,"B",60,"B+",70,"A",80,"A+",90,"S",100)),{0,15,25,35,45,55,65,75,85,95},{"D","D","D+","C","C+","B","B+","A","A+","S"}),"?")</f>
        <v>?</v>
      </c>
      <c r="I13" s="11"/>
    </row>
    <row r="14" spans="1:9" ht="18" customHeight="1">
      <c r="A14" s="24" t="s">
        <v>88</v>
      </c>
      <c r="B14" s="24" t="s">
        <v>89</v>
      </c>
      <c r="C14" s="19"/>
      <c r="D14" s="19"/>
      <c r="E14" s="19"/>
      <c r="F14" s="19"/>
      <c r="G14" s="19"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v>
      </c>
      <c r="I14" s="11"/>
    </row>
    <row r="15" spans="1:9" ht="18" customHeight="1">
      <c r="A15" s="24" t="s">
        <v>95</v>
      </c>
      <c r="B15" s="24" t="s">
        <v>96</v>
      </c>
      <c r="C15" s="19"/>
      <c r="D15" s="19"/>
      <c r="E15" s="19"/>
      <c r="F15" s="19"/>
      <c r="G15" s="19"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v>
      </c>
      <c r="I15" s="11"/>
    </row>
    <row r="16" spans="1:9" ht="18" customHeight="1">
      <c r="A16" s="24" t="s">
        <v>102</v>
      </c>
      <c r="B16" s="24" t="s">
        <v>103</v>
      </c>
      <c r="C16" s="19"/>
      <c r="D16" s="19"/>
      <c r="E16" s="19"/>
      <c r="F16" s="19"/>
      <c r="G16" s="19"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v>
      </c>
      <c r="I16" s="11"/>
    </row>
    <row r="17" spans="1:9" ht="18" customHeight="1">
      <c r="A17" s="24" t="s">
        <v>109</v>
      </c>
      <c r="B17" s="24" t="s">
        <v>110</v>
      </c>
      <c r="C17" s="19"/>
      <c r="D17" s="19"/>
      <c r="E17" s="19"/>
      <c r="F17" s="19"/>
      <c r="G17" s="19"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v>
      </c>
      <c r="I17" s="11"/>
    </row>
    <row r="18" spans="1:9" ht="18" customHeight="1">
      <c r="A18" s="24" t="s">
        <v>116</v>
      </c>
      <c r="B18" s="24" t="s">
        <v>117</v>
      </c>
      <c r="C18" s="19"/>
      <c r="D18" s="19"/>
      <c r="E18" s="19"/>
      <c r="F18" s="19"/>
      <c r="G18" s="19" t="str">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v>
      </c>
      <c r="I18" s="11"/>
    </row>
    <row r="19" spans="1:9" ht="18" customHeight="1">
      <c r="A19" s="24" t="s">
        <v>123</v>
      </c>
      <c r="B19" s="24" t="s">
        <v>124</v>
      </c>
      <c r="C19" s="19"/>
      <c r="D19" s="19"/>
      <c r="E19" s="19"/>
      <c r="F19" s="19"/>
      <c r="G19" s="19"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v>
      </c>
      <c r="I19" s="11" t="s">
        <v>2087</v>
      </c>
    </row>
    <row r="20" spans="1:9" ht="18" customHeight="1">
      <c r="A20" s="24" t="s">
        <v>130</v>
      </c>
      <c r="B20" s="24" t="s">
        <v>129</v>
      </c>
      <c r="C20" s="19"/>
      <c r="D20" s="19"/>
      <c r="E20" s="19"/>
      <c r="F20" s="19"/>
      <c r="G20" s="19"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v>
      </c>
      <c r="I20" s="11"/>
    </row>
    <row r="21" spans="1:9" ht="18" customHeight="1">
      <c r="A21" s="24" t="s">
        <v>136</v>
      </c>
      <c r="B21" s="24" t="s">
        <v>137</v>
      </c>
      <c r="C21" s="19"/>
      <c r="D21" s="19"/>
      <c r="E21" s="19"/>
      <c r="F21" s="19"/>
      <c r="G21" s="19" t="str">
        <f>IF(AND(ISNUMBER(MATCH(C21,{"F","E","D","D+","C","C+","B","B+","A","A+","S"},0)),ISNUMBER(MATCH(D21,{"F","E","D","D+","C","C+","B","B+","A","A+","S"},0)),ISNUMBER(MATCH(E21,{"F","E","D","D+","C","C+","B","B+","A","A+","S"},0)),ISNUMBER(MATCH(F21,{"F","E","D","D+","C","C+","B","B+","A","A+","S"},0))),LOOKUP(AVERAGE(_xlfn.SWITCH(C21,"F",0,"E",10,"D",20,"D+",30,"C",40,"C+",50,"B",60,"B+",70,"A",80,"A+",90,"S",100),_xlfn.SWITCH(D21,"F",0,"E",10,"D",20,"D+",30,"C",40,"C+",50,"B",60,"B+",70,"A",80,"A+",90,"S",100),_xlfn.SWITCH(E21,"F",0,"E",10,"D",20,"D+",30,"C",40,"C+",50,"B",60,"B+",70,"A",80,"A+",90,"S",100),_xlfn.SWITCH(F21,"F",0,"E",10,"D",20,"D+",30,"C",40,"C+",50,"B",60,"B+",70,"A",80,"A+",90,"S",100)),{0,15,25,35,45,55,65,75,85,95},{"D","D","D+","C","C+","B","B+","A","A+","S"}),"?")</f>
        <v>?</v>
      </c>
      <c r="I21" s="11"/>
    </row>
    <row r="22" spans="1:9" ht="18" customHeight="1">
      <c r="A22" s="24" t="s">
        <v>143</v>
      </c>
      <c r="B22" s="24" t="s">
        <v>144</v>
      </c>
      <c r="C22" s="19"/>
      <c r="D22" s="19"/>
      <c r="E22" s="19"/>
      <c r="F22" s="19"/>
      <c r="G22" s="19"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v>
      </c>
      <c r="I22" s="11"/>
    </row>
    <row r="23" spans="1:9" ht="18" customHeight="1">
      <c r="A23" s="24" t="s">
        <v>150</v>
      </c>
      <c r="B23" s="24" t="s">
        <v>151</v>
      </c>
      <c r="C23" s="19"/>
      <c r="D23" s="19"/>
      <c r="E23" s="19"/>
      <c r="F23" s="19"/>
      <c r="G23" s="19"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v>
      </c>
      <c r="I23" s="11"/>
    </row>
    <row r="24" spans="1:9" ht="18" customHeight="1">
      <c r="A24" s="24" t="s">
        <v>156</v>
      </c>
      <c r="B24" s="24" t="s">
        <v>157</v>
      </c>
      <c r="C24" s="19"/>
      <c r="D24" s="19"/>
      <c r="E24" s="19"/>
      <c r="F24" s="19"/>
      <c r="G24" s="19" t="str">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v>
      </c>
      <c r="H24" s="11"/>
      <c r="I24" s="11"/>
    </row>
    <row r="25" spans="1:9" ht="18" customHeight="1">
      <c r="A25" s="24" t="s">
        <v>163</v>
      </c>
      <c r="B25" s="24" t="s">
        <v>164</v>
      </c>
      <c r="C25" s="19"/>
      <c r="D25" s="19"/>
      <c r="E25" s="19"/>
      <c r="F25" s="19"/>
      <c r="G25" s="19"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v>
      </c>
      <c r="H25" s="11"/>
      <c r="I25" s="11"/>
    </row>
    <row r="26" spans="1:9" ht="18" customHeight="1">
      <c r="A26" s="24" t="s">
        <v>170</v>
      </c>
      <c r="B26" s="24" t="s">
        <v>171</v>
      </c>
      <c r="C26" s="19"/>
      <c r="D26" s="19"/>
      <c r="E26" s="19"/>
      <c r="F26" s="19"/>
      <c r="G26" s="19"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v>
      </c>
      <c r="H26" s="11"/>
      <c r="I26" s="11"/>
    </row>
    <row r="27" spans="1:9" ht="18" customHeight="1">
      <c r="A27" s="24" t="s">
        <v>177</v>
      </c>
      <c r="B27" s="24" t="s">
        <v>178</v>
      </c>
      <c r="C27" s="19"/>
      <c r="D27" s="19"/>
      <c r="E27" s="19"/>
      <c r="F27" s="19"/>
      <c r="G27" s="19"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v>
      </c>
      <c r="H27" s="11"/>
      <c r="I27" s="11"/>
    </row>
    <row r="28" spans="1:9" ht="18" customHeight="1">
      <c r="A28" s="24" t="s">
        <v>184</v>
      </c>
      <c r="B28" s="24" t="s">
        <v>185</v>
      </c>
      <c r="C28" s="19"/>
      <c r="D28" s="19"/>
      <c r="E28" s="19"/>
      <c r="F28" s="19"/>
      <c r="G28" s="19"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v>
      </c>
      <c r="H28" s="11"/>
      <c r="I28" s="11"/>
    </row>
    <row r="29" spans="1:9" ht="18" customHeight="1">
      <c r="A29" s="24" t="s">
        <v>191</v>
      </c>
      <c r="B29" s="24" t="s">
        <v>192</v>
      </c>
      <c r="C29" s="19"/>
      <c r="D29" s="19"/>
      <c r="E29" s="19"/>
      <c r="F29" s="19"/>
      <c r="G29" s="19" t="str">
        <f>IF(AND(ISNUMBER(MATCH(C29,{"F","E","D","D+","C","C+","B","B+","A","A+","S"},0)),ISNUMBER(MATCH(D29,{"F","E","D","D+","C","C+","B","B+","A","A+","S"},0)),ISNUMBER(MATCH(E29,{"F","E","D","D+","C","C+","B","B+","A","A+","S"},0)),ISNUMBER(MATCH(F29,{"F","E","D","D+","C","C+","B","B+","A","A+","S"},0))),LOOKUP(AVERAGE(_xlfn.SWITCH(C29,"F",0,"E",10,"D",20,"D+",30,"C",40,"C+",50,"B",60,"B+",70,"A",80,"A+",90,"S",100),_xlfn.SWITCH(D29,"F",0,"E",10,"D",20,"D+",30,"C",40,"C+",50,"B",60,"B+",70,"A",80,"A+",90,"S",100),_xlfn.SWITCH(E29,"F",0,"E",10,"D",20,"D+",30,"C",40,"C+",50,"B",60,"B+",70,"A",80,"A+",90,"S",100),_xlfn.SWITCH(F29,"F",0,"E",10,"D",20,"D+",30,"C",40,"C+",50,"B",60,"B+",70,"A",80,"A+",90,"S",100)),{0,15,25,35,45,55,65,75,85,95},{"D","D","D+","C","C+","B","B+","A","A+","S"}),"?")</f>
        <v>?</v>
      </c>
      <c r="H29" s="11"/>
      <c r="I29" s="11"/>
    </row>
    <row r="30" spans="1:9" ht="18" customHeight="1">
      <c r="A30" s="24" t="s">
        <v>198</v>
      </c>
      <c r="B30" s="24" t="s">
        <v>199</v>
      </c>
      <c r="C30" s="19"/>
      <c r="D30" s="19"/>
      <c r="E30" s="19"/>
      <c r="F30" s="19"/>
      <c r="G30" s="19"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v>
      </c>
      <c r="H30" s="11"/>
      <c r="I30" s="11"/>
    </row>
    <row r="31" spans="1:9" ht="18" customHeight="1">
      <c r="A31" s="24" t="s">
        <v>205</v>
      </c>
      <c r="B31" s="24" t="s">
        <v>206</v>
      </c>
      <c r="C31" s="19"/>
      <c r="D31" s="19"/>
      <c r="E31" s="19"/>
      <c r="F31" s="19"/>
      <c r="G31" s="19" t="str">
        <f>IF(AND(ISNUMBER(MATCH(C31,{"F","E","D","D+","C","C+","B","B+","A","A+","S"},0)),ISNUMBER(MATCH(D31,{"F","E","D","D+","C","C+","B","B+","A","A+","S"},0)),ISNUMBER(MATCH(E31,{"F","E","D","D+","C","C+","B","B+","A","A+","S"},0)),ISNUMBER(MATCH(F31,{"F","E","D","D+","C","C+","B","B+","A","A+","S"},0))),LOOKUP(AVERAGE(_xlfn.SWITCH(C31,"F",0,"E",10,"D",20,"D+",30,"C",40,"C+",50,"B",60,"B+",70,"A",80,"A+",90,"S",100),_xlfn.SWITCH(D31,"F",0,"E",10,"D",20,"D+",30,"C",40,"C+",50,"B",60,"B+",70,"A",80,"A+",90,"S",100),_xlfn.SWITCH(E31,"F",0,"E",10,"D",20,"D+",30,"C",40,"C+",50,"B",60,"B+",70,"A",80,"A+",90,"S",100),_xlfn.SWITCH(F31,"F",0,"E",10,"D",20,"D+",30,"C",40,"C+",50,"B",60,"B+",70,"A",80,"A+",90,"S",100)),{0,15,25,35,45,55,65,75,85,95},{"D","D","D+","C","C+","B","B+","A","A+","S"}),"?")</f>
        <v>?</v>
      </c>
      <c r="H31" s="11"/>
      <c r="I31" s="11"/>
    </row>
    <row r="32" spans="1:9" ht="18" customHeight="1">
      <c r="A32" s="24" t="s">
        <v>212</v>
      </c>
      <c r="B32" s="24" t="s">
        <v>213</v>
      </c>
      <c r="C32" s="19"/>
      <c r="D32" s="19"/>
      <c r="E32" s="19"/>
      <c r="F32" s="19"/>
      <c r="G32" s="19"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v>
      </c>
      <c r="H32" s="11"/>
      <c r="I32" s="11"/>
    </row>
    <row r="33" spans="1:9" ht="18" customHeight="1">
      <c r="A33" s="24" t="s">
        <v>218</v>
      </c>
      <c r="B33" s="24" t="s">
        <v>219</v>
      </c>
      <c r="C33" s="19"/>
      <c r="D33" s="19"/>
      <c r="E33" s="19"/>
      <c r="F33" s="19"/>
      <c r="G33" s="19"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v>
      </c>
      <c r="H33" s="11"/>
      <c r="I33" s="11"/>
    </row>
    <row r="34" spans="1:9" ht="18" customHeight="1">
      <c r="A34" s="24" t="s">
        <v>225</v>
      </c>
      <c r="B34" s="24" t="s">
        <v>226</v>
      </c>
      <c r="C34" s="19"/>
      <c r="D34" s="19"/>
      <c r="E34" s="19"/>
      <c r="F34" s="19"/>
      <c r="G34" s="19"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v>
      </c>
      <c r="H34" s="11"/>
      <c r="I34" s="11"/>
    </row>
    <row r="35" spans="1:9" ht="18" customHeight="1">
      <c r="A35" s="24" t="s">
        <v>232</v>
      </c>
      <c r="B35" s="24" t="s">
        <v>233</v>
      </c>
      <c r="C35" s="19"/>
      <c r="D35" s="19"/>
      <c r="E35" s="19"/>
      <c r="F35" s="19"/>
      <c r="G35" s="19"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v>
      </c>
      <c r="H35" s="11"/>
      <c r="I35" s="11"/>
    </row>
    <row r="36" spans="1:9" ht="18" customHeight="1">
      <c r="A36" s="24" t="s">
        <v>238</v>
      </c>
      <c r="B36" s="24" t="s">
        <v>239</v>
      </c>
      <c r="C36" s="19"/>
      <c r="D36" s="19"/>
      <c r="E36" s="19"/>
      <c r="F36" s="19"/>
      <c r="G36" s="19"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v>
      </c>
      <c r="H36" s="11"/>
      <c r="I36" s="11"/>
    </row>
    <row r="37" spans="1:9" ht="18" customHeight="1">
      <c r="A37" s="24" t="s">
        <v>243</v>
      </c>
      <c r="B37" s="24" t="s">
        <v>244</v>
      </c>
      <c r="C37" s="19"/>
      <c r="D37" s="19"/>
      <c r="E37" s="19"/>
      <c r="F37" s="19"/>
      <c r="G37" s="19"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v>
      </c>
      <c r="H37" s="11"/>
      <c r="I37" s="11" t="s">
        <v>2087</v>
      </c>
    </row>
    <row r="38" spans="1:9" ht="18" customHeight="1">
      <c r="A38" s="24" t="s">
        <v>250</v>
      </c>
      <c r="B38" s="24" t="s">
        <v>80</v>
      </c>
      <c r="C38" s="19"/>
      <c r="D38" s="19"/>
      <c r="E38" s="19"/>
      <c r="F38" s="19"/>
      <c r="G38" s="19"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v>
      </c>
      <c r="H38" s="11"/>
      <c r="I38" s="11"/>
    </row>
    <row r="39" spans="1:9" ht="18" customHeight="1">
      <c r="A39" s="24" t="s">
        <v>256</v>
      </c>
      <c r="B39" s="24" t="s">
        <v>257</v>
      </c>
      <c r="C39" s="19"/>
      <c r="D39" s="19"/>
      <c r="E39" s="19"/>
      <c r="F39" s="19"/>
      <c r="G39" s="19"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v>
      </c>
      <c r="H39" s="11"/>
      <c r="I39" s="11"/>
    </row>
    <row r="40" spans="1:9" ht="18" customHeight="1">
      <c r="A40" s="24" t="s">
        <v>263</v>
      </c>
      <c r="B40" s="24" t="s">
        <v>264</v>
      </c>
      <c r="C40" s="19"/>
      <c r="D40" s="19"/>
      <c r="E40" s="19"/>
      <c r="F40" s="19"/>
      <c r="G40" s="19"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v>
      </c>
      <c r="H40" s="11"/>
      <c r="I40" s="11"/>
    </row>
    <row r="41" spans="1:9" ht="18" customHeight="1">
      <c r="A41" s="24" t="s">
        <v>269</v>
      </c>
      <c r="B41" s="111" t="s">
        <v>270</v>
      </c>
      <c r="C41" s="19"/>
      <c r="D41" s="19"/>
      <c r="E41" s="19"/>
      <c r="F41" s="19"/>
      <c r="G41" s="19"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v>
      </c>
      <c r="H41" s="11"/>
      <c r="I41" s="11"/>
    </row>
    <row r="42" spans="1:9" ht="18" customHeight="1">
      <c r="A42" s="24" t="s">
        <v>274</v>
      </c>
      <c r="B42" s="24" t="s">
        <v>275</v>
      </c>
      <c r="C42" s="19"/>
      <c r="D42" s="19"/>
      <c r="E42" s="19"/>
      <c r="F42" s="19"/>
      <c r="G42" s="19"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v>
      </c>
      <c r="H42" s="11"/>
      <c r="I42" s="11"/>
    </row>
    <row r="43" spans="1:9">
      <c r="A43" s="24" t="s">
        <v>279</v>
      </c>
      <c r="B43" s="24" t="s">
        <v>280</v>
      </c>
      <c r="C43" s="19"/>
      <c r="D43" s="19"/>
      <c r="E43" s="19"/>
      <c r="F43" s="19"/>
      <c r="G43" s="19"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v>
      </c>
      <c r="H43" s="11"/>
      <c r="I43" s="11"/>
    </row>
    <row r="44" spans="1:9">
      <c r="A44" s="24" t="s">
        <v>286</v>
      </c>
      <c r="B44" s="24" t="s">
        <v>54</v>
      </c>
      <c r="C44" s="19"/>
      <c r="D44" s="19"/>
      <c r="E44" s="19"/>
      <c r="F44" s="19"/>
      <c r="G44" s="19"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v>
      </c>
      <c r="H44" s="11"/>
      <c r="I44" s="11"/>
    </row>
    <row r="45" spans="1:9">
      <c r="A45" s="24" t="s">
        <v>292</v>
      </c>
      <c r="B45" s="24" t="s">
        <v>293</v>
      </c>
      <c r="C45" s="19"/>
      <c r="D45" s="19"/>
      <c r="E45" s="19"/>
      <c r="F45" s="19"/>
      <c r="G45" s="19"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v>
      </c>
      <c r="H45" s="11"/>
      <c r="I45" s="11"/>
    </row>
    <row r="46" spans="1:9">
      <c r="A46" s="24" t="s">
        <v>298</v>
      </c>
      <c r="B46" s="24" t="s">
        <v>299</v>
      </c>
      <c r="C46" s="19"/>
      <c r="D46" s="19"/>
      <c r="E46" s="19"/>
      <c r="F46" s="19"/>
      <c r="G46" s="19"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v>
      </c>
      <c r="H46" s="11"/>
      <c r="I46" s="11"/>
    </row>
    <row r="47" spans="1:9">
      <c r="A47" s="24" t="s">
        <v>302</v>
      </c>
      <c r="B47" s="24" t="s">
        <v>303</v>
      </c>
      <c r="C47" s="19"/>
      <c r="D47" s="19"/>
      <c r="E47" s="19"/>
      <c r="F47" s="19"/>
      <c r="G47" s="19"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v>
      </c>
      <c r="H47" s="11"/>
      <c r="I47" s="11"/>
    </row>
    <row r="48" spans="1:9">
      <c r="A48" s="24" t="s">
        <v>309</v>
      </c>
      <c r="B48" s="24" t="s">
        <v>310</v>
      </c>
      <c r="C48" s="19"/>
      <c r="D48" s="19"/>
      <c r="E48" s="19"/>
      <c r="F48" s="19"/>
      <c r="G48" s="19"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v>
      </c>
      <c r="H48" s="11"/>
      <c r="I48" s="11"/>
    </row>
    <row r="49" spans="1:9">
      <c r="A49" s="24" t="s">
        <v>315</v>
      </c>
      <c r="B49" s="24" t="s">
        <v>316</v>
      </c>
      <c r="C49" s="19"/>
      <c r="D49" s="19"/>
      <c r="E49" s="19"/>
      <c r="F49" s="19"/>
      <c r="G49" s="19" t="str">
        <f>IF(AND(ISNUMBER(MATCH(C49,{"F","E","D","D+","C","C+","B","B+","A","A+","S"},0)),ISNUMBER(MATCH(D49,{"F","E","D","D+","C","C+","B","B+","A","A+","S"},0)),ISNUMBER(MATCH(E49,{"F","E","D","D+","C","C+","B","B+","A","A+","S"},0)),ISNUMBER(MATCH(F49,{"F","E","D","D+","C","C+","B","B+","A","A+","S"},0))),LOOKUP(AVERAGE(_xlfn.SWITCH(C49,"F",0,"E",10,"D",20,"D+",30,"C",40,"C+",50,"B",60,"B+",70,"A",80,"A+",90,"S",100),_xlfn.SWITCH(D49,"F",0,"E",10,"D",20,"D+",30,"C",40,"C+",50,"B",60,"B+",70,"A",80,"A+",90,"S",100),_xlfn.SWITCH(E49,"F",0,"E",10,"D",20,"D+",30,"C",40,"C+",50,"B",60,"B+",70,"A",80,"A+",90,"S",100),_xlfn.SWITCH(F49,"F",0,"E",10,"D",20,"D+",30,"C",40,"C+",50,"B",60,"B+",70,"A",80,"A+",90,"S",100)),{0,15,25,35,45,55,65,75,85,95},{"D","D","D+","C","C+","B","B+","A","A+","S"}),"?")</f>
        <v>?</v>
      </c>
      <c r="H49" s="11"/>
      <c r="I49" s="11"/>
    </row>
    <row r="50" spans="1:9">
      <c r="A50" s="24" t="s">
        <v>322</v>
      </c>
      <c r="B50" s="24" t="s">
        <v>162</v>
      </c>
      <c r="C50" s="19"/>
      <c r="D50" s="19"/>
      <c r="E50" s="19"/>
      <c r="F50" s="19"/>
      <c r="G50" s="19"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v>
      </c>
      <c r="H50" s="11"/>
      <c r="I50" s="11"/>
    </row>
    <row r="51" spans="1:9">
      <c r="A51" s="24" t="s">
        <v>326</v>
      </c>
      <c r="B51" s="24" t="s">
        <v>94</v>
      </c>
      <c r="C51" s="19"/>
      <c r="D51" s="19"/>
      <c r="E51" s="19"/>
      <c r="F51" s="19"/>
      <c r="G51" s="19"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v>
      </c>
      <c r="H51" s="11"/>
      <c r="I51" s="11"/>
    </row>
    <row r="52" spans="1:9">
      <c r="A52" s="24" t="s">
        <v>331</v>
      </c>
      <c r="B52" s="24" t="s">
        <v>332</v>
      </c>
      <c r="C52" s="19"/>
      <c r="D52" s="19"/>
      <c r="E52" s="19"/>
      <c r="F52" s="19"/>
      <c r="G52" s="19"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v>
      </c>
      <c r="H52" s="11"/>
      <c r="I52" s="11"/>
    </row>
    <row r="53" spans="1:9">
      <c r="A53" s="24" t="s">
        <v>334</v>
      </c>
      <c r="B53" s="24" t="s">
        <v>335</v>
      </c>
      <c r="C53" s="19"/>
      <c r="D53" s="19"/>
      <c r="E53" s="19"/>
      <c r="F53" s="19"/>
      <c r="G53" s="19"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v>
      </c>
      <c r="H53" s="11"/>
      <c r="I53" s="11"/>
    </row>
    <row r="54" spans="1:9">
      <c r="A54" s="24" t="s">
        <v>339</v>
      </c>
      <c r="B54" s="24" t="s">
        <v>340</v>
      </c>
      <c r="C54" s="19"/>
      <c r="D54" s="19"/>
      <c r="E54" s="19"/>
      <c r="F54" s="19"/>
      <c r="G54" s="19"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v>
      </c>
      <c r="H54" s="11"/>
      <c r="I54" s="11"/>
    </row>
    <row r="55" spans="1:9">
      <c r="A55" s="24" t="s">
        <v>346</v>
      </c>
      <c r="B55" s="24" t="s">
        <v>347</v>
      </c>
      <c r="C55" s="19"/>
      <c r="D55" s="19"/>
      <c r="E55" s="19"/>
      <c r="F55" s="19"/>
      <c r="G55" s="19"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v>
      </c>
      <c r="H55" s="11"/>
      <c r="I55" s="11"/>
    </row>
    <row r="56" spans="1:9">
      <c r="A56" s="24" t="s">
        <v>353</v>
      </c>
      <c r="B56" s="24" t="s">
        <v>354</v>
      </c>
      <c r="C56" s="19"/>
      <c r="D56" s="19"/>
      <c r="E56" s="19"/>
      <c r="F56" s="19"/>
      <c r="G56" s="19"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11"/>
      <c r="I56" s="11"/>
    </row>
    <row r="57" spans="1:9">
      <c r="A57" s="24" t="s">
        <v>358</v>
      </c>
      <c r="B57" s="24" t="s">
        <v>359</v>
      </c>
      <c r="C57" s="19"/>
      <c r="D57" s="19"/>
      <c r="E57" s="19"/>
      <c r="F57" s="19"/>
      <c r="G57" s="19"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11"/>
      <c r="I57" s="11"/>
    </row>
    <row r="58" spans="1:9">
      <c r="A58" s="24" t="s">
        <v>365</v>
      </c>
      <c r="B58" s="24" t="s">
        <v>366</v>
      </c>
      <c r="C58" s="19"/>
      <c r="D58" s="19"/>
      <c r="E58" s="19"/>
      <c r="F58" s="19"/>
      <c r="G58" s="19"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11"/>
      <c r="I58" s="11"/>
    </row>
    <row r="59" spans="1:9">
      <c r="A59" s="24" t="s">
        <v>371</v>
      </c>
      <c r="B59" s="24" t="s">
        <v>372</v>
      </c>
      <c r="C59" s="19"/>
      <c r="D59" s="19"/>
      <c r="E59" s="19"/>
      <c r="F59" s="19"/>
      <c r="G59" s="19"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11"/>
      <c r="I59" s="11"/>
    </row>
    <row r="60" spans="1:9">
      <c r="A60" s="24" t="s">
        <v>376</v>
      </c>
      <c r="B60" s="24" t="s">
        <v>278</v>
      </c>
      <c r="C60" s="19"/>
      <c r="D60" s="19"/>
      <c r="E60" s="19"/>
      <c r="F60" s="19"/>
      <c r="G60" s="19"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11"/>
      <c r="I60" s="11"/>
    </row>
    <row r="61" spans="1:9">
      <c r="A61" s="24" t="s">
        <v>382</v>
      </c>
      <c r="B61" s="24" t="s">
        <v>383</v>
      </c>
      <c r="C61" s="19"/>
      <c r="D61" s="19"/>
      <c r="E61" s="19"/>
      <c r="F61" s="19"/>
      <c r="G61" s="19"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11"/>
      <c r="I61" s="11"/>
    </row>
    <row r="62" spans="1:9">
      <c r="A62" s="24" t="s">
        <v>387</v>
      </c>
      <c r="B62" s="24" t="s">
        <v>388</v>
      </c>
      <c r="C62" s="19"/>
      <c r="D62" s="19"/>
      <c r="E62" s="19"/>
      <c r="F62" s="19"/>
      <c r="G62" s="19"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11"/>
      <c r="I62" s="11"/>
    </row>
    <row r="63" spans="1:9">
      <c r="A63" s="24" t="s">
        <v>393</v>
      </c>
      <c r="B63" s="24" t="s">
        <v>394</v>
      </c>
      <c r="C63" s="19"/>
      <c r="D63" s="19"/>
      <c r="E63" s="19"/>
      <c r="F63" s="19"/>
      <c r="G63" s="19"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11"/>
      <c r="I63" s="11"/>
    </row>
    <row r="64" spans="1:9">
      <c r="A64" s="24" t="s">
        <v>399</v>
      </c>
      <c r="B64" s="24" t="s">
        <v>400</v>
      </c>
      <c r="C64" s="19"/>
      <c r="D64" s="19"/>
      <c r="E64" s="19"/>
      <c r="F64" s="19"/>
      <c r="G64" s="19"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11"/>
      <c r="I64" s="11"/>
    </row>
    <row r="65" spans="1:9">
      <c r="A65" s="24" t="s">
        <v>404</v>
      </c>
      <c r="B65" s="24" t="s">
        <v>405</v>
      </c>
      <c r="C65" s="19"/>
      <c r="D65" s="19"/>
      <c r="E65" s="19"/>
      <c r="F65" s="19"/>
      <c r="G65" s="19"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11"/>
      <c r="I65" s="11"/>
    </row>
    <row r="66" spans="1:9">
      <c r="A66" s="24" t="s">
        <v>409</v>
      </c>
      <c r="B66" s="24" t="s">
        <v>308</v>
      </c>
      <c r="C66" s="19"/>
      <c r="D66" s="19"/>
      <c r="E66" s="19"/>
      <c r="F66" s="19"/>
      <c r="G66" s="19"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11"/>
      <c r="I66" s="11"/>
    </row>
    <row r="67" spans="1:9">
      <c r="A67" s="24" t="s">
        <v>413</v>
      </c>
      <c r="B67" s="24" t="s">
        <v>414</v>
      </c>
      <c r="C67" s="19"/>
      <c r="D67" s="19"/>
      <c r="E67" s="19"/>
      <c r="F67" s="19"/>
      <c r="G67" s="19"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11"/>
      <c r="I67" s="11"/>
    </row>
    <row r="68" spans="1:9">
      <c r="A68" s="24" t="s">
        <v>416</v>
      </c>
      <c r="B68" s="24" t="s">
        <v>417</v>
      </c>
      <c r="C68" s="19"/>
      <c r="D68" s="19"/>
      <c r="E68" s="19"/>
      <c r="F68" s="19"/>
      <c r="G68" s="19"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11"/>
      <c r="I68" s="11"/>
    </row>
    <row r="69" spans="1:9">
      <c r="A69" s="24" t="s">
        <v>421</v>
      </c>
      <c r="B69" s="24" t="s">
        <v>422</v>
      </c>
      <c r="C69" s="19"/>
      <c r="D69" s="19"/>
      <c r="E69" s="19"/>
      <c r="F69" s="19"/>
      <c r="G69" s="19"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v>
      </c>
      <c r="H69" s="11"/>
      <c r="I69" s="11"/>
    </row>
    <row r="70" spans="1:9">
      <c r="A70" s="24" t="s">
        <v>426</v>
      </c>
      <c r="B70" s="24" t="s">
        <v>427</v>
      </c>
      <c r="C70" s="19"/>
      <c r="D70" s="19"/>
      <c r="E70" s="19"/>
      <c r="F70" s="19"/>
      <c r="G70" s="19"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11"/>
      <c r="I70" s="11"/>
    </row>
    <row r="71" spans="1:9">
      <c r="A71" s="24" t="s">
        <v>432</v>
      </c>
      <c r="B71" s="24" t="s">
        <v>149</v>
      </c>
      <c r="C71" s="19"/>
      <c r="D71" s="19"/>
      <c r="E71" s="19"/>
      <c r="F71" s="19"/>
      <c r="G71" s="19"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v>
      </c>
      <c r="H71" s="11"/>
      <c r="I71" s="11"/>
    </row>
    <row r="72" spans="1:9">
      <c r="A72" s="24" t="s">
        <v>435</v>
      </c>
      <c r="B72" s="24" t="s">
        <v>436</v>
      </c>
      <c r="C72" s="19"/>
      <c r="D72" s="19"/>
      <c r="E72" s="19"/>
      <c r="F72" s="19"/>
      <c r="G72" s="19"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11"/>
      <c r="I72" s="11"/>
    </row>
    <row r="73" spans="1:9">
      <c r="A73" s="24" t="s">
        <v>442</v>
      </c>
      <c r="B73" s="24" t="s">
        <v>443</v>
      </c>
      <c r="C73" s="19"/>
      <c r="D73" s="19"/>
      <c r="E73" s="19"/>
      <c r="F73" s="19"/>
      <c r="G73" s="19"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11"/>
      <c r="I73" s="11"/>
    </row>
    <row r="74" spans="1:9">
      <c r="A74" s="24" t="s">
        <v>447</v>
      </c>
      <c r="B74" s="24" t="s">
        <v>47</v>
      </c>
      <c r="C74" s="19"/>
      <c r="D74" s="19"/>
      <c r="E74" s="19"/>
      <c r="F74" s="19"/>
      <c r="G74" s="19"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11"/>
      <c r="I74" s="11"/>
    </row>
    <row r="75" spans="1:9">
      <c r="A75" s="24" t="s">
        <v>451</v>
      </c>
      <c r="B75" s="24" t="s">
        <v>169</v>
      </c>
      <c r="C75" s="19"/>
      <c r="D75" s="19"/>
      <c r="E75" s="19"/>
      <c r="F75" s="19"/>
      <c r="G75" s="19"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11"/>
      <c r="I75" s="11"/>
    </row>
    <row r="76" spans="1:9">
      <c r="A76" s="24" t="s">
        <v>455</v>
      </c>
      <c r="B76" s="24" t="s">
        <v>197</v>
      </c>
      <c r="C76" s="19"/>
      <c r="D76" s="19"/>
      <c r="E76" s="19"/>
      <c r="F76" s="19"/>
      <c r="G76" s="19"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11"/>
      <c r="I76" s="11"/>
    </row>
    <row r="77" spans="1:9">
      <c r="A77" s="24" t="s">
        <v>461</v>
      </c>
      <c r="B77" s="94" t="s">
        <v>378</v>
      </c>
      <c r="C77" s="19"/>
      <c r="D77" s="19"/>
      <c r="E77" s="19"/>
      <c r="F77" s="19"/>
      <c r="G77" s="19"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11"/>
      <c r="I77" s="11"/>
    </row>
    <row r="78" spans="1:9">
      <c r="A78" s="24" t="s">
        <v>467</v>
      </c>
      <c r="B78" s="24" t="s">
        <v>30</v>
      </c>
      <c r="C78" s="19"/>
      <c r="D78" s="19"/>
      <c r="E78" s="19"/>
      <c r="F78" s="19"/>
      <c r="G78" s="19" t="str">
        <f>IF(AND(ISNUMBER(MATCH(C78,{"F","E","D","D+","C","C+","B","B+","A","A+","S"},0)),ISNUMBER(MATCH(D78,{"F","E","D","D+","C","C+","B","B+","A","A+","S"},0)),ISNUMBER(MATCH(E78,{"F","E","D","D+","C","C+","B","B+","A","A+","S"},0)),ISNUMBER(MATCH(F78,{"F","E","D","D+","C","C+","B","B+","A","A+","S"},0))),LOOKUP(AVERAGE(_xlfn.SWITCH(C78,"F",0,"E",10,"D",20,"D+",30,"C",40,"C+",50,"B",60,"B+",70,"A",80,"A+",90,"S",100),_xlfn.SWITCH(D78,"F",0,"E",10,"D",20,"D+",30,"C",40,"C+",50,"B",60,"B+",70,"A",80,"A+",90,"S",100),_xlfn.SWITCH(E78,"F",0,"E",10,"D",20,"D+",30,"C",40,"C+",50,"B",60,"B+",70,"A",80,"A+",90,"S",100),_xlfn.SWITCH(F78,"F",0,"E",10,"D",20,"D+",30,"C",40,"C+",50,"B",60,"B+",70,"A",80,"A+",90,"S",100)),{0,15,25,35,45,55,65,75,85,95},{"D","D","D+","C","C+","B","B+","A","A+","S"}),"?")</f>
        <v>?</v>
      </c>
      <c r="H78" s="11"/>
      <c r="I78" s="11" t="s">
        <v>2088</v>
      </c>
    </row>
    <row r="79" spans="1:9">
      <c r="A79" s="24" t="s">
        <v>472</v>
      </c>
      <c r="B79" s="24" t="s">
        <v>473</v>
      </c>
      <c r="C79" s="19"/>
      <c r="D79" s="19"/>
      <c r="E79" s="19"/>
      <c r="F79" s="19"/>
      <c r="G79" s="19"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11"/>
      <c r="I79" s="11"/>
    </row>
    <row r="80" spans="1:9">
      <c r="A80" s="24" t="s">
        <v>475</v>
      </c>
      <c r="B80" s="24" t="s">
        <v>476</v>
      </c>
      <c r="C80" s="19"/>
      <c r="D80" s="19"/>
      <c r="E80" s="19"/>
      <c r="F80" s="19"/>
      <c r="G80" s="19"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11"/>
      <c r="I80" s="11"/>
    </row>
    <row r="81" spans="1:9">
      <c r="A81" s="24" t="s">
        <v>478</v>
      </c>
      <c r="B81" s="24" t="s">
        <v>321</v>
      </c>
      <c r="C81" s="19"/>
      <c r="D81" s="19"/>
      <c r="E81" s="19"/>
      <c r="F81" s="19"/>
      <c r="G81" s="19"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11"/>
      <c r="I81" s="11"/>
    </row>
    <row r="82" spans="1:9">
      <c r="A82" s="24" t="s">
        <v>483</v>
      </c>
      <c r="B82" s="24" t="s">
        <v>484</v>
      </c>
      <c r="C82" s="19"/>
      <c r="D82" s="19"/>
      <c r="E82" s="19"/>
      <c r="F82" s="19"/>
      <c r="G82" s="19"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11"/>
      <c r="I82" s="11"/>
    </row>
    <row r="83" spans="1:9">
      <c r="A83" s="24" t="s">
        <v>488</v>
      </c>
      <c r="B83" s="24" t="s">
        <v>489</v>
      </c>
      <c r="C83" s="19"/>
      <c r="D83" s="19"/>
      <c r="E83" s="19"/>
      <c r="F83" s="19"/>
      <c r="G83" s="19"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11"/>
      <c r="I83" s="11"/>
    </row>
    <row r="84" spans="1:9">
      <c r="A84" s="24" t="s">
        <v>494</v>
      </c>
      <c r="B84" s="24" t="s">
        <v>495</v>
      </c>
      <c r="C84" s="19"/>
      <c r="D84" s="19"/>
      <c r="E84" s="19"/>
      <c r="F84" s="19"/>
      <c r="G84" s="19"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11"/>
      <c r="I84" s="11"/>
    </row>
    <row r="85" spans="1:9">
      <c r="A85" s="24" t="s">
        <v>500</v>
      </c>
      <c r="B85" s="24" t="s">
        <v>501</v>
      </c>
      <c r="C85" s="19"/>
      <c r="D85" s="19"/>
      <c r="E85" s="19"/>
      <c r="F85" s="19"/>
      <c r="G85" s="19"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11"/>
      <c r="I85" s="11"/>
    </row>
    <row r="86" spans="1:9">
      <c r="A86" s="24" t="s">
        <v>505</v>
      </c>
      <c r="B86" s="24" t="s">
        <v>506</v>
      </c>
      <c r="C86" s="19"/>
      <c r="D86" s="19"/>
      <c r="E86" s="19"/>
      <c r="F86" s="19"/>
      <c r="G86" s="19"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11"/>
      <c r="I86" s="11"/>
    </row>
    <row r="87" spans="1:9">
      <c r="A87" s="24" t="s">
        <v>509</v>
      </c>
      <c r="B87" s="24" t="s">
        <v>237</v>
      </c>
      <c r="C87" s="19"/>
      <c r="D87" s="19"/>
      <c r="E87" s="19"/>
      <c r="F87" s="19"/>
      <c r="G87" s="19"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v>
      </c>
      <c r="H87" s="11"/>
      <c r="I87" s="11"/>
    </row>
    <row r="88" spans="1:9">
      <c r="A88" s="24" t="s">
        <v>510</v>
      </c>
      <c r="B88" s="24" t="s">
        <v>511</v>
      </c>
      <c r="C88" s="19"/>
      <c r="D88" s="19"/>
      <c r="E88" s="19"/>
      <c r="F88" s="19"/>
      <c r="G88" s="19"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11"/>
      <c r="I88" s="11"/>
    </row>
    <row r="89" spans="1:9">
      <c r="A89" s="24" t="s">
        <v>517</v>
      </c>
      <c r="B89" s="24" t="s">
        <v>224</v>
      </c>
      <c r="C89" s="19"/>
      <c r="D89" s="19"/>
      <c r="E89" s="19"/>
      <c r="F89" s="19"/>
      <c r="G89" s="19"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11"/>
      <c r="I89" s="11"/>
    </row>
    <row r="90" spans="1:9">
      <c r="A90" s="24" t="s">
        <v>523</v>
      </c>
      <c r="B90" s="24" t="s">
        <v>460</v>
      </c>
      <c r="C90" s="19"/>
      <c r="D90" s="19"/>
      <c r="E90" s="19"/>
      <c r="F90" s="19"/>
      <c r="G90" s="19"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11"/>
      <c r="I90" s="11"/>
    </row>
    <row r="91" spans="1:9">
      <c r="A91" s="24" t="s">
        <v>529</v>
      </c>
      <c r="B91" s="24" t="s">
        <v>530</v>
      </c>
      <c r="C91" s="19"/>
      <c r="D91" s="19"/>
      <c r="E91" s="19"/>
      <c r="F91" s="19"/>
      <c r="G91" s="19"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11"/>
      <c r="I91" s="11"/>
    </row>
    <row r="92" spans="1:9">
      <c r="A92" s="24" t="s">
        <v>534</v>
      </c>
      <c r="B92" s="24" t="s">
        <v>535</v>
      </c>
      <c r="C92" s="19"/>
      <c r="D92" s="19"/>
      <c r="E92" s="19"/>
      <c r="F92" s="19"/>
      <c r="G92" s="19"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11"/>
      <c r="I92" s="11"/>
    </row>
    <row r="93" spans="1:9">
      <c r="A93" s="24" t="s">
        <v>541</v>
      </c>
      <c r="B93" s="24" t="s">
        <v>542</v>
      </c>
      <c r="C93" s="19"/>
      <c r="D93" s="19"/>
      <c r="E93" s="19"/>
      <c r="F93" s="19"/>
      <c r="G93" s="19"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11"/>
      <c r="I93" s="11"/>
    </row>
    <row r="94" spans="1:9">
      <c r="A94" s="24" t="s">
        <v>548</v>
      </c>
      <c r="B94" s="24" t="s">
        <v>549</v>
      </c>
      <c r="C94" s="19"/>
      <c r="D94" s="19"/>
      <c r="E94" s="19"/>
      <c r="F94" s="19"/>
      <c r="G94" s="19"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11"/>
      <c r="I94" s="11"/>
    </row>
    <row r="95" spans="1:9">
      <c r="A95" s="24" t="s">
        <v>553</v>
      </c>
      <c r="B95" s="24" t="s">
        <v>352</v>
      </c>
      <c r="C95" s="19"/>
      <c r="D95" s="19"/>
      <c r="E95" s="19"/>
      <c r="F95" s="19"/>
      <c r="G95" s="19"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11"/>
      <c r="I95" s="11"/>
    </row>
    <row r="96" spans="1:9">
      <c r="A96" s="24" t="s">
        <v>559</v>
      </c>
      <c r="B96" s="24" t="s">
        <v>560</v>
      </c>
      <c r="C96" s="19"/>
      <c r="D96" s="19"/>
      <c r="E96" s="19"/>
      <c r="F96" s="19"/>
      <c r="G96" s="19"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11"/>
      <c r="I96" s="11"/>
    </row>
    <row r="97" spans="1:9">
      <c r="A97" s="24" t="s">
        <v>565</v>
      </c>
      <c r="B97" s="24" t="s">
        <v>441</v>
      </c>
      <c r="C97" s="19"/>
      <c r="D97" s="19"/>
      <c r="E97" s="19"/>
      <c r="F97" s="19"/>
      <c r="G97" s="19"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11"/>
      <c r="I97" s="11"/>
    </row>
    <row r="98" spans="1:9">
      <c r="A98" s="24" t="s">
        <v>571</v>
      </c>
      <c r="B98" s="24" t="s">
        <v>572</v>
      </c>
      <c r="C98" s="19"/>
      <c r="D98" s="19"/>
      <c r="E98" s="19"/>
      <c r="F98" s="19"/>
      <c r="G98" s="19"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11"/>
      <c r="I98" s="11"/>
    </row>
    <row r="99" spans="1:9">
      <c r="A99" s="24" t="s">
        <v>578</v>
      </c>
      <c r="B99" s="24" t="s">
        <v>579</v>
      </c>
      <c r="C99" s="19"/>
      <c r="D99" s="19"/>
      <c r="E99" s="19"/>
      <c r="F99" s="19"/>
      <c r="G99" s="19"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11"/>
      <c r="I99" s="11"/>
    </row>
    <row r="100" spans="1:9">
      <c r="A100" s="24" t="s">
        <v>585</v>
      </c>
      <c r="B100" s="24" t="s">
        <v>586</v>
      </c>
      <c r="C100" s="19"/>
      <c r="D100" s="19"/>
      <c r="E100" s="19"/>
      <c r="F100" s="19"/>
      <c r="G100" s="19"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11"/>
      <c r="I100" s="11"/>
    </row>
    <row r="101" spans="1:9">
      <c r="A101" s="24" t="s">
        <v>590</v>
      </c>
      <c r="B101" s="24" t="s">
        <v>591</v>
      </c>
      <c r="C101" s="19"/>
      <c r="D101" s="19"/>
      <c r="E101" s="19"/>
      <c r="F101" s="19"/>
      <c r="G101" s="19"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11"/>
      <c r="I101" s="11"/>
    </row>
    <row r="102" spans="1:9">
      <c r="A102" s="24" t="s">
        <v>595</v>
      </c>
      <c r="B102" s="24" t="s">
        <v>596</v>
      </c>
      <c r="C102" s="19"/>
      <c r="D102" s="19"/>
      <c r="E102" s="19"/>
      <c r="F102" s="19"/>
      <c r="G102" s="19"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11"/>
      <c r="I102" s="11"/>
    </row>
    <row r="103" spans="1:9">
      <c r="A103" s="24" t="s">
        <v>602</v>
      </c>
      <c r="B103" s="24" t="s">
        <v>603</v>
      </c>
      <c r="C103" s="19"/>
      <c r="D103" s="19"/>
      <c r="E103" s="19"/>
      <c r="F103" s="19"/>
      <c r="G103" s="19"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11"/>
      <c r="I103" s="11"/>
    </row>
    <row r="104" spans="1:9">
      <c r="A104" s="24" t="s">
        <v>607</v>
      </c>
      <c r="B104" s="24" t="s">
        <v>381</v>
      </c>
      <c r="C104" s="19"/>
      <c r="D104" s="19"/>
      <c r="E104" s="19"/>
      <c r="F104" s="19"/>
      <c r="G104" s="19"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v>
      </c>
      <c r="H104" s="11"/>
      <c r="I104" s="11"/>
    </row>
    <row r="105" spans="1:9">
      <c r="A105" s="24" t="s">
        <v>613</v>
      </c>
      <c r="B105" s="24" t="s">
        <v>108</v>
      </c>
      <c r="C105" s="19"/>
      <c r="D105" s="19"/>
      <c r="E105" s="19"/>
      <c r="F105" s="19"/>
      <c r="G105" s="19" t="str">
        <f>IF(AND(ISNUMBER(MATCH(C105,{"F","E","D","D+","C","C+","B","B+","A","A+","S"},0)),ISNUMBER(MATCH(D105,{"F","E","D","D+","C","C+","B","B+","A","A+","S"},0)),ISNUMBER(MATCH(E105,{"F","E","D","D+","C","C+","B","B+","A","A+","S"},0)),ISNUMBER(MATCH(F105,{"F","E","D","D+","C","C+","B","B+","A","A+","S"},0))),LOOKUP(AVERAGE(_xlfn.SWITCH(C105,"F",0,"E",10,"D",20,"D+",30,"C",40,"C+",50,"B",60,"B+",70,"A",80,"A+",90,"S",100),_xlfn.SWITCH(D105,"F",0,"E",10,"D",20,"D+",30,"C",40,"C+",50,"B",60,"B+",70,"A",80,"A+",90,"S",100),_xlfn.SWITCH(E105,"F",0,"E",10,"D",20,"D+",30,"C",40,"C+",50,"B",60,"B+",70,"A",80,"A+",90,"S",100),_xlfn.SWITCH(F105,"F",0,"E",10,"D",20,"D+",30,"C",40,"C+",50,"B",60,"B+",70,"A",80,"A+",90,"S",100)),{0,15,25,35,45,55,65,75,85,95},{"D","D","D+","C","C+","B","B+","A","A+","S"}),"?")</f>
        <v>?</v>
      </c>
      <c r="H105" s="11"/>
      <c r="I105" s="11"/>
    </row>
    <row r="106" spans="1:9">
      <c r="A106" s="549" t="s">
        <v>619</v>
      </c>
      <c r="B106" s="571"/>
      <c r="C106" s="571"/>
      <c r="D106" s="571"/>
      <c r="E106" s="571"/>
      <c r="F106" s="571"/>
      <c r="G106" s="571"/>
      <c r="H106" s="549"/>
      <c r="I106" s="571"/>
    </row>
    <row r="107" spans="1:9">
      <c r="A107" s="24" t="s">
        <v>4</v>
      </c>
      <c r="B107" s="94" t="s">
        <v>5</v>
      </c>
      <c r="C107" s="11" t="s">
        <v>6</v>
      </c>
      <c r="D107" s="11" t="s">
        <v>7</v>
      </c>
      <c r="E107" s="11" t="s">
        <v>8</v>
      </c>
      <c r="F107" s="11" t="s">
        <v>9</v>
      </c>
      <c r="G107" s="11" t="s">
        <v>10</v>
      </c>
      <c r="H107" s="11" t="s">
        <v>11</v>
      </c>
      <c r="I107" s="11" t="s">
        <v>12</v>
      </c>
    </row>
    <row r="108" spans="1:9">
      <c r="A108" s="24" t="s">
        <v>633</v>
      </c>
      <c r="B108" s="24" t="s">
        <v>594</v>
      </c>
      <c r="C108" s="19"/>
      <c r="D108" s="19"/>
      <c r="E108" s="19"/>
      <c r="F108" s="19"/>
      <c r="G108" s="19"/>
      <c r="H108" s="11"/>
      <c r="I108" s="11"/>
    </row>
    <row r="109" spans="1:9">
      <c r="A109" s="24" t="s">
        <v>639</v>
      </c>
      <c r="B109" s="24" t="s">
        <v>640</v>
      </c>
      <c r="C109" s="19"/>
      <c r="D109" s="19"/>
      <c r="E109" s="19"/>
      <c r="F109" s="19"/>
      <c r="G109" s="19"/>
      <c r="H109" s="11"/>
      <c r="I109" s="11"/>
    </row>
    <row r="110" spans="1:9">
      <c r="A110" s="24" t="s">
        <v>644</v>
      </c>
      <c r="B110" s="24" t="s">
        <v>645</v>
      </c>
      <c r="C110" s="19"/>
      <c r="D110" s="19"/>
      <c r="E110" s="19"/>
      <c r="F110" s="19"/>
      <c r="G110" s="19"/>
      <c r="H110" s="11"/>
      <c r="I110" s="11"/>
    </row>
    <row r="111" spans="1:9">
      <c r="A111" s="24" t="s">
        <v>651</v>
      </c>
      <c r="B111" s="24" t="s">
        <v>652</v>
      </c>
      <c r="C111" s="19"/>
      <c r="D111" s="19"/>
      <c r="E111" s="19"/>
      <c r="F111" s="19"/>
      <c r="G111" s="19"/>
      <c r="H111" s="11"/>
      <c r="I111" s="11"/>
    </row>
    <row r="112" spans="1:9">
      <c r="A112" s="24" t="s">
        <v>658</v>
      </c>
      <c r="B112" s="24" t="s">
        <v>659</v>
      </c>
      <c r="C112" s="19"/>
      <c r="D112" s="19"/>
      <c r="E112" s="19"/>
      <c r="F112" s="19"/>
      <c r="G112" s="19"/>
      <c r="H112" s="11"/>
      <c r="I112" s="11"/>
    </row>
    <row r="113" spans="1:9">
      <c r="A113" s="24" t="s">
        <v>663</v>
      </c>
      <c r="B113" s="24" t="s">
        <v>5246</v>
      </c>
      <c r="C113" s="19"/>
      <c r="D113" s="19"/>
      <c r="E113" s="19"/>
      <c r="F113" s="19"/>
      <c r="G113" s="19"/>
      <c r="H113" s="11"/>
      <c r="I113" s="11"/>
    </row>
    <row r="114" spans="1:9">
      <c r="A114" s="24" t="s">
        <v>667</v>
      </c>
      <c r="B114" s="130" t="s">
        <v>668</v>
      </c>
      <c r="C114" s="19"/>
      <c r="D114" s="19"/>
      <c r="E114" s="19"/>
      <c r="F114" s="19"/>
      <c r="G114" s="19"/>
      <c r="H114" s="11"/>
      <c r="I114" s="11"/>
    </row>
    <row r="115" spans="1:9">
      <c r="A115" s="24" t="s">
        <v>674</v>
      </c>
      <c r="B115" s="130" t="s">
        <v>675</v>
      </c>
      <c r="C115" s="19"/>
      <c r="D115" s="19"/>
      <c r="E115" s="19"/>
      <c r="F115" s="19"/>
      <c r="G115" s="19"/>
      <c r="H115" s="11"/>
      <c r="I115" s="11"/>
    </row>
    <row r="116" spans="1:9">
      <c r="A116" s="24" t="s">
        <v>681</v>
      </c>
      <c r="B116" s="24" t="s">
        <v>666</v>
      </c>
      <c r="C116" s="19"/>
      <c r="D116" s="19"/>
      <c r="E116" s="19"/>
      <c r="F116" s="19"/>
      <c r="G116" s="19"/>
      <c r="H116" s="11"/>
      <c r="I116" s="11"/>
    </row>
    <row r="117" spans="1:9">
      <c r="A117" s="24" t="s">
        <v>687</v>
      </c>
      <c r="B117" s="24" t="s">
        <v>688</v>
      </c>
      <c r="C117" s="19"/>
      <c r="D117" s="19"/>
      <c r="E117" s="19"/>
      <c r="F117" s="19"/>
      <c r="G117" s="19"/>
      <c r="H117" s="11"/>
      <c r="I117" s="11"/>
    </row>
    <row r="118" spans="1:9">
      <c r="A118" s="24" t="s">
        <v>694</v>
      </c>
      <c r="B118" s="24" t="s">
        <v>695</v>
      </c>
      <c r="C118" s="19"/>
      <c r="D118" s="19"/>
      <c r="E118" s="19"/>
      <c r="F118" s="19"/>
      <c r="G118" s="19"/>
      <c r="H118" s="11"/>
      <c r="I118" s="11"/>
    </row>
    <row r="119" spans="1:9">
      <c r="A119" s="24" t="s">
        <v>701</v>
      </c>
      <c r="B119" s="24" t="s">
        <v>702</v>
      </c>
      <c r="C119" s="19"/>
      <c r="D119" s="19"/>
      <c r="E119" s="19"/>
      <c r="F119" s="19"/>
      <c r="G119" s="19"/>
      <c r="H119" s="11"/>
      <c r="I119" s="11"/>
    </row>
    <row r="120" spans="1:9">
      <c r="A120" s="24" t="s">
        <v>708</v>
      </c>
      <c r="B120" s="24" t="s">
        <v>709</v>
      </c>
      <c r="C120" s="19"/>
      <c r="D120" s="19"/>
      <c r="E120" s="19"/>
      <c r="F120" s="19"/>
      <c r="G120" s="19"/>
      <c r="H120" s="11"/>
      <c r="I120" s="11"/>
    </row>
    <row r="121" spans="1:9">
      <c r="A121" s="24" t="s">
        <v>715</v>
      </c>
      <c r="B121" s="24" t="s">
        <v>716</v>
      </c>
      <c r="C121" s="19"/>
      <c r="D121" s="19"/>
      <c r="E121" s="19"/>
      <c r="F121" s="19"/>
      <c r="G121" s="19"/>
      <c r="H121" s="11"/>
      <c r="I121" s="11"/>
    </row>
    <row r="122" spans="1:9">
      <c r="A122" s="24" t="s">
        <v>722</v>
      </c>
      <c r="B122" s="24" t="s">
        <v>723</v>
      </c>
      <c r="C122" s="19"/>
      <c r="D122" s="19"/>
      <c r="E122" s="19"/>
      <c r="F122" s="19"/>
      <c r="G122" s="19"/>
      <c r="H122" s="11"/>
      <c r="I122" s="11"/>
    </row>
    <row r="123" spans="1:9">
      <c r="A123" s="24" t="s">
        <v>727</v>
      </c>
      <c r="B123" s="130" t="s">
        <v>558</v>
      </c>
      <c r="C123" s="19"/>
      <c r="D123" s="19"/>
      <c r="E123" s="19"/>
      <c r="F123" s="19"/>
      <c r="G123" s="19"/>
      <c r="H123" s="11"/>
      <c r="I123" s="11"/>
    </row>
    <row r="124" spans="1:9">
      <c r="A124" s="24" t="s">
        <v>733</v>
      </c>
      <c r="B124" s="24" t="s">
        <v>686</v>
      </c>
      <c r="C124" s="19"/>
      <c r="D124" s="19"/>
      <c r="E124" s="19"/>
      <c r="F124" s="19"/>
      <c r="G124" s="19"/>
      <c r="H124" s="11"/>
      <c r="I124" s="11"/>
    </row>
    <row r="125" spans="1:9">
      <c r="A125" s="24" t="s">
        <v>737</v>
      </c>
      <c r="B125" s="24" t="s">
        <v>700</v>
      </c>
      <c r="C125" s="19"/>
      <c r="D125" s="19"/>
      <c r="E125" s="19"/>
      <c r="F125" s="19"/>
      <c r="G125" s="19"/>
      <c r="H125" s="11"/>
      <c r="I125" s="11"/>
    </row>
    <row r="126" spans="1:9">
      <c r="A126" s="24" t="s">
        <v>741</v>
      </c>
      <c r="B126" s="24" t="s">
        <v>742</v>
      </c>
      <c r="C126" s="19"/>
      <c r="D126" s="19"/>
      <c r="E126" s="19"/>
      <c r="F126" s="19"/>
      <c r="G126" s="19"/>
      <c r="H126" s="11"/>
      <c r="I126" s="11"/>
    </row>
    <row r="127" spans="1:9">
      <c r="A127" s="24" t="s">
        <v>746</v>
      </c>
      <c r="B127" s="24" t="s">
        <v>693</v>
      </c>
      <c r="C127" s="19"/>
      <c r="D127" s="19"/>
      <c r="E127" s="19"/>
      <c r="F127" s="19"/>
      <c r="G127" s="19"/>
      <c r="H127" s="11"/>
      <c r="I127" s="11"/>
    </row>
    <row r="128" spans="1:9">
      <c r="A128" s="24" t="s">
        <v>752</v>
      </c>
      <c r="B128" s="130" t="s">
        <v>753</v>
      </c>
      <c r="C128" s="19"/>
      <c r="D128" s="19"/>
      <c r="E128" s="19"/>
      <c r="F128" s="19"/>
      <c r="G128" s="19"/>
      <c r="H128" s="11"/>
      <c r="I128" s="11"/>
    </row>
    <row r="129" spans="1:9">
      <c r="A129" s="24" t="s">
        <v>757</v>
      </c>
      <c r="B129" s="24" t="s">
        <v>758</v>
      </c>
      <c r="C129" s="19"/>
      <c r="D129" s="19"/>
      <c r="E129" s="19"/>
      <c r="F129" s="19"/>
      <c r="G129" s="19"/>
      <c r="H129" s="11"/>
      <c r="I129" s="11"/>
    </row>
    <row r="130" spans="1:9">
      <c r="A130" s="24" t="s">
        <v>762</v>
      </c>
      <c r="B130" s="24" t="s">
        <v>763</v>
      </c>
      <c r="C130" s="19"/>
      <c r="D130" s="19"/>
      <c r="E130" s="19"/>
      <c r="F130" s="19"/>
      <c r="G130" s="19"/>
      <c r="H130" s="11"/>
      <c r="I130" s="11"/>
    </row>
    <row r="131" spans="1:9">
      <c r="A131" s="24" t="s">
        <v>767</v>
      </c>
      <c r="B131" s="24" t="s">
        <v>768</v>
      </c>
      <c r="C131" s="19"/>
      <c r="D131" s="19"/>
      <c r="E131" s="19"/>
      <c r="F131" s="19"/>
      <c r="G131" s="19"/>
      <c r="H131" s="11"/>
      <c r="I131" s="11"/>
    </row>
    <row r="132" spans="1:9">
      <c r="A132" s="24" t="s">
        <v>772</v>
      </c>
      <c r="B132" s="24" t="s">
        <v>773</v>
      </c>
      <c r="C132" s="19"/>
      <c r="D132" s="19"/>
      <c r="E132" s="19"/>
      <c r="F132" s="19"/>
      <c r="G132" s="19"/>
      <c r="H132" s="11"/>
      <c r="I132" s="11"/>
    </row>
    <row r="133" spans="1:9">
      <c r="A133" s="24" t="s">
        <v>779</v>
      </c>
      <c r="B133" s="24" t="s">
        <v>780</v>
      </c>
      <c r="C133" s="19"/>
      <c r="D133" s="19"/>
      <c r="E133" s="19"/>
      <c r="F133" s="19"/>
      <c r="G133" s="19"/>
      <c r="H133" s="11"/>
      <c r="I133" s="11"/>
    </row>
    <row r="134" spans="1:9">
      <c r="A134" s="24" t="s">
        <v>785</v>
      </c>
      <c r="B134" s="130" t="s">
        <v>786</v>
      </c>
      <c r="C134" s="19"/>
      <c r="D134" s="19"/>
      <c r="E134" s="19"/>
      <c r="F134" s="19"/>
      <c r="G134" s="19"/>
      <c r="H134" s="11"/>
      <c r="I134" s="11"/>
    </row>
    <row r="135" spans="1:9">
      <c r="A135" s="24" t="s">
        <v>791</v>
      </c>
      <c r="B135" s="24" t="s">
        <v>792</v>
      </c>
      <c r="C135" s="19"/>
      <c r="D135" s="19"/>
      <c r="E135" s="19"/>
      <c r="F135" s="19"/>
      <c r="G135" s="19"/>
      <c r="H135" s="11"/>
      <c r="I135" s="11"/>
    </row>
    <row r="136" spans="1:9">
      <c r="A136" s="24" t="s">
        <v>796</v>
      </c>
      <c r="B136" s="24" t="s">
        <v>797</v>
      </c>
      <c r="C136" s="19"/>
      <c r="D136" s="19"/>
      <c r="E136" s="19"/>
      <c r="F136" s="19"/>
      <c r="G136" s="19"/>
      <c r="H136" s="11"/>
      <c r="I136" s="11"/>
    </row>
    <row r="137" spans="1:9">
      <c r="A137" s="24" t="s">
        <v>800</v>
      </c>
      <c r="B137" s="130" t="s">
        <v>801</v>
      </c>
      <c r="C137" s="19"/>
      <c r="D137" s="19"/>
      <c r="E137" s="19"/>
      <c r="F137" s="19"/>
      <c r="G137" s="19"/>
      <c r="H137" s="11"/>
      <c r="I137" s="11"/>
    </row>
    <row r="138" spans="1:9">
      <c r="A138" s="24" t="s">
        <v>807</v>
      </c>
      <c r="B138" s="24" t="s">
        <v>808</v>
      </c>
      <c r="C138" s="19"/>
      <c r="D138" s="19"/>
      <c r="E138" s="19"/>
      <c r="F138" s="19"/>
      <c r="G138" s="19"/>
      <c r="H138" s="11"/>
      <c r="I138" s="11"/>
    </row>
    <row r="139" spans="1:9">
      <c r="A139" s="24" t="s">
        <v>814</v>
      </c>
      <c r="B139" s="24" t="s">
        <v>736</v>
      </c>
      <c r="C139" s="19"/>
      <c r="D139" s="19"/>
      <c r="E139" s="19"/>
      <c r="F139" s="19"/>
      <c r="G139" s="19"/>
      <c r="H139" s="11"/>
      <c r="I139" s="11"/>
    </row>
    <row r="140" spans="1:9">
      <c r="A140" s="24" t="s">
        <v>818</v>
      </c>
      <c r="B140" s="24" t="s">
        <v>819</v>
      </c>
      <c r="C140" s="19"/>
      <c r="D140" s="19"/>
      <c r="E140" s="19"/>
      <c r="F140" s="19"/>
      <c r="G140" s="19"/>
      <c r="H140" s="11"/>
      <c r="I140" s="11"/>
    </row>
    <row r="141" spans="1:9">
      <c r="A141" s="24" t="s">
        <v>825</v>
      </c>
      <c r="B141" s="130" t="s">
        <v>826</v>
      </c>
      <c r="C141" s="19"/>
      <c r="D141" s="19"/>
      <c r="E141" s="19"/>
      <c r="F141" s="19"/>
      <c r="G141" s="19"/>
      <c r="H141" s="11"/>
      <c r="I141" s="11"/>
    </row>
    <row r="142" spans="1:9">
      <c r="A142" s="24" t="s">
        <v>832</v>
      </c>
      <c r="B142" s="24" t="s">
        <v>833</v>
      </c>
      <c r="C142" s="19"/>
      <c r="D142" s="19"/>
      <c r="E142" s="19"/>
      <c r="F142" s="19"/>
      <c r="G142" s="19"/>
      <c r="H142" s="11"/>
      <c r="I142" s="11"/>
    </row>
    <row r="143" spans="1:9">
      <c r="A143" s="24" t="s">
        <v>837</v>
      </c>
      <c r="B143" s="24" t="s">
        <v>838</v>
      </c>
      <c r="C143" s="19"/>
      <c r="D143" s="19"/>
      <c r="E143" s="19"/>
      <c r="F143" s="19"/>
      <c r="G143" s="19"/>
      <c r="H143" s="11"/>
      <c r="I143" s="11"/>
    </row>
    <row r="144" spans="1:9">
      <c r="A144" s="24" t="s">
        <v>844</v>
      </c>
      <c r="B144" s="130" t="s">
        <v>627</v>
      </c>
      <c r="C144" s="19"/>
      <c r="D144" s="19"/>
      <c r="E144" s="19"/>
      <c r="F144" s="19"/>
      <c r="G144" s="19"/>
      <c r="H144" s="11"/>
      <c r="I144" s="11"/>
    </row>
    <row r="145" spans="1:9">
      <c r="A145" s="24" t="s">
        <v>850</v>
      </c>
      <c r="B145" s="24" t="s">
        <v>851</v>
      </c>
      <c r="C145" s="19"/>
      <c r="D145" s="19"/>
      <c r="E145" s="19"/>
      <c r="F145" s="19"/>
      <c r="G145" s="19"/>
      <c r="H145" s="11"/>
      <c r="I145" s="11"/>
    </row>
    <row r="146" spans="1:9">
      <c r="A146" s="24" t="s">
        <v>855</v>
      </c>
      <c r="B146" s="130" t="s">
        <v>662</v>
      </c>
      <c r="C146" s="19"/>
      <c r="D146" s="19"/>
      <c r="E146" s="19"/>
      <c r="F146" s="19"/>
      <c r="G146" s="19"/>
      <c r="H146" s="11"/>
      <c r="I146" s="11"/>
    </row>
    <row r="147" spans="1:9">
      <c r="A147" s="24" t="s">
        <v>859</v>
      </c>
      <c r="B147" s="24" t="s">
        <v>860</v>
      </c>
      <c r="C147" s="19"/>
      <c r="D147" s="19"/>
      <c r="E147" s="19"/>
      <c r="F147" s="19"/>
      <c r="G147" s="19"/>
      <c r="H147" s="11"/>
      <c r="I147" s="11"/>
    </row>
    <row r="148" spans="1:9">
      <c r="A148" s="24" t="s">
        <v>861</v>
      </c>
      <c r="B148" s="24" t="s">
        <v>862</v>
      </c>
      <c r="C148" s="19"/>
      <c r="D148" s="19"/>
      <c r="E148" s="19"/>
      <c r="F148" s="19"/>
      <c r="G148" s="19"/>
      <c r="H148" s="11"/>
      <c r="I148" s="11"/>
    </row>
    <row r="149" spans="1:9">
      <c r="A149" s="24" t="s">
        <v>865</v>
      </c>
      <c r="B149" s="24" t="s">
        <v>866</v>
      </c>
      <c r="C149" s="19"/>
      <c r="D149" s="19"/>
      <c r="E149" s="19"/>
      <c r="F149" s="19"/>
      <c r="G149" s="19"/>
      <c r="H149" s="11"/>
      <c r="I149" s="11"/>
    </row>
    <row r="150" spans="1:9">
      <c r="A150" s="24" t="s">
        <v>870</v>
      </c>
      <c r="B150" s="24" t="s">
        <v>843</v>
      </c>
      <c r="C150" s="19"/>
      <c r="D150" s="19"/>
      <c r="E150" s="19"/>
      <c r="F150" s="19"/>
      <c r="G150" s="19"/>
      <c r="H150" s="11"/>
      <c r="I150" s="11"/>
    </row>
    <row r="151" spans="1:9">
      <c r="A151" s="24" t="s">
        <v>876</v>
      </c>
      <c r="B151" s="130" t="s">
        <v>877</v>
      </c>
      <c r="C151" s="19"/>
      <c r="D151" s="19"/>
      <c r="E151" s="19"/>
      <c r="F151" s="19"/>
      <c r="G151" s="19"/>
      <c r="H151" s="11"/>
      <c r="I151" s="11"/>
    </row>
    <row r="152" spans="1:9">
      <c r="A152" s="24" t="s">
        <v>881</v>
      </c>
      <c r="B152" s="130" t="s">
        <v>882</v>
      </c>
      <c r="C152" s="19"/>
      <c r="D152" s="19"/>
      <c r="E152" s="19"/>
      <c r="F152" s="19"/>
      <c r="G152" s="19"/>
      <c r="H152" s="11"/>
      <c r="I152" s="11"/>
    </row>
    <row r="153" spans="1:9">
      <c r="A153" s="24" t="s">
        <v>888</v>
      </c>
      <c r="B153" s="130" t="s">
        <v>889</v>
      </c>
      <c r="C153" s="19"/>
      <c r="D153" s="19"/>
      <c r="E153" s="19"/>
      <c r="F153" s="19"/>
      <c r="G153" s="19"/>
      <c r="H153" s="11"/>
      <c r="I153" s="11"/>
    </row>
    <row r="154" spans="1:9">
      <c r="A154" s="24" t="s">
        <v>895</v>
      </c>
      <c r="B154" s="130" t="s">
        <v>849</v>
      </c>
      <c r="C154" s="19"/>
      <c r="D154" s="19"/>
      <c r="E154" s="19"/>
      <c r="F154" s="19"/>
      <c r="G154" s="19"/>
      <c r="H154" s="11"/>
      <c r="I154" s="11"/>
    </row>
    <row r="155" spans="1:9">
      <c r="A155" s="24" t="s">
        <v>898</v>
      </c>
      <c r="B155" s="130" t="s">
        <v>899</v>
      </c>
      <c r="C155" s="19"/>
      <c r="D155" s="19"/>
      <c r="E155" s="19"/>
      <c r="F155" s="19"/>
      <c r="G155" s="19"/>
      <c r="H155" s="11"/>
      <c r="I155" s="11"/>
    </row>
    <row r="156" spans="1:9">
      <c r="A156" s="24" t="s">
        <v>905</v>
      </c>
      <c r="B156" s="24" t="s">
        <v>906</v>
      </c>
      <c r="C156" s="19"/>
      <c r="D156" s="19"/>
      <c r="E156" s="19"/>
      <c r="F156" s="19"/>
      <c r="G156" s="19"/>
      <c r="H156" s="11"/>
      <c r="I156" s="11"/>
    </row>
    <row r="157" spans="1:9">
      <c r="A157" s="24" t="s">
        <v>912</v>
      </c>
      <c r="B157" s="24" t="s">
        <v>913</v>
      </c>
      <c r="C157" s="19"/>
      <c r="D157" s="19"/>
      <c r="E157" s="19"/>
      <c r="F157" s="19"/>
      <c r="G157" s="19"/>
      <c r="H157" s="11"/>
      <c r="I157" s="11"/>
    </row>
    <row r="158" spans="1:9">
      <c r="A158" s="24" t="s">
        <v>919</v>
      </c>
      <c r="B158" s="24" t="s">
        <v>920</v>
      </c>
      <c r="C158" s="19"/>
      <c r="D158" s="19"/>
      <c r="E158" s="19"/>
      <c r="F158" s="19"/>
      <c r="G158" s="19"/>
      <c r="H158" s="11"/>
      <c r="I158" s="11"/>
    </row>
    <row r="159" spans="1:9">
      <c r="A159" s="24" t="s">
        <v>924</v>
      </c>
      <c r="B159" s="24" t="s">
        <v>925</v>
      </c>
      <c r="C159" s="19"/>
      <c r="D159" s="19"/>
      <c r="E159" s="19"/>
      <c r="F159" s="19"/>
      <c r="G159" s="19"/>
      <c r="H159" s="11"/>
      <c r="I159" s="11"/>
    </row>
    <row r="160" spans="1:9">
      <c r="A160" s="24" t="s">
        <v>929</v>
      </c>
      <c r="B160" s="24" t="s">
        <v>930</v>
      </c>
      <c r="C160" s="19"/>
      <c r="D160" s="19"/>
      <c r="E160" s="19"/>
      <c r="F160" s="19"/>
      <c r="G160" s="19"/>
      <c r="H160" s="11"/>
      <c r="I160" s="11"/>
    </row>
    <row r="161" spans="1:9">
      <c r="A161" s="24" t="s">
        <v>934</v>
      </c>
      <c r="B161" s="24" t="s">
        <v>522</v>
      </c>
      <c r="C161" s="19"/>
      <c r="D161" s="19"/>
      <c r="E161" s="19"/>
      <c r="F161" s="19"/>
      <c r="G161" s="19"/>
      <c r="H161" s="11"/>
      <c r="I161" s="11"/>
    </row>
    <row r="162" spans="1:9">
      <c r="A162" s="24" t="s">
        <v>937</v>
      </c>
      <c r="B162" s="24" t="s">
        <v>547</v>
      </c>
      <c r="C162" s="19"/>
      <c r="D162" s="19"/>
      <c r="E162" s="19"/>
      <c r="F162" s="19"/>
      <c r="G162" s="19"/>
      <c r="H162" s="11"/>
      <c r="I162" s="11"/>
    </row>
    <row r="163" spans="1:9">
      <c r="A163" s="24" t="s">
        <v>943</v>
      </c>
      <c r="B163" s="24" t="s">
        <v>944</v>
      </c>
      <c r="C163" s="19"/>
      <c r="D163" s="19"/>
      <c r="E163" s="19"/>
      <c r="F163" s="19"/>
      <c r="G163" s="19"/>
      <c r="H163" s="11"/>
      <c r="I163" s="11"/>
    </row>
    <row r="164" spans="1:9">
      <c r="A164" s="24" t="s">
        <v>950</v>
      </c>
      <c r="B164" s="24" t="s">
        <v>951</v>
      </c>
      <c r="C164" s="19"/>
      <c r="D164" s="19"/>
      <c r="E164" s="19"/>
      <c r="F164" s="19"/>
      <c r="G164" s="19"/>
      <c r="H164" s="11"/>
      <c r="I164" s="11"/>
    </row>
    <row r="165" spans="1:9">
      <c r="A165" s="24" t="s">
        <v>957</v>
      </c>
      <c r="B165" s="24" t="s">
        <v>958</v>
      </c>
      <c r="C165" s="19"/>
      <c r="D165" s="19"/>
      <c r="E165" s="19"/>
      <c r="F165" s="19"/>
      <c r="G165" s="19"/>
      <c r="H165" s="11"/>
      <c r="I165" s="11"/>
    </row>
    <row r="166" spans="1:9">
      <c r="A166" s="24" t="s">
        <v>964</v>
      </c>
      <c r="B166" s="24" t="s">
        <v>965</v>
      </c>
      <c r="C166" s="19"/>
      <c r="D166" s="19"/>
      <c r="E166" s="19"/>
      <c r="F166" s="19"/>
      <c r="G166" s="19"/>
      <c r="H166" s="11"/>
      <c r="I166" s="11"/>
    </row>
    <row r="167" spans="1:9">
      <c r="A167" s="24" t="s">
        <v>971</v>
      </c>
      <c r="B167" s="130" t="s">
        <v>972</v>
      </c>
      <c r="C167" s="19"/>
      <c r="D167" s="19"/>
      <c r="E167" s="19"/>
      <c r="F167" s="19"/>
      <c r="G167" s="19"/>
      <c r="H167" s="11"/>
      <c r="I167" s="11"/>
    </row>
    <row r="168" spans="1:9">
      <c r="A168" s="24" t="s">
        <v>976</v>
      </c>
      <c r="B168" s="24" t="s">
        <v>977</v>
      </c>
      <c r="C168" s="19"/>
      <c r="D168" s="19"/>
      <c r="E168" s="19"/>
      <c r="F168" s="19"/>
      <c r="G168" s="19"/>
      <c r="H168" s="11"/>
      <c r="I168" s="11"/>
    </row>
    <row r="169" spans="1:9">
      <c r="A169" s="24" t="s">
        <v>981</v>
      </c>
      <c r="B169" s="130" t="s">
        <v>624</v>
      </c>
      <c r="C169" s="19"/>
      <c r="D169" s="19"/>
      <c r="E169" s="19"/>
      <c r="F169" s="19"/>
      <c r="G169" s="19"/>
      <c r="H169" s="11"/>
      <c r="I169" s="11"/>
    </row>
    <row r="170" spans="1:9">
      <c r="A170" s="24" t="s">
        <v>986</v>
      </c>
      <c r="B170" s="130" t="s">
        <v>657</v>
      </c>
      <c r="C170" s="19"/>
      <c r="D170" s="19"/>
      <c r="E170" s="19"/>
      <c r="F170" s="19"/>
      <c r="G170" s="19"/>
      <c r="H170" s="11"/>
      <c r="I170" s="11"/>
    </row>
    <row r="171" spans="1:9">
      <c r="A171" s="24" t="s">
        <v>990</v>
      </c>
      <c r="B171" s="130" t="s">
        <v>836</v>
      </c>
      <c r="C171" s="19"/>
      <c r="D171" s="19"/>
      <c r="E171" s="19"/>
      <c r="F171" s="19"/>
      <c r="G171" s="19"/>
      <c r="H171" s="11"/>
      <c r="I171" s="11"/>
    </row>
    <row r="172" spans="1:9">
      <c r="A172" s="24" t="s">
        <v>996</v>
      </c>
      <c r="B172" s="24" t="s">
        <v>806</v>
      </c>
      <c r="C172" s="19"/>
      <c r="D172" s="19"/>
      <c r="E172" s="19"/>
      <c r="F172" s="19"/>
      <c r="G172" s="19"/>
      <c r="H172" s="11"/>
      <c r="I172" s="11"/>
    </row>
    <row r="173" spans="1:9">
      <c r="A173" s="24" t="s">
        <v>1002</v>
      </c>
      <c r="B173" s="130" t="s">
        <v>1003</v>
      </c>
      <c r="C173" s="19"/>
      <c r="D173" s="19"/>
      <c r="E173" s="19"/>
      <c r="F173" s="19"/>
      <c r="G173" s="19"/>
      <c r="H173" s="11"/>
      <c r="I173" s="11"/>
    </row>
    <row r="174" spans="1:9">
      <c r="A174" s="24" t="s">
        <v>1009</v>
      </c>
      <c r="B174" s="24" t="s">
        <v>795</v>
      </c>
      <c r="C174" s="19"/>
      <c r="D174" s="19"/>
      <c r="E174" s="19"/>
      <c r="F174" s="19"/>
      <c r="G174" s="19"/>
      <c r="H174" s="11"/>
      <c r="I174" s="11"/>
    </row>
    <row r="175" spans="1:9">
      <c r="A175" s="24" t="s">
        <v>1013</v>
      </c>
      <c r="B175" s="130" t="s">
        <v>1014</v>
      </c>
      <c r="C175" s="19"/>
      <c r="D175" s="19"/>
      <c r="E175" s="19"/>
      <c r="F175" s="19"/>
      <c r="G175" s="19"/>
      <c r="H175" s="11"/>
      <c r="I175" s="11"/>
    </row>
    <row r="176" spans="1:9">
      <c r="A176" s="24" t="s">
        <v>1018</v>
      </c>
      <c r="B176" s="24" t="s">
        <v>1019</v>
      </c>
      <c r="C176" s="19"/>
      <c r="D176" s="19"/>
      <c r="E176" s="19"/>
      <c r="F176" s="19"/>
      <c r="G176" s="19"/>
      <c r="H176" s="11"/>
      <c r="I176" s="11"/>
    </row>
    <row r="177" spans="1:9">
      <c r="A177" s="24" t="s">
        <v>1023</v>
      </c>
      <c r="B177" s="24" t="s">
        <v>540</v>
      </c>
      <c r="C177" s="19"/>
      <c r="D177" s="19"/>
      <c r="E177" s="19"/>
      <c r="F177" s="19"/>
      <c r="G177" s="19"/>
      <c r="H177" s="11"/>
      <c r="I177" s="11"/>
    </row>
    <row r="178" spans="1:9">
      <c r="A178" s="24" t="s">
        <v>1029</v>
      </c>
      <c r="B178" s="24" t="s">
        <v>1030</v>
      </c>
      <c r="C178" s="19"/>
      <c r="D178" s="19"/>
      <c r="E178" s="19"/>
      <c r="F178" s="19"/>
      <c r="G178" s="19"/>
      <c r="H178" s="11"/>
      <c r="I178" s="11"/>
    </row>
    <row r="179" spans="1:9">
      <c r="A179" s="549" t="s">
        <v>1034</v>
      </c>
      <c r="B179" s="571"/>
      <c r="C179" s="571"/>
      <c r="D179" s="571"/>
      <c r="E179" s="571"/>
      <c r="F179" s="571"/>
      <c r="G179" s="571"/>
      <c r="H179" s="549"/>
      <c r="I179" s="571"/>
    </row>
    <row r="180" spans="1:9">
      <c r="A180" s="24" t="s">
        <v>4</v>
      </c>
      <c r="B180" s="94" t="s">
        <v>5</v>
      </c>
      <c r="C180" s="11" t="s">
        <v>6</v>
      </c>
      <c r="D180" s="11" t="s">
        <v>7</v>
      </c>
      <c r="E180" s="11" t="s">
        <v>8</v>
      </c>
      <c r="F180" s="11" t="s">
        <v>9</v>
      </c>
      <c r="G180" s="11" t="s">
        <v>10</v>
      </c>
      <c r="H180" s="11" t="s">
        <v>11</v>
      </c>
      <c r="I180" s="11" t="s">
        <v>12</v>
      </c>
    </row>
    <row r="181" spans="1:9">
      <c r="A181" s="24" t="s">
        <v>1040</v>
      </c>
      <c r="B181" s="24" t="s">
        <v>1041</v>
      </c>
      <c r="C181" s="19"/>
      <c r="D181" s="19"/>
      <c r="E181" s="19"/>
      <c r="F181" s="19"/>
      <c r="G181" s="19"/>
      <c r="H181" s="11"/>
      <c r="I181" s="11" t="s">
        <v>1042</v>
      </c>
    </row>
    <row r="182" spans="1:9">
      <c r="A182" s="24" t="s">
        <v>1046</v>
      </c>
      <c r="B182" s="24" t="s">
        <v>1047</v>
      </c>
      <c r="C182" s="19"/>
      <c r="D182" s="19"/>
      <c r="E182" s="19"/>
      <c r="F182" s="19"/>
      <c r="G182" s="19"/>
      <c r="H182" s="11"/>
      <c r="I182" s="11"/>
    </row>
    <row r="183" spans="1:9">
      <c r="A183" s="24" t="s">
        <v>1053</v>
      </c>
      <c r="B183" s="24" t="s">
        <v>975</v>
      </c>
      <c r="C183" s="19"/>
      <c r="D183" s="19"/>
      <c r="E183" s="19"/>
      <c r="F183" s="19"/>
      <c r="G183" s="19"/>
      <c r="H183" s="11"/>
      <c r="I183" s="11"/>
    </row>
    <row r="184" spans="1:9">
      <c r="A184" s="24" t="s">
        <v>1059</v>
      </c>
      <c r="B184" s="24" t="s">
        <v>1060</v>
      </c>
      <c r="C184" s="19"/>
      <c r="D184" s="19"/>
      <c r="E184" s="19"/>
      <c r="F184" s="19"/>
      <c r="G184" s="19"/>
      <c r="H184" s="11"/>
      <c r="I184" s="11"/>
    </row>
    <row r="185" spans="1:9">
      <c r="A185" s="24" t="s">
        <v>1064</v>
      </c>
      <c r="B185" s="129" t="s">
        <v>1017</v>
      </c>
      <c r="C185" s="19"/>
      <c r="D185" s="19"/>
      <c r="E185" s="19"/>
      <c r="F185" s="19"/>
      <c r="G185" s="19"/>
      <c r="H185" s="11"/>
      <c r="I185" s="11"/>
    </row>
    <row r="186" spans="1:9">
      <c r="A186" s="24" t="s">
        <v>1069</v>
      </c>
      <c r="B186" s="129" t="s">
        <v>1017</v>
      </c>
      <c r="C186" s="19"/>
      <c r="D186" s="19"/>
      <c r="E186" s="19"/>
      <c r="F186" s="19"/>
      <c r="G186" s="19"/>
      <c r="H186" s="11"/>
      <c r="I186" s="11"/>
    </row>
    <row r="187" spans="1:9">
      <c r="A187" s="24" t="s">
        <v>1075</v>
      </c>
      <c r="B187" s="24" t="s">
        <v>1076</v>
      </c>
      <c r="C187" s="19"/>
      <c r="D187" s="19"/>
      <c r="E187" s="19"/>
      <c r="F187" s="19"/>
      <c r="G187" s="19"/>
      <c r="H187" s="11"/>
      <c r="I187" s="11"/>
    </row>
    <row r="188" spans="1:9">
      <c r="A188" s="24" t="s">
        <v>1080</v>
      </c>
      <c r="B188" s="24" t="s">
        <v>923</v>
      </c>
      <c r="C188" s="19"/>
      <c r="D188" s="19"/>
      <c r="E188" s="19"/>
      <c r="F188" s="19"/>
      <c r="G188" s="19"/>
      <c r="H188" s="11"/>
      <c r="I188" s="11"/>
    </row>
    <row r="189" spans="1:9">
      <c r="A189" s="24" t="s">
        <v>1086</v>
      </c>
      <c r="B189" s="24" t="s">
        <v>918</v>
      </c>
      <c r="C189" s="19"/>
      <c r="D189" s="19"/>
      <c r="E189" s="19"/>
      <c r="F189" s="19"/>
      <c r="G189" s="19"/>
      <c r="H189" s="11"/>
      <c r="I189" s="11"/>
    </row>
    <row r="190" spans="1:9">
      <c r="A190" s="24" t="s">
        <v>1092</v>
      </c>
      <c r="B190" s="24" t="s">
        <v>151</v>
      </c>
      <c r="C190" s="19"/>
      <c r="D190" s="19"/>
      <c r="E190" s="19"/>
      <c r="F190" s="19"/>
      <c r="G190" s="19"/>
      <c r="H190" s="11"/>
      <c r="I190" s="11"/>
    </row>
    <row r="191" spans="1:9">
      <c r="A191" s="24" t="s">
        <v>1098</v>
      </c>
      <c r="B191" s="24" t="s">
        <v>1099</v>
      </c>
      <c r="C191" s="19"/>
      <c r="D191" s="19"/>
      <c r="E191" s="19"/>
      <c r="F191" s="19"/>
      <c r="G191" s="19"/>
      <c r="H191" s="11"/>
      <c r="I191" s="11"/>
    </row>
    <row r="192" spans="1:9">
      <c r="A192" s="24" t="s">
        <v>1103</v>
      </c>
      <c r="B192" s="24" t="s">
        <v>1104</v>
      </c>
      <c r="C192" s="19"/>
      <c r="D192" s="19"/>
      <c r="E192" s="19"/>
      <c r="F192" s="19"/>
      <c r="G192" s="19"/>
      <c r="H192" s="11"/>
      <c r="I192" s="11"/>
    </row>
    <row r="193" spans="1:9">
      <c r="A193" s="24" t="s">
        <v>1108</v>
      </c>
      <c r="B193" s="24" t="s">
        <v>970</v>
      </c>
      <c r="C193" s="19"/>
      <c r="D193" s="19"/>
      <c r="E193" s="19"/>
      <c r="F193" s="19"/>
      <c r="G193" s="19"/>
      <c r="H193" s="11"/>
      <c r="I193" s="11"/>
    </row>
    <row r="194" spans="1:9">
      <c r="A194" s="24" t="s">
        <v>1111</v>
      </c>
      <c r="B194" s="24" t="s">
        <v>1112</v>
      </c>
      <c r="C194" s="19"/>
      <c r="D194" s="19"/>
      <c r="E194" s="19"/>
      <c r="F194" s="19"/>
      <c r="G194" s="19"/>
      <c r="H194" s="11"/>
      <c r="I194" s="11"/>
    </row>
    <row r="195" spans="1:9">
      <c r="A195" s="24" t="s">
        <v>1118</v>
      </c>
      <c r="B195" s="24" t="s">
        <v>1119</v>
      </c>
      <c r="C195" s="19"/>
      <c r="D195" s="19"/>
      <c r="E195" s="19"/>
      <c r="F195" s="19"/>
      <c r="G195" s="19"/>
      <c r="H195" s="11"/>
      <c r="I195" s="11"/>
    </row>
    <row r="196" spans="1:9">
      <c r="A196" s="24" t="s">
        <v>1123</v>
      </c>
      <c r="B196" s="24" t="s">
        <v>1124</v>
      </c>
      <c r="C196" s="19"/>
      <c r="D196" s="19"/>
      <c r="E196" s="19"/>
      <c r="F196" s="19"/>
      <c r="G196" s="19"/>
      <c r="H196" s="11"/>
      <c r="I196" s="11"/>
    </row>
    <row r="197" spans="1:9">
      <c r="A197" s="24" t="s">
        <v>1130</v>
      </c>
      <c r="B197" s="24" t="s">
        <v>1131</v>
      </c>
      <c r="C197" s="19"/>
      <c r="D197" s="19"/>
      <c r="E197" s="19"/>
      <c r="F197" s="19"/>
      <c r="G197" s="19"/>
      <c r="H197" s="11"/>
      <c r="I197" s="11"/>
    </row>
    <row r="198" spans="1:9">
      <c r="A198" s="24" t="s">
        <v>1137</v>
      </c>
      <c r="B198" s="24" t="s">
        <v>1138</v>
      </c>
      <c r="C198" s="19"/>
      <c r="D198" s="19"/>
      <c r="E198" s="19"/>
      <c r="F198" s="19"/>
      <c r="G198" s="19"/>
      <c r="H198" s="11"/>
      <c r="I198" s="11"/>
    </row>
    <row r="199" spans="1:9">
      <c r="A199" s="24" t="s">
        <v>1144</v>
      </c>
      <c r="B199" s="24" t="s">
        <v>1145</v>
      </c>
      <c r="C199" s="19"/>
      <c r="D199" s="19"/>
      <c r="E199" s="19"/>
      <c r="F199" s="19"/>
      <c r="G199" s="19"/>
      <c r="H199" s="11"/>
      <c r="I199" s="11"/>
    </row>
    <row r="200" spans="1:9">
      <c r="A200" s="24" t="s">
        <v>1149</v>
      </c>
      <c r="B200" s="24" t="s">
        <v>918</v>
      </c>
      <c r="C200" s="19"/>
      <c r="D200" s="19"/>
      <c r="E200" s="19"/>
      <c r="F200" s="19"/>
      <c r="G200" s="19"/>
      <c r="H200" s="11"/>
      <c r="I200" s="11"/>
    </row>
    <row r="201" spans="1:9">
      <c r="A201" s="24" t="s">
        <v>1155</v>
      </c>
      <c r="B201" s="24" t="s">
        <v>942</v>
      </c>
      <c r="C201" s="19"/>
      <c r="D201" s="19"/>
      <c r="E201" s="19"/>
      <c r="F201" s="19"/>
      <c r="G201" s="19"/>
      <c r="H201" s="11"/>
      <c r="I201" s="11"/>
    </row>
    <row r="202" spans="1:9">
      <c r="A202" s="24" t="s">
        <v>1159</v>
      </c>
      <c r="B202" s="24" t="s">
        <v>159</v>
      </c>
      <c r="C202" s="19"/>
      <c r="D202" s="19"/>
      <c r="E202" s="19"/>
      <c r="F202" s="19"/>
      <c r="G202" s="19"/>
      <c r="H202" s="11"/>
      <c r="I202" s="11"/>
    </row>
    <row r="203" spans="1:9">
      <c r="A203" s="24" t="s">
        <v>1165</v>
      </c>
      <c r="B203" s="24" t="s">
        <v>288</v>
      </c>
      <c r="C203" s="19"/>
      <c r="D203" s="19"/>
      <c r="E203" s="19"/>
      <c r="F203" s="19"/>
      <c r="G203" s="19"/>
      <c r="H203" s="11"/>
      <c r="I203" s="11"/>
    </row>
    <row r="204" spans="1:9">
      <c r="A204" s="24" t="s">
        <v>1169</v>
      </c>
      <c r="B204" s="24" t="s">
        <v>933</v>
      </c>
      <c r="C204" s="19"/>
      <c r="D204" s="19"/>
      <c r="E204" s="19"/>
      <c r="F204" s="19"/>
      <c r="G204" s="19"/>
      <c r="H204" s="11"/>
      <c r="I204" s="11"/>
    </row>
    <row r="205" spans="1:9">
      <c r="A205" s="24" t="s">
        <v>1175</v>
      </c>
      <c r="B205" s="24" t="s">
        <v>875</v>
      </c>
      <c r="C205" s="19"/>
      <c r="D205" s="19"/>
      <c r="E205" s="19"/>
      <c r="F205" s="19"/>
      <c r="G205" s="19"/>
      <c r="H205" s="11"/>
      <c r="I205" s="11"/>
    </row>
    <row r="206" spans="1:9">
      <c r="A206" s="24" t="s">
        <v>1181</v>
      </c>
      <c r="B206" s="24" t="s">
        <v>1182</v>
      </c>
      <c r="C206" s="19"/>
      <c r="D206" s="19"/>
      <c r="E206" s="19"/>
      <c r="F206" s="19"/>
      <c r="G206" s="19"/>
      <c r="H206" s="11"/>
      <c r="I206" s="11"/>
    </row>
    <row r="207" spans="1:9">
      <c r="A207" s="24" t="s">
        <v>1188</v>
      </c>
      <c r="B207" s="24" t="s">
        <v>911</v>
      </c>
      <c r="C207" s="19"/>
      <c r="D207" s="19"/>
      <c r="E207" s="19"/>
      <c r="F207" s="19"/>
      <c r="G207" s="19"/>
      <c r="H207" s="11"/>
      <c r="I207" s="11"/>
    </row>
    <row r="208" spans="1:9">
      <c r="A208" s="24" t="s">
        <v>1192</v>
      </c>
      <c r="B208" s="24" t="s">
        <v>1193</v>
      </c>
      <c r="C208" s="19"/>
      <c r="D208" s="19"/>
      <c r="E208" s="19"/>
      <c r="F208" s="19"/>
      <c r="G208" s="19"/>
      <c r="H208" s="11"/>
      <c r="I208" s="11"/>
    </row>
    <row r="209" spans="1:9">
      <c r="A209" s="24" t="s">
        <v>1197</v>
      </c>
      <c r="B209" s="24" t="s">
        <v>1198</v>
      </c>
      <c r="C209" s="19"/>
      <c r="D209" s="19"/>
      <c r="E209" s="19"/>
      <c r="F209" s="19"/>
      <c r="G209" s="19"/>
      <c r="H209" s="11"/>
      <c r="I209" s="11"/>
    </row>
    <row r="210" spans="1:9">
      <c r="A210" s="24" t="s">
        <v>1202</v>
      </c>
      <c r="B210" s="24" t="s">
        <v>869</v>
      </c>
      <c r="C210" s="19"/>
      <c r="D210" s="19"/>
      <c r="E210" s="19"/>
      <c r="F210" s="19"/>
      <c r="G210" s="19"/>
      <c r="H210" s="11"/>
      <c r="I210" s="11"/>
    </row>
    <row r="211" spans="1:9">
      <c r="A211" s="24" t="s">
        <v>1208</v>
      </c>
      <c r="B211" s="24" t="s">
        <v>1012</v>
      </c>
      <c r="C211" s="19"/>
      <c r="D211" s="19"/>
      <c r="E211" s="19"/>
      <c r="F211" s="19"/>
      <c r="G211" s="19"/>
      <c r="H211" s="11"/>
      <c r="I211" s="11"/>
    </row>
    <row r="212" spans="1:9">
      <c r="A212" s="24" t="s">
        <v>1214</v>
      </c>
      <c r="B212" s="24" t="s">
        <v>108</v>
      </c>
      <c r="C212" s="19"/>
      <c r="D212" s="19"/>
      <c r="E212" s="19"/>
      <c r="F212" s="19"/>
      <c r="G212" s="19"/>
      <c r="H212" s="11"/>
      <c r="I212" s="11"/>
    </row>
    <row r="213" spans="1:9">
      <c r="A213" s="24" t="s">
        <v>1217</v>
      </c>
      <c r="B213" s="24" t="s">
        <v>1218</v>
      </c>
      <c r="C213" s="19"/>
      <c r="D213" s="19"/>
      <c r="E213" s="19"/>
      <c r="F213" s="19"/>
      <c r="G213" s="19"/>
      <c r="H213" s="11"/>
      <c r="I213" s="11"/>
    </row>
    <row r="214" spans="1:9">
      <c r="A214" s="24" t="s">
        <v>1223</v>
      </c>
      <c r="B214" s="24" t="s">
        <v>1224</v>
      </c>
      <c r="C214" s="19"/>
      <c r="D214" s="19"/>
      <c r="E214" s="19"/>
      <c r="F214" s="19"/>
      <c r="G214" s="19"/>
      <c r="H214" s="11"/>
      <c r="I214" s="11"/>
    </row>
    <row r="215" spans="1:9">
      <c r="A215" s="24" t="s">
        <v>1230</v>
      </c>
      <c r="B215" s="24" t="s">
        <v>1231</v>
      </c>
      <c r="C215" s="19"/>
      <c r="D215" s="19"/>
      <c r="E215" s="19"/>
      <c r="F215" s="19"/>
      <c r="G215" s="19"/>
      <c r="H215" s="11"/>
      <c r="I215" s="11"/>
    </row>
    <row r="216" spans="1:9">
      <c r="A216" s="24" t="s">
        <v>1237</v>
      </c>
      <c r="B216" s="24" t="s">
        <v>1238</v>
      </c>
      <c r="C216" s="19"/>
      <c r="D216" s="19"/>
      <c r="E216" s="19"/>
      <c r="F216" s="19"/>
      <c r="G216" s="19"/>
      <c r="H216" s="11"/>
      <c r="I216" s="11"/>
    </row>
    <row r="217" spans="1:9">
      <c r="A217" s="24" t="s">
        <v>1241</v>
      </c>
      <c r="B217" s="24" t="s">
        <v>1242</v>
      </c>
      <c r="C217" s="19"/>
      <c r="D217" s="19"/>
      <c r="E217" s="19"/>
      <c r="F217" s="19"/>
      <c r="G217" s="19"/>
      <c r="H217" s="11"/>
      <c r="I217" s="11"/>
    </row>
    <row r="218" spans="1:9">
      <c r="A218" s="24" t="s">
        <v>1245</v>
      </c>
      <c r="B218" s="24" t="s">
        <v>1246</v>
      </c>
      <c r="C218" s="19"/>
      <c r="D218" s="19"/>
      <c r="E218" s="19"/>
      <c r="F218" s="19"/>
      <c r="G218" s="19"/>
      <c r="H218" s="11"/>
      <c r="I218" s="11"/>
    </row>
    <row r="219" spans="1:9">
      <c r="A219" s="24" t="s">
        <v>1249</v>
      </c>
      <c r="B219" s="24" t="s">
        <v>1250</v>
      </c>
      <c r="C219" s="19"/>
      <c r="D219" s="19"/>
      <c r="E219" s="19"/>
      <c r="F219" s="19"/>
      <c r="G219" s="19"/>
      <c r="H219" s="11"/>
      <c r="I219" s="11"/>
    </row>
    <row r="220" spans="1:9">
      <c r="A220" s="549" t="s">
        <v>1253</v>
      </c>
      <c r="B220" s="571"/>
      <c r="C220" s="571"/>
      <c r="D220" s="571"/>
      <c r="E220" s="571"/>
      <c r="F220" s="571"/>
      <c r="G220" s="571"/>
      <c r="H220" s="549"/>
      <c r="I220" s="571"/>
    </row>
    <row r="221" spans="1:9">
      <c r="A221" s="24" t="s">
        <v>4</v>
      </c>
      <c r="B221" s="94" t="s">
        <v>5</v>
      </c>
      <c r="C221" s="11" t="s">
        <v>6</v>
      </c>
      <c r="D221" s="11" t="s">
        <v>7</v>
      </c>
      <c r="E221" s="11" t="s">
        <v>8</v>
      </c>
      <c r="F221" s="11" t="s">
        <v>9</v>
      </c>
      <c r="G221" s="11" t="s">
        <v>10</v>
      </c>
      <c r="H221" s="11" t="s">
        <v>11</v>
      </c>
      <c r="I221" s="11" t="s">
        <v>12</v>
      </c>
    </row>
    <row r="222" spans="1:9">
      <c r="A222" s="24" t="s">
        <v>1259</v>
      </c>
      <c r="B222" s="24" t="s">
        <v>1201</v>
      </c>
      <c r="C222" s="19"/>
      <c r="D222" s="19"/>
      <c r="E222" s="19"/>
      <c r="F222" s="19"/>
      <c r="G222" s="19"/>
      <c r="H222" s="11"/>
      <c r="I222" s="11"/>
    </row>
    <row r="223" spans="1:9">
      <c r="A223" s="24" t="s">
        <v>1262</v>
      </c>
      <c r="B223" s="24" t="s">
        <v>1263</v>
      </c>
      <c r="C223" s="19"/>
      <c r="D223" s="19"/>
      <c r="E223" s="19"/>
      <c r="F223" s="19"/>
      <c r="G223" s="19"/>
      <c r="H223" s="11"/>
      <c r="I223" s="11" t="s">
        <v>2089</v>
      </c>
    </row>
    <row r="224" spans="1:9">
      <c r="A224" s="24" t="s">
        <v>1266</v>
      </c>
      <c r="B224" s="130" t="s">
        <v>1267</v>
      </c>
      <c r="C224" s="19"/>
      <c r="D224" s="19"/>
      <c r="E224" s="19"/>
      <c r="F224" s="19"/>
      <c r="G224" s="19"/>
      <c r="H224" s="11"/>
      <c r="I224" s="11"/>
    </row>
    <row r="225" spans="1:9">
      <c r="A225" s="24" t="s">
        <v>1268</v>
      </c>
      <c r="B225" s="24" t="s">
        <v>1269</v>
      </c>
      <c r="C225" s="19"/>
      <c r="D225" s="19"/>
      <c r="E225" s="19"/>
      <c r="F225" s="19"/>
      <c r="G225" s="19"/>
      <c r="H225" s="11"/>
      <c r="I225" s="11"/>
    </row>
    <row r="226" spans="1:9">
      <c r="A226" s="24" t="s">
        <v>1271</v>
      </c>
      <c r="B226" s="24" t="s">
        <v>1272</v>
      </c>
      <c r="C226" s="19"/>
      <c r="D226" s="19"/>
      <c r="E226" s="19"/>
      <c r="F226" s="19"/>
      <c r="G226" s="19"/>
      <c r="H226" s="11"/>
      <c r="I226" s="11" t="s">
        <v>2090</v>
      </c>
    </row>
    <row r="227" spans="1:9">
      <c r="A227" s="24" t="s">
        <v>1273</v>
      </c>
      <c r="B227" s="130" t="s">
        <v>1274</v>
      </c>
      <c r="C227" s="19"/>
      <c r="D227" s="19"/>
      <c r="E227" s="19"/>
      <c r="F227" s="19"/>
      <c r="G227" s="19"/>
      <c r="H227" s="11"/>
      <c r="I227" s="11"/>
    </row>
    <row r="228" spans="1:9">
      <c r="A228" s="24" t="s">
        <v>1275</v>
      </c>
      <c r="B228" s="24" t="s">
        <v>939</v>
      </c>
      <c r="C228" s="19"/>
      <c r="D228" s="19"/>
      <c r="E228" s="19"/>
      <c r="F228" s="19"/>
      <c r="G228" s="19"/>
      <c r="H228" s="11"/>
      <c r="I228" s="11"/>
    </row>
    <row r="229" spans="1:9">
      <c r="A229" s="24" t="s">
        <v>1278</v>
      </c>
      <c r="B229" s="24" t="s">
        <v>1279</v>
      </c>
      <c r="C229" s="19"/>
      <c r="D229" s="19"/>
      <c r="E229" s="19"/>
      <c r="F229" s="19"/>
      <c r="G229" s="19"/>
      <c r="H229" s="11"/>
      <c r="I229" s="11"/>
    </row>
    <row r="230" spans="1:9">
      <c r="A230" s="24" t="s">
        <v>1282</v>
      </c>
      <c r="B230" s="24" t="s">
        <v>1283</v>
      </c>
      <c r="C230" s="19"/>
      <c r="D230" s="19"/>
      <c r="E230" s="19"/>
      <c r="F230" s="19"/>
      <c r="G230" s="19"/>
      <c r="H230" s="11"/>
      <c r="I230" s="11"/>
    </row>
    <row r="231" spans="1:9">
      <c r="A231" s="24" t="s">
        <v>1284</v>
      </c>
      <c r="B231" s="24" t="s">
        <v>1285</v>
      </c>
      <c r="C231" s="19"/>
      <c r="D231" s="19"/>
      <c r="E231" s="19"/>
      <c r="F231" s="19"/>
      <c r="G231" s="19"/>
      <c r="H231" s="11"/>
      <c r="I231" s="11"/>
    </row>
    <row r="232" spans="1:9">
      <c r="A232" s="24" t="s">
        <v>1288</v>
      </c>
      <c r="B232" s="130" t="s">
        <v>1129</v>
      </c>
      <c r="C232" s="19"/>
      <c r="D232" s="19"/>
      <c r="E232" s="19"/>
      <c r="F232" s="19"/>
      <c r="G232" s="19"/>
      <c r="H232" s="11"/>
      <c r="I232" s="11"/>
    </row>
    <row r="233" spans="1:9">
      <c r="A233" s="24" t="s">
        <v>1290</v>
      </c>
      <c r="B233" s="130" t="s">
        <v>1158</v>
      </c>
      <c r="C233" s="19"/>
      <c r="D233" s="19"/>
      <c r="E233" s="19"/>
      <c r="F233" s="19"/>
      <c r="G233" s="19"/>
      <c r="H233" s="11"/>
      <c r="I233" s="11"/>
    </row>
    <row r="234" spans="1:9">
      <c r="A234" s="24" t="s">
        <v>1292</v>
      </c>
      <c r="B234" s="130" t="s">
        <v>1293</v>
      </c>
      <c r="C234" s="19"/>
      <c r="D234" s="19"/>
      <c r="E234" s="19"/>
      <c r="F234" s="19"/>
      <c r="G234" s="19"/>
      <c r="H234" s="11"/>
      <c r="I234" s="11"/>
    </row>
    <row r="235" spans="1:9">
      <c r="A235" s="24" t="s">
        <v>1294</v>
      </c>
      <c r="B235" s="130" t="s">
        <v>1295</v>
      </c>
      <c r="C235" s="19"/>
      <c r="D235" s="19"/>
      <c r="E235" s="19"/>
      <c r="F235" s="19"/>
      <c r="G235" s="19"/>
      <c r="H235" s="11"/>
      <c r="I235" s="11"/>
    </row>
    <row r="236" spans="1:9">
      <c r="A236" s="24" t="s">
        <v>1297</v>
      </c>
      <c r="B236" s="24" t="s">
        <v>1298</v>
      </c>
      <c r="C236" s="19"/>
      <c r="D236" s="19"/>
      <c r="E236" s="19"/>
      <c r="F236" s="19"/>
      <c r="G236" s="19"/>
      <c r="H236" s="11"/>
      <c r="I236" s="11"/>
    </row>
    <row r="237" spans="1:9">
      <c r="A237" s="24" t="s">
        <v>1301</v>
      </c>
      <c r="B237" s="24" t="s">
        <v>1302</v>
      </c>
      <c r="C237" s="19"/>
      <c r="D237" s="19"/>
      <c r="E237" s="19"/>
      <c r="F237" s="19"/>
      <c r="G237" s="19"/>
      <c r="H237" s="11"/>
      <c r="I237" s="11"/>
    </row>
    <row r="238" spans="1:9">
      <c r="A238" s="24" t="s">
        <v>1305</v>
      </c>
      <c r="B238" s="24" t="s">
        <v>1306</v>
      </c>
      <c r="C238" s="19"/>
      <c r="D238" s="19"/>
      <c r="E238" s="19"/>
      <c r="F238" s="19"/>
      <c r="G238" s="19"/>
      <c r="H238" s="11"/>
      <c r="I238" s="11"/>
    </row>
    <row r="239" spans="1:9">
      <c r="A239" s="24" t="s">
        <v>1307</v>
      </c>
      <c r="B239" s="24" t="s">
        <v>1308</v>
      </c>
      <c r="C239" s="19"/>
      <c r="D239" s="19"/>
      <c r="E239" s="19"/>
      <c r="F239" s="19"/>
      <c r="G239" s="19"/>
      <c r="H239" s="11"/>
      <c r="I239" s="11"/>
    </row>
    <row r="240" spans="1:9">
      <c r="A240" s="24" t="s">
        <v>1310</v>
      </c>
      <c r="B240" s="24" t="s">
        <v>1085</v>
      </c>
      <c r="C240" s="19"/>
      <c r="D240" s="19"/>
      <c r="E240" s="19"/>
      <c r="F240" s="19"/>
      <c r="G240" s="19"/>
      <c r="H240" s="11"/>
      <c r="I240" s="11"/>
    </row>
    <row r="241" spans="1:9">
      <c r="A241" s="24" t="s">
        <v>1313</v>
      </c>
      <c r="B241" s="24" t="s">
        <v>1314</v>
      </c>
      <c r="C241" s="19"/>
      <c r="D241" s="19"/>
      <c r="E241" s="19"/>
      <c r="F241" s="19"/>
      <c r="G241" s="19"/>
      <c r="H241" s="11"/>
      <c r="I241" s="11"/>
    </row>
    <row r="242" spans="1:9">
      <c r="A242" s="24" t="s">
        <v>1315</v>
      </c>
      <c r="B242" s="24" t="s">
        <v>1316</v>
      </c>
      <c r="C242" s="19"/>
      <c r="D242" s="19"/>
      <c r="E242" s="19"/>
      <c r="F242" s="19"/>
      <c r="G242" s="19"/>
      <c r="H242" s="11"/>
      <c r="I242" s="11"/>
    </row>
    <row r="243" spans="1:9">
      <c r="A243" s="24" t="s">
        <v>1319</v>
      </c>
      <c r="B243" s="24" t="s">
        <v>1320</v>
      </c>
      <c r="C243" s="19"/>
      <c r="D243" s="19"/>
      <c r="E243" s="19"/>
      <c r="F243" s="19"/>
      <c r="G243" s="19"/>
      <c r="H243" s="11"/>
      <c r="I243" s="11"/>
    </row>
    <row r="244" spans="1:9">
      <c r="A244" s="24" t="s">
        <v>1323</v>
      </c>
      <c r="B244" s="24" t="s">
        <v>1079</v>
      </c>
      <c r="C244" s="19"/>
      <c r="D244" s="19"/>
      <c r="E244" s="19"/>
      <c r="F244" s="19"/>
      <c r="G244" s="19"/>
      <c r="H244" s="11"/>
      <c r="I244" s="11" t="s">
        <v>2091</v>
      </c>
    </row>
    <row r="245" spans="1:9">
      <c r="A245" s="24" t="s">
        <v>1324</v>
      </c>
      <c r="B245" s="130" t="s">
        <v>1091</v>
      </c>
      <c r="C245" s="19"/>
      <c r="D245" s="19"/>
      <c r="E245" s="19"/>
      <c r="F245" s="19"/>
      <c r="G245" s="19"/>
      <c r="H245" s="11"/>
      <c r="I245" s="11"/>
    </row>
    <row r="246" spans="1:9">
      <c r="A246" s="24" t="s">
        <v>1327</v>
      </c>
      <c r="B246" s="24" t="s">
        <v>726</v>
      </c>
      <c r="C246" s="19"/>
      <c r="D246" s="19"/>
      <c r="E246" s="19"/>
      <c r="F246" s="19"/>
      <c r="G246" s="19"/>
      <c r="H246" s="11"/>
      <c r="I246" s="11"/>
    </row>
    <row r="247" spans="1:9">
      <c r="A247" s="24" t="s">
        <v>1330</v>
      </c>
      <c r="B247" s="24" t="s">
        <v>1102</v>
      </c>
      <c r="C247" s="19"/>
      <c r="D247" s="19"/>
      <c r="E247" s="19"/>
      <c r="F247" s="19"/>
      <c r="G247" s="19"/>
      <c r="H247" s="11"/>
      <c r="I247" s="11"/>
    </row>
    <row r="248" spans="1:9">
      <c r="A248" s="24" t="s">
        <v>1331</v>
      </c>
      <c r="B248" s="24" t="s">
        <v>1332</v>
      </c>
      <c r="C248" s="19"/>
      <c r="D248" s="19"/>
      <c r="E248" s="19"/>
      <c r="F248" s="19"/>
      <c r="G248" s="19"/>
      <c r="H248" s="11"/>
      <c r="I248" s="11"/>
    </row>
    <row r="249" spans="1:9">
      <c r="A249" s="24" t="s">
        <v>1336</v>
      </c>
      <c r="B249" s="24" t="s">
        <v>1168</v>
      </c>
      <c r="C249" s="19"/>
      <c r="D249" s="19"/>
      <c r="E249" s="19"/>
      <c r="F249" s="19"/>
      <c r="G249" s="19"/>
      <c r="H249" s="11"/>
      <c r="I249" s="11"/>
    </row>
    <row r="250" spans="1:9">
      <c r="A250" s="24" t="s">
        <v>1339</v>
      </c>
      <c r="B250" s="130" t="s">
        <v>1340</v>
      </c>
      <c r="C250" s="19"/>
      <c r="D250" s="19"/>
      <c r="E250" s="19"/>
      <c r="F250" s="19"/>
      <c r="G250" s="19"/>
      <c r="H250" s="11"/>
      <c r="I250" s="11"/>
    </row>
    <row r="251" spans="1:9">
      <c r="A251" s="24" t="s">
        <v>1343</v>
      </c>
      <c r="B251" s="24" t="s">
        <v>1063</v>
      </c>
      <c r="C251" s="19"/>
      <c r="D251" s="19"/>
      <c r="E251" s="19"/>
      <c r="F251" s="19"/>
      <c r="G251" s="19"/>
      <c r="H251" s="11"/>
      <c r="I251" s="11"/>
    </row>
    <row r="252" spans="1:9">
      <c r="A252" s="24" t="s">
        <v>1346</v>
      </c>
      <c r="B252" s="24" t="s">
        <v>1347</v>
      </c>
      <c r="C252" s="19"/>
      <c r="D252" s="19"/>
      <c r="E252" s="19"/>
      <c r="F252" s="19"/>
      <c r="G252" s="19"/>
      <c r="H252" s="11"/>
      <c r="I252" s="11"/>
    </row>
    <row r="253" spans="1:9">
      <c r="A253" s="24" t="s">
        <v>1350</v>
      </c>
      <c r="B253" s="24" t="s">
        <v>601</v>
      </c>
      <c r="C253" s="19"/>
      <c r="D253" s="19"/>
      <c r="E253" s="19"/>
      <c r="F253" s="19"/>
      <c r="G253" s="19"/>
      <c r="H253" s="11"/>
      <c r="I253" s="11"/>
    </row>
    <row r="254" spans="1:9">
      <c r="A254" s="24" t="s">
        <v>1351</v>
      </c>
      <c r="B254" s="24" t="s">
        <v>1352</v>
      </c>
      <c r="C254" s="19"/>
      <c r="D254" s="19"/>
      <c r="E254" s="19"/>
      <c r="F254" s="19"/>
      <c r="G254" s="19"/>
      <c r="H254" s="11"/>
      <c r="I254" s="11"/>
    </row>
    <row r="255" spans="1:9">
      <c r="A255" s="24" t="s">
        <v>1355</v>
      </c>
      <c r="B255" s="24" t="s">
        <v>1356</v>
      </c>
      <c r="C255" s="19"/>
      <c r="D255" s="19"/>
      <c r="E255" s="19"/>
      <c r="F255" s="19"/>
      <c r="G255" s="19"/>
      <c r="H255" s="11"/>
      <c r="I255" s="11"/>
    </row>
    <row r="256" spans="1:9">
      <c r="A256" s="24" t="s">
        <v>1357</v>
      </c>
      <c r="B256" s="24" t="s">
        <v>1358</v>
      </c>
      <c r="C256" s="19"/>
      <c r="D256" s="19"/>
      <c r="E256" s="19"/>
      <c r="F256" s="19"/>
      <c r="G256" s="19"/>
      <c r="H256" s="11"/>
      <c r="I256" s="11"/>
    </row>
    <row r="257" spans="1:9">
      <c r="A257" s="24" t="s">
        <v>1361</v>
      </c>
      <c r="B257" s="130" t="s">
        <v>1097</v>
      </c>
      <c r="C257" s="19"/>
      <c r="D257" s="19"/>
      <c r="E257" s="19"/>
      <c r="F257" s="19"/>
      <c r="G257" s="19"/>
      <c r="H257" s="11"/>
      <c r="I257" s="11"/>
    </row>
    <row r="258" spans="1:9">
      <c r="A258" s="24" t="s">
        <v>1364</v>
      </c>
      <c r="B258" s="24" t="s">
        <v>1117</v>
      </c>
      <c r="C258" s="19"/>
      <c r="D258" s="19"/>
      <c r="E258" s="19"/>
      <c r="F258" s="19"/>
      <c r="G258" s="19"/>
      <c r="H258" s="11"/>
      <c r="I258" s="11"/>
    </row>
    <row r="259" spans="1:9">
      <c r="A259" s="24" t="s">
        <v>1367</v>
      </c>
      <c r="B259" s="24" t="s">
        <v>1368</v>
      </c>
      <c r="C259" s="19"/>
      <c r="D259" s="19"/>
      <c r="E259" s="19"/>
      <c r="F259" s="19"/>
      <c r="G259" s="19"/>
      <c r="H259" s="11"/>
      <c r="I259" s="11"/>
    </row>
    <row r="260" spans="1:9">
      <c r="A260" s="24" t="s">
        <v>1369</v>
      </c>
      <c r="B260" s="24" t="s">
        <v>1370</v>
      </c>
      <c r="C260" s="19"/>
      <c r="D260" s="19"/>
      <c r="E260" s="19"/>
      <c r="F260" s="19"/>
      <c r="G260" s="19"/>
      <c r="H260" s="11"/>
      <c r="I260" s="11"/>
    </row>
    <row r="261" spans="1:9">
      <c r="A261" s="24" t="s">
        <v>1373</v>
      </c>
      <c r="B261" s="24" t="s">
        <v>1180</v>
      </c>
      <c r="C261" s="19"/>
      <c r="D261" s="19"/>
      <c r="E261" s="19"/>
      <c r="F261" s="19"/>
      <c r="G261" s="19"/>
      <c r="H261" s="11"/>
      <c r="I261" s="11"/>
    </row>
    <row r="262" spans="1:9">
      <c r="A262" s="24" t="s">
        <v>1376</v>
      </c>
      <c r="B262" s="24" t="s">
        <v>1143</v>
      </c>
      <c r="C262" s="19"/>
      <c r="D262" s="19"/>
      <c r="E262" s="19"/>
      <c r="F262" s="19"/>
      <c r="G262" s="19"/>
      <c r="H262" s="11"/>
      <c r="I262" s="11"/>
    </row>
    <row r="263" spans="1:9">
      <c r="A263" s="24" t="s">
        <v>1379</v>
      </c>
      <c r="B263" s="24" t="s">
        <v>1380</v>
      </c>
      <c r="C263" s="19"/>
      <c r="D263" s="19"/>
      <c r="E263" s="19"/>
      <c r="F263" s="19"/>
      <c r="G263" s="19"/>
      <c r="H263" s="11"/>
      <c r="I263" s="11" t="s">
        <v>2092</v>
      </c>
    </row>
    <row r="264" spans="1:9">
      <c r="A264" s="24" t="s">
        <v>1381</v>
      </c>
      <c r="B264" s="24" t="s">
        <v>1039</v>
      </c>
      <c r="C264" s="19"/>
      <c r="D264" s="19"/>
      <c r="E264" s="19"/>
      <c r="F264" s="19"/>
      <c r="G264" s="19"/>
      <c r="H264" s="11"/>
      <c r="I264" s="11"/>
    </row>
    <row r="265" spans="1:9">
      <c r="A265" s="24" t="s">
        <v>1382</v>
      </c>
      <c r="B265" s="24" t="s">
        <v>1213</v>
      </c>
      <c r="C265" s="19"/>
      <c r="D265" s="19"/>
      <c r="E265" s="19"/>
      <c r="F265" s="19"/>
      <c r="G265" s="19"/>
      <c r="H265" s="11"/>
      <c r="I265" s="11"/>
    </row>
    <row r="266" spans="1:9">
      <c r="A266" s="24" t="s">
        <v>1383</v>
      </c>
      <c r="B266" s="24" t="s">
        <v>1384</v>
      </c>
      <c r="C266" s="19"/>
      <c r="D266" s="19"/>
      <c r="E266" s="19"/>
      <c r="F266" s="19"/>
      <c r="G266" s="19"/>
      <c r="H266" s="11"/>
      <c r="I266" s="11"/>
    </row>
  </sheetData>
  <mergeCells count="5">
    <mergeCell ref="A1:I1"/>
    <mergeCell ref="A2:I2"/>
    <mergeCell ref="A106:I106"/>
    <mergeCell ref="A179:I179"/>
    <mergeCell ref="A220:I220"/>
  </mergeCells>
  <phoneticPr fontId="89" type="noConversion"/>
  <dataValidations count="1">
    <dataValidation type="list" allowBlank="1" showInputMessage="1" showErrorMessage="1" sqref="C4:G105 C222:G266 C181:G219 C108:G178" xr:uid="{00000000-0002-0000-0700-000000000000}">
      <formula1>"S,A+,A,B+,B,C+,C,D+,D,?,"</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アドミン.SF"/>
  <dimension ref="A1:I49"/>
  <sheetViews>
    <sheetView workbookViewId="0"/>
  </sheetViews>
  <sheetFormatPr baseColWidth="10" defaultColWidth="13.7109375" defaultRowHeight="18" customHeight="1"/>
  <cols>
    <col min="2" max="2" width="65.85546875" customWidth="1"/>
    <col min="8" max="8" width="242.85546875" customWidth="1"/>
    <col min="9" max="9" width="44.7109375" customWidth="1"/>
  </cols>
  <sheetData>
    <row r="1" spans="1:9" ht="18" customHeight="1">
      <c r="A1" s="584" t="s">
        <v>2093</v>
      </c>
      <c r="B1" s="571"/>
      <c r="C1" s="571"/>
      <c r="D1" s="571"/>
      <c r="E1" s="571"/>
      <c r="F1" s="571"/>
      <c r="G1" s="571"/>
      <c r="H1" s="571"/>
      <c r="I1" s="571"/>
    </row>
    <row r="2" spans="1:9" ht="18" customHeight="1">
      <c r="A2" s="585" t="s">
        <v>2094</v>
      </c>
      <c r="B2" s="571"/>
      <c r="C2" s="571"/>
      <c r="D2" s="571"/>
      <c r="E2" s="571"/>
      <c r="F2" s="571"/>
      <c r="G2" s="571"/>
      <c r="H2" s="571"/>
      <c r="I2" s="571"/>
    </row>
    <row r="3" spans="1:9" ht="18" customHeight="1">
      <c r="A3" s="582" t="s">
        <v>1253</v>
      </c>
      <c r="B3" s="571"/>
      <c r="C3" s="571"/>
      <c r="D3" s="571"/>
      <c r="E3" s="571"/>
      <c r="F3" s="571"/>
      <c r="G3" s="571"/>
      <c r="H3" s="571"/>
      <c r="I3" s="571"/>
    </row>
    <row r="4" spans="1:9" ht="18" customHeight="1">
      <c r="A4" s="24" t="s">
        <v>4</v>
      </c>
      <c r="B4" s="94" t="s">
        <v>5</v>
      </c>
      <c r="C4" s="11" t="s">
        <v>6</v>
      </c>
      <c r="D4" s="11" t="s">
        <v>7</v>
      </c>
      <c r="E4" s="11" t="s">
        <v>8</v>
      </c>
      <c r="F4" s="11" t="s">
        <v>9</v>
      </c>
      <c r="G4" s="11" t="s">
        <v>10</v>
      </c>
      <c r="H4" s="11" t="s">
        <v>11</v>
      </c>
      <c r="I4" s="11" t="s">
        <v>12</v>
      </c>
    </row>
    <row r="5" spans="1:9" ht="18" customHeight="1">
      <c r="A5" s="24" t="s">
        <v>1259</v>
      </c>
      <c r="B5" s="24" t="s">
        <v>1201</v>
      </c>
      <c r="C5" s="106" t="s">
        <v>2095</v>
      </c>
      <c r="D5" s="106" t="s">
        <v>2096</v>
      </c>
      <c r="E5" s="106" t="s">
        <v>2095</v>
      </c>
      <c r="F5" s="106" t="s">
        <v>2096</v>
      </c>
      <c r="G5" s="106" t="s">
        <v>2097</v>
      </c>
      <c r="H5" s="11" t="s">
        <v>2098</v>
      </c>
      <c r="I5" s="11"/>
    </row>
    <row r="6" spans="1:9" ht="18" customHeight="1">
      <c r="A6" s="24" t="s">
        <v>1262</v>
      </c>
      <c r="B6" s="24" t="s">
        <v>1263</v>
      </c>
      <c r="C6" s="106" t="s">
        <v>2099</v>
      </c>
      <c r="D6" s="106" t="s">
        <v>2100</v>
      </c>
      <c r="E6" s="106" t="s">
        <v>2101</v>
      </c>
      <c r="F6" s="106" t="s">
        <v>2099</v>
      </c>
      <c r="G6" s="106" t="s">
        <v>2102</v>
      </c>
      <c r="H6" s="11" t="s">
        <v>2103</v>
      </c>
      <c r="I6" s="11"/>
    </row>
    <row r="7" spans="1:9" ht="18" customHeight="1">
      <c r="A7" s="24" t="s">
        <v>1266</v>
      </c>
      <c r="B7" s="130" t="s">
        <v>1267</v>
      </c>
      <c r="C7" s="106" t="s">
        <v>2100</v>
      </c>
      <c r="D7" s="106" t="s">
        <v>2104</v>
      </c>
      <c r="E7" s="106" t="s">
        <v>2100</v>
      </c>
      <c r="F7" s="106" t="s">
        <v>2101</v>
      </c>
      <c r="G7" s="106" t="s">
        <v>2102</v>
      </c>
      <c r="H7" s="11" t="s">
        <v>2105</v>
      </c>
      <c r="I7" s="11"/>
    </row>
    <row r="8" spans="1:9" ht="18" customHeight="1">
      <c r="A8" s="24" t="s">
        <v>1268</v>
      </c>
      <c r="B8" s="24" t="s">
        <v>1269</v>
      </c>
      <c r="C8" s="106" t="s">
        <v>2106</v>
      </c>
      <c r="D8" s="106" t="s">
        <v>2106</v>
      </c>
      <c r="E8" s="106" t="s">
        <v>2107</v>
      </c>
      <c r="F8" s="106" t="s">
        <v>2104</v>
      </c>
      <c r="G8" s="106" t="s">
        <v>2108</v>
      </c>
      <c r="H8" s="11" t="s">
        <v>2109</v>
      </c>
      <c r="I8" s="11"/>
    </row>
    <row r="9" spans="1:9" ht="18" customHeight="1">
      <c r="A9" s="24" t="s">
        <v>1271</v>
      </c>
      <c r="B9" s="24" t="s">
        <v>1272</v>
      </c>
      <c r="C9" s="106"/>
      <c r="D9" s="106"/>
      <c r="E9" s="106"/>
      <c r="F9" s="106"/>
      <c r="G9" s="106"/>
      <c r="H9" s="11"/>
      <c r="I9" s="11"/>
    </row>
    <row r="10" spans="1:9" ht="18" customHeight="1">
      <c r="A10" s="24" t="s">
        <v>1273</v>
      </c>
      <c r="B10" s="130" t="s">
        <v>1274</v>
      </c>
      <c r="C10" s="106" t="s">
        <v>2107</v>
      </c>
      <c r="D10" s="106" t="s">
        <v>2100</v>
      </c>
      <c r="E10" s="106" t="s">
        <v>2099</v>
      </c>
      <c r="F10" s="106" t="s">
        <v>2099</v>
      </c>
      <c r="G10" s="106" t="s">
        <v>2102</v>
      </c>
      <c r="H10" s="11" t="s">
        <v>2110</v>
      </c>
      <c r="I10" s="11"/>
    </row>
    <row r="11" spans="1:9" ht="18" customHeight="1">
      <c r="A11" s="24" t="s">
        <v>1275</v>
      </c>
      <c r="B11" s="24" t="s">
        <v>939</v>
      </c>
      <c r="C11" s="106" t="s">
        <v>2101</v>
      </c>
      <c r="D11" s="106" t="s">
        <v>2104</v>
      </c>
      <c r="E11" s="106" t="s">
        <v>2099</v>
      </c>
      <c r="F11" s="106" t="s">
        <v>2099</v>
      </c>
      <c r="G11" s="106" t="s">
        <v>2102</v>
      </c>
      <c r="H11" s="11" t="s">
        <v>2111</v>
      </c>
      <c r="I11" s="11"/>
    </row>
    <row r="12" spans="1:9" ht="18" customHeight="1">
      <c r="A12" s="24" t="s">
        <v>1278</v>
      </c>
      <c r="B12" s="24" t="s">
        <v>1279</v>
      </c>
      <c r="C12" s="106" t="s">
        <v>2095</v>
      </c>
      <c r="D12" s="106" t="s">
        <v>2095</v>
      </c>
      <c r="E12" s="106" t="s">
        <v>2096</v>
      </c>
      <c r="F12" s="106" t="s">
        <v>2096</v>
      </c>
      <c r="G12" s="106" t="s">
        <v>2097</v>
      </c>
      <c r="H12" s="11" t="s">
        <v>5265</v>
      </c>
      <c r="I12" s="11"/>
    </row>
    <row r="13" spans="1:9" ht="18" customHeight="1">
      <c r="A13" s="24" t="s">
        <v>1282</v>
      </c>
      <c r="B13" s="24" t="s">
        <v>1283</v>
      </c>
      <c r="C13" s="106" t="s">
        <v>2095</v>
      </c>
      <c r="D13" s="106" t="s">
        <v>2095</v>
      </c>
      <c r="E13" s="106" t="s">
        <v>2095</v>
      </c>
      <c r="F13" s="106" t="s">
        <v>2095</v>
      </c>
      <c r="G13" s="106" t="s">
        <v>2097</v>
      </c>
      <c r="H13" s="11" t="s">
        <v>2112</v>
      </c>
      <c r="I13" s="11"/>
    </row>
    <row r="14" spans="1:9" ht="18" customHeight="1">
      <c r="A14" s="24" t="s">
        <v>1284</v>
      </c>
      <c r="B14" s="24" t="s">
        <v>1285</v>
      </c>
      <c r="C14" s="106"/>
      <c r="D14" s="106"/>
      <c r="E14" s="106"/>
      <c r="F14" s="106"/>
      <c r="G14" s="106"/>
      <c r="H14" s="11"/>
      <c r="I14" s="11"/>
    </row>
    <row r="15" spans="1:9" ht="18" customHeight="1">
      <c r="A15" s="24" t="s">
        <v>1288</v>
      </c>
      <c r="B15" s="130" t="s">
        <v>1129</v>
      </c>
      <c r="C15" s="106"/>
      <c r="D15" s="106"/>
      <c r="E15" s="106"/>
      <c r="F15" s="106"/>
      <c r="G15" s="106"/>
      <c r="H15" s="11"/>
      <c r="I15" s="11"/>
    </row>
    <row r="16" spans="1:9" ht="18" customHeight="1">
      <c r="A16" s="24" t="s">
        <v>1290</v>
      </c>
      <c r="B16" s="130" t="s">
        <v>1158</v>
      </c>
      <c r="C16" s="106"/>
      <c r="D16" s="106"/>
      <c r="E16" s="106"/>
      <c r="F16" s="106"/>
      <c r="G16" s="106"/>
      <c r="H16" s="11"/>
      <c r="I16" s="11"/>
    </row>
    <row r="17" spans="1:9" ht="18" customHeight="1">
      <c r="A17" s="24" t="s">
        <v>1292</v>
      </c>
      <c r="B17" s="130" t="s">
        <v>1293</v>
      </c>
      <c r="C17" s="106"/>
      <c r="D17" s="106"/>
      <c r="E17" s="106"/>
      <c r="F17" s="106"/>
      <c r="G17" s="106"/>
      <c r="H17" s="11"/>
      <c r="I17" s="11"/>
    </row>
    <row r="18" spans="1:9" ht="18" customHeight="1">
      <c r="A18" s="24" t="s">
        <v>1294</v>
      </c>
      <c r="B18" s="130" t="s">
        <v>1295</v>
      </c>
      <c r="C18" s="106"/>
      <c r="D18" s="106"/>
      <c r="E18" s="106"/>
      <c r="F18" s="106"/>
      <c r="G18" s="106"/>
      <c r="H18" s="11"/>
      <c r="I18" s="11"/>
    </row>
    <row r="19" spans="1:9" ht="18" customHeight="1">
      <c r="A19" s="24" t="s">
        <v>1297</v>
      </c>
      <c r="B19" s="24" t="s">
        <v>1298</v>
      </c>
      <c r="C19" s="106" t="s">
        <v>2104</v>
      </c>
      <c r="D19" s="106" t="s">
        <v>2104</v>
      </c>
      <c r="E19" s="106" t="s">
        <v>2100</v>
      </c>
      <c r="F19" s="106" t="s">
        <v>2100</v>
      </c>
      <c r="G19" s="106" t="s">
        <v>2102</v>
      </c>
      <c r="H19" s="11" t="s">
        <v>2113</v>
      </c>
      <c r="I19" s="11"/>
    </row>
    <row r="20" spans="1:9" ht="18" customHeight="1">
      <c r="A20" s="24" t="s">
        <v>1301</v>
      </c>
      <c r="B20" s="24" t="s">
        <v>1302</v>
      </c>
      <c r="C20" s="106"/>
      <c r="D20" s="106"/>
      <c r="E20" s="106"/>
      <c r="F20" s="106"/>
      <c r="G20" s="106"/>
      <c r="H20" s="11"/>
      <c r="I20" s="11"/>
    </row>
    <row r="21" spans="1:9" ht="18" customHeight="1">
      <c r="A21" s="24" t="s">
        <v>1305</v>
      </c>
      <c r="B21" s="24" t="s">
        <v>1306</v>
      </c>
      <c r="C21" s="106"/>
      <c r="D21" s="106"/>
      <c r="E21" s="106"/>
      <c r="F21" s="106"/>
      <c r="G21" s="106"/>
      <c r="H21" s="11"/>
      <c r="I21" s="11"/>
    </row>
    <row r="22" spans="1:9" ht="18" customHeight="1">
      <c r="A22" s="24" t="s">
        <v>1307</v>
      </c>
      <c r="B22" s="24" t="s">
        <v>1308</v>
      </c>
      <c r="C22" s="106"/>
      <c r="D22" s="106"/>
      <c r="E22" s="106"/>
      <c r="F22" s="106"/>
      <c r="G22" s="106"/>
      <c r="H22" s="11"/>
      <c r="I22" s="11"/>
    </row>
    <row r="23" spans="1:9" ht="18" customHeight="1">
      <c r="A23" s="24" t="s">
        <v>1310</v>
      </c>
      <c r="B23" s="24" t="s">
        <v>1085</v>
      </c>
      <c r="C23" s="106"/>
      <c r="D23" s="106"/>
      <c r="E23" s="106"/>
      <c r="F23" s="106"/>
      <c r="G23" s="106"/>
      <c r="H23" s="11"/>
      <c r="I23" s="11"/>
    </row>
    <row r="24" spans="1:9" ht="18" customHeight="1">
      <c r="A24" s="24" t="s">
        <v>1313</v>
      </c>
      <c r="B24" s="24" t="s">
        <v>1314</v>
      </c>
      <c r="C24" s="106"/>
      <c r="D24" s="106"/>
      <c r="E24" s="106"/>
      <c r="F24" s="106"/>
      <c r="G24" s="106"/>
      <c r="H24" s="11"/>
      <c r="I24" s="11"/>
    </row>
    <row r="25" spans="1:9" ht="18" customHeight="1">
      <c r="A25" s="24" t="s">
        <v>1315</v>
      </c>
      <c r="B25" s="24" t="s">
        <v>1316</v>
      </c>
      <c r="C25" s="106"/>
      <c r="D25" s="106"/>
      <c r="E25" s="106"/>
      <c r="F25" s="106"/>
      <c r="G25" s="106"/>
      <c r="H25" s="11"/>
      <c r="I25" s="11"/>
    </row>
    <row r="26" spans="1:9" ht="18" customHeight="1">
      <c r="A26" s="24" t="s">
        <v>1319</v>
      </c>
      <c r="B26" s="24" t="s">
        <v>1320</v>
      </c>
      <c r="C26" s="106"/>
      <c r="D26" s="106"/>
      <c r="E26" s="106"/>
      <c r="F26" s="106"/>
      <c r="G26" s="106"/>
      <c r="H26" s="11"/>
      <c r="I26" s="11"/>
    </row>
    <row r="27" spans="1:9" ht="18" customHeight="1">
      <c r="A27" s="24" t="s">
        <v>1323</v>
      </c>
      <c r="B27" s="24" t="s">
        <v>1079</v>
      </c>
      <c r="C27" s="106"/>
      <c r="D27" s="106"/>
      <c r="E27" s="106"/>
      <c r="F27" s="106"/>
      <c r="G27" s="106"/>
      <c r="H27" s="11"/>
      <c r="I27" s="11"/>
    </row>
    <row r="28" spans="1:9" ht="18" customHeight="1">
      <c r="A28" s="24" t="s">
        <v>1324</v>
      </c>
      <c r="B28" s="130" t="s">
        <v>1091</v>
      </c>
      <c r="C28" s="106"/>
      <c r="D28" s="106"/>
      <c r="E28" s="106"/>
      <c r="F28" s="106"/>
      <c r="G28" s="106"/>
      <c r="H28" s="11"/>
      <c r="I28" s="11"/>
    </row>
    <row r="29" spans="1:9" ht="18" customHeight="1">
      <c r="A29" s="24" t="s">
        <v>1327</v>
      </c>
      <c r="B29" s="24" t="s">
        <v>726</v>
      </c>
      <c r="C29" s="106"/>
      <c r="D29" s="106"/>
      <c r="E29" s="106"/>
      <c r="F29" s="106"/>
      <c r="G29" s="106"/>
      <c r="H29" s="11"/>
      <c r="I29" s="11"/>
    </row>
    <row r="30" spans="1:9" ht="18" customHeight="1">
      <c r="A30" s="24" t="s">
        <v>1330</v>
      </c>
      <c r="B30" s="24" t="s">
        <v>1102</v>
      </c>
      <c r="C30" s="106"/>
      <c r="D30" s="106"/>
      <c r="E30" s="106"/>
      <c r="F30" s="106"/>
      <c r="G30" s="106"/>
      <c r="H30" s="11"/>
      <c r="I30" s="11"/>
    </row>
    <row r="31" spans="1:9" ht="18" customHeight="1">
      <c r="A31" s="24" t="s">
        <v>1331</v>
      </c>
      <c r="B31" s="24" t="s">
        <v>1332</v>
      </c>
      <c r="C31" s="106"/>
      <c r="D31" s="106"/>
      <c r="E31" s="106"/>
      <c r="F31" s="106"/>
      <c r="G31" s="106"/>
      <c r="H31" s="11"/>
      <c r="I31" s="11"/>
    </row>
    <row r="32" spans="1:9" ht="18" customHeight="1">
      <c r="A32" s="24" t="s">
        <v>1336</v>
      </c>
      <c r="B32" s="24" t="s">
        <v>1168</v>
      </c>
      <c r="C32" s="106"/>
      <c r="D32" s="106"/>
      <c r="E32" s="106"/>
      <c r="F32" s="106"/>
      <c r="G32" s="106"/>
      <c r="H32" s="11"/>
      <c r="I32" s="11"/>
    </row>
    <row r="33" spans="1:9" ht="18" customHeight="1">
      <c r="A33" s="24" t="s">
        <v>1339</v>
      </c>
      <c r="B33" s="130" t="s">
        <v>1340</v>
      </c>
      <c r="C33" s="106"/>
      <c r="D33" s="106"/>
      <c r="E33" s="106"/>
      <c r="F33" s="106"/>
      <c r="G33" s="106"/>
      <c r="H33" s="11"/>
      <c r="I33" s="11"/>
    </row>
    <row r="34" spans="1:9" ht="18" customHeight="1">
      <c r="A34" s="24" t="s">
        <v>1343</v>
      </c>
      <c r="B34" s="24" t="s">
        <v>1063</v>
      </c>
      <c r="C34" s="106"/>
      <c r="D34" s="106"/>
      <c r="F34" s="106"/>
      <c r="G34" s="106"/>
      <c r="H34" s="11"/>
      <c r="I34" s="11"/>
    </row>
    <row r="35" spans="1:9" ht="18" customHeight="1">
      <c r="A35" s="24" t="s">
        <v>1346</v>
      </c>
      <c r="B35" s="24" t="s">
        <v>1347</v>
      </c>
      <c r="C35" s="106"/>
      <c r="D35" s="106"/>
      <c r="E35" s="106"/>
      <c r="F35" s="106"/>
      <c r="G35" s="106"/>
      <c r="H35" s="11"/>
      <c r="I35" s="11"/>
    </row>
    <row r="36" spans="1:9" ht="18" customHeight="1">
      <c r="A36" s="24" t="s">
        <v>1350</v>
      </c>
      <c r="B36" s="24" t="s">
        <v>601</v>
      </c>
      <c r="C36" s="106"/>
      <c r="D36" s="106"/>
      <c r="E36" s="106"/>
      <c r="F36" s="106"/>
      <c r="G36" s="106"/>
      <c r="H36" s="11"/>
      <c r="I36" s="11"/>
    </row>
    <row r="37" spans="1:9" ht="18" customHeight="1">
      <c r="A37" s="24" t="s">
        <v>1351</v>
      </c>
      <c r="B37" s="24" t="s">
        <v>1352</v>
      </c>
      <c r="C37" s="106"/>
      <c r="D37" s="106"/>
      <c r="E37" s="106"/>
      <c r="F37" s="106"/>
      <c r="G37" s="106"/>
      <c r="H37" s="11"/>
      <c r="I37" s="11"/>
    </row>
    <row r="38" spans="1:9" ht="18" customHeight="1">
      <c r="A38" s="24" t="s">
        <v>1355</v>
      </c>
      <c r="B38" s="24" t="s">
        <v>1356</v>
      </c>
      <c r="C38" s="106"/>
      <c r="D38" s="106"/>
      <c r="E38" s="106"/>
      <c r="F38" s="106"/>
      <c r="G38" s="106"/>
      <c r="H38" s="11"/>
      <c r="I38" s="11"/>
    </row>
    <row r="39" spans="1:9" ht="18" customHeight="1">
      <c r="A39" s="24" t="s">
        <v>1357</v>
      </c>
      <c r="B39" s="24" t="s">
        <v>1358</v>
      </c>
      <c r="C39" s="106"/>
      <c r="D39" s="106"/>
      <c r="E39" s="106"/>
      <c r="F39" s="106"/>
      <c r="G39" s="106"/>
      <c r="H39" s="11"/>
      <c r="I39" s="11"/>
    </row>
    <row r="40" spans="1:9" ht="18" customHeight="1">
      <c r="A40" s="24" t="s">
        <v>1361</v>
      </c>
      <c r="B40" s="130" t="s">
        <v>1097</v>
      </c>
      <c r="C40" s="106"/>
      <c r="D40" s="106"/>
      <c r="E40" s="106"/>
      <c r="F40" s="106"/>
      <c r="G40" s="106"/>
      <c r="H40" s="11"/>
      <c r="I40" s="11"/>
    </row>
    <row r="41" spans="1:9" ht="18" customHeight="1">
      <c r="A41" s="24" t="s">
        <v>1364</v>
      </c>
      <c r="B41" s="24" t="s">
        <v>1117</v>
      </c>
      <c r="C41" s="106"/>
      <c r="D41" s="106"/>
      <c r="E41" s="106"/>
      <c r="F41" s="106"/>
      <c r="G41" s="106"/>
      <c r="H41" s="11"/>
      <c r="I41" s="11"/>
    </row>
    <row r="42" spans="1:9" ht="18" customHeight="1">
      <c r="A42" s="24" t="s">
        <v>1367</v>
      </c>
      <c r="B42" s="24" t="s">
        <v>1368</v>
      </c>
      <c r="C42" s="106" t="s">
        <v>2114</v>
      </c>
      <c r="D42" s="106" t="s">
        <v>2106</v>
      </c>
      <c r="E42" s="106" t="s">
        <v>2114</v>
      </c>
      <c r="F42" s="106" t="s">
        <v>2114</v>
      </c>
      <c r="G42" s="106" t="s">
        <v>2108</v>
      </c>
      <c r="H42" s="11" t="s">
        <v>2115</v>
      </c>
      <c r="I42" s="11"/>
    </row>
    <row r="43" spans="1:9">
      <c r="A43" s="24" t="s">
        <v>1369</v>
      </c>
      <c r="B43" s="24" t="s">
        <v>1370</v>
      </c>
      <c r="C43" s="106"/>
      <c r="D43" s="106"/>
      <c r="E43" s="106"/>
      <c r="F43" s="106"/>
      <c r="G43" s="106"/>
      <c r="H43" s="11"/>
      <c r="I43" s="11"/>
    </row>
    <row r="44" spans="1:9">
      <c r="A44" s="24" t="s">
        <v>1373</v>
      </c>
      <c r="B44" s="24" t="s">
        <v>1180</v>
      </c>
      <c r="C44" s="106"/>
      <c r="D44" s="106"/>
      <c r="E44" s="106"/>
      <c r="F44" s="106"/>
      <c r="G44" s="106"/>
      <c r="H44" s="11"/>
      <c r="I44" s="11"/>
    </row>
    <row r="45" spans="1:9">
      <c r="A45" s="24" t="s">
        <v>1376</v>
      </c>
      <c r="B45" s="24" t="s">
        <v>1143</v>
      </c>
      <c r="C45" s="106"/>
      <c r="D45" s="106"/>
      <c r="E45" s="106"/>
      <c r="F45" s="106"/>
      <c r="G45" s="106"/>
      <c r="H45" s="11"/>
      <c r="I45" s="11"/>
    </row>
    <row r="46" spans="1:9">
      <c r="A46" s="24" t="s">
        <v>1379</v>
      </c>
      <c r="B46" s="24" t="s">
        <v>1380</v>
      </c>
      <c r="C46" s="106" t="s">
        <v>2116</v>
      </c>
      <c r="D46" s="106" t="s">
        <v>2116</v>
      </c>
      <c r="E46" s="106" t="s">
        <v>2116</v>
      </c>
      <c r="F46" s="106" t="s">
        <v>2116</v>
      </c>
      <c r="G46" s="106" t="s">
        <v>2116</v>
      </c>
      <c r="H46" s="11" t="s">
        <v>2117</v>
      </c>
      <c r="I46" s="11"/>
    </row>
    <row r="47" spans="1:9">
      <c r="A47" s="24" t="s">
        <v>1381</v>
      </c>
      <c r="B47" s="24" t="s">
        <v>1039</v>
      </c>
      <c r="C47" s="106"/>
      <c r="D47" s="106"/>
      <c r="E47" s="106"/>
      <c r="F47" s="106"/>
      <c r="G47" s="106"/>
      <c r="H47" s="11"/>
      <c r="I47" s="11"/>
    </row>
    <row r="48" spans="1:9">
      <c r="A48" s="24" t="s">
        <v>1382</v>
      </c>
      <c r="B48" s="24" t="s">
        <v>1213</v>
      </c>
      <c r="C48" s="106"/>
      <c r="D48" s="106"/>
      <c r="E48" s="106"/>
      <c r="F48" s="106"/>
      <c r="G48" s="106"/>
      <c r="H48" s="11"/>
      <c r="I48" s="11"/>
    </row>
    <row r="49" spans="1:9">
      <c r="A49" s="24" t="s">
        <v>1383</v>
      </c>
      <c r="B49" s="24" t="s">
        <v>1384</v>
      </c>
      <c r="C49" s="106"/>
      <c r="D49" s="106"/>
      <c r="E49" s="106"/>
      <c r="F49" s="106"/>
      <c r="G49" s="106"/>
      <c r="H49" s="11"/>
      <c r="I49" s="11"/>
    </row>
  </sheetData>
  <mergeCells count="3">
    <mergeCell ref="A3:I3"/>
    <mergeCell ref="A1:I1"/>
    <mergeCell ref="A2:I2"/>
  </mergeCells>
  <phoneticPr fontId="8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雷云云云.AF"/>
  <dimension ref="A1:AB266"/>
  <sheetViews>
    <sheetView workbookViewId="0">
      <selection sqref="A1:I1"/>
    </sheetView>
  </sheetViews>
  <sheetFormatPr baseColWidth="10" defaultColWidth="13.7109375" defaultRowHeight="18" customHeight="1"/>
  <cols>
    <col min="1" max="1" width="11" style="159" customWidth="1"/>
    <col min="2" max="2" width="34.85546875" style="159" customWidth="1"/>
    <col min="3" max="7" width="14.85546875" style="124" customWidth="1"/>
    <col min="8" max="9" width="41.5703125" style="1" customWidth="1"/>
    <col min="10" max="10" width="6" style="313" customWidth="1"/>
    <col min="11" max="11" width="12.7109375" style="1" customWidth="1"/>
    <col min="12" max="28" width="12.5703125" style="1" customWidth="1"/>
  </cols>
  <sheetData>
    <row r="1" spans="1:28" ht="76.5" customHeight="1">
      <c r="A1" s="551" t="s">
        <v>5245</v>
      </c>
      <c r="B1" s="543"/>
      <c r="C1" s="543"/>
      <c r="D1" s="543"/>
      <c r="E1" s="543"/>
      <c r="F1" s="543"/>
      <c r="G1" s="543"/>
      <c r="H1" s="552"/>
      <c r="I1" s="543"/>
      <c r="J1" s="2"/>
      <c r="K1" s="14"/>
      <c r="L1" s="14"/>
      <c r="M1" s="14"/>
      <c r="N1" s="14"/>
      <c r="O1" s="14"/>
      <c r="P1" s="14"/>
      <c r="Q1" s="14"/>
      <c r="R1" s="14"/>
      <c r="S1" s="14"/>
      <c r="T1" s="14"/>
      <c r="U1" s="14"/>
      <c r="V1" s="14"/>
      <c r="W1" s="14"/>
      <c r="X1" s="14"/>
      <c r="Y1" s="14"/>
      <c r="Z1" s="14"/>
      <c r="AA1" s="14"/>
      <c r="AB1" s="14"/>
    </row>
    <row r="2" spans="1:28" ht="30" customHeight="1">
      <c r="A2" s="540" t="s">
        <v>1</v>
      </c>
      <c r="B2" s="543"/>
      <c r="C2" s="543"/>
      <c r="D2" s="543"/>
      <c r="E2" s="543"/>
      <c r="F2" s="543"/>
      <c r="G2" s="543"/>
      <c r="H2" s="550"/>
      <c r="I2" s="543"/>
      <c r="J2" s="2"/>
      <c r="K2" s="581" t="s">
        <v>2</v>
      </c>
      <c r="L2" s="543"/>
      <c r="M2" s="543"/>
      <c r="N2" s="543"/>
      <c r="O2" s="543"/>
      <c r="P2" s="543"/>
      <c r="Q2" s="543"/>
      <c r="R2" s="543"/>
      <c r="S2" s="126"/>
      <c r="T2" s="14"/>
      <c r="U2" s="14"/>
      <c r="V2" s="14"/>
      <c r="W2" s="14"/>
      <c r="X2" s="14"/>
      <c r="Y2" s="14"/>
      <c r="Z2" s="14"/>
      <c r="AA2" s="14"/>
      <c r="AB2" s="14"/>
    </row>
    <row r="3" spans="1:28" ht="27" customHeight="1">
      <c r="A3" s="5" t="s">
        <v>4</v>
      </c>
      <c r="B3" s="6" t="s">
        <v>5</v>
      </c>
      <c r="C3" s="7" t="s">
        <v>6</v>
      </c>
      <c r="D3" s="7" t="s">
        <v>7</v>
      </c>
      <c r="E3" s="7" t="s">
        <v>8</v>
      </c>
      <c r="F3" s="7" t="s">
        <v>9</v>
      </c>
      <c r="G3" s="7" t="s">
        <v>10</v>
      </c>
      <c r="H3" s="7" t="s">
        <v>11</v>
      </c>
      <c r="I3" s="7" t="s">
        <v>12</v>
      </c>
      <c r="J3" s="2"/>
      <c r="K3" s="7" t="s">
        <v>4</v>
      </c>
      <c r="L3" s="89" t="s">
        <v>5</v>
      </c>
      <c r="M3" s="7" t="s">
        <v>6</v>
      </c>
      <c r="N3" s="7" t="s">
        <v>7</v>
      </c>
      <c r="O3" s="7" t="s">
        <v>8</v>
      </c>
      <c r="P3" s="7" t="s">
        <v>9</v>
      </c>
      <c r="Q3" s="7" t="s">
        <v>10</v>
      </c>
      <c r="R3" s="7" t="s">
        <v>11</v>
      </c>
      <c r="S3" s="7" t="s">
        <v>12</v>
      </c>
      <c r="T3" s="14"/>
      <c r="U3" s="14"/>
      <c r="V3" s="14"/>
      <c r="W3" s="14"/>
      <c r="X3" s="14"/>
      <c r="Y3" s="14"/>
      <c r="Z3" s="14"/>
      <c r="AA3" s="14"/>
      <c r="AB3" s="14"/>
    </row>
    <row r="4" spans="1:28" ht="21">
      <c r="A4" s="5" t="s">
        <v>14</v>
      </c>
      <c r="B4" s="5" t="s">
        <v>15</v>
      </c>
      <c r="C4" s="10" t="s">
        <v>16</v>
      </c>
      <c r="D4" s="10" t="s">
        <v>16</v>
      </c>
      <c r="E4" s="10" t="s">
        <v>17</v>
      </c>
      <c r="F4" s="10" t="s">
        <v>17</v>
      </c>
      <c r="G4" s="10" t="str">
        <f>IF(AND(ISNUMBER(MATCH(C4,{"F","E","D","D+","C","C+","B","B+","A","A+","S"},0)),ISNUMBER(MATCH(D4,{"F","E","D","D+","C","C+","B","B+","A","A+","S"},0)),ISNUMBER(MATCH(E4,{"F","E","D","D+","C","C+","B","B+","A","A+","S"},0)),ISNUMBER(MATCH(F4,{"F","E","D","D+","C","C+","B","B+","A","A+","S"},0))),LOOKUP(AVERAGE(_xlfn.SWITCH(C4,"F",0,"E",10,"D",20,"D+",30,"C",40,"C+",50,"B",60,"B+",70,"A",80,"A+",90,"S",100),_xlfn.SWITCH(D4,"F",0,"E",10,"D",20,"D+",30,"C",40,"C+",50,"B",60,"B+",70,"A",80,"A+",90,"S",100),_xlfn.SWITCH(E4,"F",0,"E",10,"D",20,"D+",30,"C",40,"C+",50,"B",60,"B+",70,"A",80,"A+",90,"S",100),_xlfn.SWITCH(F4,"F",0,"E",10,"D",20,"D+",30,"C",40,"C+",50,"B",60,"B+",70,"A",80,"A+",90,"S",100)),{0,15,25,35,45,55,65,75,85,95},{"D","D","D+","C","C+","B","B+","A","A+","S"}),"?")</f>
        <v>B</v>
      </c>
      <c r="I4" s="11"/>
      <c r="J4" s="2"/>
      <c r="K4" s="14"/>
      <c r="L4" s="14"/>
      <c r="M4" s="14"/>
      <c r="N4" s="14"/>
      <c r="O4" s="14"/>
      <c r="P4" s="14"/>
      <c r="Q4" s="14"/>
      <c r="R4" s="14"/>
      <c r="S4" s="14"/>
      <c r="T4" s="14"/>
      <c r="U4" s="14"/>
      <c r="V4" s="14"/>
      <c r="W4" s="14"/>
      <c r="X4" s="14"/>
      <c r="Y4" s="14"/>
      <c r="Z4" s="14"/>
      <c r="AA4" s="14"/>
      <c r="AB4" s="14"/>
    </row>
    <row r="5" spans="1:28" ht="21">
      <c r="A5" s="5" t="s">
        <v>26</v>
      </c>
      <c r="B5" s="5" t="s">
        <v>27</v>
      </c>
      <c r="C5" s="10"/>
      <c r="D5" s="10"/>
      <c r="E5" s="10"/>
      <c r="F5" s="10"/>
      <c r="G5" s="10" t="str">
        <f>IF(AND(ISNUMBER(MATCH(C5,{"F","E","D","D+","C","C+","B","B+","A","A+","S"},0)),ISNUMBER(MATCH(D5,{"F","E","D","D+","C","C+","B","B+","A","A+","S"},0)),ISNUMBER(MATCH(E5,{"F","E","D","D+","C","C+","B","B+","A","A+","S"},0)),ISNUMBER(MATCH(F5,{"F","E","D","D+","C","C+","B","B+","A","A+","S"},0))),LOOKUP(AVERAGE(_xlfn.SWITCH(C5,"F",0,"E",10,"D",20,"D+",30,"C",40,"C+",50,"B",60,"B+",70,"A",80,"A+",90,"S",100),_xlfn.SWITCH(D5,"F",0,"E",10,"D",20,"D+",30,"C",40,"C+",50,"B",60,"B+",70,"A",80,"A+",90,"S",100),_xlfn.SWITCH(E5,"F",0,"E",10,"D",20,"D+",30,"C",40,"C+",50,"B",60,"B+",70,"A",80,"A+",90,"S",100),_xlfn.SWITCH(F5,"F",0,"E",10,"D",20,"D+",30,"C",40,"C+",50,"B",60,"B+",70,"A",80,"A+",90,"S",100)),{0,15,25,35,45,55,65,75,85,95},{"D","D","D+","C","C+","B","B+","A","A+","S"}),"?")</f>
        <v>?</v>
      </c>
      <c r="I5" s="11"/>
      <c r="J5" s="2"/>
      <c r="K5" s="14"/>
      <c r="L5" s="14"/>
      <c r="M5" s="14"/>
      <c r="N5" s="14"/>
      <c r="O5" s="14"/>
      <c r="P5" s="14"/>
      <c r="Q5" s="14"/>
      <c r="R5" s="14"/>
      <c r="S5" s="14"/>
      <c r="T5" s="14"/>
      <c r="U5" s="14"/>
      <c r="V5" s="14"/>
      <c r="W5" s="14"/>
      <c r="X5" s="14"/>
      <c r="Y5" s="14"/>
      <c r="Z5" s="14"/>
      <c r="AA5" s="14"/>
      <c r="AB5" s="14"/>
    </row>
    <row r="6" spans="1:28" ht="21">
      <c r="A6" s="5" t="s">
        <v>34</v>
      </c>
      <c r="B6" s="5" t="s">
        <v>35</v>
      </c>
      <c r="C6" s="10"/>
      <c r="D6" s="10"/>
      <c r="E6" s="10"/>
      <c r="F6" s="10"/>
      <c r="G6" s="10" t="str">
        <f>IF(AND(ISNUMBER(MATCH(C6,{"F","E","D","D+","C","C+","B","B+","A","A+","S"},0)),ISNUMBER(MATCH(D6,{"F","E","D","D+","C","C+","B","B+","A","A+","S"},0)),ISNUMBER(MATCH(E6,{"F","E","D","D+","C","C+","B","B+","A","A+","S"},0)),ISNUMBER(MATCH(F6,{"F","E","D","D+","C","C+","B","B+","A","A+","S"},0))),LOOKUP(AVERAGE(_xlfn.SWITCH(C6,"F",0,"E",10,"D",20,"D+",30,"C",40,"C+",50,"B",60,"B+",70,"A",80,"A+",90,"S",100),_xlfn.SWITCH(D6,"F",0,"E",10,"D",20,"D+",30,"C",40,"C+",50,"B",60,"B+",70,"A",80,"A+",90,"S",100),_xlfn.SWITCH(E6,"F",0,"E",10,"D",20,"D+",30,"C",40,"C+",50,"B",60,"B+",70,"A",80,"A+",90,"S",100),_xlfn.SWITCH(F6,"F",0,"E",10,"D",20,"D+",30,"C",40,"C+",50,"B",60,"B+",70,"A",80,"A+",90,"S",100)),{0,15,25,35,45,55,65,75,85,95},{"D","D","D+","C","C+","B","B+","A","A+","S"}),"?")</f>
        <v>?</v>
      </c>
      <c r="I6" s="11"/>
      <c r="J6" s="2"/>
      <c r="K6" s="14"/>
      <c r="L6" s="14"/>
      <c r="M6" s="14"/>
      <c r="N6" s="14"/>
      <c r="O6" s="14"/>
      <c r="P6" s="14"/>
      <c r="Q6" s="14"/>
      <c r="R6" s="14"/>
      <c r="S6" s="14"/>
      <c r="T6" s="14"/>
      <c r="U6" s="14"/>
      <c r="V6" s="14"/>
      <c r="W6" s="14"/>
      <c r="X6" s="14"/>
      <c r="Y6" s="14"/>
      <c r="Z6" s="14"/>
      <c r="AA6" s="14"/>
      <c r="AB6" s="14"/>
    </row>
    <row r="7" spans="1:28" ht="21">
      <c r="A7" s="5" t="s">
        <v>41</v>
      </c>
      <c r="B7" s="131" t="s">
        <v>42</v>
      </c>
      <c r="C7" s="10"/>
      <c r="D7" s="10"/>
      <c r="E7" s="10"/>
      <c r="F7" s="10"/>
      <c r="G7" s="10" t="str">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v>
      </c>
      <c r="I7" s="11"/>
      <c r="J7" s="2"/>
      <c r="K7" s="14"/>
      <c r="L7" s="14"/>
      <c r="M7" s="14"/>
      <c r="N7" s="14"/>
      <c r="O7" s="14"/>
      <c r="P7" s="14"/>
      <c r="Q7" s="14"/>
      <c r="R7" s="14"/>
      <c r="S7" s="14"/>
      <c r="T7" s="14"/>
      <c r="U7" s="14"/>
      <c r="V7" s="14"/>
      <c r="W7" s="14"/>
      <c r="X7" s="14"/>
      <c r="Y7" s="14"/>
      <c r="Z7" s="14"/>
      <c r="AA7" s="14"/>
      <c r="AB7" s="14"/>
    </row>
    <row r="8" spans="1:28" ht="21">
      <c r="A8" s="5" t="s">
        <v>48</v>
      </c>
      <c r="B8" s="5" t="s">
        <v>49</v>
      </c>
      <c r="C8" s="10"/>
      <c r="D8" s="10"/>
      <c r="E8" s="10"/>
      <c r="F8" s="10"/>
      <c r="G8" s="10" t="str">
        <f>IF(AND(ISNUMBER(MATCH(C8,{"F","E","D","D+","C","C+","B","B+","A","A+","S"},0)),ISNUMBER(MATCH(D8,{"F","E","D","D+","C","C+","B","B+","A","A+","S"},0)),ISNUMBER(MATCH(E8,{"F","E","D","D+","C","C+","B","B+","A","A+","S"},0)),ISNUMBER(MATCH(F8,{"F","E","D","D+","C","C+","B","B+","A","A+","S"},0))),LOOKUP(AVERAGE(_xlfn.SWITCH(C8,"F",0,"E",10,"D",20,"D+",30,"C",40,"C+",50,"B",60,"B+",70,"A",80,"A+",90,"S",100),_xlfn.SWITCH(D8,"F",0,"E",10,"D",20,"D+",30,"C",40,"C+",50,"B",60,"B+",70,"A",80,"A+",90,"S",100),_xlfn.SWITCH(E8,"F",0,"E",10,"D",20,"D+",30,"C",40,"C+",50,"B",60,"B+",70,"A",80,"A+",90,"S",100),_xlfn.SWITCH(F8,"F",0,"E",10,"D",20,"D+",30,"C",40,"C+",50,"B",60,"B+",70,"A",80,"A+",90,"S",100)),{0,15,25,35,45,55,65,75,85,95},{"D","D","D+","C","C+","B","B+","A","A+","S"}),"?")</f>
        <v>?</v>
      </c>
      <c r="I8" s="11"/>
      <c r="J8" s="2"/>
      <c r="K8" s="14"/>
      <c r="L8" s="14"/>
      <c r="M8" s="14"/>
      <c r="N8" s="14"/>
      <c r="O8" s="14"/>
      <c r="P8" s="14"/>
      <c r="Q8" s="14"/>
      <c r="R8" s="14"/>
      <c r="S8" s="14"/>
      <c r="T8" s="14"/>
      <c r="U8" s="14"/>
      <c r="V8" s="14"/>
      <c r="W8" s="14"/>
      <c r="X8" s="14"/>
      <c r="Y8" s="14"/>
      <c r="Z8" s="14"/>
      <c r="AA8" s="14"/>
      <c r="AB8" s="14"/>
    </row>
    <row r="9" spans="1:28" ht="21">
      <c r="A9" s="5" t="s">
        <v>55</v>
      </c>
      <c r="B9" s="5" t="s">
        <v>56</v>
      </c>
      <c r="C9" s="10"/>
      <c r="D9" s="10"/>
      <c r="E9" s="10"/>
      <c r="F9" s="10"/>
      <c r="G9" s="10"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v>
      </c>
      <c r="I9" s="11"/>
      <c r="J9" s="2"/>
      <c r="K9" s="14"/>
      <c r="L9" s="14"/>
      <c r="M9" s="14"/>
      <c r="N9" s="14"/>
      <c r="O9" s="14"/>
      <c r="P9" s="14"/>
      <c r="Q9" s="14"/>
      <c r="R9" s="14"/>
      <c r="S9" s="14"/>
      <c r="T9" s="14"/>
      <c r="U9" s="14"/>
      <c r="V9" s="14"/>
      <c r="W9" s="14"/>
      <c r="X9" s="14"/>
      <c r="Y9" s="14"/>
      <c r="Z9" s="14"/>
      <c r="AA9" s="14"/>
      <c r="AB9" s="14"/>
    </row>
    <row r="10" spans="1:28" ht="21">
      <c r="A10" s="5" t="s">
        <v>62</v>
      </c>
      <c r="B10" s="5" t="s">
        <v>63</v>
      </c>
      <c r="C10" s="10"/>
      <c r="D10" s="10"/>
      <c r="E10" s="10"/>
      <c r="F10" s="10"/>
      <c r="G10" s="10"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v>
      </c>
      <c r="I10" s="11"/>
      <c r="J10" s="2"/>
      <c r="K10" s="14"/>
      <c r="L10" s="14"/>
      <c r="M10" s="14"/>
      <c r="N10" s="14"/>
      <c r="O10" s="14"/>
      <c r="P10" s="14"/>
      <c r="Q10" s="14"/>
      <c r="R10" s="14"/>
      <c r="S10" s="14"/>
      <c r="T10" s="14"/>
      <c r="U10" s="14"/>
      <c r="V10" s="14"/>
      <c r="W10" s="14"/>
      <c r="X10" s="14"/>
      <c r="Y10" s="14"/>
      <c r="Z10" s="14"/>
      <c r="AA10" s="14"/>
      <c r="AB10" s="14"/>
    </row>
    <row r="11" spans="1:28" ht="21">
      <c r="A11" s="5" t="s">
        <v>67</v>
      </c>
      <c r="B11" s="5" t="s">
        <v>68</v>
      </c>
      <c r="C11" s="10"/>
      <c r="D11" s="10"/>
      <c r="E11" s="10"/>
      <c r="F11" s="10"/>
      <c r="G11" s="10" t="str">
        <f>IF(AND(ISNUMBER(MATCH(C11,{"F","E","D","D+","C","C+","B","B+","A","A+","S"},0)),ISNUMBER(MATCH(D11,{"F","E","D","D+","C","C+","B","B+","A","A+","S"},0)),ISNUMBER(MATCH(E11,{"F","E","D","D+","C","C+","B","B+","A","A+","S"},0)),ISNUMBER(MATCH(F11,{"F","E","D","D+","C","C+","B","B+","A","A+","S"},0))),LOOKUP(AVERAGE(_xlfn.SWITCH(C11,"F",0,"E",10,"D",20,"D+",30,"C",40,"C+",50,"B",60,"B+",70,"A",80,"A+",90,"S",100),_xlfn.SWITCH(D11,"F",0,"E",10,"D",20,"D+",30,"C",40,"C+",50,"B",60,"B+",70,"A",80,"A+",90,"S",100),_xlfn.SWITCH(E11,"F",0,"E",10,"D",20,"D+",30,"C",40,"C+",50,"B",60,"B+",70,"A",80,"A+",90,"S",100),_xlfn.SWITCH(F11,"F",0,"E",10,"D",20,"D+",30,"C",40,"C+",50,"B",60,"B+",70,"A",80,"A+",90,"S",100)),{0,15,25,35,45,55,65,75,85,95},{"D","D","D+","C","C+","B","B+","A","A+","S"}),"?")</f>
        <v>?</v>
      </c>
      <c r="I11" s="11"/>
      <c r="J11" s="2"/>
      <c r="K11" s="14"/>
      <c r="L11" s="14"/>
      <c r="M11" s="14"/>
      <c r="N11" s="14"/>
      <c r="O11" s="14"/>
      <c r="P11" s="14"/>
      <c r="Q11" s="14"/>
      <c r="R11" s="14"/>
      <c r="S11" s="14"/>
      <c r="T11" s="14"/>
      <c r="U11" s="14"/>
      <c r="V11" s="14"/>
      <c r="W11" s="14"/>
      <c r="X11" s="14"/>
      <c r="Y11" s="14"/>
      <c r="Z11" s="14"/>
      <c r="AA11" s="14"/>
      <c r="AB11" s="14"/>
    </row>
    <row r="12" spans="1:28" ht="21">
      <c r="A12" s="5" t="s">
        <v>74</v>
      </c>
      <c r="B12" s="5" t="s">
        <v>75</v>
      </c>
      <c r="C12" s="10"/>
      <c r="D12" s="10"/>
      <c r="E12" s="10"/>
      <c r="F12" s="10"/>
      <c r="G12" s="10"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v>
      </c>
      <c r="I12" s="11"/>
      <c r="J12" s="2"/>
      <c r="K12" s="14"/>
      <c r="L12" s="14"/>
      <c r="M12" s="14"/>
      <c r="N12" s="14"/>
      <c r="O12" s="14"/>
      <c r="P12" s="14"/>
      <c r="Q12" s="14"/>
      <c r="R12" s="14"/>
      <c r="S12" s="14"/>
      <c r="T12" s="14"/>
      <c r="U12" s="14"/>
      <c r="V12" s="14"/>
      <c r="W12" s="14"/>
      <c r="X12" s="14"/>
      <c r="Y12" s="14"/>
      <c r="Z12" s="14"/>
      <c r="AA12" s="14"/>
      <c r="AB12" s="14"/>
    </row>
    <row r="13" spans="1:28" ht="21">
      <c r="A13" s="5" t="s">
        <v>81</v>
      </c>
      <c r="B13" s="5" t="s">
        <v>82</v>
      </c>
      <c r="C13" s="10"/>
      <c r="D13" s="10"/>
      <c r="E13" s="10"/>
      <c r="F13" s="10"/>
      <c r="G13" s="10" t="str">
        <f>IF(AND(ISNUMBER(MATCH(C13,{"F","E","D","D+","C","C+","B","B+","A","A+","S"},0)),ISNUMBER(MATCH(D13,{"F","E","D","D+","C","C+","B","B+","A","A+","S"},0)),ISNUMBER(MATCH(E13,{"F","E","D","D+","C","C+","B","B+","A","A+","S"},0)),ISNUMBER(MATCH(F13,{"F","E","D","D+","C","C+","B","B+","A","A+","S"},0))),LOOKUP(AVERAGE(_xlfn.SWITCH(C13,"F",0,"E",10,"D",20,"D+",30,"C",40,"C+",50,"B",60,"B+",70,"A",80,"A+",90,"S",100),_xlfn.SWITCH(D13,"F",0,"E",10,"D",20,"D+",30,"C",40,"C+",50,"B",60,"B+",70,"A",80,"A+",90,"S",100),_xlfn.SWITCH(E13,"F",0,"E",10,"D",20,"D+",30,"C",40,"C+",50,"B",60,"B+",70,"A",80,"A+",90,"S",100),_xlfn.SWITCH(F13,"F",0,"E",10,"D",20,"D+",30,"C",40,"C+",50,"B",60,"B+",70,"A",80,"A+",90,"S",100)),{0,15,25,35,45,55,65,75,85,95},{"D","D","D+","C","C+","B","B+","A","A+","S"}),"?")</f>
        <v>?</v>
      </c>
      <c r="I13" s="11"/>
      <c r="J13" s="2"/>
      <c r="K13" s="14"/>
      <c r="L13" s="14"/>
      <c r="M13" s="14"/>
      <c r="N13" s="14"/>
      <c r="O13" s="14"/>
      <c r="P13" s="14"/>
      <c r="Q13" s="14"/>
      <c r="R13" s="14"/>
      <c r="S13" s="14"/>
      <c r="T13" s="14"/>
      <c r="U13" s="14"/>
      <c r="V13" s="14"/>
      <c r="W13" s="14"/>
      <c r="X13" s="14"/>
      <c r="Y13" s="14"/>
      <c r="Z13" s="14"/>
      <c r="AA13" s="14"/>
      <c r="AB13" s="14"/>
    </row>
    <row r="14" spans="1:28" ht="21">
      <c r="A14" s="5" t="s">
        <v>88</v>
      </c>
      <c r="B14" s="5" t="s">
        <v>89</v>
      </c>
      <c r="C14" s="10"/>
      <c r="D14" s="10"/>
      <c r="E14" s="10"/>
      <c r="F14" s="10"/>
      <c r="G14" s="10"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v>
      </c>
      <c r="I14" s="11"/>
      <c r="J14" s="2"/>
      <c r="K14" s="14"/>
      <c r="L14" s="14"/>
      <c r="M14" s="14"/>
      <c r="N14" s="14"/>
      <c r="O14" s="14"/>
      <c r="P14" s="14"/>
      <c r="Q14" s="14"/>
      <c r="R14" s="14"/>
      <c r="S14" s="14"/>
      <c r="T14" s="14"/>
      <c r="U14" s="14"/>
      <c r="V14" s="14"/>
      <c r="W14" s="14"/>
      <c r="X14" s="14"/>
      <c r="Y14" s="14"/>
      <c r="Z14" s="14"/>
      <c r="AA14" s="14"/>
      <c r="AB14" s="14"/>
    </row>
    <row r="15" spans="1:28" ht="21">
      <c r="A15" s="5" t="s">
        <v>95</v>
      </c>
      <c r="B15" s="5" t="s">
        <v>96</v>
      </c>
      <c r="C15" s="10"/>
      <c r="D15" s="10"/>
      <c r="E15" s="10"/>
      <c r="F15" s="10"/>
      <c r="G15" s="10"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v>
      </c>
      <c r="I15" s="11"/>
      <c r="J15" s="2"/>
      <c r="K15" s="14"/>
      <c r="L15" s="14"/>
      <c r="M15" s="14"/>
      <c r="N15" s="14"/>
      <c r="O15" s="14"/>
      <c r="P15" s="14"/>
      <c r="Q15" s="14"/>
      <c r="R15" s="14"/>
      <c r="S15" s="14"/>
      <c r="T15" s="14"/>
      <c r="U15" s="14"/>
      <c r="V15" s="14"/>
      <c r="W15" s="14"/>
      <c r="X15" s="14"/>
      <c r="Y15" s="14"/>
      <c r="Z15" s="14"/>
      <c r="AA15" s="14"/>
      <c r="AB15" s="14"/>
    </row>
    <row r="16" spans="1:28" ht="21">
      <c r="A16" s="5" t="s">
        <v>102</v>
      </c>
      <c r="B16" s="5" t="s">
        <v>103</v>
      </c>
      <c r="C16" s="10"/>
      <c r="D16" s="10"/>
      <c r="E16" s="10"/>
      <c r="F16" s="10"/>
      <c r="G16" s="10"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v>
      </c>
      <c r="I16" s="11"/>
      <c r="J16" s="2"/>
      <c r="K16" s="14"/>
      <c r="L16" s="14"/>
      <c r="M16" s="14"/>
      <c r="N16" s="14"/>
      <c r="O16" s="14"/>
      <c r="P16" s="14"/>
      <c r="Q16" s="14"/>
      <c r="R16" s="14"/>
      <c r="S16" s="14"/>
      <c r="T16" s="14"/>
      <c r="U16" s="14"/>
      <c r="V16" s="14"/>
      <c r="W16" s="14"/>
      <c r="X16" s="14"/>
      <c r="Y16" s="14"/>
      <c r="Z16" s="14"/>
      <c r="AA16" s="14"/>
      <c r="AB16" s="14"/>
    </row>
    <row r="17" spans="1:28" ht="21">
      <c r="A17" s="5" t="s">
        <v>109</v>
      </c>
      <c r="B17" s="5" t="s">
        <v>110</v>
      </c>
      <c r="C17" s="10"/>
      <c r="D17" s="10"/>
      <c r="E17" s="10"/>
      <c r="F17" s="10"/>
      <c r="G17" s="10"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v>
      </c>
      <c r="I17" s="11"/>
      <c r="J17" s="2"/>
      <c r="K17" s="14"/>
      <c r="L17" s="14"/>
      <c r="M17" s="14"/>
      <c r="N17" s="14"/>
      <c r="O17" s="14"/>
      <c r="P17" s="14"/>
      <c r="Q17" s="14"/>
      <c r="R17" s="14"/>
      <c r="S17" s="14"/>
      <c r="T17" s="14"/>
      <c r="U17" s="14"/>
      <c r="V17" s="14"/>
      <c r="W17" s="14"/>
      <c r="X17" s="14"/>
      <c r="Y17" s="14"/>
      <c r="Z17" s="14"/>
      <c r="AA17" s="14"/>
      <c r="AB17" s="14"/>
    </row>
    <row r="18" spans="1:28" ht="21">
      <c r="A18" s="5" t="s">
        <v>116</v>
      </c>
      <c r="B18" s="5" t="s">
        <v>117</v>
      </c>
      <c r="C18" s="10"/>
      <c r="D18" s="10"/>
      <c r="E18" s="10"/>
      <c r="F18" s="10"/>
      <c r="G18" s="10" t="str">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v>
      </c>
      <c r="I18" s="11"/>
      <c r="J18" s="2"/>
      <c r="K18" s="14"/>
      <c r="L18" s="14"/>
      <c r="M18" s="14"/>
      <c r="N18" s="14"/>
      <c r="O18" s="14"/>
      <c r="P18" s="14"/>
      <c r="Q18" s="14"/>
      <c r="R18" s="14"/>
      <c r="S18" s="14"/>
      <c r="T18" s="14"/>
      <c r="U18" s="14"/>
      <c r="V18" s="14"/>
      <c r="W18" s="14"/>
      <c r="X18" s="14"/>
      <c r="Y18" s="14"/>
      <c r="Z18" s="14"/>
      <c r="AA18" s="14"/>
      <c r="AB18" s="14"/>
    </row>
    <row r="19" spans="1:28" ht="21">
      <c r="A19" s="5" t="s">
        <v>123</v>
      </c>
      <c r="B19" s="5" t="s">
        <v>124</v>
      </c>
      <c r="C19" s="10"/>
      <c r="D19" s="10"/>
      <c r="E19" s="10"/>
      <c r="F19" s="10"/>
      <c r="G19" s="10"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v>
      </c>
      <c r="I19" s="11"/>
      <c r="J19" s="2"/>
      <c r="K19" s="14"/>
      <c r="L19" s="14"/>
      <c r="M19" s="14"/>
      <c r="N19" s="14"/>
      <c r="O19" s="14"/>
      <c r="P19" s="14"/>
      <c r="Q19" s="14"/>
      <c r="R19" s="14"/>
      <c r="S19" s="14"/>
      <c r="T19" s="14"/>
      <c r="U19" s="14"/>
      <c r="V19" s="14"/>
      <c r="W19" s="14"/>
      <c r="X19" s="14"/>
      <c r="Y19" s="14"/>
      <c r="Z19" s="14"/>
      <c r="AA19" s="14"/>
      <c r="AB19" s="14"/>
    </row>
    <row r="20" spans="1:28" ht="21">
      <c r="A20" s="5" t="s">
        <v>130</v>
      </c>
      <c r="B20" s="5" t="s">
        <v>129</v>
      </c>
      <c r="C20" s="10"/>
      <c r="D20" s="10"/>
      <c r="E20" s="10"/>
      <c r="F20" s="10"/>
      <c r="G20" s="10"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v>
      </c>
      <c r="I20" s="11"/>
      <c r="J20" s="2"/>
      <c r="K20" s="14"/>
      <c r="L20" s="14"/>
      <c r="M20" s="14"/>
      <c r="N20" s="14"/>
      <c r="O20" s="14"/>
      <c r="P20" s="14"/>
      <c r="Q20" s="14"/>
      <c r="R20" s="14"/>
      <c r="S20" s="14"/>
      <c r="T20" s="14"/>
      <c r="U20" s="14"/>
      <c r="V20" s="14"/>
      <c r="W20" s="14"/>
      <c r="X20" s="14"/>
      <c r="Y20" s="14"/>
      <c r="Z20" s="14"/>
      <c r="AA20" s="14"/>
      <c r="AB20" s="14"/>
    </row>
    <row r="21" spans="1:28" ht="21">
      <c r="A21" s="5" t="s">
        <v>136</v>
      </c>
      <c r="B21" s="5" t="s">
        <v>137</v>
      </c>
      <c r="C21" s="10"/>
      <c r="D21" s="10"/>
      <c r="E21" s="10"/>
      <c r="F21" s="10"/>
      <c r="G21" s="10" t="str">
        <f>IF(AND(ISNUMBER(MATCH(C21,{"F","E","D","D+","C","C+","B","B+","A","A+","S"},0)),ISNUMBER(MATCH(D21,{"F","E","D","D+","C","C+","B","B+","A","A+","S"},0)),ISNUMBER(MATCH(E21,{"F","E","D","D+","C","C+","B","B+","A","A+","S"},0)),ISNUMBER(MATCH(F21,{"F","E","D","D+","C","C+","B","B+","A","A+","S"},0))),LOOKUP(AVERAGE(_xlfn.SWITCH(C21,"F",0,"E",10,"D",20,"D+",30,"C",40,"C+",50,"B",60,"B+",70,"A",80,"A+",90,"S",100),_xlfn.SWITCH(D21,"F",0,"E",10,"D",20,"D+",30,"C",40,"C+",50,"B",60,"B+",70,"A",80,"A+",90,"S",100),_xlfn.SWITCH(E21,"F",0,"E",10,"D",20,"D+",30,"C",40,"C+",50,"B",60,"B+",70,"A",80,"A+",90,"S",100),_xlfn.SWITCH(F21,"F",0,"E",10,"D",20,"D+",30,"C",40,"C+",50,"B",60,"B+",70,"A",80,"A+",90,"S",100)),{0,15,25,35,45,55,65,75,85,95},{"D","D","D+","C","C+","B","B+","A","A+","S"}),"?")</f>
        <v>?</v>
      </c>
      <c r="I21" s="11"/>
      <c r="J21" s="2"/>
      <c r="K21" s="14"/>
      <c r="L21" s="14"/>
      <c r="M21" s="14"/>
      <c r="N21" s="14"/>
      <c r="O21" s="14"/>
      <c r="P21" s="14"/>
      <c r="Q21" s="14"/>
      <c r="R21" s="14"/>
      <c r="S21" s="14"/>
      <c r="T21" s="14"/>
      <c r="U21" s="14"/>
      <c r="V21" s="14"/>
      <c r="W21" s="14"/>
      <c r="X21" s="14"/>
      <c r="Y21" s="14"/>
      <c r="Z21" s="14"/>
      <c r="AA21" s="14"/>
      <c r="AB21" s="14"/>
    </row>
    <row r="22" spans="1:28" ht="21">
      <c r="A22" s="5" t="s">
        <v>143</v>
      </c>
      <c r="B22" s="5" t="s">
        <v>144</v>
      </c>
      <c r="C22" s="10"/>
      <c r="D22" s="10"/>
      <c r="E22" s="10"/>
      <c r="F22" s="10"/>
      <c r="G22" s="10"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v>
      </c>
      <c r="I22" s="11"/>
      <c r="J22" s="2"/>
      <c r="K22" s="14"/>
      <c r="L22" s="14"/>
      <c r="M22" s="14"/>
      <c r="N22" s="14"/>
      <c r="O22" s="14"/>
      <c r="P22" s="14"/>
      <c r="Q22" s="14"/>
      <c r="R22" s="14"/>
      <c r="S22" s="14"/>
      <c r="T22" s="14"/>
      <c r="U22" s="14"/>
      <c r="V22" s="14"/>
      <c r="W22" s="14"/>
      <c r="X22" s="14"/>
      <c r="Y22" s="14"/>
      <c r="Z22" s="14"/>
      <c r="AA22" s="14"/>
      <c r="AB22" s="14"/>
    </row>
    <row r="23" spans="1:28" ht="21">
      <c r="A23" s="5" t="s">
        <v>150</v>
      </c>
      <c r="B23" s="5" t="s">
        <v>151</v>
      </c>
      <c r="C23" s="10"/>
      <c r="D23" s="10"/>
      <c r="E23" s="10"/>
      <c r="F23" s="10"/>
      <c r="G23" s="10"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v>
      </c>
      <c r="I23" s="11"/>
      <c r="J23" s="2"/>
      <c r="K23" s="14"/>
      <c r="L23" s="14"/>
      <c r="M23" s="14"/>
      <c r="N23" s="14"/>
      <c r="O23" s="14"/>
      <c r="P23" s="14"/>
      <c r="Q23" s="14"/>
      <c r="R23" s="14"/>
      <c r="S23" s="14"/>
      <c r="T23" s="14"/>
      <c r="U23" s="14"/>
      <c r="V23" s="14"/>
      <c r="W23" s="14"/>
      <c r="X23" s="14"/>
      <c r="Y23" s="14"/>
      <c r="Z23" s="14"/>
      <c r="AA23" s="14"/>
      <c r="AB23" s="14"/>
    </row>
    <row r="24" spans="1:28" ht="21">
      <c r="A24" s="5" t="s">
        <v>156</v>
      </c>
      <c r="B24" s="5" t="s">
        <v>157</v>
      </c>
      <c r="C24" s="10"/>
      <c r="D24" s="10"/>
      <c r="E24" s="10"/>
      <c r="F24" s="10"/>
      <c r="G24" s="10" t="str">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v>
      </c>
      <c r="H24" s="7"/>
      <c r="I24" s="7"/>
      <c r="J24" s="2"/>
      <c r="K24" s="14"/>
      <c r="L24" s="14"/>
      <c r="M24" s="14"/>
      <c r="N24" s="14"/>
      <c r="O24" s="14"/>
      <c r="P24" s="14"/>
      <c r="Q24" s="14"/>
      <c r="R24" s="14"/>
      <c r="S24" s="14"/>
      <c r="T24" s="14"/>
      <c r="U24" s="14"/>
      <c r="V24" s="14"/>
      <c r="W24" s="14"/>
      <c r="X24" s="14"/>
      <c r="Y24" s="14"/>
      <c r="Z24" s="14"/>
      <c r="AA24" s="14"/>
      <c r="AB24" s="14"/>
    </row>
    <row r="25" spans="1:28" ht="21">
      <c r="A25" s="5" t="s">
        <v>163</v>
      </c>
      <c r="B25" s="5" t="s">
        <v>164</v>
      </c>
      <c r="C25" s="10"/>
      <c r="D25" s="10"/>
      <c r="E25" s="10"/>
      <c r="F25" s="10"/>
      <c r="G25" s="10"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v>
      </c>
      <c r="H25" s="7"/>
      <c r="I25" s="7"/>
      <c r="J25" s="2"/>
      <c r="K25" s="14"/>
      <c r="L25" s="14"/>
      <c r="M25" s="14"/>
      <c r="N25" s="14"/>
      <c r="O25" s="14"/>
      <c r="P25" s="14"/>
      <c r="Q25" s="14"/>
      <c r="R25" s="14"/>
      <c r="S25" s="14"/>
      <c r="T25" s="14"/>
      <c r="U25" s="14"/>
      <c r="V25" s="14"/>
      <c r="W25" s="14"/>
      <c r="X25" s="14"/>
      <c r="Y25" s="14"/>
      <c r="Z25" s="14"/>
      <c r="AA25" s="14"/>
      <c r="AB25" s="14"/>
    </row>
    <row r="26" spans="1:28" ht="21">
      <c r="A26" s="5" t="s">
        <v>170</v>
      </c>
      <c r="B26" s="5" t="s">
        <v>171</v>
      </c>
      <c r="C26" s="10"/>
      <c r="D26" s="10"/>
      <c r="E26" s="10"/>
      <c r="F26" s="10"/>
      <c r="G26" s="10"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v>
      </c>
      <c r="H26" s="7"/>
      <c r="I26" s="7"/>
      <c r="J26" s="2"/>
      <c r="K26" s="14"/>
      <c r="L26" s="14"/>
      <c r="M26" s="14"/>
      <c r="N26" s="14"/>
      <c r="O26" s="14"/>
      <c r="P26" s="14"/>
      <c r="Q26" s="14"/>
      <c r="R26" s="14"/>
      <c r="S26" s="14"/>
      <c r="T26" s="14"/>
      <c r="U26" s="14"/>
      <c r="V26" s="14"/>
      <c r="W26" s="14"/>
      <c r="X26" s="14"/>
      <c r="Y26" s="14"/>
      <c r="Z26" s="14"/>
      <c r="AA26" s="14"/>
      <c r="AB26" s="14"/>
    </row>
    <row r="27" spans="1:28" ht="21">
      <c r="A27" s="5" t="s">
        <v>177</v>
      </c>
      <c r="B27" s="5" t="s">
        <v>178</v>
      </c>
      <c r="C27" s="10"/>
      <c r="D27" s="10"/>
      <c r="E27" s="10"/>
      <c r="F27" s="10"/>
      <c r="G27" s="10"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v>
      </c>
      <c r="H27" s="7"/>
      <c r="I27" s="7"/>
      <c r="J27" s="2"/>
      <c r="K27" s="14"/>
      <c r="L27" s="14"/>
      <c r="M27" s="14"/>
      <c r="N27" s="14"/>
      <c r="O27" s="14"/>
      <c r="P27" s="14"/>
      <c r="Q27" s="14"/>
      <c r="R27" s="14"/>
      <c r="S27" s="14"/>
      <c r="T27" s="14"/>
      <c r="U27" s="14"/>
      <c r="V27" s="14"/>
      <c r="W27" s="14"/>
      <c r="X27" s="14"/>
      <c r="Y27" s="14"/>
      <c r="Z27" s="14"/>
      <c r="AA27" s="14"/>
      <c r="AB27" s="14"/>
    </row>
    <row r="28" spans="1:28" ht="21">
      <c r="A28" s="5" t="s">
        <v>184</v>
      </c>
      <c r="B28" s="5" t="s">
        <v>185</v>
      </c>
      <c r="C28" s="10"/>
      <c r="D28" s="10"/>
      <c r="E28" s="10"/>
      <c r="F28" s="10"/>
      <c r="G28" s="10"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v>
      </c>
      <c r="H28" s="7"/>
      <c r="I28" s="7"/>
      <c r="J28" s="2"/>
      <c r="K28" s="14"/>
      <c r="L28" s="14"/>
      <c r="M28" s="14"/>
      <c r="N28" s="14"/>
      <c r="O28" s="14"/>
      <c r="P28" s="14"/>
      <c r="Q28" s="14"/>
      <c r="R28" s="14"/>
      <c r="S28" s="14"/>
      <c r="T28" s="14"/>
      <c r="U28" s="14"/>
      <c r="V28" s="14"/>
      <c r="W28" s="14"/>
      <c r="X28" s="14"/>
      <c r="Y28" s="14"/>
      <c r="Z28" s="14"/>
      <c r="AA28" s="14"/>
      <c r="AB28" s="14"/>
    </row>
    <row r="29" spans="1:28" ht="21">
      <c r="A29" s="5" t="s">
        <v>191</v>
      </c>
      <c r="B29" s="5" t="s">
        <v>192</v>
      </c>
      <c r="C29" s="10"/>
      <c r="D29" s="10"/>
      <c r="E29" s="10"/>
      <c r="F29" s="10"/>
      <c r="G29" s="10" t="str">
        <f>IF(AND(ISNUMBER(MATCH(C29,{"F","E","D","D+","C","C+","B","B+","A","A+","S"},0)),ISNUMBER(MATCH(D29,{"F","E","D","D+","C","C+","B","B+","A","A+","S"},0)),ISNUMBER(MATCH(E29,{"F","E","D","D+","C","C+","B","B+","A","A+","S"},0)),ISNUMBER(MATCH(F29,{"F","E","D","D+","C","C+","B","B+","A","A+","S"},0))),LOOKUP(AVERAGE(_xlfn.SWITCH(C29,"F",0,"E",10,"D",20,"D+",30,"C",40,"C+",50,"B",60,"B+",70,"A",80,"A+",90,"S",100),_xlfn.SWITCH(D29,"F",0,"E",10,"D",20,"D+",30,"C",40,"C+",50,"B",60,"B+",70,"A",80,"A+",90,"S",100),_xlfn.SWITCH(E29,"F",0,"E",10,"D",20,"D+",30,"C",40,"C+",50,"B",60,"B+",70,"A",80,"A+",90,"S",100),_xlfn.SWITCH(F29,"F",0,"E",10,"D",20,"D+",30,"C",40,"C+",50,"B",60,"B+",70,"A",80,"A+",90,"S",100)),{0,15,25,35,45,55,65,75,85,95},{"D","D","D+","C","C+","B","B+","A","A+","S"}),"?")</f>
        <v>?</v>
      </c>
      <c r="H29" s="7"/>
      <c r="I29" s="7"/>
      <c r="J29" s="2"/>
      <c r="K29" s="14"/>
      <c r="L29" s="14"/>
      <c r="M29" s="14"/>
      <c r="N29" s="14"/>
      <c r="O29" s="14"/>
      <c r="P29" s="14"/>
      <c r="Q29" s="14"/>
      <c r="R29" s="14"/>
      <c r="S29" s="14"/>
      <c r="T29" s="14"/>
      <c r="U29" s="14"/>
      <c r="V29" s="14"/>
      <c r="W29" s="14"/>
      <c r="X29" s="14"/>
      <c r="Y29" s="14"/>
      <c r="Z29" s="14"/>
      <c r="AA29" s="14"/>
      <c r="AB29" s="14"/>
    </row>
    <row r="30" spans="1:28" ht="21">
      <c r="A30" s="5" t="s">
        <v>198</v>
      </c>
      <c r="B30" s="5" t="s">
        <v>199</v>
      </c>
      <c r="C30" s="10"/>
      <c r="D30" s="10"/>
      <c r="E30" s="10"/>
      <c r="F30" s="10"/>
      <c r="G30" s="10"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v>
      </c>
      <c r="H30" s="7"/>
      <c r="I30" s="7"/>
      <c r="J30" s="2"/>
      <c r="K30" s="14"/>
      <c r="L30" s="14"/>
      <c r="M30" s="14"/>
      <c r="N30" s="14"/>
      <c r="O30" s="14"/>
      <c r="P30" s="14"/>
      <c r="Q30" s="14"/>
      <c r="R30" s="14"/>
      <c r="S30" s="14"/>
      <c r="T30" s="14"/>
      <c r="U30" s="14"/>
      <c r="V30" s="14"/>
      <c r="W30" s="14"/>
      <c r="X30" s="14"/>
      <c r="Y30" s="14"/>
      <c r="Z30" s="14"/>
      <c r="AA30" s="14"/>
      <c r="AB30" s="14"/>
    </row>
    <row r="31" spans="1:28" ht="21">
      <c r="A31" s="5" t="s">
        <v>205</v>
      </c>
      <c r="B31" s="5" t="s">
        <v>206</v>
      </c>
      <c r="C31" s="10"/>
      <c r="D31" s="10"/>
      <c r="E31" s="10"/>
      <c r="F31" s="10"/>
      <c r="G31" s="10" t="str">
        <f>IF(AND(ISNUMBER(MATCH(C31,{"F","E","D","D+","C","C+","B","B+","A","A+","S"},0)),ISNUMBER(MATCH(D31,{"F","E","D","D+","C","C+","B","B+","A","A+","S"},0)),ISNUMBER(MATCH(E31,{"F","E","D","D+","C","C+","B","B+","A","A+","S"},0)),ISNUMBER(MATCH(F31,{"F","E","D","D+","C","C+","B","B+","A","A+","S"},0))),LOOKUP(AVERAGE(_xlfn.SWITCH(C31,"F",0,"E",10,"D",20,"D+",30,"C",40,"C+",50,"B",60,"B+",70,"A",80,"A+",90,"S",100),_xlfn.SWITCH(D31,"F",0,"E",10,"D",20,"D+",30,"C",40,"C+",50,"B",60,"B+",70,"A",80,"A+",90,"S",100),_xlfn.SWITCH(E31,"F",0,"E",10,"D",20,"D+",30,"C",40,"C+",50,"B",60,"B+",70,"A",80,"A+",90,"S",100),_xlfn.SWITCH(F31,"F",0,"E",10,"D",20,"D+",30,"C",40,"C+",50,"B",60,"B+",70,"A",80,"A+",90,"S",100)),{0,15,25,35,45,55,65,75,85,95},{"D","D","D+","C","C+","B","B+","A","A+","S"}),"?")</f>
        <v>?</v>
      </c>
      <c r="H31" s="7"/>
      <c r="I31" s="7"/>
      <c r="J31" s="2"/>
      <c r="K31" s="14"/>
      <c r="L31" s="14"/>
      <c r="M31" s="14"/>
      <c r="N31" s="14"/>
      <c r="O31" s="14"/>
      <c r="P31" s="14"/>
      <c r="Q31" s="14"/>
      <c r="R31" s="14"/>
      <c r="S31" s="14"/>
      <c r="T31" s="14"/>
      <c r="U31" s="14"/>
      <c r="V31" s="14"/>
      <c r="W31" s="14"/>
      <c r="X31" s="14"/>
      <c r="Y31" s="14"/>
      <c r="Z31" s="14"/>
      <c r="AA31" s="14"/>
      <c r="AB31" s="14"/>
    </row>
    <row r="32" spans="1:28" ht="21">
      <c r="A32" s="5" t="s">
        <v>212</v>
      </c>
      <c r="B32" s="5" t="s">
        <v>213</v>
      </c>
      <c r="C32" s="10"/>
      <c r="D32" s="10"/>
      <c r="E32" s="10"/>
      <c r="F32" s="10"/>
      <c r="G32" s="10"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v>
      </c>
      <c r="H32" s="7"/>
      <c r="I32" s="7"/>
      <c r="J32" s="2"/>
      <c r="K32" s="14"/>
      <c r="L32" s="14"/>
      <c r="M32" s="14"/>
      <c r="N32" s="14"/>
      <c r="O32" s="14"/>
      <c r="P32" s="14"/>
      <c r="Q32" s="14"/>
      <c r="R32" s="14"/>
      <c r="S32" s="14"/>
      <c r="T32" s="14"/>
      <c r="U32" s="14"/>
      <c r="V32" s="14"/>
      <c r="W32" s="14"/>
      <c r="X32" s="14"/>
      <c r="Y32" s="14"/>
      <c r="Z32" s="14"/>
      <c r="AA32" s="14"/>
      <c r="AB32" s="14"/>
    </row>
    <row r="33" spans="1:28" ht="21">
      <c r="A33" s="5" t="s">
        <v>218</v>
      </c>
      <c r="B33" s="5" t="s">
        <v>219</v>
      </c>
      <c r="C33" s="10"/>
      <c r="D33" s="10"/>
      <c r="E33" s="10"/>
      <c r="F33" s="10"/>
      <c r="G33" s="10"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v>
      </c>
      <c r="H33" s="7"/>
      <c r="I33" s="7"/>
      <c r="J33" s="2"/>
      <c r="K33" s="14"/>
      <c r="L33" s="14"/>
      <c r="M33" s="14"/>
      <c r="N33" s="14"/>
      <c r="O33" s="14"/>
      <c r="P33" s="14"/>
      <c r="Q33" s="14"/>
      <c r="R33" s="14"/>
      <c r="S33" s="14"/>
      <c r="T33" s="14"/>
      <c r="U33" s="14"/>
      <c r="V33" s="14"/>
      <c r="W33" s="14"/>
      <c r="X33" s="14"/>
      <c r="Y33" s="14"/>
      <c r="Z33" s="14"/>
      <c r="AA33" s="14"/>
      <c r="AB33" s="14"/>
    </row>
    <row r="34" spans="1:28" ht="21">
      <c r="A34" s="5" t="s">
        <v>225</v>
      </c>
      <c r="B34" s="5" t="s">
        <v>226</v>
      </c>
      <c r="C34" s="10"/>
      <c r="D34" s="10"/>
      <c r="E34" s="10"/>
      <c r="F34" s="10"/>
      <c r="G34" s="10"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v>
      </c>
      <c r="H34" s="7"/>
      <c r="I34" s="7"/>
      <c r="J34" s="2"/>
      <c r="K34" s="14"/>
      <c r="L34" s="14"/>
      <c r="M34" s="14"/>
      <c r="N34" s="14"/>
      <c r="O34" s="14"/>
      <c r="P34" s="14"/>
      <c r="Q34" s="14"/>
      <c r="R34" s="14"/>
      <c r="S34" s="14"/>
      <c r="T34" s="14"/>
      <c r="U34" s="14"/>
      <c r="V34" s="14"/>
      <c r="W34" s="14"/>
      <c r="X34" s="14"/>
      <c r="Y34" s="14"/>
      <c r="Z34" s="14"/>
      <c r="AA34" s="14"/>
      <c r="AB34" s="14"/>
    </row>
    <row r="35" spans="1:28" ht="21">
      <c r="A35" s="5" t="s">
        <v>232</v>
      </c>
      <c r="B35" s="5" t="s">
        <v>233</v>
      </c>
      <c r="C35" s="10"/>
      <c r="D35" s="10"/>
      <c r="E35" s="10"/>
      <c r="F35" s="10"/>
      <c r="G35" s="10"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v>
      </c>
      <c r="H35" s="7"/>
      <c r="I35" s="7"/>
      <c r="J35" s="2"/>
      <c r="K35" s="14"/>
      <c r="L35" s="14"/>
      <c r="M35" s="14"/>
      <c r="N35" s="14"/>
      <c r="O35" s="14"/>
      <c r="P35" s="14"/>
      <c r="Q35" s="14"/>
      <c r="R35" s="14"/>
      <c r="S35" s="14"/>
      <c r="T35" s="14"/>
      <c r="U35" s="14"/>
      <c r="V35" s="14"/>
      <c r="W35" s="14"/>
      <c r="X35" s="14"/>
      <c r="Y35" s="14"/>
      <c r="Z35" s="14"/>
      <c r="AA35" s="14"/>
      <c r="AB35" s="14"/>
    </row>
    <row r="36" spans="1:28" ht="21">
      <c r="A36" s="5" t="s">
        <v>238</v>
      </c>
      <c r="B36" s="5" t="s">
        <v>239</v>
      </c>
      <c r="C36" s="10"/>
      <c r="D36" s="10"/>
      <c r="E36" s="10"/>
      <c r="F36" s="10"/>
      <c r="G36" s="10"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v>
      </c>
      <c r="H36" s="7"/>
      <c r="I36" s="7"/>
      <c r="J36" s="2"/>
      <c r="K36" s="14"/>
      <c r="L36" s="14"/>
      <c r="M36" s="14"/>
      <c r="N36" s="14"/>
      <c r="O36" s="14"/>
      <c r="P36" s="14"/>
      <c r="Q36" s="14"/>
      <c r="R36" s="14"/>
      <c r="S36" s="14"/>
      <c r="T36" s="14"/>
      <c r="U36" s="14"/>
      <c r="V36" s="14"/>
      <c r="W36" s="14"/>
      <c r="X36" s="14"/>
      <c r="Y36" s="14"/>
      <c r="Z36" s="14"/>
      <c r="AA36" s="14"/>
      <c r="AB36" s="14"/>
    </row>
    <row r="37" spans="1:28" ht="21">
      <c r="A37" s="5" t="s">
        <v>243</v>
      </c>
      <c r="B37" s="5" t="s">
        <v>244</v>
      </c>
      <c r="C37" s="10"/>
      <c r="D37" s="10"/>
      <c r="E37" s="10"/>
      <c r="F37" s="10"/>
      <c r="G37" s="10"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v>
      </c>
      <c r="H37" s="7"/>
      <c r="I37" s="7"/>
      <c r="J37" s="2"/>
      <c r="K37" s="14"/>
      <c r="L37" s="14"/>
      <c r="M37" s="14"/>
      <c r="N37" s="14"/>
      <c r="O37" s="14"/>
      <c r="P37" s="14"/>
      <c r="Q37" s="14"/>
      <c r="R37" s="14"/>
      <c r="S37" s="14"/>
      <c r="T37" s="14"/>
      <c r="U37" s="14"/>
      <c r="V37" s="14"/>
      <c r="W37" s="14"/>
      <c r="X37" s="14"/>
      <c r="Y37" s="14"/>
      <c r="Z37" s="14"/>
      <c r="AA37" s="14"/>
      <c r="AB37" s="14"/>
    </row>
    <row r="38" spans="1:28" ht="21">
      <c r="A38" s="5" t="s">
        <v>250</v>
      </c>
      <c r="B38" s="5" t="s">
        <v>80</v>
      </c>
      <c r="C38" s="10"/>
      <c r="D38" s="10"/>
      <c r="E38" s="10"/>
      <c r="F38" s="10"/>
      <c r="G38" s="10"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v>
      </c>
      <c r="H38" s="7"/>
      <c r="I38" s="7"/>
      <c r="J38" s="2"/>
      <c r="K38" s="14"/>
      <c r="L38" s="14"/>
      <c r="M38" s="14"/>
      <c r="N38" s="14"/>
      <c r="O38" s="14"/>
      <c r="P38" s="14"/>
      <c r="Q38" s="14"/>
      <c r="R38" s="14"/>
      <c r="S38" s="14"/>
      <c r="T38" s="14"/>
      <c r="U38" s="14"/>
      <c r="V38" s="14"/>
      <c r="W38" s="14"/>
      <c r="X38" s="14"/>
      <c r="Y38" s="14"/>
      <c r="Z38" s="14"/>
      <c r="AA38" s="14"/>
      <c r="AB38" s="14"/>
    </row>
    <row r="39" spans="1:28" ht="21">
      <c r="A39" s="5" t="s">
        <v>256</v>
      </c>
      <c r="B39" s="5" t="s">
        <v>257</v>
      </c>
      <c r="C39" s="10"/>
      <c r="D39" s="10"/>
      <c r="E39" s="10"/>
      <c r="F39" s="10"/>
      <c r="G39" s="10"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v>
      </c>
      <c r="H39" s="7"/>
      <c r="I39" s="7"/>
      <c r="J39" s="2"/>
      <c r="K39" s="14"/>
      <c r="L39" s="14"/>
      <c r="M39" s="14"/>
      <c r="N39" s="14"/>
      <c r="O39" s="14"/>
      <c r="P39" s="14"/>
      <c r="Q39" s="14"/>
      <c r="R39" s="14"/>
      <c r="S39" s="14"/>
      <c r="T39" s="14"/>
      <c r="U39" s="14"/>
      <c r="V39" s="14"/>
      <c r="W39" s="14"/>
      <c r="X39" s="14"/>
      <c r="Y39" s="14"/>
      <c r="Z39" s="14"/>
      <c r="AA39" s="14"/>
      <c r="AB39" s="14"/>
    </row>
    <row r="40" spans="1:28" ht="21">
      <c r="A40" s="5" t="s">
        <v>263</v>
      </c>
      <c r="B40" s="5" t="s">
        <v>264</v>
      </c>
      <c r="C40" s="10"/>
      <c r="D40" s="10"/>
      <c r="E40" s="10"/>
      <c r="F40" s="10"/>
      <c r="G40" s="10"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v>
      </c>
      <c r="H40" s="7"/>
      <c r="I40" s="7"/>
      <c r="J40" s="2"/>
      <c r="K40" s="14"/>
      <c r="L40" s="14"/>
      <c r="M40" s="14"/>
      <c r="N40" s="14"/>
      <c r="O40" s="14"/>
      <c r="P40" s="14"/>
      <c r="Q40" s="14"/>
      <c r="R40" s="14"/>
      <c r="S40" s="14"/>
      <c r="T40" s="14"/>
      <c r="U40" s="14"/>
      <c r="V40" s="14"/>
      <c r="W40" s="14"/>
      <c r="X40" s="14"/>
      <c r="Y40" s="14"/>
      <c r="Z40" s="14"/>
      <c r="AA40" s="14"/>
      <c r="AB40" s="14"/>
    </row>
    <row r="41" spans="1:28" ht="21">
      <c r="A41" s="5" t="s">
        <v>269</v>
      </c>
      <c r="B41" s="8" t="s">
        <v>270</v>
      </c>
      <c r="C41" s="10"/>
      <c r="D41" s="10"/>
      <c r="E41" s="10"/>
      <c r="F41" s="10"/>
      <c r="G41" s="10"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v>
      </c>
      <c r="H41" s="7"/>
      <c r="I41" s="7"/>
      <c r="J41" s="2"/>
      <c r="K41" s="14"/>
      <c r="L41" s="14"/>
      <c r="M41" s="14"/>
      <c r="N41" s="14"/>
      <c r="O41" s="14"/>
      <c r="P41" s="14"/>
      <c r="Q41" s="14"/>
      <c r="R41" s="14"/>
      <c r="S41" s="14"/>
      <c r="T41" s="14"/>
      <c r="U41" s="14"/>
      <c r="V41" s="14"/>
      <c r="W41" s="14"/>
      <c r="X41" s="14"/>
      <c r="Y41" s="14"/>
      <c r="Z41" s="14"/>
      <c r="AA41" s="14"/>
      <c r="AB41" s="14"/>
    </row>
    <row r="42" spans="1:28" ht="21">
      <c r="A42" s="5" t="s">
        <v>274</v>
      </c>
      <c r="B42" s="5" t="s">
        <v>275</v>
      </c>
      <c r="C42" s="10"/>
      <c r="D42" s="10"/>
      <c r="E42" s="10"/>
      <c r="F42" s="10"/>
      <c r="G42" s="10"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v>
      </c>
      <c r="H42" s="7"/>
      <c r="I42" s="7"/>
      <c r="J42" s="2"/>
      <c r="K42" s="14"/>
      <c r="L42" s="14"/>
      <c r="M42" s="14"/>
      <c r="N42" s="14"/>
      <c r="O42" s="14"/>
      <c r="P42" s="14"/>
      <c r="Q42" s="14"/>
      <c r="R42" s="14"/>
      <c r="S42" s="14"/>
      <c r="T42" s="14"/>
      <c r="U42" s="14"/>
      <c r="V42" s="14"/>
      <c r="W42" s="14"/>
      <c r="X42" s="14"/>
      <c r="Y42" s="14"/>
      <c r="Z42" s="14"/>
      <c r="AA42" s="14"/>
      <c r="AB42" s="14"/>
    </row>
    <row r="43" spans="1:28" ht="21">
      <c r="A43" s="5" t="s">
        <v>279</v>
      </c>
      <c r="B43" s="5" t="s">
        <v>280</v>
      </c>
      <c r="C43" s="10"/>
      <c r="D43" s="10"/>
      <c r="E43" s="10"/>
      <c r="F43" s="10"/>
      <c r="G43" s="10"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v>
      </c>
      <c r="H43" s="7"/>
      <c r="I43" s="7"/>
      <c r="J43" s="2"/>
      <c r="K43" s="14"/>
      <c r="L43" s="14"/>
      <c r="M43" s="14"/>
      <c r="N43" s="14"/>
      <c r="O43" s="14"/>
      <c r="P43" s="14"/>
      <c r="Q43" s="14"/>
      <c r="R43" s="14"/>
      <c r="S43" s="14"/>
      <c r="T43" s="14"/>
      <c r="U43" s="14"/>
      <c r="V43" s="14"/>
      <c r="W43" s="14"/>
      <c r="X43" s="14"/>
      <c r="Y43" s="14"/>
      <c r="Z43" s="14"/>
      <c r="AA43" s="14"/>
      <c r="AB43" s="14"/>
    </row>
    <row r="44" spans="1:28" ht="21">
      <c r="A44" s="5" t="s">
        <v>286</v>
      </c>
      <c r="B44" s="5" t="s">
        <v>54</v>
      </c>
      <c r="C44" s="10"/>
      <c r="D44" s="10"/>
      <c r="E44" s="10"/>
      <c r="F44" s="10"/>
      <c r="G44" s="10"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v>
      </c>
      <c r="H44" s="7"/>
      <c r="I44" s="7"/>
      <c r="J44" s="2"/>
      <c r="K44" s="14"/>
      <c r="L44" s="14"/>
      <c r="M44" s="14"/>
      <c r="N44" s="14"/>
      <c r="O44" s="14"/>
      <c r="P44" s="14"/>
      <c r="Q44" s="14"/>
      <c r="R44" s="14"/>
      <c r="S44" s="14"/>
      <c r="T44" s="14"/>
      <c r="U44" s="14"/>
      <c r="V44" s="14"/>
      <c r="W44" s="14"/>
      <c r="X44" s="14"/>
      <c r="Y44" s="14"/>
      <c r="Z44" s="14"/>
      <c r="AA44" s="14"/>
      <c r="AB44" s="14"/>
    </row>
    <row r="45" spans="1:28" ht="21">
      <c r="A45" s="5" t="s">
        <v>292</v>
      </c>
      <c r="B45" s="5" t="s">
        <v>293</v>
      </c>
      <c r="C45" s="10"/>
      <c r="D45" s="10"/>
      <c r="E45" s="10"/>
      <c r="F45" s="10"/>
      <c r="G45" s="10"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v>
      </c>
      <c r="H45" s="7"/>
      <c r="I45" s="7"/>
      <c r="J45" s="2"/>
      <c r="K45" s="14"/>
      <c r="L45" s="14"/>
      <c r="M45" s="14"/>
      <c r="N45" s="14"/>
      <c r="O45" s="14"/>
      <c r="P45" s="14"/>
      <c r="Q45" s="14"/>
      <c r="R45" s="14"/>
      <c r="S45" s="14"/>
      <c r="T45" s="14"/>
      <c r="U45" s="14"/>
      <c r="V45" s="14"/>
      <c r="W45" s="14"/>
      <c r="X45" s="14"/>
      <c r="Y45" s="14"/>
      <c r="Z45" s="14"/>
      <c r="AA45" s="14"/>
      <c r="AB45" s="14"/>
    </row>
    <row r="46" spans="1:28" ht="21">
      <c r="A46" s="5" t="s">
        <v>298</v>
      </c>
      <c r="B46" s="5" t="s">
        <v>299</v>
      </c>
      <c r="C46" s="10"/>
      <c r="D46" s="10"/>
      <c r="E46" s="10"/>
      <c r="F46" s="10"/>
      <c r="G46" s="10"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v>
      </c>
      <c r="H46" s="7"/>
      <c r="I46" s="7"/>
      <c r="J46" s="2"/>
      <c r="K46" s="14"/>
      <c r="L46" s="14"/>
      <c r="M46" s="14"/>
      <c r="N46" s="14"/>
      <c r="O46" s="14"/>
      <c r="P46" s="14"/>
      <c r="Q46" s="14"/>
      <c r="R46" s="14"/>
      <c r="S46" s="14"/>
      <c r="T46" s="14"/>
      <c r="U46" s="14"/>
      <c r="V46" s="14"/>
      <c r="W46" s="14"/>
      <c r="X46" s="14"/>
      <c r="Y46" s="14"/>
      <c r="Z46" s="14"/>
      <c r="AA46" s="14"/>
      <c r="AB46" s="14"/>
    </row>
    <row r="47" spans="1:28" ht="21">
      <c r="A47" s="5" t="s">
        <v>302</v>
      </c>
      <c r="B47" s="5" t="s">
        <v>303</v>
      </c>
      <c r="C47" s="10"/>
      <c r="D47" s="10"/>
      <c r="E47" s="10"/>
      <c r="F47" s="10"/>
      <c r="G47" s="10"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v>
      </c>
      <c r="H47" s="7"/>
      <c r="I47" s="7"/>
      <c r="J47" s="2"/>
      <c r="K47" s="14"/>
      <c r="L47" s="14"/>
      <c r="M47" s="14"/>
      <c r="N47" s="14"/>
      <c r="O47" s="14"/>
      <c r="P47" s="14"/>
      <c r="Q47" s="14"/>
      <c r="R47" s="14"/>
      <c r="S47" s="14"/>
      <c r="T47" s="14"/>
      <c r="U47" s="14"/>
      <c r="V47" s="14"/>
      <c r="W47" s="14"/>
      <c r="X47" s="14"/>
      <c r="Y47" s="14"/>
      <c r="Z47" s="14"/>
      <c r="AA47" s="14"/>
      <c r="AB47" s="14"/>
    </row>
    <row r="48" spans="1:28" ht="21">
      <c r="A48" s="5" t="s">
        <v>309</v>
      </c>
      <c r="B48" s="5" t="s">
        <v>310</v>
      </c>
      <c r="C48" s="10"/>
      <c r="D48" s="10"/>
      <c r="E48" s="10"/>
      <c r="F48" s="10"/>
      <c r="G48" s="10"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v>
      </c>
      <c r="H48" s="7"/>
      <c r="I48" s="7"/>
      <c r="J48" s="2"/>
      <c r="K48" s="14"/>
      <c r="L48" s="14"/>
      <c r="M48" s="14"/>
      <c r="N48" s="14"/>
      <c r="O48" s="14"/>
      <c r="P48" s="14"/>
      <c r="Q48" s="14"/>
      <c r="R48" s="14"/>
      <c r="S48" s="14"/>
      <c r="T48" s="14"/>
      <c r="U48" s="14"/>
      <c r="V48" s="14"/>
      <c r="W48" s="14"/>
      <c r="X48" s="14"/>
      <c r="Y48" s="14"/>
      <c r="Z48" s="14"/>
      <c r="AA48" s="14"/>
      <c r="AB48" s="14"/>
    </row>
    <row r="49" spans="1:28" ht="21">
      <c r="A49" s="5" t="s">
        <v>315</v>
      </c>
      <c r="B49" s="5" t="s">
        <v>316</v>
      </c>
      <c r="C49" s="10"/>
      <c r="D49" s="10"/>
      <c r="E49" s="10"/>
      <c r="F49" s="10"/>
      <c r="G49" s="10" t="str">
        <f>IF(AND(ISNUMBER(MATCH(C49,{"F","E","D","D+","C","C+","B","B+","A","A+","S"},0)),ISNUMBER(MATCH(D49,{"F","E","D","D+","C","C+","B","B+","A","A+","S"},0)),ISNUMBER(MATCH(E49,{"F","E","D","D+","C","C+","B","B+","A","A+","S"},0)),ISNUMBER(MATCH(F49,{"F","E","D","D+","C","C+","B","B+","A","A+","S"},0))),LOOKUP(AVERAGE(_xlfn.SWITCH(C49,"F",0,"E",10,"D",20,"D+",30,"C",40,"C+",50,"B",60,"B+",70,"A",80,"A+",90,"S",100),_xlfn.SWITCH(D49,"F",0,"E",10,"D",20,"D+",30,"C",40,"C+",50,"B",60,"B+",70,"A",80,"A+",90,"S",100),_xlfn.SWITCH(E49,"F",0,"E",10,"D",20,"D+",30,"C",40,"C+",50,"B",60,"B+",70,"A",80,"A+",90,"S",100),_xlfn.SWITCH(F49,"F",0,"E",10,"D",20,"D+",30,"C",40,"C+",50,"B",60,"B+",70,"A",80,"A+",90,"S",100)),{0,15,25,35,45,55,65,75,85,95},{"D","D","D+","C","C+","B","B+","A","A+","S"}),"?")</f>
        <v>?</v>
      </c>
      <c r="H49" s="7"/>
      <c r="I49" s="7"/>
      <c r="J49" s="2"/>
      <c r="K49" s="14"/>
      <c r="L49" s="14"/>
      <c r="M49" s="14"/>
      <c r="N49" s="14"/>
      <c r="O49" s="14"/>
      <c r="P49" s="14"/>
      <c r="Q49" s="14"/>
      <c r="R49" s="14"/>
      <c r="S49" s="14"/>
      <c r="T49" s="14"/>
      <c r="U49" s="14"/>
      <c r="V49" s="14"/>
      <c r="W49" s="14"/>
      <c r="X49" s="14"/>
      <c r="Y49" s="14"/>
      <c r="Z49" s="14"/>
      <c r="AA49" s="14"/>
      <c r="AB49" s="14"/>
    </row>
    <row r="50" spans="1:28" ht="21">
      <c r="A50" s="5" t="s">
        <v>322</v>
      </c>
      <c r="B50" s="5" t="s">
        <v>162</v>
      </c>
      <c r="C50" s="10"/>
      <c r="D50" s="10"/>
      <c r="E50" s="10"/>
      <c r="F50" s="10"/>
      <c r="G50" s="10"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v>
      </c>
      <c r="H50" s="7"/>
      <c r="I50" s="7"/>
      <c r="J50" s="2"/>
      <c r="K50" s="14"/>
      <c r="L50" s="14"/>
      <c r="M50" s="14"/>
      <c r="N50" s="14"/>
      <c r="O50" s="14"/>
      <c r="P50" s="14"/>
      <c r="Q50" s="14"/>
      <c r="R50" s="14"/>
      <c r="S50" s="14"/>
      <c r="T50" s="14"/>
      <c r="U50" s="14"/>
      <c r="V50" s="14"/>
      <c r="W50" s="14"/>
      <c r="X50" s="14"/>
      <c r="Y50" s="14"/>
      <c r="Z50" s="14"/>
      <c r="AA50" s="14"/>
      <c r="AB50" s="14"/>
    </row>
    <row r="51" spans="1:28" ht="21">
      <c r="A51" s="5" t="s">
        <v>326</v>
      </c>
      <c r="B51" s="5" t="s">
        <v>94</v>
      </c>
      <c r="C51" s="10"/>
      <c r="D51" s="10"/>
      <c r="E51" s="10"/>
      <c r="F51" s="10"/>
      <c r="G51" s="10"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v>
      </c>
      <c r="H51" s="7"/>
      <c r="I51" s="7"/>
      <c r="J51" s="2"/>
      <c r="K51" s="14"/>
      <c r="L51" s="14"/>
      <c r="M51" s="14"/>
      <c r="N51" s="14"/>
      <c r="O51" s="14"/>
      <c r="P51" s="14"/>
      <c r="Q51" s="14"/>
      <c r="R51" s="14"/>
      <c r="S51" s="14"/>
      <c r="T51" s="14"/>
      <c r="U51" s="14"/>
      <c r="V51" s="14"/>
      <c r="W51" s="14"/>
      <c r="X51" s="14"/>
      <c r="Y51" s="14"/>
      <c r="Z51" s="14"/>
      <c r="AA51" s="14"/>
      <c r="AB51" s="14"/>
    </row>
    <row r="52" spans="1:28" ht="21">
      <c r="A52" s="5" t="s">
        <v>331</v>
      </c>
      <c r="B52" s="5" t="s">
        <v>332</v>
      </c>
      <c r="C52" s="10"/>
      <c r="D52" s="10"/>
      <c r="E52" s="10"/>
      <c r="F52" s="10"/>
      <c r="G52" s="10"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v>
      </c>
      <c r="H52" s="7"/>
      <c r="I52" s="7"/>
      <c r="J52" s="2"/>
      <c r="K52" s="14"/>
      <c r="L52" s="14"/>
      <c r="M52" s="14"/>
      <c r="N52" s="14"/>
      <c r="O52" s="14"/>
      <c r="P52" s="14"/>
      <c r="Q52" s="14"/>
      <c r="R52" s="14"/>
      <c r="S52" s="14"/>
      <c r="T52" s="14"/>
      <c r="U52" s="14"/>
      <c r="V52" s="14"/>
      <c r="W52" s="14"/>
      <c r="X52" s="14"/>
      <c r="Y52" s="14"/>
      <c r="Z52" s="14"/>
      <c r="AA52" s="14"/>
      <c r="AB52" s="14"/>
    </row>
    <row r="53" spans="1:28" ht="21">
      <c r="A53" s="5" t="s">
        <v>334</v>
      </c>
      <c r="B53" s="5" t="s">
        <v>335</v>
      </c>
      <c r="C53" s="10"/>
      <c r="D53" s="10"/>
      <c r="E53" s="10"/>
      <c r="F53" s="10"/>
      <c r="G53" s="10"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v>
      </c>
      <c r="H53" s="7"/>
      <c r="I53" s="7"/>
      <c r="J53" s="2"/>
      <c r="K53" s="14"/>
      <c r="L53" s="14"/>
      <c r="M53" s="14"/>
      <c r="N53" s="14"/>
      <c r="O53" s="14"/>
      <c r="P53" s="14"/>
      <c r="Q53" s="14"/>
      <c r="R53" s="14"/>
      <c r="S53" s="14"/>
      <c r="T53" s="14"/>
      <c r="U53" s="14"/>
      <c r="V53" s="14"/>
      <c r="W53" s="14"/>
      <c r="X53" s="14"/>
      <c r="Y53" s="14"/>
      <c r="Z53" s="14"/>
      <c r="AA53" s="14"/>
      <c r="AB53" s="14"/>
    </row>
    <row r="54" spans="1:28" ht="21">
      <c r="A54" s="5" t="s">
        <v>339</v>
      </c>
      <c r="B54" s="5" t="s">
        <v>340</v>
      </c>
      <c r="C54" s="10"/>
      <c r="D54" s="10"/>
      <c r="E54" s="10"/>
      <c r="F54" s="10"/>
      <c r="G54" s="10"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v>
      </c>
      <c r="H54" s="7"/>
      <c r="I54" s="7"/>
      <c r="J54" s="2"/>
      <c r="K54" s="14"/>
      <c r="L54" s="14"/>
      <c r="M54" s="14"/>
      <c r="N54" s="14"/>
      <c r="O54" s="14"/>
      <c r="P54" s="14"/>
      <c r="Q54" s="14"/>
      <c r="R54" s="14"/>
      <c r="S54" s="14"/>
      <c r="T54" s="14"/>
      <c r="U54" s="14"/>
      <c r="V54" s="14"/>
      <c r="W54" s="14"/>
      <c r="X54" s="14"/>
      <c r="Y54" s="14"/>
      <c r="Z54" s="14"/>
      <c r="AA54" s="14"/>
      <c r="AB54" s="14"/>
    </row>
    <row r="55" spans="1:28" ht="21">
      <c r="A55" s="5" t="s">
        <v>346</v>
      </c>
      <c r="B55" s="5" t="s">
        <v>347</v>
      </c>
      <c r="C55" s="10"/>
      <c r="D55" s="10"/>
      <c r="E55" s="10"/>
      <c r="F55" s="10"/>
      <c r="G55" s="10"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v>
      </c>
      <c r="H55" s="7"/>
      <c r="I55" s="7"/>
      <c r="J55" s="2"/>
      <c r="K55" s="14"/>
      <c r="L55" s="14"/>
      <c r="M55" s="14"/>
      <c r="N55" s="14"/>
      <c r="O55" s="14"/>
      <c r="P55" s="14"/>
      <c r="Q55" s="14"/>
      <c r="R55" s="14"/>
      <c r="S55" s="14"/>
      <c r="T55" s="14"/>
      <c r="U55" s="14"/>
      <c r="V55" s="14"/>
      <c r="W55" s="14"/>
      <c r="X55" s="14"/>
      <c r="Y55" s="14"/>
      <c r="Z55" s="14"/>
      <c r="AA55" s="14"/>
      <c r="AB55" s="14"/>
    </row>
    <row r="56" spans="1:28" ht="21">
      <c r="A56" s="5" t="s">
        <v>353</v>
      </c>
      <c r="B56" s="5" t="s">
        <v>354</v>
      </c>
      <c r="C56" s="10"/>
      <c r="D56" s="10"/>
      <c r="E56" s="10"/>
      <c r="F56" s="10"/>
      <c r="G56" s="10"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7"/>
      <c r="I56" s="7"/>
      <c r="J56" s="2"/>
      <c r="K56" s="14"/>
      <c r="L56" s="14"/>
      <c r="M56" s="14"/>
      <c r="N56" s="14"/>
      <c r="O56" s="14"/>
      <c r="P56" s="14"/>
      <c r="Q56" s="14"/>
      <c r="R56" s="14"/>
      <c r="S56" s="14"/>
      <c r="T56" s="14"/>
      <c r="U56" s="14"/>
      <c r="V56" s="14"/>
      <c r="W56" s="14"/>
      <c r="X56" s="14"/>
      <c r="Y56" s="14"/>
      <c r="Z56" s="14"/>
      <c r="AA56" s="14"/>
      <c r="AB56" s="14"/>
    </row>
    <row r="57" spans="1:28" ht="21">
      <c r="A57" s="5" t="s">
        <v>358</v>
      </c>
      <c r="B57" s="5" t="s">
        <v>359</v>
      </c>
      <c r="C57" s="10"/>
      <c r="D57" s="10"/>
      <c r="E57" s="10"/>
      <c r="F57" s="10"/>
      <c r="G57" s="10"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7"/>
      <c r="I57" s="7"/>
      <c r="J57" s="2"/>
      <c r="K57" s="14"/>
      <c r="L57" s="14"/>
      <c r="M57" s="14"/>
      <c r="N57" s="14"/>
      <c r="O57" s="14"/>
      <c r="P57" s="14"/>
      <c r="Q57" s="14"/>
      <c r="R57" s="14"/>
      <c r="S57" s="14"/>
      <c r="T57" s="14"/>
      <c r="U57" s="14"/>
      <c r="V57" s="14"/>
      <c r="W57" s="14"/>
      <c r="X57" s="14"/>
      <c r="Y57" s="14"/>
      <c r="Z57" s="14"/>
      <c r="AA57" s="14"/>
      <c r="AB57" s="14"/>
    </row>
    <row r="58" spans="1:28" ht="21">
      <c r="A58" s="5" t="s">
        <v>365</v>
      </c>
      <c r="B58" s="5" t="s">
        <v>366</v>
      </c>
      <c r="C58" s="10"/>
      <c r="D58" s="10"/>
      <c r="E58" s="10"/>
      <c r="F58" s="10"/>
      <c r="G58" s="10"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7"/>
      <c r="I58" s="7"/>
      <c r="J58" s="2"/>
      <c r="K58" s="14"/>
      <c r="L58" s="14"/>
      <c r="M58" s="14"/>
      <c r="N58" s="14"/>
      <c r="O58" s="14"/>
      <c r="P58" s="14"/>
      <c r="Q58" s="14"/>
      <c r="R58" s="14"/>
      <c r="S58" s="14"/>
      <c r="T58" s="14"/>
      <c r="U58" s="14"/>
      <c r="V58" s="14"/>
      <c r="W58" s="14"/>
      <c r="X58" s="14"/>
      <c r="Y58" s="14"/>
      <c r="Z58" s="14"/>
      <c r="AA58" s="14"/>
      <c r="AB58" s="14"/>
    </row>
    <row r="59" spans="1:28" ht="21">
      <c r="A59" s="5" t="s">
        <v>371</v>
      </c>
      <c r="B59" s="5" t="s">
        <v>372</v>
      </c>
      <c r="C59" s="10"/>
      <c r="D59" s="10"/>
      <c r="E59" s="10"/>
      <c r="F59" s="10"/>
      <c r="G59" s="10"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7"/>
      <c r="I59" s="7"/>
      <c r="J59" s="2"/>
      <c r="K59" s="14"/>
      <c r="L59" s="14"/>
      <c r="M59" s="14"/>
      <c r="N59" s="14"/>
      <c r="O59" s="14"/>
      <c r="P59" s="14"/>
      <c r="Q59" s="14"/>
      <c r="R59" s="14"/>
      <c r="S59" s="14"/>
      <c r="T59" s="14"/>
      <c r="U59" s="14"/>
      <c r="V59" s="14"/>
      <c r="W59" s="14"/>
      <c r="X59" s="14"/>
      <c r="Y59" s="14"/>
      <c r="Z59" s="14"/>
      <c r="AA59" s="14"/>
      <c r="AB59" s="14"/>
    </row>
    <row r="60" spans="1:28" ht="21">
      <c r="A60" s="5" t="s">
        <v>376</v>
      </c>
      <c r="B60" s="5" t="s">
        <v>278</v>
      </c>
      <c r="C60" s="10"/>
      <c r="D60" s="10"/>
      <c r="E60" s="10"/>
      <c r="F60" s="10"/>
      <c r="G60" s="10"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7"/>
      <c r="I60" s="7"/>
      <c r="J60" s="2"/>
      <c r="K60" s="14"/>
      <c r="L60" s="14"/>
      <c r="M60" s="14"/>
      <c r="N60" s="14"/>
      <c r="O60" s="14"/>
      <c r="P60" s="14"/>
      <c r="Q60" s="14"/>
      <c r="R60" s="14"/>
      <c r="S60" s="14"/>
      <c r="T60" s="14"/>
      <c r="U60" s="14"/>
      <c r="V60" s="14"/>
      <c r="W60" s="14"/>
      <c r="X60" s="14"/>
      <c r="Y60" s="14"/>
      <c r="Z60" s="14"/>
      <c r="AA60" s="14"/>
      <c r="AB60" s="14"/>
    </row>
    <row r="61" spans="1:28" ht="21">
      <c r="A61" s="5" t="s">
        <v>382</v>
      </c>
      <c r="B61" s="5" t="s">
        <v>383</v>
      </c>
      <c r="C61" s="10"/>
      <c r="D61" s="10"/>
      <c r="E61" s="10"/>
      <c r="F61" s="10"/>
      <c r="G61" s="10"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7"/>
      <c r="I61" s="7"/>
      <c r="J61" s="2"/>
      <c r="K61" s="14"/>
      <c r="L61" s="14"/>
      <c r="M61" s="14"/>
      <c r="N61" s="14"/>
      <c r="O61" s="14"/>
      <c r="P61" s="14"/>
      <c r="Q61" s="14"/>
      <c r="R61" s="14"/>
      <c r="S61" s="14"/>
      <c r="T61" s="14"/>
      <c r="U61" s="14"/>
      <c r="V61" s="14"/>
      <c r="W61" s="14"/>
      <c r="X61" s="14"/>
      <c r="Y61" s="14"/>
      <c r="Z61" s="14"/>
      <c r="AA61" s="14"/>
      <c r="AB61" s="14"/>
    </row>
    <row r="62" spans="1:28" ht="21">
      <c r="A62" s="5" t="s">
        <v>387</v>
      </c>
      <c r="B62" s="5" t="s">
        <v>388</v>
      </c>
      <c r="C62" s="10"/>
      <c r="D62" s="10"/>
      <c r="E62" s="10"/>
      <c r="F62" s="10"/>
      <c r="G62" s="10"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7"/>
      <c r="I62" s="7"/>
      <c r="J62" s="2"/>
      <c r="K62" s="14"/>
      <c r="L62" s="14"/>
      <c r="M62" s="14"/>
      <c r="N62" s="14"/>
      <c r="O62" s="14"/>
      <c r="P62" s="14"/>
      <c r="Q62" s="14"/>
      <c r="R62" s="14"/>
      <c r="S62" s="14"/>
      <c r="T62" s="14"/>
      <c r="U62" s="14"/>
      <c r="V62" s="14"/>
      <c r="W62" s="14"/>
      <c r="X62" s="14"/>
      <c r="Y62" s="14"/>
      <c r="Z62" s="14"/>
      <c r="AA62" s="14"/>
      <c r="AB62" s="14"/>
    </row>
    <row r="63" spans="1:28" ht="21">
      <c r="A63" s="5" t="s">
        <v>393</v>
      </c>
      <c r="B63" s="5" t="s">
        <v>394</v>
      </c>
      <c r="C63" s="10"/>
      <c r="D63" s="10"/>
      <c r="E63" s="10"/>
      <c r="F63" s="10"/>
      <c r="G63" s="10"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7"/>
      <c r="I63" s="7"/>
      <c r="J63" s="2"/>
      <c r="K63" s="14"/>
      <c r="L63" s="14"/>
      <c r="M63" s="14"/>
      <c r="N63" s="14"/>
      <c r="O63" s="14"/>
      <c r="P63" s="14"/>
      <c r="Q63" s="14"/>
      <c r="R63" s="14"/>
      <c r="S63" s="14"/>
      <c r="T63" s="14"/>
      <c r="U63" s="14"/>
      <c r="V63" s="14"/>
      <c r="W63" s="14"/>
      <c r="X63" s="14"/>
      <c r="Y63" s="14"/>
      <c r="Z63" s="14"/>
      <c r="AA63" s="14"/>
      <c r="AB63" s="14"/>
    </row>
    <row r="64" spans="1:28" ht="21">
      <c r="A64" s="5" t="s">
        <v>399</v>
      </c>
      <c r="B64" s="5" t="s">
        <v>400</v>
      </c>
      <c r="C64" s="10"/>
      <c r="D64" s="10"/>
      <c r="E64" s="10"/>
      <c r="F64" s="10"/>
      <c r="G64" s="10"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7"/>
      <c r="I64" s="7"/>
      <c r="J64" s="2"/>
      <c r="K64" s="14"/>
      <c r="L64" s="14"/>
      <c r="M64" s="14"/>
      <c r="N64" s="14"/>
      <c r="O64" s="14"/>
      <c r="P64" s="14"/>
      <c r="Q64" s="14"/>
      <c r="R64" s="14"/>
      <c r="S64" s="14"/>
      <c r="T64" s="14"/>
      <c r="U64" s="14"/>
      <c r="V64" s="14"/>
      <c r="W64" s="14"/>
      <c r="X64" s="14"/>
      <c r="Y64" s="14"/>
      <c r="Z64" s="14"/>
      <c r="AA64" s="14"/>
      <c r="AB64" s="14"/>
    </row>
    <row r="65" spans="1:28" ht="21">
      <c r="A65" s="5" t="s">
        <v>404</v>
      </c>
      <c r="B65" s="5" t="s">
        <v>405</v>
      </c>
      <c r="C65" s="10"/>
      <c r="D65" s="10"/>
      <c r="E65" s="10"/>
      <c r="F65" s="10"/>
      <c r="G65" s="10"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7"/>
      <c r="I65" s="7"/>
      <c r="J65" s="2"/>
      <c r="K65" s="14"/>
      <c r="L65" s="14"/>
      <c r="M65" s="14"/>
      <c r="N65" s="14"/>
      <c r="O65" s="14"/>
      <c r="P65" s="14"/>
      <c r="Q65" s="14"/>
      <c r="R65" s="14"/>
      <c r="S65" s="14"/>
      <c r="T65" s="14"/>
      <c r="U65" s="14"/>
      <c r="V65" s="14"/>
      <c r="W65" s="14"/>
      <c r="X65" s="14"/>
      <c r="Y65" s="14"/>
      <c r="Z65" s="14"/>
      <c r="AA65" s="14"/>
      <c r="AB65" s="14"/>
    </row>
    <row r="66" spans="1:28" ht="21">
      <c r="A66" s="5" t="s">
        <v>409</v>
      </c>
      <c r="B66" s="5" t="s">
        <v>308</v>
      </c>
      <c r="C66" s="10"/>
      <c r="D66" s="10"/>
      <c r="E66" s="10"/>
      <c r="F66" s="10"/>
      <c r="G66" s="10"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7"/>
      <c r="I66" s="7"/>
      <c r="J66" s="2"/>
      <c r="K66" s="14"/>
      <c r="L66" s="14"/>
      <c r="M66" s="14"/>
      <c r="N66" s="14"/>
      <c r="O66" s="14"/>
      <c r="P66" s="14"/>
      <c r="Q66" s="14"/>
      <c r="R66" s="14"/>
      <c r="S66" s="14"/>
      <c r="T66" s="14"/>
      <c r="U66" s="14"/>
      <c r="V66" s="14"/>
      <c r="W66" s="14"/>
      <c r="X66" s="14"/>
      <c r="Y66" s="14"/>
      <c r="Z66" s="14"/>
      <c r="AA66" s="14"/>
      <c r="AB66" s="14"/>
    </row>
    <row r="67" spans="1:28" ht="21">
      <c r="A67" s="5" t="s">
        <v>413</v>
      </c>
      <c r="B67" s="5" t="s">
        <v>414</v>
      </c>
      <c r="C67" s="10"/>
      <c r="D67" s="10"/>
      <c r="E67" s="10"/>
      <c r="F67" s="10"/>
      <c r="G67" s="10"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7"/>
      <c r="I67" s="7"/>
      <c r="J67" s="2"/>
      <c r="K67" s="14"/>
      <c r="L67" s="14"/>
      <c r="M67" s="14"/>
      <c r="N67" s="14"/>
      <c r="O67" s="14"/>
      <c r="P67" s="14"/>
      <c r="Q67" s="14"/>
      <c r="R67" s="14"/>
      <c r="S67" s="14"/>
      <c r="T67" s="14"/>
      <c r="U67" s="14"/>
      <c r="V67" s="14"/>
      <c r="W67" s="14"/>
      <c r="X67" s="14"/>
      <c r="Y67" s="14"/>
      <c r="Z67" s="14"/>
      <c r="AA67" s="14"/>
      <c r="AB67" s="14"/>
    </row>
    <row r="68" spans="1:28" ht="21">
      <c r="A68" s="5" t="s">
        <v>416</v>
      </c>
      <c r="B68" s="5" t="s">
        <v>417</v>
      </c>
      <c r="C68" s="10"/>
      <c r="D68" s="10"/>
      <c r="E68" s="10"/>
      <c r="F68" s="10"/>
      <c r="G68" s="10"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7"/>
      <c r="I68" s="7"/>
      <c r="J68" s="2"/>
      <c r="K68" s="14"/>
      <c r="L68" s="14"/>
      <c r="M68" s="14"/>
      <c r="N68" s="14"/>
      <c r="O68" s="14"/>
      <c r="P68" s="14"/>
      <c r="Q68" s="14"/>
      <c r="R68" s="14"/>
      <c r="S68" s="14"/>
      <c r="T68" s="14"/>
      <c r="U68" s="14"/>
      <c r="V68" s="14"/>
      <c r="W68" s="14"/>
      <c r="X68" s="14"/>
      <c r="Y68" s="14"/>
      <c r="Z68" s="14"/>
      <c r="AA68" s="14"/>
      <c r="AB68" s="14"/>
    </row>
    <row r="69" spans="1:28" ht="21">
      <c r="A69" s="5" t="s">
        <v>421</v>
      </c>
      <c r="B69" s="5" t="s">
        <v>422</v>
      </c>
      <c r="C69" s="10"/>
      <c r="D69" s="10"/>
      <c r="E69" s="10"/>
      <c r="F69" s="10"/>
      <c r="G69" s="10"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v>
      </c>
      <c r="H69" s="7"/>
      <c r="I69" s="7"/>
      <c r="J69" s="2"/>
      <c r="K69" s="14"/>
      <c r="L69" s="14"/>
      <c r="M69" s="14"/>
      <c r="N69" s="14"/>
      <c r="O69" s="14"/>
      <c r="P69" s="14"/>
      <c r="Q69" s="14"/>
      <c r="R69" s="14"/>
      <c r="S69" s="14"/>
      <c r="T69" s="14"/>
      <c r="U69" s="14"/>
      <c r="V69" s="14"/>
      <c r="W69" s="14"/>
      <c r="X69" s="14"/>
      <c r="Y69" s="14"/>
      <c r="Z69" s="14"/>
      <c r="AA69" s="14"/>
      <c r="AB69" s="14"/>
    </row>
    <row r="70" spans="1:28" ht="21">
      <c r="A70" s="5" t="s">
        <v>426</v>
      </c>
      <c r="B70" s="5" t="s">
        <v>427</v>
      </c>
      <c r="C70" s="10"/>
      <c r="D70" s="10"/>
      <c r="E70" s="10"/>
      <c r="F70" s="10"/>
      <c r="G70" s="10"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7"/>
      <c r="I70" s="7"/>
      <c r="J70" s="2"/>
      <c r="K70" s="14"/>
      <c r="L70" s="14"/>
      <c r="M70" s="14"/>
      <c r="N70" s="14"/>
      <c r="O70" s="14"/>
      <c r="P70" s="14"/>
      <c r="Q70" s="14"/>
      <c r="R70" s="14"/>
      <c r="S70" s="14"/>
      <c r="T70" s="14"/>
      <c r="U70" s="14"/>
      <c r="V70" s="14"/>
      <c r="W70" s="14"/>
      <c r="X70" s="14"/>
      <c r="Y70" s="14"/>
      <c r="Z70" s="14"/>
      <c r="AA70" s="14"/>
      <c r="AB70" s="14"/>
    </row>
    <row r="71" spans="1:28" ht="21">
      <c r="A71" s="5" t="s">
        <v>432</v>
      </c>
      <c r="B71" s="5" t="s">
        <v>149</v>
      </c>
      <c r="C71" s="10"/>
      <c r="D71" s="10"/>
      <c r="E71" s="10"/>
      <c r="F71" s="10"/>
      <c r="G71" s="10"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v>
      </c>
      <c r="H71" s="7"/>
      <c r="I71" s="7"/>
      <c r="J71" s="2"/>
      <c r="K71" s="14"/>
      <c r="L71" s="14"/>
      <c r="M71" s="14"/>
      <c r="N71" s="14"/>
      <c r="O71" s="14"/>
      <c r="P71" s="14"/>
      <c r="Q71" s="14"/>
      <c r="R71" s="14"/>
      <c r="S71" s="14"/>
      <c r="T71" s="14"/>
      <c r="U71" s="14"/>
      <c r="V71" s="14"/>
      <c r="W71" s="14"/>
      <c r="X71" s="14"/>
      <c r="Y71" s="14"/>
      <c r="Z71" s="14"/>
      <c r="AA71" s="14"/>
      <c r="AB71" s="14"/>
    </row>
    <row r="72" spans="1:28" ht="21">
      <c r="A72" s="5" t="s">
        <v>435</v>
      </c>
      <c r="B72" s="5" t="s">
        <v>436</v>
      </c>
      <c r="C72" s="10"/>
      <c r="D72" s="10"/>
      <c r="E72" s="10"/>
      <c r="F72" s="10"/>
      <c r="G72" s="10"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7"/>
      <c r="I72" s="7"/>
      <c r="J72" s="2"/>
      <c r="K72" s="14"/>
      <c r="L72" s="14"/>
      <c r="M72" s="14"/>
      <c r="N72" s="14"/>
      <c r="O72" s="14"/>
      <c r="P72" s="14"/>
      <c r="Q72" s="14"/>
      <c r="R72" s="14"/>
      <c r="S72" s="14"/>
      <c r="T72" s="14"/>
      <c r="U72" s="14"/>
      <c r="V72" s="14"/>
      <c r="W72" s="14"/>
      <c r="X72" s="14"/>
      <c r="Y72" s="14"/>
      <c r="Z72" s="14"/>
      <c r="AA72" s="14"/>
      <c r="AB72" s="14"/>
    </row>
    <row r="73" spans="1:28" ht="21">
      <c r="A73" s="5" t="s">
        <v>442</v>
      </c>
      <c r="B73" s="5" t="s">
        <v>443</v>
      </c>
      <c r="C73" s="10"/>
      <c r="D73" s="10"/>
      <c r="E73" s="10"/>
      <c r="F73" s="10"/>
      <c r="G73" s="10"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7"/>
      <c r="I73" s="7"/>
      <c r="J73" s="2"/>
      <c r="K73" s="14"/>
      <c r="L73" s="14"/>
      <c r="M73" s="14"/>
      <c r="N73" s="14"/>
      <c r="O73" s="14"/>
      <c r="P73" s="14"/>
      <c r="Q73" s="14"/>
      <c r="R73" s="14"/>
      <c r="S73" s="14"/>
      <c r="T73" s="14"/>
      <c r="U73" s="14"/>
      <c r="V73" s="14"/>
      <c r="W73" s="14"/>
      <c r="X73" s="14"/>
      <c r="Y73" s="14"/>
      <c r="Z73" s="14"/>
      <c r="AA73" s="14"/>
      <c r="AB73" s="14"/>
    </row>
    <row r="74" spans="1:28" ht="21">
      <c r="A74" s="5" t="s">
        <v>447</v>
      </c>
      <c r="B74" s="5" t="s">
        <v>47</v>
      </c>
      <c r="C74" s="10"/>
      <c r="D74" s="10"/>
      <c r="E74" s="10"/>
      <c r="F74" s="10"/>
      <c r="G74" s="10"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7"/>
      <c r="I74" s="7"/>
      <c r="J74" s="2"/>
      <c r="K74" s="14"/>
      <c r="L74" s="14"/>
      <c r="M74" s="14"/>
      <c r="N74" s="14"/>
      <c r="O74" s="14"/>
      <c r="P74" s="14"/>
      <c r="Q74" s="14"/>
      <c r="R74" s="14"/>
      <c r="S74" s="14"/>
      <c r="T74" s="14"/>
      <c r="U74" s="14"/>
      <c r="V74" s="14"/>
      <c r="W74" s="14"/>
      <c r="X74" s="14"/>
      <c r="Y74" s="14"/>
      <c r="Z74" s="14"/>
      <c r="AA74" s="14"/>
      <c r="AB74" s="14"/>
    </row>
    <row r="75" spans="1:28" ht="21">
      <c r="A75" s="5" t="s">
        <v>451</v>
      </c>
      <c r="B75" s="5" t="s">
        <v>169</v>
      </c>
      <c r="C75" s="10"/>
      <c r="D75" s="10"/>
      <c r="E75" s="10"/>
      <c r="F75" s="10"/>
      <c r="G75" s="10"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7"/>
      <c r="I75" s="7"/>
      <c r="J75" s="2"/>
      <c r="K75" s="14"/>
      <c r="L75" s="14"/>
      <c r="M75" s="14"/>
      <c r="N75" s="14"/>
      <c r="O75" s="14"/>
      <c r="P75" s="14"/>
      <c r="Q75" s="14"/>
      <c r="R75" s="14"/>
      <c r="S75" s="14"/>
      <c r="T75" s="14"/>
      <c r="U75" s="14"/>
      <c r="V75" s="14"/>
      <c r="W75" s="14"/>
      <c r="X75" s="14"/>
      <c r="Y75" s="14"/>
      <c r="Z75" s="14"/>
      <c r="AA75" s="14"/>
      <c r="AB75" s="14"/>
    </row>
    <row r="76" spans="1:28" ht="21">
      <c r="A76" s="5" t="s">
        <v>455</v>
      </c>
      <c r="B76" s="5" t="s">
        <v>197</v>
      </c>
      <c r="C76" s="10"/>
      <c r="D76" s="10"/>
      <c r="E76" s="10"/>
      <c r="F76" s="10"/>
      <c r="G76" s="10"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7"/>
      <c r="I76" s="7"/>
      <c r="J76" s="2"/>
      <c r="K76" s="14"/>
      <c r="L76" s="14"/>
      <c r="M76" s="14"/>
      <c r="N76" s="14"/>
      <c r="O76" s="14"/>
      <c r="P76" s="14"/>
      <c r="Q76" s="14"/>
      <c r="R76" s="14"/>
      <c r="S76" s="14"/>
      <c r="T76" s="14"/>
      <c r="U76" s="14"/>
      <c r="V76" s="14"/>
      <c r="W76" s="14"/>
      <c r="X76" s="14"/>
      <c r="Y76" s="14"/>
      <c r="Z76" s="14"/>
      <c r="AA76" s="14"/>
      <c r="AB76" s="14"/>
    </row>
    <row r="77" spans="1:28" ht="21">
      <c r="A77" s="5" t="s">
        <v>461</v>
      </c>
      <c r="B77" s="6" t="s">
        <v>378</v>
      </c>
      <c r="C77" s="10"/>
      <c r="D77" s="10"/>
      <c r="E77" s="10"/>
      <c r="F77" s="10"/>
      <c r="G77" s="10"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7"/>
      <c r="I77" s="7"/>
      <c r="J77" s="2"/>
      <c r="K77" s="14"/>
      <c r="L77" s="14"/>
      <c r="M77" s="14"/>
      <c r="N77" s="14"/>
      <c r="O77" s="14"/>
      <c r="P77" s="14"/>
      <c r="Q77" s="14"/>
      <c r="R77" s="14"/>
      <c r="S77" s="14"/>
      <c r="T77" s="14"/>
      <c r="U77" s="14"/>
      <c r="V77" s="14"/>
      <c r="W77" s="14"/>
      <c r="X77" s="14"/>
      <c r="Y77" s="14"/>
      <c r="Z77" s="14"/>
      <c r="AA77" s="14"/>
      <c r="AB77" s="14"/>
    </row>
    <row r="78" spans="1:28" ht="21">
      <c r="A78" s="5" t="s">
        <v>467</v>
      </c>
      <c r="B78" s="5" t="s">
        <v>30</v>
      </c>
      <c r="C78" s="10"/>
      <c r="D78" s="10"/>
      <c r="E78" s="10"/>
      <c r="F78" s="10"/>
      <c r="G78" s="10" t="str">
        <f>IF(AND(ISNUMBER(MATCH(C78,{"F","E","D","D+","C","C+","B","B+","A","A+","S"},0)),ISNUMBER(MATCH(D78,{"F","E","D","D+","C","C+","B","B+","A","A+","S"},0)),ISNUMBER(MATCH(E78,{"F","E","D","D+","C","C+","B","B+","A","A+","S"},0)),ISNUMBER(MATCH(F78,{"F","E","D","D+","C","C+","B","B+","A","A+","S"},0))),LOOKUP(AVERAGE(_xlfn.SWITCH(C78,"F",0,"E",10,"D",20,"D+",30,"C",40,"C+",50,"B",60,"B+",70,"A",80,"A+",90,"S",100),_xlfn.SWITCH(D78,"F",0,"E",10,"D",20,"D+",30,"C",40,"C+",50,"B",60,"B+",70,"A",80,"A+",90,"S",100),_xlfn.SWITCH(E78,"F",0,"E",10,"D",20,"D+",30,"C",40,"C+",50,"B",60,"B+",70,"A",80,"A+",90,"S",100),_xlfn.SWITCH(F78,"F",0,"E",10,"D",20,"D+",30,"C",40,"C+",50,"B",60,"B+",70,"A",80,"A+",90,"S",100)),{0,15,25,35,45,55,65,75,85,95},{"D","D","D+","C","C+","B","B+","A","A+","S"}),"?")</f>
        <v>?</v>
      </c>
      <c r="H78" s="7"/>
      <c r="I78" s="7"/>
      <c r="J78" s="2"/>
      <c r="K78" s="14"/>
      <c r="L78" s="14"/>
      <c r="M78" s="14"/>
      <c r="N78" s="14"/>
      <c r="O78" s="14"/>
      <c r="P78" s="14"/>
      <c r="Q78" s="14"/>
      <c r="R78" s="14"/>
      <c r="S78" s="14"/>
      <c r="T78" s="14"/>
      <c r="U78" s="14"/>
      <c r="V78" s="14"/>
      <c r="W78" s="14"/>
      <c r="X78" s="14"/>
      <c r="Y78" s="14"/>
      <c r="Z78" s="14"/>
      <c r="AA78" s="14"/>
      <c r="AB78" s="14"/>
    </row>
    <row r="79" spans="1:28" ht="21">
      <c r="A79" s="5" t="s">
        <v>472</v>
      </c>
      <c r="B79" s="5" t="s">
        <v>473</v>
      </c>
      <c r="C79" s="10"/>
      <c r="D79" s="10"/>
      <c r="E79" s="10"/>
      <c r="F79" s="10"/>
      <c r="G79" s="10"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7"/>
      <c r="I79" s="7"/>
      <c r="J79" s="2"/>
      <c r="K79" s="14"/>
      <c r="L79" s="14"/>
      <c r="M79" s="14"/>
      <c r="N79" s="14"/>
      <c r="O79" s="14"/>
      <c r="P79" s="14"/>
      <c r="Q79" s="14"/>
      <c r="R79" s="14"/>
      <c r="S79" s="14"/>
      <c r="T79" s="14"/>
      <c r="U79" s="14"/>
      <c r="V79" s="14"/>
      <c r="W79" s="14"/>
      <c r="X79" s="14"/>
      <c r="Y79" s="14"/>
      <c r="Z79" s="14"/>
      <c r="AA79" s="14"/>
      <c r="AB79" s="14"/>
    </row>
    <row r="80" spans="1:28" ht="21">
      <c r="A80" s="5" t="s">
        <v>475</v>
      </c>
      <c r="B80" s="5" t="s">
        <v>476</v>
      </c>
      <c r="C80" s="10"/>
      <c r="D80" s="10"/>
      <c r="E80" s="10"/>
      <c r="F80" s="10"/>
      <c r="G80" s="10"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7"/>
      <c r="I80" s="7"/>
      <c r="J80" s="2"/>
      <c r="K80" s="14"/>
      <c r="L80" s="14"/>
      <c r="M80" s="14"/>
      <c r="N80" s="14"/>
      <c r="O80" s="14"/>
      <c r="P80" s="14"/>
      <c r="Q80" s="14"/>
      <c r="R80" s="14"/>
      <c r="S80" s="14"/>
      <c r="T80" s="14"/>
      <c r="U80" s="14"/>
      <c r="V80" s="14"/>
      <c r="W80" s="14"/>
      <c r="X80" s="14"/>
      <c r="Y80" s="14"/>
      <c r="Z80" s="14"/>
      <c r="AA80" s="14"/>
      <c r="AB80" s="14"/>
    </row>
    <row r="81" spans="1:28" ht="21">
      <c r="A81" s="5" t="s">
        <v>478</v>
      </c>
      <c r="B81" s="5" t="s">
        <v>321</v>
      </c>
      <c r="C81" s="10"/>
      <c r="D81" s="10"/>
      <c r="E81" s="10"/>
      <c r="F81" s="10"/>
      <c r="G81" s="10"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7"/>
      <c r="I81" s="7"/>
      <c r="J81" s="2"/>
      <c r="K81" s="14"/>
      <c r="L81" s="14"/>
      <c r="M81" s="14"/>
      <c r="N81" s="14"/>
      <c r="O81" s="14"/>
      <c r="P81" s="14"/>
      <c r="Q81" s="14"/>
      <c r="R81" s="14"/>
      <c r="S81" s="14"/>
      <c r="T81" s="14"/>
      <c r="U81" s="14"/>
      <c r="V81" s="14"/>
      <c r="W81" s="14"/>
      <c r="X81" s="14"/>
      <c r="Y81" s="14"/>
      <c r="Z81" s="14"/>
      <c r="AA81" s="14"/>
      <c r="AB81" s="14"/>
    </row>
    <row r="82" spans="1:28" ht="21">
      <c r="A82" s="5" t="s">
        <v>483</v>
      </c>
      <c r="B82" s="5" t="s">
        <v>484</v>
      </c>
      <c r="C82" s="10"/>
      <c r="D82" s="10"/>
      <c r="E82" s="10"/>
      <c r="F82" s="10"/>
      <c r="G82" s="10"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7"/>
      <c r="I82" s="7"/>
      <c r="J82" s="2"/>
      <c r="K82" s="14"/>
      <c r="L82" s="14"/>
      <c r="M82" s="14"/>
      <c r="N82" s="14"/>
      <c r="O82" s="14"/>
      <c r="P82" s="14"/>
      <c r="Q82" s="14"/>
      <c r="R82" s="14"/>
      <c r="S82" s="14"/>
      <c r="T82" s="14"/>
      <c r="U82" s="14"/>
      <c r="V82" s="14"/>
      <c r="W82" s="14"/>
      <c r="X82" s="14"/>
      <c r="Y82" s="14"/>
      <c r="Z82" s="14"/>
      <c r="AA82" s="14"/>
      <c r="AB82" s="14"/>
    </row>
    <row r="83" spans="1:28" ht="21">
      <c r="A83" s="5" t="s">
        <v>488</v>
      </c>
      <c r="B83" s="5" t="s">
        <v>489</v>
      </c>
      <c r="C83" s="10"/>
      <c r="D83" s="10"/>
      <c r="E83" s="10"/>
      <c r="F83" s="10"/>
      <c r="G83" s="10"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7"/>
      <c r="I83" s="7"/>
      <c r="J83" s="2"/>
      <c r="K83" s="14"/>
      <c r="L83" s="14"/>
      <c r="M83" s="14"/>
      <c r="N83" s="14"/>
      <c r="O83" s="14"/>
      <c r="P83" s="14"/>
      <c r="Q83" s="14"/>
      <c r="R83" s="14"/>
      <c r="S83" s="14"/>
      <c r="T83" s="14"/>
      <c r="U83" s="14"/>
      <c r="V83" s="14"/>
      <c r="W83" s="14"/>
      <c r="X83" s="14"/>
      <c r="Y83" s="14"/>
      <c r="Z83" s="14"/>
      <c r="AA83" s="14"/>
      <c r="AB83" s="14"/>
    </row>
    <row r="84" spans="1:28" ht="21">
      <c r="A84" s="5" t="s">
        <v>494</v>
      </c>
      <c r="B84" s="5" t="s">
        <v>495</v>
      </c>
      <c r="C84" s="10"/>
      <c r="D84" s="10"/>
      <c r="E84" s="10"/>
      <c r="F84" s="10"/>
      <c r="G84" s="10"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7"/>
      <c r="I84" s="7"/>
      <c r="J84" s="2"/>
      <c r="K84" s="14"/>
      <c r="L84" s="14"/>
      <c r="M84" s="14"/>
      <c r="N84" s="14"/>
      <c r="O84" s="14"/>
      <c r="P84" s="14"/>
      <c r="Q84" s="14"/>
      <c r="R84" s="14"/>
      <c r="S84" s="14"/>
      <c r="T84" s="14"/>
      <c r="U84" s="14"/>
      <c r="V84" s="14"/>
      <c r="W84" s="14"/>
      <c r="X84" s="14"/>
      <c r="Y84" s="14"/>
      <c r="Z84" s="14"/>
      <c r="AA84" s="14"/>
      <c r="AB84" s="14"/>
    </row>
    <row r="85" spans="1:28" ht="21">
      <c r="A85" s="5" t="s">
        <v>500</v>
      </c>
      <c r="B85" s="5" t="s">
        <v>501</v>
      </c>
      <c r="C85" s="10"/>
      <c r="D85" s="10"/>
      <c r="E85" s="10"/>
      <c r="F85" s="10"/>
      <c r="G85" s="10"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7"/>
      <c r="I85" s="7"/>
      <c r="J85" s="2"/>
      <c r="K85" s="14"/>
      <c r="L85" s="14"/>
      <c r="M85" s="14"/>
      <c r="N85" s="14"/>
      <c r="O85" s="14"/>
      <c r="P85" s="14"/>
      <c r="Q85" s="14"/>
      <c r="R85" s="14"/>
      <c r="S85" s="14"/>
      <c r="T85" s="14"/>
      <c r="U85" s="14"/>
      <c r="V85" s="14"/>
      <c r="W85" s="14"/>
      <c r="X85" s="14"/>
      <c r="Y85" s="14"/>
      <c r="Z85" s="14"/>
      <c r="AA85" s="14"/>
      <c r="AB85" s="14"/>
    </row>
    <row r="86" spans="1:28" ht="21">
      <c r="A86" s="5" t="s">
        <v>505</v>
      </c>
      <c r="B86" s="5" t="s">
        <v>506</v>
      </c>
      <c r="C86" s="10"/>
      <c r="D86" s="10"/>
      <c r="E86" s="10"/>
      <c r="F86" s="10"/>
      <c r="G86" s="10"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7"/>
      <c r="I86" s="7"/>
      <c r="J86" s="2"/>
      <c r="K86" s="14"/>
      <c r="L86" s="14"/>
      <c r="M86" s="14"/>
      <c r="N86" s="14"/>
      <c r="O86" s="14"/>
      <c r="P86" s="14"/>
      <c r="Q86" s="14"/>
      <c r="R86" s="14"/>
      <c r="S86" s="14"/>
      <c r="T86" s="14"/>
      <c r="U86" s="14"/>
      <c r="V86" s="14"/>
      <c r="W86" s="14"/>
      <c r="X86" s="14"/>
      <c r="Y86" s="14"/>
      <c r="Z86" s="14"/>
      <c r="AA86" s="14"/>
      <c r="AB86" s="14"/>
    </row>
    <row r="87" spans="1:28" ht="21">
      <c r="A87" s="5" t="s">
        <v>509</v>
      </c>
      <c r="B87" s="5" t="s">
        <v>237</v>
      </c>
      <c r="C87" s="10"/>
      <c r="D87" s="10"/>
      <c r="E87" s="10"/>
      <c r="F87" s="10"/>
      <c r="G87" s="10"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v>
      </c>
      <c r="H87" s="7"/>
      <c r="I87" s="7"/>
      <c r="J87" s="2"/>
      <c r="K87" s="14"/>
      <c r="L87" s="14"/>
      <c r="M87" s="14"/>
      <c r="N87" s="14"/>
      <c r="O87" s="14"/>
      <c r="P87" s="14"/>
      <c r="Q87" s="14"/>
      <c r="R87" s="14"/>
      <c r="S87" s="14"/>
      <c r="T87" s="14"/>
      <c r="U87" s="14"/>
      <c r="V87" s="14"/>
      <c r="W87" s="14"/>
      <c r="X87" s="14"/>
      <c r="Y87" s="14"/>
      <c r="Z87" s="14"/>
      <c r="AA87" s="14"/>
      <c r="AB87" s="14"/>
    </row>
    <row r="88" spans="1:28" ht="21">
      <c r="A88" s="5" t="s">
        <v>510</v>
      </c>
      <c r="B88" s="5" t="s">
        <v>511</v>
      </c>
      <c r="C88" s="10"/>
      <c r="D88" s="10"/>
      <c r="E88" s="10"/>
      <c r="F88" s="10"/>
      <c r="G88" s="10"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7"/>
      <c r="I88" s="7"/>
      <c r="J88" s="2"/>
      <c r="K88" s="14"/>
      <c r="L88" s="14"/>
      <c r="M88" s="14"/>
      <c r="N88" s="14"/>
      <c r="O88" s="14"/>
      <c r="P88" s="14"/>
      <c r="Q88" s="14"/>
      <c r="R88" s="14"/>
      <c r="S88" s="14"/>
      <c r="T88" s="14"/>
      <c r="U88" s="14"/>
      <c r="V88" s="14"/>
      <c r="W88" s="14"/>
      <c r="X88" s="14"/>
      <c r="Y88" s="14"/>
      <c r="Z88" s="14"/>
      <c r="AA88" s="14"/>
      <c r="AB88" s="14"/>
    </row>
    <row r="89" spans="1:28" ht="21">
      <c r="A89" s="5" t="s">
        <v>517</v>
      </c>
      <c r="B89" s="5" t="s">
        <v>224</v>
      </c>
      <c r="C89" s="10"/>
      <c r="D89" s="10"/>
      <c r="E89" s="10"/>
      <c r="F89" s="10"/>
      <c r="G89" s="10"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7"/>
      <c r="I89" s="7"/>
      <c r="J89" s="2"/>
      <c r="K89" s="14"/>
      <c r="L89" s="14"/>
      <c r="M89" s="14"/>
      <c r="N89" s="14"/>
      <c r="O89" s="14"/>
      <c r="P89" s="14"/>
      <c r="Q89" s="14"/>
      <c r="R89" s="14"/>
      <c r="S89" s="14"/>
      <c r="T89" s="14"/>
      <c r="U89" s="14"/>
      <c r="V89" s="14"/>
      <c r="W89" s="14"/>
      <c r="X89" s="14"/>
      <c r="Y89" s="14"/>
      <c r="Z89" s="14"/>
      <c r="AA89" s="14"/>
      <c r="AB89" s="14"/>
    </row>
    <row r="90" spans="1:28" ht="21">
      <c r="A90" s="5" t="s">
        <v>523</v>
      </c>
      <c r="B90" s="5" t="s">
        <v>460</v>
      </c>
      <c r="C90" s="10"/>
      <c r="D90" s="10"/>
      <c r="E90" s="10"/>
      <c r="F90" s="10"/>
      <c r="G90" s="10"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7"/>
      <c r="I90" s="7"/>
      <c r="J90" s="2"/>
      <c r="K90" s="14"/>
      <c r="L90" s="14"/>
      <c r="M90" s="14"/>
      <c r="N90" s="14"/>
      <c r="O90" s="14"/>
      <c r="P90" s="14"/>
      <c r="Q90" s="14"/>
      <c r="R90" s="14"/>
      <c r="S90" s="14"/>
      <c r="T90" s="14"/>
      <c r="U90" s="14"/>
      <c r="V90" s="14"/>
      <c r="W90" s="14"/>
      <c r="X90" s="14"/>
      <c r="Y90" s="14"/>
      <c r="Z90" s="14"/>
      <c r="AA90" s="14"/>
      <c r="AB90" s="14"/>
    </row>
    <row r="91" spans="1:28" ht="21">
      <c r="A91" s="5" t="s">
        <v>529</v>
      </c>
      <c r="B91" s="5" t="s">
        <v>530</v>
      </c>
      <c r="C91" s="10"/>
      <c r="D91" s="10"/>
      <c r="E91" s="10"/>
      <c r="F91" s="10"/>
      <c r="G91" s="10"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7"/>
      <c r="I91" s="7"/>
      <c r="J91" s="2"/>
      <c r="K91" s="14"/>
      <c r="L91" s="14"/>
      <c r="M91" s="14"/>
      <c r="N91" s="14"/>
      <c r="O91" s="14"/>
      <c r="P91" s="14"/>
      <c r="Q91" s="14"/>
      <c r="R91" s="14"/>
      <c r="S91" s="14"/>
      <c r="T91" s="14"/>
      <c r="U91" s="14"/>
      <c r="V91" s="14"/>
      <c r="W91" s="14"/>
      <c r="X91" s="14"/>
      <c r="Y91" s="14"/>
      <c r="Z91" s="14"/>
      <c r="AA91" s="14"/>
      <c r="AB91" s="14"/>
    </row>
    <row r="92" spans="1:28" ht="21">
      <c r="A92" s="5" t="s">
        <v>534</v>
      </c>
      <c r="B92" s="5" t="s">
        <v>535</v>
      </c>
      <c r="C92" s="10"/>
      <c r="D92" s="10"/>
      <c r="E92" s="10"/>
      <c r="F92" s="10"/>
      <c r="G92" s="10"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7"/>
      <c r="I92" s="7"/>
      <c r="J92" s="2"/>
      <c r="K92" s="14"/>
      <c r="L92" s="14"/>
      <c r="M92" s="14"/>
      <c r="N92" s="14"/>
      <c r="O92" s="14"/>
      <c r="P92" s="14"/>
      <c r="Q92" s="14"/>
      <c r="R92" s="14"/>
      <c r="S92" s="14"/>
      <c r="T92" s="14"/>
      <c r="U92" s="14"/>
      <c r="V92" s="14"/>
      <c r="W92" s="14"/>
      <c r="X92" s="14"/>
      <c r="Y92" s="14"/>
      <c r="Z92" s="14"/>
      <c r="AA92" s="14"/>
      <c r="AB92" s="14"/>
    </row>
    <row r="93" spans="1:28" ht="21">
      <c r="A93" s="5" t="s">
        <v>541</v>
      </c>
      <c r="B93" s="5" t="s">
        <v>542</v>
      </c>
      <c r="C93" s="10"/>
      <c r="D93" s="10"/>
      <c r="E93" s="10"/>
      <c r="F93" s="10"/>
      <c r="G93" s="10"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7"/>
      <c r="I93" s="7"/>
      <c r="J93" s="2"/>
      <c r="K93" s="14"/>
      <c r="L93" s="14"/>
      <c r="M93" s="14"/>
      <c r="N93" s="14"/>
      <c r="O93" s="14"/>
      <c r="P93" s="14"/>
      <c r="Q93" s="14"/>
      <c r="R93" s="14"/>
      <c r="S93" s="14"/>
      <c r="T93" s="14"/>
      <c r="U93" s="14"/>
      <c r="V93" s="14"/>
      <c r="W93" s="14"/>
      <c r="X93" s="14"/>
      <c r="Y93" s="14"/>
      <c r="Z93" s="14"/>
      <c r="AA93" s="14"/>
      <c r="AB93" s="14"/>
    </row>
    <row r="94" spans="1:28" ht="21">
      <c r="A94" s="5" t="s">
        <v>548</v>
      </c>
      <c r="B94" s="5" t="s">
        <v>549</v>
      </c>
      <c r="C94" s="10"/>
      <c r="D94" s="10"/>
      <c r="E94" s="10"/>
      <c r="F94" s="10"/>
      <c r="G94" s="10"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7"/>
      <c r="I94" s="7"/>
      <c r="J94" s="2"/>
      <c r="K94" s="14"/>
      <c r="L94" s="14"/>
      <c r="M94" s="14"/>
      <c r="N94" s="14"/>
      <c r="O94" s="14"/>
      <c r="P94" s="14"/>
      <c r="Q94" s="14"/>
      <c r="R94" s="14"/>
      <c r="S94" s="14"/>
      <c r="T94" s="14"/>
      <c r="U94" s="14"/>
      <c r="V94" s="14"/>
      <c r="W94" s="14"/>
      <c r="X94" s="14"/>
      <c r="Y94" s="14"/>
      <c r="Z94" s="14"/>
      <c r="AA94" s="14"/>
      <c r="AB94" s="14"/>
    </row>
    <row r="95" spans="1:28" ht="21">
      <c r="A95" s="5" t="s">
        <v>553</v>
      </c>
      <c r="B95" s="5" t="s">
        <v>352</v>
      </c>
      <c r="C95" s="10"/>
      <c r="D95" s="10"/>
      <c r="E95" s="10"/>
      <c r="F95" s="10"/>
      <c r="G95" s="10"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7"/>
      <c r="I95" s="7"/>
      <c r="J95" s="2"/>
      <c r="K95" s="14"/>
      <c r="L95" s="14"/>
      <c r="M95" s="14"/>
      <c r="N95" s="14"/>
      <c r="O95" s="14"/>
      <c r="P95" s="14"/>
      <c r="Q95" s="14"/>
      <c r="R95" s="14"/>
      <c r="S95" s="14"/>
      <c r="T95" s="14"/>
      <c r="U95" s="14"/>
      <c r="V95" s="14"/>
      <c r="W95" s="14"/>
      <c r="X95" s="14"/>
      <c r="Y95" s="14"/>
      <c r="Z95" s="14"/>
      <c r="AA95" s="14"/>
      <c r="AB95" s="14"/>
    </row>
    <row r="96" spans="1:28" ht="21">
      <c r="A96" s="5" t="s">
        <v>559</v>
      </c>
      <c r="B96" s="5" t="s">
        <v>560</v>
      </c>
      <c r="C96" s="10"/>
      <c r="D96" s="10"/>
      <c r="E96" s="10"/>
      <c r="F96" s="10"/>
      <c r="G96" s="10"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7"/>
      <c r="I96" s="7"/>
      <c r="J96" s="2"/>
      <c r="K96" s="14"/>
      <c r="L96" s="14"/>
      <c r="M96" s="14"/>
      <c r="N96" s="14"/>
      <c r="O96" s="14"/>
      <c r="P96" s="14"/>
      <c r="Q96" s="14"/>
      <c r="R96" s="14"/>
      <c r="S96" s="14"/>
      <c r="T96" s="14"/>
      <c r="U96" s="14"/>
      <c r="V96" s="14"/>
      <c r="W96" s="14"/>
      <c r="X96" s="14"/>
      <c r="Y96" s="14"/>
      <c r="Z96" s="14"/>
      <c r="AA96" s="14"/>
      <c r="AB96" s="14"/>
    </row>
    <row r="97" spans="1:28" ht="21">
      <c r="A97" s="5" t="s">
        <v>565</v>
      </c>
      <c r="B97" s="5" t="s">
        <v>441</v>
      </c>
      <c r="C97" s="10"/>
      <c r="D97" s="10"/>
      <c r="E97" s="10"/>
      <c r="F97" s="10"/>
      <c r="G97" s="10"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7"/>
      <c r="I97" s="7"/>
      <c r="J97" s="2"/>
      <c r="K97" s="14"/>
      <c r="L97" s="14"/>
      <c r="M97" s="14"/>
      <c r="N97" s="14"/>
      <c r="O97" s="14"/>
      <c r="P97" s="14"/>
      <c r="Q97" s="14"/>
      <c r="R97" s="14"/>
      <c r="S97" s="14"/>
      <c r="T97" s="14"/>
      <c r="U97" s="14"/>
      <c r="V97" s="14"/>
      <c r="W97" s="14"/>
      <c r="X97" s="14"/>
      <c r="Y97" s="14"/>
      <c r="Z97" s="14"/>
      <c r="AA97" s="14"/>
      <c r="AB97" s="14"/>
    </row>
    <row r="98" spans="1:28" ht="21">
      <c r="A98" s="5" t="s">
        <v>571</v>
      </c>
      <c r="B98" s="5" t="s">
        <v>572</v>
      </c>
      <c r="C98" s="10"/>
      <c r="D98" s="10"/>
      <c r="E98" s="10"/>
      <c r="F98" s="10"/>
      <c r="G98" s="10"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7"/>
      <c r="I98" s="7"/>
      <c r="J98" s="2"/>
      <c r="K98" s="14"/>
      <c r="L98" s="14"/>
      <c r="M98" s="14"/>
      <c r="N98" s="14"/>
      <c r="O98" s="14"/>
      <c r="P98" s="14"/>
      <c r="Q98" s="14"/>
      <c r="R98" s="14"/>
      <c r="S98" s="14"/>
      <c r="T98" s="14"/>
      <c r="U98" s="14"/>
      <c r="V98" s="14"/>
      <c r="W98" s="14"/>
      <c r="X98" s="14"/>
      <c r="Y98" s="14"/>
      <c r="Z98" s="14"/>
      <c r="AA98" s="14"/>
      <c r="AB98" s="14"/>
    </row>
    <row r="99" spans="1:28" ht="21">
      <c r="A99" s="5" t="s">
        <v>578</v>
      </c>
      <c r="B99" s="5" t="s">
        <v>579</v>
      </c>
      <c r="C99" s="10"/>
      <c r="D99" s="10"/>
      <c r="E99" s="10"/>
      <c r="F99" s="10"/>
      <c r="G99" s="10"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7"/>
      <c r="I99" s="7"/>
      <c r="J99" s="2"/>
      <c r="K99" s="14"/>
      <c r="L99" s="14"/>
      <c r="M99" s="14"/>
      <c r="N99" s="14"/>
      <c r="O99" s="14"/>
      <c r="P99" s="14"/>
      <c r="Q99" s="14"/>
      <c r="R99" s="14"/>
      <c r="S99" s="14"/>
      <c r="T99" s="14"/>
      <c r="U99" s="14"/>
      <c r="V99" s="14"/>
      <c r="W99" s="14"/>
      <c r="X99" s="14"/>
      <c r="Y99" s="14"/>
      <c r="Z99" s="14"/>
      <c r="AA99" s="14"/>
      <c r="AB99" s="14"/>
    </row>
    <row r="100" spans="1:28" ht="21">
      <c r="A100" s="5" t="s">
        <v>585</v>
      </c>
      <c r="B100" s="5" t="s">
        <v>586</v>
      </c>
      <c r="C100" s="10"/>
      <c r="D100" s="10"/>
      <c r="E100" s="10"/>
      <c r="F100" s="10"/>
      <c r="G100" s="10"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7"/>
      <c r="I100" s="7"/>
      <c r="J100" s="2"/>
      <c r="K100" s="14"/>
      <c r="L100" s="14"/>
      <c r="M100" s="14"/>
      <c r="N100" s="14"/>
      <c r="O100" s="14"/>
      <c r="P100" s="14"/>
      <c r="Q100" s="14"/>
      <c r="R100" s="14"/>
      <c r="S100" s="14"/>
      <c r="T100" s="14"/>
      <c r="U100" s="14"/>
      <c r="V100" s="14"/>
      <c r="W100" s="14"/>
      <c r="X100" s="14"/>
      <c r="Y100" s="14"/>
      <c r="Z100" s="14"/>
      <c r="AA100" s="14"/>
      <c r="AB100" s="14"/>
    </row>
    <row r="101" spans="1:28" ht="21">
      <c r="A101" s="5" t="s">
        <v>590</v>
      </c>
      <c r="B101" s="5" t="s">
        <v>591</v>
      </c>
      <c r="C101" s="10"/>
      <c r="D101" s="10"/>
      <c r="E101" s="10"/>
      <c r="F101" s="10"/>
      <c r="G101" s="10"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7"/>
      <c r="I101" s="7"/>
      <c r="J101" s="2"/>
      <c r="K101" s="14"/>
      <c r="L101" s="14"/>
      <c r="M101" s="14"/>
      <c r="N101" s="14"/>
      <c r="O101" s="14"/>
      <c r="P101" s="14"/>
      <c r="Q101" s="14"/>
      <c r="R101" s="14"/>
      <c r="S101" s="14"/>
      <c r="T101" s="14"/>
      <c r="U101" s="14"/>
      <c r="V101" s="14"/>
      <c r="W101" s="14"/>
      <c r="X101" s="14"/>
      <c r="Y101" s="14"/>
      <c r="Z101" s="14"/>
      <c r="AA101" s="14"/>
      <c r="AB101" s="14"/>
    </row>
    <row r="102" spans="1:28" ht="21">
      <c r="A102" s="5" t="s">
        <v>595</v>
      </c>
      <c r="B102" s="5" t="s">
        <v>596</v>
      </c>
      <c r="C102" s="10"/>
      <c r="D102" s="10"/>
      <c r="E102" s="10"/>
      <c r="F102" s="10"/>
      <c r="G102" s="10"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7"/>
      <c r="I102" s="7"/>
      <c r="J102" s="2"/>
      <c r="K102" s="14"/>
      <c r="L102" s="14"/>
      <c r="M102" s="14"/>
      <c r="N102" s="14"/>
      <c r="O102" s="14"/>
      <c r="P102" s="14"/>
      <c r="Q102" s="14"/>
      <c r="R102" s="14"/>
      <c r="S102" s="14"/>
      <c r="T102" s="14"/>
      <c r="U102" s="14"/>
      <c r="V102" s="14"/>
      <c r="W102" s="14"/>
      <c r="X102" s="14"/>
      <c r="Y102" s="14"/>
      <c r="Z102" s="14"/>
      <c r="AA102" s="14"/>
      <c r="AB102" s="14"/>
    </row>
    <row r="103" spans="1:28" ht="21">
      <c r="A103" s="5" t="s">
        <v>602</v>
      </c>
      <c r="B103" s="5" t="s">
        <v>603</v>
      </c>
      <c r="C103" s="10"/>
      <c r="D103" s="10"/>
      <c r="E103" s="10"/>
      <c r="F103" s="10"/>
      <c r="G103" s="10"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7"/>
      <c r="I103" s="7"/>
      <c r="J103" s="2"/>
      <c r="K103" s="14"/>
      <c r="L103" s="14"/>
      <c r="M103" s="14"/>
      <c r="N103" s="14"/>
      <c r="O103" s="14"/>
      <c r="P103" s="14"/>
      <c r="Q103" s="14"/>
      <c r="R103" s="14"/>
      <c r="S103" s="14"/>
      <c r="T103" s="14"/>
      <c r="U103" s="14"/>
      <c r="V103" s="14"/>
      <c r="W103" s="14"/>
      <c r="X103" s="14"/>
      <c r="Y103" s="14"/>
      <c r="Z103" s="14"/>
      <c r="AA103" s="14"/>
      <c r="AB103" s="14"/>
    </row>
    <row r="104" spans="1:28" ht="21">
      <c r="A104" s="5" t="s">
        <v>607</v>
      </c>
      <c r="B104" s="5" t="s">
        <v>381</v>
      </c>
      <c r="C104" s="10"/>
      <c r="D104" s="10"/>
      <c r="E104" s="10"/>
      <c r="F104" s="10"/>
      <c r="G104" s="10"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v>
      </c>
      <c r="H104" s="7"/>
      <c r="I104" s="7"/>
      <c r="J104" s="2"/>
      <c r="K104" s="14"/>
      <c r="L104" s="14"/>
      <c r="M104" s="14"/>
      <c r="N104" s="14"/>
      <c r="O104" s="14"/>
      <c r="P104" s="14"/>
      <c r="Q104" s="14"/>
      <c r="R104" s="14"/>
      <c r="S104" s="14"/>
      <c r="T104" s="14"/>
      <c r="U104" s="14"/>
      <c r="V104" s="14"/>
      <c r="W104" s="14"/>
      <c r="X104" s="14"/>
      <c r="Y104" s="14"/>
      <c r="Z104" s="14"/>
      <c r="AA104" s="14"/>
      <c r="AB104" s="14"/>
    </row>
    <row r="105" spans="1:28" ht="21">
      <c r="A105" s="5" t="s">
        <v>613</v>
      </c>
      <c r="B105" s="5" t="s">
        <v>108</v>
      </c>
      <c r="C105" s="10"/>
      <c r="D105" s="10"/>
      <c r="E105" s="10"/>
      <c r="F105" s="10"/>
      <c r="G105" s="10" t="str">
        <f>IF(AND(ISNUMBER(MATCH(C105,{"F","E","D","D+","C","C+","B","B+","A","A+","S"},0)),ISNUMBER(MATCH(D105,{"F","E","D","D+","C","C+","B","B+","A","A+","S"},0)),ISNUMBER(MATCH(E105,{"F","E","D","D+","C","C+","B","B+","A","A+","S"},0)),ISNUMBER(MATCH(F105,{"F","E","D","D+","C","C+","B","B+","A","A+","S"},0))),LOOKUP(AVERAGE(_xlfn.SWITCH(C105,"F",0,"E",10,"D",20,"D+",30,"C",40,"C+",50,"B",60,"B+",70,"A",80,"A+",90,"S",100),_xlfn.SWITCH(D105,"F",0,"E",10,"D",20,"D+",30,"C",40,"C+",50,"B",60,"B+",70,"A",80,"A+",90,"S",100),_xlfn.SWITCH(E105,"F",0,"E",10,"D",20,"D+",30,"C",40,"C+",50,"B",60,"B+",70,"A",80,"A+",90,"S",100),_xlfn.SWITCH(F105,"F",0,"E",10,"D",20,"D+",30,"C",40,"C+",50,"B",60,"B+",70,"A",80,"A+",90,"S",100)),{0,15,25,35,45,55,65,75,85,95},{"D","D","D+","C","C+","B","B+","A","A+","S"}),"?")</f>
        <v>?</v>
      </c>
      <c r="H105" s="7"/>
      <c r="I105" s="7"/>
      <c r="J105" s="2"/>
      <c r="K105" s="14"/>
      <c r="L105" s="14"/>
      <c r="M105" s="14"/>
      <c r="N105" s="14"/>
      <c r="O105" s="14"/>
      <c r="P105" s="14"/>
      <c r="Q105" s="14"/>
      <c r="R105" s="14"/>
      <c r="S105" s="14"/>
      <c r="T105" s="14"/>
      <c r="U105" s="14"/>
      <c r="V105" s="14"/>
      <c r="W105" s="14"/>
      <c r="X105" s="14"/>
      <c r="Y105" s="14"/>
      <c r="Z105" s="14"/>
      <c r="AA105" s="14"/>
      <c r="AB105" s="14"/>
    </row>
    <row r="106" spans="1:28" ht="35.25" customHeight="1">
      <c r="A106" s="540" t="s">
        <v>619</v>
      </c>
      <c r="B106" s="543"/>
      <c r="C106" s="543"/>
      <c r="D106" s="543"/>
      <c r="E106" s="543"/>
      <c r="F106" s="543"/>
      <c r="G106" s="543"/>
      <c r="H106" s="550"/>
      <c r="I106" s="543"/>
      <c r="J106" s="2"/>
      <c r="K106" s="14"/>
      <c r="L106" s="14"/>
      <c r="M106" s="14"/>
      <c r="N106" s="14"/>
      <c r="O106" s="14"/>
      <c r="P106" s="14"/>
      <c r="Q106" s="14"/>
      <c r="R106" s="14"/>
      <c r="S106" s="14"/>
      <c r="T106" s="14"/>
      <c r="U106" s="14"/>
      <c r="V106" s="14"/>
      <c r="W106" s="14"/>
      <c r="X106" s="14"/>
      <c r="Y106" s="14"/>
      <c r="Z106" s="14"/>
      <c r="AA106" s="14"/>
      <c r="AB106" s="14"/>
    </row>
    <row r="107" spans="1:28" ht="21">
      <c r="A107" s="5" t="s">
        <v>4</v>
      </c>
      <c r="B107" s="6" t="s">
        <v>5</v>
      </c>
      <c r="C107" s="7" t="s">
        <v>6</v>
      </c>
      <c r="D107" s="7" t="s">
        <v>7</v>
      </c>
      <c r="E107" s="7" t="s">
        <v>8</v>
      </c>
      <c r="F107" s="7" t="s">
        <v>9</v>
      </c>
      <c r="G107" s="7" t="s">
        <v>10</v>
      </c>
      <c r="H107" s="7" t="s">
        <v>11</v>
      </c>
      <c r="I107" s="11" t="s">
        <v>12</v>
      </c>
      <c r="J107" s="2"/>
      <c r="K107" s="14"/>
      <c r="L107" s="14"/>
      <c r="M107" s="14"/>
      <c r="N107" s="14"/>
      <c r="O107" s="14"/>
      <c r="P107" s="14"/>
      <c r="Q107" s="14"/>
      <c r="R107" s="14"/>
      <c r="S107" s="14"/>
      <c r="T107" s="14"/>
      <c r="U107" s="14"/>
      <c r="V107" s="14"/>
      <c r="W107" s="14"/>
      <c r="X107" s="14"/>
      <c r="Y107" s="14"/>
      <c r="Z107" s="14"/>
      <c r="AA107" s="14"/>
      <c r="AB107" s="14"/>
    </row>
    <row r="108" spans="1:28" ht="21">
      <c r="A108" s="5" t="s">
        <v>633</v>
      </c>
      <c r="B108" s="5" t="s">
        <v>594</v>
      </c>
      <c r="C108" s="13" t="s">
        <v>21</v>
      </c>
      <c r="D108" s="13" t="s">
        <v>18</v>
      </c>
      <c r="E108" s="13" t="s">
        <v>1562</v>
      </c>
      <c r="F108" s="13" t="s">
        <v>17</v>
      </c>
      <c r="G108" s="13" t="s">
        <v>21</v>
      </c>
      <c r="H108" s="7"/>
      <c r="I108" s="7"/>
      <c r="J108" s="2"/>
      <c r="K108" s="586" t="s">
        <v>2118</v>
      </c>
      <c r="L108" s="531"/>
      <c r="M108" s="531"/>
      <c r="N108" s="537"/>
      <c r="O108" s="14"/>
      <c r="P108" s="14"/>
      <c r="Q108" s="14"/>
      <c r="R108" s="14"/>
      <c r="S108" s="14"/>
      <c r="T108" s="14"/>
      <c r="U108" s="14"/>
      <c r="V108" s="14"/>
      <c r="W108" s="14"/>
      <c r="X108" s="14"/>
      <c r="Y108" s="14"/>
      <c r="Z108" s="14"/>
      <c r="AA108" s="14"/>
      <c r="AB108" s="14"/>
    </row>
    <row r="109" spans="1:28" ht="21">
      <c r="A109" s="5" t="s">
        <v>639</v>
      </c>
      <c r="B109" s="5" t="s">
        <v>640</v>
      </c>
      <c r="C109" s="13" t="s">
        <v>1567</v>
      </c>
      <c r="D109" s="13" t="s">
        <v>18</v>
      </c>
      <c r="E109" s="13" t="s">
        <v>1567</v>
      </c>
      <c r="F109" s="13" t="s">
        <v>28</v>
      </c>
      <c r="G109" s="13" t="s">
        <v>1567</v>
      </c>
      <c r="H109" s="7"/>
      <c r="I109" s="7"/>
      <c r="J109" s="2"/>
      <c r="K109" s="576"/>
      <c r="L109" s="577"/>
      <c r="M109" s="577"/>
      <c r="N109" s="578"/>
      <c r="O109" s="14"/>
      <c r="P109" s="14"/>
      <c r="Q109" s="14"/>
      <c r="R109" s="14"/>
      <c r="S109" s="14"/>
      <c r="T109" s="14"/>
      <c r="U109" s="14"/>
      <c r="V109" s="14"/>
      <c r="W109" s="14"/>
      <c r="X109" s="14"/>
      <c r="Y109" s="14"/>
      <c r="Z109" s="14"/>
      <c r="AA109" s="14"/>
      <c r="AB109" s="14"/>
    </row>
    <row r="110" spans="1:28" ht="21">
      <c r="A110" s="5" t="s">
        <v>644</v>
      </c>
      <c r="B110" s="5" t="s">
        <v>645</v>
      </c>
      <c r="C110" s="13" t="s">
        <v>21</v>
      </c>
      <c r="D110" s="13" t="s">
        <v>1567</v>
      </c>
      <c r="E110" s="13" t="s">
        <v>1562</v>
      </c>
      <c r="F110" s="13" t="s">
        <v>28</v>
      </c>
      <c r="G110" s="13" t="s">
        <v>1567</v>
      </c>
      <c r="H110" s="7"/>
      <c r="I110" s="7"/>
      <c r="J110" s="2"/>
      <c r="K110" s="576"/>
      <c r="L110" s="577"/>
      <c r="M110" s="577"/>
      <c r="N110" s="578"/>
      <c r="O110" s="14"/>
      <c r="P110" s="14"/>
      <c r="Q110" s="14"/>
      <c r="R110" s="14"/>
      <c r="S110" s="14"/>
      <c r="T110" s="14"/>
      <c r="U110" s="14"/>
      <c r="V110" s="14"/>
      <c r="W110" s="14"/>
      <c r="X110" s="14"/>
      <c r="Y110" s="14"/>
      <c r="Z110" s="14"/>
      <c r="AA110" s="14"/>
      <c r="AB110" s="14"/>
    </row>
    <row r="111" spans="1:28" ht="21">
      <c r="A111" s="5" t="s">
        <v>651</v>
      </c>
      <c r="B111" s="5" t="s">
        <v>652</v>
      </c>
      <c r="C111" s="13" t="s">
        <v>28</v>
      </c>
      <c r="D111" s="13" t="s">
        <v>28</v>
      </c>
      <c r="E111" s="13" t="s">
        <v>28</v>
      </c>
      <c r="F111" s="13" t="s">
        <v>17</v>
      </c>
      <c r="G111" s="13" t="s">
        <v>28</v>
      </c>
      <c r="H111" s="7"/>
      <c r="I111" s="7"/>
      <c r="J111" s="2"/>
      <c r="K111" s="576"/>
      <c r="L111" s="577"/>
      <c r="M111" s="577"/>
      <c r="N111" s="578"/>
      <c r="O111" s="14"/>
      <c r="P111" s="14"/>
      <c r="Q111" s="14"/>
      <c r="R111" s="14"/>
      <c r="S111" s="14"/>
      <c r="T111" s="14"/>
      <c r="U111" s="14"/>
      <c r="V111" s="14"/>
      <c r="W111" s="14"/>
      <c r="X111" s="14"/>
      <c r="Y111" s="14"/>
      <c r="Z111" s="14"/>
      <c r="AA111" s="14"/>
      <c r="AB111" s="14"/>
    </row>
    <row r="112" spans="1:28" ht="21">
      <c r="A112" s="5" t="s">
        <v>658</v>
      </c>
      <c r="B112" s="5" t="s">
        <v>659</v>
      </c>
      <c r="C112" s="13" t="s">
        <v>21</v>
      </c>
      <c r="D112" s="13" t="s">
        <v>1567</v>
      </c>
      <c r="E112" s="13" t="s">
        <v>18</v>
      </c>
      <c r="F112" s="13" t="s">
        <v>28</v>
      </c>
      <c r="G112" s="13" t="s">
        <v>21</v>
      </c>
      <c r="H112" s="7"/>
      <c r="I112" s="7"/>
      <c r="J112" s="2"/>
      <c r="K112" s="576"/>
      <c r="L112" s="577"/>
      <c r="M112" s="577"/>
      <c r="N112" s="578"/>
      <c r="O112" s="14"/>
      <c r="P112" s="14"/>
      <c r="Q112" s="14"/>
      <c r="R112" s="14"/>
      <c r="S112" s="14"/>
      <c r="T112" s="14"/>
      <c r="U112" s="14"/>
      <c r="V112" s="14"/>
      <c r="W112" s="14"/>
      <c r="X112" s="14"/>
      <c r="Y112" s="14"/>
      <c r="Z112" s="14"/>
      <c r="AA112" s="14"/>
      <c r="AB112" s="14"/>
    </row>
    <row r="113" spans="1:28" ht="21">
      <c r="A113" s="5" t="s">
        <v>663</v>
      </c>
      <c r="B113" s="5" t="s">
        <v>5246</v>
      </c>
      <c r="C113" s="13" t="s">
        <v>1567</v>
      </c>
      <c r="D113" s="13" t="s">
        <v>1562</v>
      </c>
      <c r="E113" s="13" t="s">
        <v>1567</v>
      </c>
      <c r="F113" s="13" t="s">
        <v>21</v>
      </c>
      <c r="G113" s="13" t="s">
        <v>1567</v>
      </c>
      <c r="H113" s="7"/>
      <c r="I113" s="7"/>
      <c r="J113" s="2"/>
      <c r="K113" s="576"/>
      <c r="L113" s="577"/>
      <c r="M113" s="577"/>
      <c r="N113" s="578"/>
      <c r="O113" s="14"/>
      <c r="P113" s="14"/>
      <c r="Q113" s="14"/>
      <c r="R113" s="14"/>
      <c r="S113" s="14"/>
      <c r="T113" s="14"/>
      <c r="U113" s="14"/>
      <c r="V113" s="14"/>
      <c r="W113" s="14"/>
      <c r="X113" s="14"/>
      <c r="Y113" s="14"/>
      <c r="Z113" s="14"/>
      <c r="AA113" s="14"/>
      <c r="AB113" s="14"/>
    </row>
    <row r="114" spans="1:28" ht="21">
      <c r="A114" s="5" t="s">
        <v>667</v>
      </c>
      <c r="B114" s="23" t="s">
        <v>668</v>
      </c>
      <c r="C114" s="13" t="s">
        <v>18</v>
      </c>
      <c r="D114" s="13" t="s">
        <v>28</v>
      </c>
      <c r="E114" s="13" t="s">
        <v>21</v>
      </c>
      <c r="F114" s="13" t="s">
        <v>28</v>
      </c>
      <c r="G114" s="13" t="s">
        <v>21</v>
      </c>
      <c r="H114" s="7"/>
      <c r="I114" s="7"/>
      <c r="J114" s="2"/>
      <c r="K114" s="538"/>
      <c r="L114" s="533"/>
      <c r="M114" s="533"/>
      <c r="N114" s="539"/>
      <c r="O114" s="14"/>
      <c r="P114" s="14"/>
      <c r="Q114" s="14"/>
      <c r="R114" s="14"/>
      <c r="S114" s="14"/>
      <c r="T114" s="14"/>
      <c r="U114" s="14"/>
      <c r="V114" s="14"/>
      <c r="W114" s="14"/>
      <c r="X114" s="14"/>
      <c r="Y114" s="14"/>
      <c r="Z114" s="14"/>
      <c r="AA114" s="14"/>
      <c r="AB114" s="14"/>
    </row>
    <row r="115" spans="1:28" ht="21">
      <c r="A115" s="5" t="s">
        <v>674</v>
      </c>
      <c r="B115" s="23" t="s">
        <v>675</v>
      </c>
      <c r="C115" s="13" t="s">
        <v>21</v>
      </c>
      <c r="D115" s="13" t="s">
        <v>21</v>
      </c>
      <c r="E115" s="13" t="s">
        <v>1567</v>
      </c>
      <c r="F115" s="13" t="s">
        <v>28</v>
      </c>
      <c r="G115" s="13" t="s">
        <v>21</v>
      </c>
      <c r="H115" s="7"/>
      <c r="I115" s="7"/>
      <c r="J115" s="2"/>
      <c r="K115" s="14"/>
      <c r="L115" s="14"/>
      <c r="M115" s="14"/>
      <c r="N115" s="14"/>
      <c r="O115" s="14"/>
      <c r="P115" s="14"/>
      <c r="Q115" s="14"/>
      <c r="R115" s="14"/>
      <c r="S115" s="14"/>
      <c r="T115" s="14"/>
      <c r="U115" s="14"/>
      <c r="V115" s="14"/>
      <c r="W115" s="14"/>
      <c r="X115" s="14"/>
      <c r="Y115" s="14"/>
      <c r="Z115" s="14"/>
      <c r="AA115" s="14"/>
      <c r="AB115" s="14"/>
    </row>
    <row r="116" spans="1:28" ht="21">
      <c r="A116" s="5" t="s">
        <v>681</v>
      </c>
      <c r="B116" s="133" t="s">
        <v>666</v>
      </c>
      <c r="C116" s="13" t="s">
        <v>28</v>
      </c>
      <c r="D116" s="13" t="s">
        <v>17</v>
      </c>
      <c r="E116" s="13" t="s">
        <v>21</v>
      </c>
      <c r="F116" s="13" t="s">
        <v>17</v>
      </c>
      <c r="G116" s="13" t="s">
        <v>17</v>
      </c>
      <c r="H116" s="7" t="s">
        <v>2119</v>
      </c>
      <c r="I116" s="7"/>
      <c r="J116" s="2"/>
      <c r="K116" s="14"/>
      <c r="L116" s="14"/>
      <c r="M116" s="14"/>
      <c r="N116" s="14"/>
      <c r="O116" s="14"/>
      <c r="P116" s="14"/>
      <c r="Q116" s="14"/>
      <c r="R116" s="14"/>
      <c r="S116" s="14"/>
      <c r="T116" s="14"/>
      <c r="U116" s="14"/>
      <c r="V116" s="14"/>
      <c r="W116" s="14"/>
      <c r="X116" s="14"/>
      <c r="Y116" s="14"/>
      <c r="Z116" s="14"/>
      <c r="AA116" s="14"/>
      <c r="AB116" s="14"/>
    </row>
    <row r="117" spans="1:28" ht="21">
      <c r="A117" s="5" t="s">
        <v>687</v>
      </c>
      <c r="B117" s="131" t="s">
        <v>688</v>
      </c>
      <c r="C117" s="13" t="s">
        <v>28</v>
      </c>
      <c r="D117" s="13" t="s">
        <v>28</v>
      </c>
      <c r="E117" s="13" t="s">
        <v>21</v>
      </c>
      <c r="F117" s="13" t="s">
        <v>17</v>
      </c>
      <c r="G117" s="13" t="s">
        <v>21</v>
      </c>
      <c r="H117" s="7" t="s">
        <v>2120</v>
      </c>
      <c r="I117" s="7"/>
      <c r="J117" s="2"/>
      <c r="K117" s="14"/>
      <c r="L117" s="14"/>
      <c r="M117" s="14"/>
      <c r="N117" s="14"/>
      <c r="O117" s="14"/>
      <c r="P117" s="14"/>
      <c r="Q117" s="14"/>
      <c r="R117" s="14"/>
      <c r="S117" s="14"/>
      <c r="T117" s="14"/>
      <c r="U117" s="14"/>
      <c r="V117" s="14"/>
      <c r="W117" s="14"/>
      <c r="X117" s="14"/>
      <c r="Y117" s="14"/>
      <c r="Z117" s="14"/>
      <c r="AA117" s="14"/>
      <c r="AB117" s="14"/>
    </row>
    <row r="118" spans="1:28" ht="21">
      <c r="A118" s="5" t="s">
        <v>694</v>
      </c>
      <c r="B118" s="5" t="s">
        <v>695</v>
      </c>
      <c r="C118" s="13" t="s">
        <v>18</v>
      </c>
      <c r="D118" s="13" t="s">
        <v>18</v>
      </c>
      <c r="E118" s="13" t="s">
        <v>1562</v>
      </c>
      <c r="F118" s="13" t="s">
        <v>21</v>
      </c>
      <c r="G118" s="13" t="s">
        <v>1567</v>
      </c>
      <c r="H118" s="7" t="s">
        <v>2121</v>
      </c>
      <c r="I118" s="7"/>
      <c r="J118" s="2"/>
      <c r="K118" s="14"/>
      <c r="L118" s="14"/>
      <c r="M118" s="14"/>
      <c r="N118" s="14"/>
      <c r="O118" s="14"/>
      <c r="P118" s="14"/>
      <c r="Q118" s="14"/>
      <c r="R118" s="14"/>
      <c r="S118" s="14"/>
      <c r="T118" s="14"/>
      <c r="U118" s="14"/>
      <c r="V118" s="14"/>
      <c r="W118" s="14"/>
      <c r="X118" s="14"/>
      <c r="Y118" s="14"/>
      <c r="Z118" s="14"/>
      <c r="AA118" s="14"/>
      <c r="AB118" s="14"/>
    </row>
    <row r="119" spans="1:28" ht="21">
      <c r="A119" s="5" t="s">
        <v>701</v>
      </c>
      <c r="B119" s="5" t="s">
        <v>702</v>
      </c>
      <c r="C119" s="13" t="s">
        <v>21</v>
      </c>
      <c r="D119" s="13" t="s">
        <v>1567</v>
      </c>
      <c r="E119" s="13" t="s">
        <v>22</v>
      </c>
      <c r="F119" s="13" t="s">
        <v>21</v>
      </c>
      <c r="G119" s="13" t="s">
        <v>1567</v>
      </c>
      <c r="H119" s="7" t="s">
        <v>2122</v>
      </c>
      <c r="I119" s="7"/>
      <c r="J119" s="2"/>
      <c r="K119" s="14"/>
      <c r="L119" s="14"/>
      <c r="M119" s="14"/>
      <c r="N119" s="14"/>
      <c r="O119" s="14"/>
      <c r="P119" s="14"/>
      <c r="Q119" s="14"/>
      <c r="R119" s="14"/>
      <c r="S119" s="14"/>
      <c r="T119" s="14"/>
      <c r="U119" s="14"/>
      <c r="V119" s="14"/>
      <c r="W119" s="14"/>
      <c r="X119" s="14"/>
      <c r="Y119" s="14"/>
      <c r="Z119" s="14"/>
      <c r="AA119" s="14"/>
      <c r="AB119" s="14"/>
    </row>
    <row r="120" spans="1:28" ht="21">
      <c r="A120" s="5" t="s">
        <v>708</v>
      </c>
      <c r="B120" s="5" t="s">
        <v>709</v>
      </c>
      <c r="C120" s="13" t="s">
        <v>21</v>
      </c>
      <c r="D120" s="13" t="s">
        <v>1567</v>
      </c>
      <c r="E120" s="13" t="s">
        <v>1567</v>
      </c>
      <c r="F120" s="13" t="s">
        <v>21</v>
      </c>
      <c r="G120" s="13" t="s">
        <v>21</v>
      </c>
      <c r="H120" s="7" t="s">
        <v>2123</v>
      </c>
      <c r="I120" s="7"/>
      <c r="J120" s="2"/>
      <c r="K120" s="14"/>
      <c r="L120" s="14"/>
      <c r="M120" s="14"/>
      <c r="N120" s="14"/>
      <c r="O120" s="14"/>
      <c r="P120" s="14"/>
      <c r="Q120" s="14"/>
      <c r="R120" s="14"/>
      <c r="S120" s="14"/>
      <c r="T120" s="14"/>
      <c r="U120" s="14"/>
      <c r="V120" s="14"/>
      <c r="W120" s="14"/>
      <c r="X120" s="14"/>
      <c r="Y120" s="14"/>
      <c r="Z120" s="14"/>
      <c r="AA120" s="14"/>
      <c r="AB120" s="14"/>
    </row>
    <row r="121" spans="1:28" ht="21">
      <c r="A121" s="5" t="s">
        <v>715</v>
      </c>
      <c r="B121" s="131" t="s">
        <v>716</v>
      </c>
      <c r="C121" s="13" t="s">
        <v>1567</v>
      </c>
      <c r="D121" s="13" t="s">
        <v>22</v>
      </c>
      <c r="E121" s="13" t="s">
        <v>1567</v>
      </c>
      <c r="F121" s="13" t="s">
        <v>21</v>
      </c>
      <c r="G121" s="13" t="s">
        <v>22</v>
      </c>
      <c r="H121" s="7" t="s">
        <v>2028</v>
      </c>
      <c r="I121" s="7"/>
      <c r="J121" s="2"/>
      <c r="K121" s="14"/>
      <c r="L121" s="14"/>
      <c r="M121" s="14"/>
      <c r="N121" s="14"/>
      <c r="O121" s="14"/>
      <c r="P121" s="14"/>
      <c r="Q121" s="14"/>
      <c r="R121" s="14"/>
      <c r="S121" s="14"/>
      <c r="T121" s="14"/>
      <c r="U121" s="14"/>
      <c r="V121" s="14"/>
      <c r="W121" s="14"/>
      <c r="X121" s="14"/>
      <c r="Y121" s="14"/>
      <c r="Z121" s="14"/>
      <c r="AA121" s="14"/>
      <c r="AB121" s="14"/>
    </row>
    <row r="122" spans="1:28" ht="21">
      <c r="A122" s="5" t="s">
        <v>722</v>
      </c>
      <c r="B122" s="5" t="s">
        <v>723</v>
      </c>
      <c r="C122" s="13" t="s">
        <v>28</v>
      </c>
      <c r="D122" s="13" t="s">
        <v>21</v>
      </c>
      <c r="E122" s="13" t="s">
        <v>1567</v>
      </c>
      <c r="F122" s="13" t="s">
        <v>17</v>
      </c>
      <c r="G122" s="13" t="s">
        <v>21</v>
      </c>
      <c r="H122" s="7"/>
      <c r="I122" s="7"/>
      <c r="J122" s="2"/>
      <c r="K122" s="14"/>
      <c r="L122" s="14"/>
      <c r="M122" s="14"/>
      <c r="N122" s="14"/>
      <c r="O122" s="14"/>
      <c r="P122" s="14"/>
      <c r="Q122" s="14"/>
      <c r="R122" s="14"/>
      <c r="S122" s="14"/>
      <c r="T122" s="14"/>
      <c r="U122" s="14"/>
      <c r="V122" s="14"/>
      <c r="W122" s="14"/>
      <c r="X122" s="14"/>
      <c r="Y122" s="14"/>
      <c r="Z122" s="14"/>
      <c r="AA122" s="14"/>
      <c r="AB122" s="14"/>
    </row>
    <row r="123" spans="1:28" ht="21">
      <c r="A123" s="5" t="s">
        <v>727</v>
      </c>
      <c r="B123" s="134" t="s">
        <v>558</v>
      </c>
      <c r="C123" s="13" t="s">
        <v>28</v>
      </c>
      <c r="D123" s="13" t="s">
        <v>17</v>
      </c>
      <c r="E123" s="13" t="s">
        <v>28</v>
      </c>
      <c r="F123" s="13" t="s">
        <v>17</v>
      </c>
      <c r="G123" s="13" t="s">
        <v>17</v>
      </c>
      <c r="H123" s="7" t="s">
        <v>2124</v>
      </c>
      <c r="I123" s="7"/>
      <c r="J123" s="2"/>
      <c r="K123" s="14"/>
      <c r="L123" s="14"/>
      <c r="M123" s="14"/>
      <c r="N123" s="14"/>
      <c r="O123" s="14"/>
      <c r="P123" s="14"/>
      <c r="Q123" s="14"/>
      <c r="R123" s="14"/>
      <c r="S123" s="14"/>
      <c r="T123" s="14"/>
      <c r="U123" s="14"/>
      <c r="V123" s="14"/>
      <c r="W123" s="14"/>
      <c r="X123" s="14"/>
      <c r="Y123" s="14"/>
      <c r="Z123" s="14"/>
      <c r="AA123" s="14"/>
      <c r="AB123" s="14"/>
    </row>
    <row r="124" spans="1:28" ht="21">
      <c r="A124" s="5" t="s">
        <v>733</v>
      </c>
      <c r="B124" s="5" t="s">
        <v>686</v>
      </c>
      <c r="C124" s="13" t="s">
        <v>1567</v>
      </c>
      <c r="D124" s="13" t="s">
        <v>21</v>
      </c>
      <c r="E124" s="13" t="s">
        <v>1567</v>
      </c>
      <c r="F124" s="13" t="s">
        <v>28</v>
      </c>
      <c r="G124" s="13" t="s">
        <v>1567</v>
      </c>
      <c r="H124" s="7" t="s">
        <v>2125</v>
      </c>
      <c r="I124" s="7"/>
      <c r="J124" s="2"/>
      <c r="K124" s="14"/>
      <c r="L124" s="14"/>
      <c r="M124" s="14"/>
      <c r="N124" s="14"/>
      <c r="O124" s="14"/>
      <c r="P124" s="14"/>
      <c r="Q124" s="14"/>
      <c r="R124" s="14"/>
      <c r="S124" s="14"/>
      <c r="T124" s="14"/>
      <c r="U124" s="14"/>
      <c r="V124" s="14"/>
      <c r="W124" s="14"/>
      <c r="X124" s="14"/>
      <c r="Y124" s="14"/>
      <c r="Z124" s="14"/>
      <c r="AA124" s="14"/>
      <c r="AB124" s="14"/>
    </row>
    <row r="125" spans="1:28" ht="21">
      <c r="A125" s="5" t="s">
        <v>737</v>
      </c>
      <c r="B125" s="5" t="s">
        <v>700</v>
      </c>
      <c r="C125" s="13" t="s">
        <v>21</v>
      </c>
      <c r="D125" s="13" t="s">
        <v>21</v>
      </c>
      <c r="E125" s="13" t="s">
        <v>21</v>
      </c>
      <c r="F125" s="13" t="s">
        <v>28</v>
      </c>
      <c r="G125" s="13" t="s">
        <v>21</v>
      </c>
      <c r="H125" s="7" t="s">
        <v>2126</v>
      </c>
      <c r="I125" s="7"/>
      <c r="J125" s="2"/>
      <c r="K125" s="14"/>
      <c r="L125" s="14"/>
      <c r="M125" s="14"/>
      <c r="N125" s="14"/>
      <c r="O125" s="14"/>
      <c r="P125" s="14"/>
      <c r="Q125" s="14"/>
      <c r="R125" s="14"/>
      <c r="S125" s="14"/>
      <c r="T125" s="14"/>
      <c r="U125" s="14"/>
      <c r="V125" s="14"/>
      <c r="W125" s="14"/>
      <c r="X125" s="14"/>
      <c r="Y125" s="14"/>
      <c r="Z125" s="14"/>
      <c r="AA125" s="14"/>
      <c r="AB125" s="14"/>
    </row>
    <row r="126" spans="1:28">
      <c r="A126" s="5" t="s">
        <v>741</v>
      </c>
      <c r="B126" s="5" t="s">
        <v>742</v>
      </c>
      <c r="C126" s="13" t="s">
        <v>21</v>
      </c>
      <c r="D126" s="13" t="s">
        <v>1567</v>
      </c>
      <c r="E126" s="13" t="s">
        <v>1567</v>
      </c>
      <c r="F126" s="13" t="s">
        <v>28</v>
      </c>
      <c r="G126" s="13" t="s">
        <v>1567</v>
      </c>
      <c r="H126" s="7" t="s">
        <v>2127</v>
      </c>
      <c r="I126" s="7"/>
    </row>
    <row r="127" spans="1:28">
      <c r="A127" s="5" t="s">
        <v>746</v>
      </c>
      <c r="B127" s="133" t="s">
        <v>693</v>
      </c>
      <c r="C127" s="13" t="s">
        <v>28</v>
      </c>
      <c r="D127" s="13" t="s">
        <v>17</v>
      </c>
      <c r="E127" s="13" t="s">
        <v>28</v>
      </c>
      <c r="F127" s="13" t="s">
        <v>17</v>
      </c>
      <c r="G127" s="13" t="s">
        <v>17</v>
      </c>
      <c r="H127" s="7" t="s">
        <v>2128</v>
      </c>
      <c r="I127" s="7"/>
    </row>
    <row r="128" spans="1:28">
      <c r="A128" s="5" t="s">
        <v>752</v>
      </c>
      <c r="B128" s="23" t="s">
        <v>753</v>
      </c>
      <c r="C128" s="13" t="s">
        <v>1567</v>
      </c>
      <c r="D128" s="13" t="s">
        <v>1567</v>
      </c>
      <c r="E128" s="13" t="s">
        <v>21</v>
      </c>
      <c r="F128" s="13" t="s">
        <v>28</v>
      </c>
      <c r="G128" s="13" t="s">
        <v>1567</v>
      </c>
      <c r="H128" s="7"/>
      <c r="I128" s="7"/>
    </row>
    <row r="129" spans="1:9">
      <c r="A129" s="5" t="s">
        <v>757</v>
      </c>
      <c r="B129" s="5" t="s">
        <v>758</v>
      </c>
      <c r="C129" s="13" t="s">
        <v>21</v>
      </c>
      <c r="D129" s="13" t="s">
        <v>21</v>
      </c>
      <c r="E129" s="13" t="s">
        <v>28</v>
      </c>
      <c r="F129" s="13" t="s">
        <v>17</v>
      </c>
      <c r="G129" s="13" t="s">
        <v>28</v>
      </c>
      <c r="H129" s="7" t="s">
        <v>2129</v>
      </c>
      <c r="I129" s="7"/>
    </row>
    <row r="130" spans="1:9">
      <c r="A130" s="5" t="s">
        <v>762</v>
      </c>
      <c r="B130" s="5" t="s">
        <v>763</v>
      </c>
      <c r="C130" s="13" t="s">
        <v>21</v>
      </c>
      <c r="D130" s="13" t="s">
        <v>1567</v>
      </c>
      <c r="E130" s="13" t="s">
        <v>21</v>
      </c>
      <c r="F130" s="13" t="s">
        <v>28</v>
      </c>
      <c r="G130" s="13" t="s">
        <v>21</v>
      </c>
      <c r="H130" s="7"/>
      <c r="I130" s="7"/>
    </row>
    <row r="131" spans="1:9">
      <c r="A131" s="5" t="s">
        <v>767</v>
      </c>
      <c r="B131" s="5" t="s">
        <v>768</v>
      </c>
      <c r="C131" s="13" t="s">
        <v>21</v>
      </c>
      <c r="D131" s="13" t="s">
        <v>1567</v>
      </c>
      <c r="E131" s="13" t="s">
        <v>21</v>
      </c>
      <c r="F131" s="13" t="s">
        <v>21</v>
      </c>
      <c r="G131" s="13" t="s">
        <v>1567</v>
      </c>
      <c r="H131" s="7"/>
      <c r="I131" s="7"/>
    </row>
    <row r="132" spans="1:9">
      <c r="A132" s="5" t="s">
        <v>772</v>
      </c>
      <c r="B132" s="5" t="s">
        <v>773</v>
      </c>
      <c r="C132" s="13" t="s">
        <v>1567</v>
      </c>
      <c r="D132" s="13" t="s">
        <v>21</v>
      </c>
      <c r="E132" s="13" t="s">
        <v>21</v>
      </c>
      <c r="F132" s="13" t="s">
        <v>28</v>
      </c>
      <c r="G132" s="13" t="s">
        <v>21</v>
      </c>
      <c r="H132" s="7"/>
      <c r="I132" s="7"/>
    </row>
    <row r="133" spans="1:9">
      <c r="A133" s="5" t="s">
        <v>779</v>
      </c>
      <c r="B133" s="133" t="s">
        <v>780</v>
      </c>
      <c r="C133" s="13" t="s">
        <v>17</v>
      </c>
      <c r="D133" s="13" t="s">
        <v>28</v>
      </c>
      <c r="E133" s="13" t="s">
        <v>17</v>
      </c>
      <c r="F133" s="13" t="s">
        <v>28</v>
      </c>
      <c r="G133" s="13" t="s">
        <v>17</v>
      </c>
      <c r="H133" s="7"/>
      <c r="I133" s="7"/>
    </row>
    <row r="134" spans="1:9">
      <c r="A134" s="5" t="s">
        <v>785</v>
      </c>
      <c r="B134" s="23" t="s">
        <v>786</v>
      </c>
      <c r="C134" s="13" t="s">
        <v>1567</v>
      </c>
      <c r="D134" s="13" t="s">
        <v>21</v>
      </c>
      <c r="E134" s="13" t="s">
        <v>28</v>
      </c>
      <c r="F134" s="13" t="s">
        <v>28</v>
      </c>
      <c r="G134" s="13" t="s">
        <v>21</v>
      </c>
      <c r="H134" s="7"/>
      <c r="I134" s="7"/>
    </row>
    <row r="135" spans="1:9">
      <c r="A135" s="5" t="s">
        <v>791</v>
      </c>
      <c r="B135" s="5" t="s">
        <v>792</v>
      </c>
      <c r="C135" s="13" t="s">
        <v>1567</v>
      </c>
      <c r="D135" s="13" t="s">
        <v>1567</v>
      </c>
      <c r="E135" s="13" t="s">
        <v>28</v>
      </c>
      <c r="F135" s="13" t="s">
        <v>21</v>
      </c>
      <c r="G135" s="13" t="s">
        <v>1567</v>
      </c>
      <c r="H135" s="7" t="s">
        <v>2130</v>
      </c>
      <c r="I135" s="7"/>
    </row>
    <row r="136" spans="1:9">
      <c r="A136" s="5" t="s">
        <v>796</v>
      </c>
      <c r="B136" s="5" t="s">
        <v>797</v>
      </c>
      <c r="C136" s="13" t="s">
        <v>1567</v>
      </c>
      <c r="D136" s="13" t="s">
        <v>1567</v>
      </c>
      <c r="E136" s="13" t="s">
        <v>21</v>
      </c>
      <c r="F136" s="13" t="s">
        <v>28</v>
      </c>
      <c r="G136" s="13" t="s">
        <v>1567</v>
      </c>
      <c r="H136" s="7"/>
      <c r="I136" s="7"/>
    </row>
    <row r="137" spans="1:9">
      <c r="A137" s="5" t="s">
        <v>800</v>
      </c>
      <c r="B137" s="23" t="s">
        <v>801</v>
      </c>
      <c r="C137" s="13" t="s">
        <v>28</v>
      </c>
      <c r="D137" s="13" t="s">
        <v>22</v>
      </c>
      <c r="E137" s="13" t="s">
        <v>1567</v>
      </c>
      <c r="F137" s="13" t="s">
        <v>28</v>
      </c>
      <c r="G137" s="13" t="s">
        <v>21</v>
      </c>
      <c r="H137" s="7" t="s">
        <v>2131</v>
      </c>
      <c r="I137" s="7"/>
    </row>
    <row r="138" spans="1:9">
      <c r="A138" s="5" t="s">
        <v>807</v>
      </c>
      <c r="B138" s="5" t="s">
        <v>808</v>
      </c>
      <c r="C138" s="13" t="s">
        <v>28</v>
      </c>
      <c r="D138" s="13" t="s">
        <v>21</v>
      </c>
      <c r="E138" s="13" t="s">
        <v>28</v>
      </c>
      <c r="F138" s="13" t="s">
        <v>28</v>
      </c>
      <c r="G138" s="13" t="s">
        <v>28</v>
      </c>
      <c r="H138" s="7" t="s">
        <v>2132</v>
      </c>
      <c r="I138" s="7"/>
    </row>
    <row r="139" spans="1:9">
      <c r="A139" s="5" t="s">
        <v>814</v>
      </c>
      <c r="B139" s="5" t="s">
        <v>736</v>
      </c>
      <c r="C139" s="13" t="s">
        <v>28</v>
      </c>
      <c r="D139" s="13" t="s">
        <v>28</v>
      </c>
      <c r="E139" s="13" t="s">
        <v>28</v>
      </c>
      <c r="F139" s="13" t="s">
        <v>17</v>
      </c>
      <c r="G139" s="13" t="s">
        <v>28</v>
      </c>
      <c r="H139" s="7"/>
      <c r="I139" s="7"/>
    </row>
    <row r="140" spans="1:9">
      <c r="A140" s="5" t="s">
        <v>818</v>
      </c>
      <c r="B140" s="5" t="s">
        <v>819</v>
      </c>
      <c r="C140" s="13" t="s">
        <v>21</v>
      </c>
      <c r="D140" s="13" t="s">
        <v>21</v>
      </c>
      <c r="E140" s="13" t="s">
        <v>28</v>
      </c>
      <c r="F140" s="13" t="s">
        <v>21</v>
      </c>
      <c r="G140" s="13" t="s">
        <v>21</v>
      </c>
      <c r="H140" s="7"/>
      <c r="I140" s="7"/>
    </row>
    <row r="141" spans="1:9">
      <c r="A141" s="5" t="s">
        <v>825</v>
      </c>
      <c r="B141" s="23" t="s">
        <v>826</v>
      </c>
      <c r="C141" s="13" t="s">
        <v>28</v>
      </c>
      <c r="D141" s="13" t="s">
        <v>21</v>
      </c>
      <c r="E141" s="13" t="s">
        <v>28</v>
      </c>
      <c r="F141" s="13" t="s">
        <v>17</v>
      </c>
      <c r="G141" s="13" t="s">
        <v>28</v>
      </c>
      <c r="H141" s="7"/>
      <c r="I141" s="7"/>
    </row>
    <row r="142" spans="1:9">
      <c r="A142" s="5" t="s">
        <v>832</v>
      </c>
      <c r="B142" s="133" t="s">
        <v>833</v>
      </c>
      <c r="C142" s="13" t="s">
        <v>28</v>
      </c>
      <c r="D142" s="13" t="s">
        <v>17</v>
      </c>
      <c r="E142" s="13" t="s">
        <v>28</v>
      </c>
      <c r="F142" s="13" t="s">
        <v>17</v>
      </c>
      <c r="G142" s="13" t="s">
        <v>17</v>
      </c>
      <c r="H142" s="7" t="s">
        <v>2133</v>
      </c>
      <c r="I142" s="7"/>
    </row>
    <row r="143" spans="1:9">
      <c r="A143" s="5" t="s">
        <v>837</v>
      </c>
      <c r="B143" s="5" t="s">
        <v>838</v>
      </c>
      <c r="C143" s="13" t="s">
        <v>21</v>
      </c>
      <c r="D143" s="13" t="s">
        <v>1567</v>
      </c>
      <c r="E143" s="13" t="s">
        <v>21</v>
      </c>
      <c r="F143" s="13" t="s">
        <v>28</v>
      </c>
      <c r="G143" s="13" t="s">
        <v>21</v>
      </c>
      <c r="H143" s="7"/>
      <c r="I143" s="7"/>
    </row>
    <row r="144" spans="1:9">
      <c r="A144" s="5" t="s">
        <v>844</v>
      </c>
      <c r="B144" s="23" t="s">
        <v>627</v>
      </c>
      <c r="C144" s="13" t="s">
        <v>28</v>
      </c>
      <c r="D144" s="13" t="s">
        <v>28</v>
      </c>
      <c r="E144" s="13" t="s">
        <v>17</v>
      </c>
      <c r="F144" s="13" t="s">
        <v>17</v>
      </c>
      <c r="G144" s="13" t="s">
        <v>28</v>
      </c>
      <c r="H144" s="7"/>
      <c r="I144" s="7"/>
    </row>
    <row r="145" spans="1:9">
      <c r="A145" s="5" t="s">
        <v>850</v>
      </c>
      <c r="B145" s="5" t="s">
        <v>851</v>
      </c>
      <c r="C145" s="13" t="s">
        <v>1567</v>
      </c>
      <c r="D145" s="13" t="s">
        <v>1567</v>
      </c>
      <c r="E145" s="13" t="s">
        <v>21</v>
      </c>
      <c r="F145" s="13" t="s">
        <v>28</v>
      </c>
      <c r="G145" s="13" t="s">
        <v>1567</v>
      </c>
      <c r="H145" s="7" t="s">
        <v>2134</v>
      </c>
      <c r="I145" s="7"/>
    </row>
    <row r="146" spans="1:9">
      <c r="A146" s="5" t="s">
        <v>855</v>
      </c>
      <c r="B146" s="23" t="s">
        <v>662</v>
      </c>
      <c r="C146" s="13" t="s">
        <v>21</v>
      </c>
      <c r="D146" s="13" t="s">
        <v>28</v>
      </c>
      <c r="E146" s="13" t="s">
        <v>21</v>
      </c>
      <c r="F146" s="13" t="s">
        <v>17</v>
      </c>
      <c r="G146" s="13" t="s">
        <v>28</v>
      </c>
      <c r="H146" s="7"/>
      <c r="I146" s="7"/>
    </row>
    <row r="147" spans="1:9">
      <c r="A147" s="5" t="s">
        <v>859</v>
      </c>
      <c r="B147" s="5" t="s">
        <v>860</v>
      </c>
      <c r="C147" s="13" t="s">
        <v>1567</v>
      </c>
      <c r="D147" s="13" t="s">
        <v>1567</v>
      </c>
      <c r="E147" s="13" t="s">
        <v>21</v>
      </c>
      <c r="F147" s="13" t="s">
        <v>17</v>
      </c>
      <c r="G147" s="13" t="s">
        <v>1567</v>
      </c>
      <c r="H147" s="7" t="s">
        <v>2135</v>
      </c>
      <c r="I147" s="7"/>
    </row>
    <row r="148" spans="1:9">
      <c r="A148" s="5" t="s">
        <v>861</v>
      </c>
      <c r="B148" s="5" t="s">
        <v>862</v>
      </c>
      <c r="C148" s="13" t="s">
        <v>21</v>
      </c>
      <c r="D148" s="13" t="s">
        <v>21</v>
      </c>
      <c r="E148" s="13" t="s">
        <v>28</v>
      </c>
      <c r="F148" s="13" t="s">
        <v>17</v>
      </c>
      <c r="G148" s="13" t="s">
        <v>28</v>
      </c>
      <c r="H148" s="7"/>
      <c r="I148" s="7"/>
    </row>
    <row r="149" spans="1:9">
      <c r="A149" s="5" t="s">
        <v>865</v>
      </c>
      <c r="B149" s="5" t="s">
        <v>866</v>
      </c>
      <c r="C149" s="13" t="s">
        <v>1567</v>
      </c>
      <c r="D149" s="13" t="s">
        <v>18</v>
      </c>
      <c r="E149" s="13" t="s">
        <v>21</v>
      </c>
      <c r="F149" s="13" t="s">
        <v>28</v>
      </c>
      <c r="G149" s="13" t="s">
        <v>1567</v>
      </c>
      <c r="H149" s="7"/>
      <c r="I149" s="7"/>
    </row>
    <row r="150" spans="1:9">
      <c r="A150" s="5" t="s">
        <v>870</v>
      </c>
      <c r="B150" s="5" t="s">
        <v>843</v>
      </c>
      <c r="C150" s="13" t="s">
        <v>21</v>
      </c>
      <c r="D150" s="13" t="s">
        <v>21</v>
      </c>
      <c r="E150" s="13" t="s">
        <v>28</v>
      </c>
      <c r="F150" s="13" t="s">
        <v>17</v>
      </c>
      <c r="G150" s="13" t="s">
        <v>28</v>
      </c>
      <c r="H150" s="7"/>
      <c r="I150" s="7"/>
    </row>
    <row r="151" spans="1:9">
      <c r="A151" s="5" t="s">
        <v>876</v>
      </c>
      <c r="B151" s="23" t="s">
        <v>877</v>
      </c>
      <c r="C151" s="13" t="s">
        <v>1567</v>
      </c>
      <c r="D151" s="13" t="s">
        <v>21</v>
      </c>
      <c r="E151" s="13" t="s">
        <v>1567</v>
      </c>
      <c r="F151" s="13" t="s">
        <v>28</v>
      </c>
      <c r="G151" s="13" t="s">
        <v>1567</v>
      </c>
      <c r="H151" s="7" t="s">
        <v>2136</v>
      </c>
      <c r="I151" s="7"/>
    </row>
    <row r="152" spans="1:9">
      <c r="A152" s="5" t="s">
        <v>881</v>
      </c>
      <c r="B152" s="23" t="s">
        <v>882</v>
      </c>
      <c r="C152" s="13" t="s">
        <v>21</v>
      </c>
      <c r="D152" s="13" t="s">
        <v>21</v>
      </c>
      <c r="E152" s="13" t="s">
        <v>21</v>
      </c>
      <c r="F152" s="13" t="s">
        <v>21</v>
      </c>
      <c r="G152" s="13" t="s">
        <v>21</v>
      </c>
      <c r="H152" s="7" t="s">
        <v>2137</v>
      </c>
      <c r="I152" s="7"/>
    </row>
    <row r="153" spans="1:9">
      <c r="A153" s="5" t="s">
        <v>888</v>
      </c>
      <c r="B153" s="23" t="s">
        <v>889</v>
      </c>
      <c r="C153" s="13" t="s">
        <v>1567</v>
      </c>
      <c r="D153" s="13" t="s">
        <v>1567</v>
      </c>
      <c r="E153" s="13" t="s">
        <v>21</v>
      </c>
      <c r="F153" s="13" t="s">
        <v>21</v>
      </c>
      <c r="G153" s="13" t="s">
        <v>1567</v>
      </c>
      <c r="H153" s="7"/>
      <c r="I153" s="7"/>
    </row>
    <row r="154" spans="1:9">
      <c r="A154" s="5" t="s">
        <v>895</v>
      </c>
      <c r="B154" s="134" t="s">
        <v>849</v>
      </c>
      <c r="C154" s="13" t="s">
        <v>17</v>
      </c>
      <c r="D154" s="13" t="s">
        <v>17</v>
      </c>
      <c r="E154" s="13" t="s">
        <v>17</v>
      </c>
      <c r="F154" s="13" t="s">
        <v>17</v>
      </c>
      <c r="G154" s="13" t="s">
        <v>17</v>
      </c>
      <c r="H154" s="7"/>
      <c r="I154" s="7"/>
    </row>
    <row r="155" spans="1:9">
      <c r="A155" s="5" t="s">
        <v>898</v>
      </c>
      <c r="B155" s="23" t="s">
        <v>899</v>
      </c>
      <c r="C155" s="13" t="s">
        <v>21</v>
      </c>
      <c r="D155" s="13" t="s">
        <v>1567</v>
      </c>
      <c r="E155" s="13" t="s">
        <v>1567</v>
      </c>
      <c r="F155" s="13" t="s">
        <v>28</v>
      </c>
      <c r="G155" s="13" t="s">
        <v>21</v>
      </c>
      <c r="H155" s="7"/>
      <c r="I155" s="7"/>
    </row>
    <row r="156" spans="1:9">
      <c r="A156" s="5" t="s">
        <v>905</v>
      </c>
      <c r="B156" s="5" t="s">
        <v>906</v>
      </c>
      <c r="C156" s="13" t="s">
        <v>1567</v>
      </c>
      <c r="D156" s="13" t="s">
        <v>1562</v>
      </c>
      <c r="E156" s="13" t="s">
        <v>21</v>
      </c>
      <c r="F156" s="13" t="s">
        <v>28</v>
      </c>
      <c r="G156" s="13" t="s">
        <v>18</v>
      </c>
      <c r="H156" s="7" t="s">
        <v>2138</v>
      </c>
      <c r="I156" s="7"/>
    </row>
    <row r="157" spans="1:9">
      <c r="A157" s="5" t="s">
        <v>912</v>
      </c>
      <c r="B157" s="5" t="s">
        <v>913</v>
      </c>
      <c r="C157" s="13" t="s">
        <v>1567</v>
      </c>
      <c r="D157" s="13" t="s">
        <v>1567</v>
      </c>
      <c r="E157" s="13" t="s">
        <v>21</v>
      </c>
      <c r="F157" s="13" t="s">
        <v>28</v>
      </c>
      <c r="G157" s="13" t="s">
        <v>21</v>
      </c>
      <c r="H157" s="7"/>
      <c r="I157" s="7"/>
    </row>
    <row r="158" spans="1:9">
      <c r="A158" s="5" t="s">
        <v>919</v>
      </c>
      <c r="B158" s="5" t="s">
        <v>920</v>
      </c>
      <c r="C158" s="13" t="s">
        <v>1567</v>
      </c>
      <c r="D158" s="13" t="s">
        <v>1567</v>
      </c>
      <c r="E158" s="13" t="s">
        <v>28</v>
      </c>
      <c r="F158" s="13" t="s">
        <v>28</v>
      </c>
      <c r="G158" s="13" t="s">
        <v>21</v>
      </c>
      <c r="H158" s="7"/>
      <c r="I158" s="7"/>
    </row>
    <row r="159" spans="1:9">
      <c r="A159" s="5" t="s">
        <v>924</v>
      </c>
      <c r="B159" s="5" t="s">
        <v>925</v>
      </c>
      <c r="C159" s="13" t="s">
        <v>21</v>
      </c>
      <c r="D159" s="13" t="s">
        <v>28</v>
      </c>
      <c r="E159" s="13" t="s">
        <v>21</v>
      </c>
      <c r="F159" s="13" t="s">
        <v>28</v>
      </c>
      <c r="G159" s="13" t="s">
        <v>21</v>
      </c>
      <c r="H159" s="7"/>
      <c r="I159" s="7"/>
    </row>
    <row r="160" spans="1:9">
      <c r="A160" s="5" t="s">
        <v>929</v>
      </c>
      <c r="B160" s="5" t="s">
        <v>930</v>
      </c>
      <c r="C160" s="13" t="s">
        <v>21</v>
      </c>
      <c r="D160" s="13" t="s">
        <v>21</v>
      </c>
      <c r="E160" s="13" t="s">
        <v>28</v>
      </c>
      <c r="F160" s="13" t="s">
        <v>17</v>
      </c>
      <c r="G160" s="13" t="s">
        <v>28</v>
      </c>
      <c r="H160" s="7" t="s">
        <v>2139</v>
      </c>
      <c r="I160" s="7"/>
    </row>
    <row r="161" spans="1:9">
      <c r="A161" s="5" t="s">
        <v>934</v>
      </c>
      <c r="B161" s="133" t="s">
        <v>522</v>
      </c>
      <c r="C161" s="13" t="s">
        <v>28</v>
      </c>
      <c r="D161" s="13" t="s">
        <v>28</v>
      </c>
      <c r="E161" s="13" t="s">
        <v>17</v>
      </c>
      <c r="F161" s="13" t="s">
        <v>17</v>
      </c>
      <c r="G161" s="13" t="s">
        <v>17</v>
      </c>
      <c r="H161" s="7"/>
      <c r="I161" s="7"/>
    </row>
    <row r="162" spans="1:9">
      <c r="A162" s="5" t="s">
        <v>937</v>
      </c>
      <c r="B162" s="133" t="s">
        <v>547</v>
      </c>
      <c r="C162" s="13" t="s">
        <v>17</v>
      </c>
      <c r="D162" s="13" t="s">
        <v>17</v>
      </c>
      <c r="E162" s="13" t="s">
        <v>17</v>
      </c>
      <c r="F162" s="13" t="s">
        <v>17</v>
      </c>
      <c r="G162" s="13" t="s">
        <v>17</v>
      </c>
      <c r="H162" s="7" t="s">
        <v>2140</v>
      </c>
      <c r="I162" s="7"/>
    </row>
    <row r="163" spans="1:9">
      <c r="A163" s="5" t="s">
        <v>943</v>
      </c>
      <c r="B163" s="5" t="s">
        <v>944</v>
      </c>
      <c r="C163" s="13" t="s">
        <v>1567</v>
      </c>
      <c r="D163" s="13" t="s">
        <v>1567</v>
      </c>
      <c r="E163" s="13" t="s">
        <v>21</v>
      </c>
      <c r="F163" s="13" t="s">
        <v>28</v>
      </c>
      <c r="G163" s="13" t="s">
        <v>1567</v>
      </c>
      <c r="H163" s="7" t="s">
        <v>2141</v>
      </c>
      <c r="I163" s="7"/>
    </row>
    <row r="164" spans="1:9">
      <c r="A164" s="5" t="s">
        <v>950</v>
      </c>
      <c r="B164" s="5" t="s">
        <v>951</v>
      </c>
      <c r="C164" s="13" t="s">
        <v>21</v>
      </c>
      <c r="D164" s="13" t="s">
        <v>1567</v>
      </c>
      <c r="E164" s="13" t="s">
        <v>18</v>
      </c>
      <c r="F164" s="13" t="s">
        <v>28</v>
      </c>
      <c r="G164" s="13" t="s">
        <v>1567</v>
      </c>
      <c r="H164" s="7"/>
      <c r="I164" s="7"/>
    </row>
    <row r="165" spans="1:9">
      <c r="A165" s="5" t="s">
        <v>957</v>
      </c>
      <c r="B165" s="5" t="s">
        <v>958</v>
      </c>
      <c r="C165" s="13" t="s">
        <v>28</v>
      </c>
      <c r="D165" s="13" t="s">
        <v>28</v>
      </c>
      <c r="E165" s="13" t="s">
        <v>28</v>
      </c>
      <c r="F165" s="13" t="s">
        <v>17</v>
      </c>
      <c r="G165" s="13" t="s">
        <v>28</v>
      </c>
      <c r="H165" s="7" t="s">
        <v>2142</v>
      </c>
      <c r="I165" s="7"/>
    </row>
    <row r="166" spans="1:9">
      <c r="A166" s="5" t="s">
        <v>964</v>
      </c>
      <c r="B166" s="5" t="s">
        <v>965</v>
      </c>
      <c r="C166" s="13" t="s">
        <v>21</v>
      </c>
      <c r="D166" s="13" t="s">
        <v>28</v>
      </c>
      <c r="E166" s="13" t="s">
        <v>28</v>
      </c>
      <c r="F166" s="13" t="s">
        <v>17</v>
      </c>
      <c r="G166" s="13" t="s">
        <v>28</v>
      </c>
      <c r="H166" s="7"/>
      <c r="I166" s="7"/>
    </row>
    <row r="167" spans="1:9">
      <c r="A167" s="5" t="s">
        <v>971</v>
      </c>
      <c r="B167" s="23" t="s">
        <v>972</v>
      </c>
      <c r="C167" s="13" t="s">
        <v>21</v>
      </c>
      <c r="D167" s="13" t="s">
        <v>1567</v>
      </c>
      <c r="E167" s="13" t="s">
        <v>1567</v>
      </c>
      <c r="F167" s="13" t="s">
        <v>28</v>
      </c>
      <c r="G167" s="13" t="s">
        <v>21</v>
      </c>
      <c r="H167" s="7"/>
      <c r="I167" s="7"/>
    </row>
    <row r="168" spans="1:9">
      <c r="A168" s="5" t="s">
        <v>976</v>
      </c>
      <c r="B168" s="5" t="s">
        <v>977</v>
      </c>
      <c r="C168" s="13" t="s">
        <v>1567</v>
      </c>
      <c r="D168" s="13" t="s">
        <v>18</v>
      </c>
      <c r="E168" s="13" t="s">
        <v>18</v>
      </c>
      <c r="F168" s="13" t="s">
        <v>28</v>
      </c>
      <c r="G168" s="13" t="s">
        <v>1567</v>
      </c>
      <c r="H168" s="7" t="s">
        <v>2143</v>
      </c>
      <c r="I168" s="7"/>
    </row>
    <row r="169" spans="1:9">
      <c r="A169" s="5" t="s">
        <v>981</v>
      </c>
      <c r="B169" s="23" t="s">
        <v>624</v>
      </c>
      <c r="C169" s="13" t="s">
        <v>21</v>
      </c>
      <c r="D169" s="13" t="s">
        <v>21</v>
      </c>
      <c r="E169" s="13" t="s">
        <v>28</v>
      </c>
      <c r="F169" s="13" t="s">
        <v>28</v>
      </c>
      <c r="G169" s="13" t="s">
        <v>28</v>
      </c>
      <c r="H169" s="7"/>
      <c r="I169" s="7"/>
    </row>
    <row r="170" spans="1:9">
      <c r="A170" s="5" t="s">
        <v>986</v>
      </c>
      <c r="B170" s="134" t="s">
        <v>657</v>
      </c>
      <c r="C170" s="13" t="s">
        <v>17</v>
      </c>
      <c r="D170" s="13" t="s">
        <v>17</v>
      </c>
      <c r="E170" s="13" t="s">
        <v>17</v>
      </c>
      <c r="F170" s="13" t="s">
        <v>17</v>
      </c>
      <c r="G170" s="13" t="s">
        <v>17</v>
      </c>
      <c r="H170" s="7" t="s">
        <v>2144</v>
      </c>
      <c r="I170" s="7"/>
    </row>
    <row r="171" spans="1:9">
      <c r="A171" s="5" t="s">
        <v>990</v>
      </c>
      <c r="B171" s="23" t="s">
        <v>836</v>
      </c>
      <c r="C171" s="13" t="s">
        <v>28</v>
      </c>
      <c r="D171" s="13" t="s">
        <v>28</v>
      </c>
      <c r="E171" s="13" t="s">
        <v>28</v>
      </c>
      <c r="F171" s="13" t="s">
        <v>17</v>
      </c>
      <c r="G171" s="13" t="s">
        <v>28</v>
      </c>
      <c r="H171" s="7"/>
      <c r="I171" s="7"/>
    </row>
    <row r="172" spans="1:9">
      <c r="A172" s="5" t="s">
        <v>996</v>
      </c>
      <c r="B172" s="5" t="s">
        <v>806</v>
      </c>
      <c r="C172" s="13" t="s">
        <v>21</v>
      </c>
      <c r="D172" s="13" t="s">
        <v>28</v>
      </c>
      <c r="E172" s="13" t="s">
        <v>21</v>
      </c>
      <c r="F172" s="13" t="s">
        <v>28</v>
      </c>
      <c r="G172" s="13" t="s">
        <v>21</v>
      </c>
      <c r="H172" s="7"/>
      <c r="I172" s="7"/>
    </row>
    <row r="173" spans="1:9">
      <c r="A173" s="5" t="s">
        <v>1002</v>
      </c>
      <c r="B173" s="23" t="s">
        <v>1003</v>
      </c>
      <c r="C173" s="13" t="s">
        <v>21</v>
      </c>
      <c r="D173" s="13" t="s">
        <v>21</v>
      </c>
      <c r="E173" s="13" t="s">
        <v>21</v>
      </c>
      <c r="F173" s="13" t="s">
        <v>28</v>
      </c>
      <c r="G173" s="13" t="s">
        <v>21</v>
      </c>
      <c r="H173" s="7" t="s">
        <v>2145</v>
      </c>
      <c r="I173" s="7"/>
    </row>
    <row r="174" spans="1:9">
      <c r="A174" s="5" t="s">
        <v>1009</v>
      </c>
      <c r="B174" s="133" t="s">
        <v>795</v>
      </c>
      <c r="C174" s="13" t="s">
        <v>28</v>
      </c>
      <c r="D174" s="13" t="s">
        <v>17</v>
      </c>
      <c r="E174" s="13" t="s">
        <v>17</v>
      </c>
      <c r="F174" s="13" t="s">
        <v>17</v>
      </c>
      <c r="G174" s="13" t="s">
        <v>17</v>
      </c>
      <c r="H174" s="7" t="s">
        <v>2146</v>
      </c>
      <c r="I174" s="7"/>
    </row>
    <row r="175" spans="1:9">
      <c r="A175" s="5" t="s">
        <v>1013</v>
      </c>
      <c r="B175" s="23" t="s">
        <v>1014</v>
      </c>
      <c r="C175" s="13" t="s">
        <v>1567</v>
      </c>
      <c r="D175" s="13" t="s">
        <v>21</v>
      </c>
      <c r="E175" s="13" t="s">
        <v>1567</v>
      </c>
      <c r="F175" s="13" t="s">
        <v>21</v>
      </c>
      <c r="G175" s="13" t="s">
        <v>21</v>
      </c>
      <c r="H175" s="7"/>
      <c r="I175" s="7"/>
    </row>
    <row r="176" spans="1:9">
      <c r="A176" s="5" t="s">
        <v>1018</v>
      </c>
      <c r="B176" s="5" t="s">
        <v>1019</v>
      </c>
      <c r="C176" s="13" t="s">
        <v>21</v>
      </c>
      <c r="D176" s="13" t="s">
        <v>1567</v>
      </c>
      <c r="E176" s="13" t="s">
        <v>21</v>
      </c>
      <c r="F176" s="13" t="s">
        <v>28</v>
      </c>
      <c r="G176" s="13" t="s">
        <v>21</v>
      </c>
      <c r="H176" s="7"/>
      <c r="I176" s="7"/>
    </row>
    <row r="177" spans="1:9">
      <c r="A177" s="5" t="s">
        <v>1023</v>
      </c>
      <c r="B177" s="5" t="s">
        <v>540</v>
      </c>
      <c r="C177" s="13" t="s">
        <v>1567</v>
      </c>
      <c r="D177" s="13" t="s">
        <v>1567</v>
      </c>
      <c r="E177" s="13" t="s">
        <v>18</v>
      </c>
      <c r="F177" s="13" t="s">
        <v>28</v>
      </c>
      <c r="G177" s="13" t="s">
        <v>1567</v>
      </c>
      <c r="H177" s="7" t="s">
        <v>2147</v>
      </c>
      <c r="I177" s="7"/>
    </row>
    <row r="178" spans="1:9">
      <c r="A178" s="5" t="s">
        <v>1029</v>
      </c>
      <c r="B178" s="5" t="s">
        <v>1030</v>
      </c>
      <c r="C178" s="13" t="s">
        <v>1574</v>
      </c>
      <c r="D178" s="13" t="s">
        <v>1574</v>
      </c>
      <c r="E178" s="13" t="s">
        <v>1661</v>
      </c>
      <c r="F178" s="13" t="s">
        <v>21</v>
      </c>
      <c r="G178" s="13" t="s">
        <v>1574</v>
      </c>
      <c r="H178" s="7" t="s">
        <v>2148</v>
      </c>
      <c r="I178" s="7"/>
    </row>
    <row r="179" spans="1:9" ht="39" customHeight="1">
      <c r="A179" s="540" t="s">
        <v>1034</v>
      </c>
      <c r="B179" s="543"/>
      <c r="C179" s="543"/>
      <c r="D179" s="543"/>
      <c r="E179" s="543"/>
      <c r="F179" s="543"/>
      <c r="G179" s="543"/>
      <c r="H179" s="550"/>
      <c r="I179" s="543"/>
    </row>
    <row r="180" spans="1:9">
      <c r="A180" s="5" t="s">
        <v>4</v>
      </c>
      <c r="B180" s="6" t="s">
        <v>5</v>
      </c>
      <c r="C180" s="7" t="s">
        <v>6</v>
      </c>
      <c r="D180" s="7" t="s">
        <v>7</v>
      </c>
      <c r="E180" s="7" t="s">
        <v>8</v>
      </c>
      <c r="F180" s="7" t="s">
        <v>9</v>
      </c>
      <c r="G180" s="7" t="s">
        <v>10</v>
      </c>
      <c r="H180" s="7" t="s">
        <v>11</v>
      </c>
      <c r="I180" s="7" t="s">
        <v>12</v>
      </c>
    </row>
    <row r="181" spans="1:9">
      <c r="A181" s="5" t="s">
        <v>1040</v>
      </c>
      <c r="B181" s="5" t="s">
        <v>1041</v>
      </c>
      <c r="C181" s="13"/>
      <c r="D181" s="13"/>
      <c r="E181" s="13"/>
      <c r="F181" s="13"/>
      <c r="G181" s="13"/>
      <c r="H181" s="7"/>
      <c r="I181" s="7" t="s">
        <v>1042</v>
      </c>
    </row>
    <row r="182" spans="1:9">
      <c r="A182" s="5" t="s">
        <v>1046</v>
      </c>
      <c r="B182" s="5" t="s">
        <v>1047</v>
      </c>
      <c r="C182" s="13"/>
      <c r="D182" s="13"/>
      <c r="E182" s="13"/>
      <c r="F182" s="13"/>
      <c r="G182" s="13"/>
      <c r="H182" s="7"/>
      <c r="I182" s="7"/>
    </row>
    <row r="183" spans="1:9">
      <c r="A183" s="5" t="s">
        <v>1053</v>
      </c>
      <c r="B183" s="5" t="s">
        <v>975</v>
      </c>
      <c r="C183" s="13"/>
      <c r="D183" s="13"/>
      <c r="E183" s="13"/>
      <c r="F183" s="13"/>
      <c r="G183" s="13"/>
      <c r="H183" s="7"/>
      <c r="I183" s="7"/>
    </row>
    <row r="184" spans="1:9">
      <c r="A184" s="5" t="s">
        <v>1059</v>
      </c>
      <c r="B184" s="5" t="s">
        <v>1060</v>
      </c>
      <c r="C184" s="13"/>
      <c r="D184" s="13"/>
      <c r="E184" s="13"/>
      <c r="F184" s="13"/>
      <c r="G184" s="13"/>
      <c r="H184" s="7"/>
      <c r="I184" s="7"/>
    </row>
    <row r="185" spans="1:9">
      <c r="A185" s="5" t="s">
        <v>1064</v>
      </c>
      <c r="B185" s="34" t="s">
        <v>1017</v>
      </c>
      <c r="C185" s="13"/>
      <c r="D185" s="13"/>
      <c r="E185" s="13"/>
      <c r="F185" s="13"/>
      <c r="G185" s="13"/>
      <c r="H185" s="7"/>
      <c r="I185" s="7"/>
    </row>
    <row r="186" spans="1:9">
      <c r="A186" s="5" t="s">
        <v>1069</v>
      </c>
      <c r="B186" s="34" t="s">
        <v>1017</v>
      </c>
      <c r="C186" s="13"/>
      <c r="D186" s="13"/>
      <c r="E186" s="13"/>
      <c r="F186" s="13"/>
      <c r="G186" s="13"/>
      <c r="H186" s="7"/>
      <c r="I186" s="7"/>
    </row>
    <row r="187" spans="1:9">
      <c r="A187" s="5" t="s">
        <v>1075</v>
      </c>
      <c r="B187" s="5" t="s">
        <v>1076</v>
      </c>
      <c r="C187" s="13"/>
      <c r="D187" s="13"/>
      <c r="E187" s="13"/>
      <c r="F187" s="13"/>
      <c r="G187" s="13"/>
      <c r="H187" s="7"/>
      <c r="I187" s="7"/>
    </row>
    <row r="188" spans="1:9">
      <c r="A188" s="5" t="s">
        <v>1080</v>
      </c>
      <c r="B188" s="5" t="s">
        <v>923</v>
      </c>
      <c r="C188" s="13"/>
      <c r="D188" s="13"/>
      <c r="E188" s="13"/>
      <c r="F188" s="13"/>
      <c r="G188" s="13"/>
      <c r="H188" s="7"/>
      <c r="I188" s="7"/>
    </row>
    <row r="189" spans="1:9">
      <c r="A189" s="5" t="s">
        <v>1086</v>
      </c>
      <c r="B189" s="5" t="s">
        <v>918</v>
      </c>
      <c r="C189" s="13"/>
      <c r="D189" s="13"/>
      <c r="E189" s="13"/>
      <c r="F189" s="13"/>
      <c r="G189" s="13"/>
      <c r="H189" s="7"/>
      <c r="I189" s="7"/>
    </row>
    <row r="190" spans="1:9">
      <c r="A190" s="5" t="s">
        <v>1092</v>
      </c>
      <c r="B190" s="5" t="s">
        <v>151</v>
      </c>
      <c r="C190" s="13"/>
      <c r="D190" s="13"/>
      <c r="E190" s="13"/>
      <c r="F190" s="13"/>
      <c r="G190" s="13"/>
      <c r="H190" s="7"/>
      <c r="I190" s="7"/>
    </row>
    <row r="191" spans="1:9">
      <c r="A191" s="5" t="s">
        <v>1098</v>
      </c>
      <c r="B191" s="5" t="s">
        <v>1099</v>
      </c>
      <c r="C191" s="13"/>
      <c r="D191" s="13"/>
      <c r="E191" s="13"/>
      <c r="F191" s="13"/>
      <c r="G191" s="13"/>
      <c r="H191" s="7"/>
      <c r="I191" s="7"/>
    </row>
    <row r="192" spans="1:9">
      <c r="A192" s="5" t="s">
        <v>1103</v>
      </c>
      <c r="B192" s="5" t="s">
        <v>1104</v>
      </c>
      <c r="C192" s="13"/>
      <c r="D192" s="13"/>
      <c r="E192" s="13"/>
      <c r="F192" s="13"/>
      <c r="G192" s="13"/>
      <c r="H192" s="7"/>
      <c r="I192" s="7"/>
    </row>
    <row r="193" spans="1:9">
      <c r="A193" s="5" t="s">
        <v>1108</v>
      </c>
      <c r="B193" s="5" t="s">
        <v>970</v>
      </c>
      <c r="C193" s="13"/>
      <c r="D193" s="13"/>
      <c r="E193" s="13"/>
      <c r="F193" s="13"/>
      <c r="G193" s="13"/>
      <c r="H193" s="7"/>
      <c r="I193" s="7"/>
    </row>
    <row r="194" spans="1:9">
      <c r="A194" s="5" t="s">
        <v>1111</v>
      </c>
      <c r="B194" s="5" t="s">
        <v>1112</v>
      </c>
      <c r="C194" s="13"/>
      <c r="D194" s="13"/>
      <c r="E194" s="13"/>
      <c r="F194" s="13"/>
      <c r="G194" s="13"/>
      <c r="H194" s="7"/>
      <c r="I194" s="7"/>
    </row>
    <row r="195" spans="1:9">
      <c r="A195" s="5" t="s">
        <v>1118</v>
      </c>
      <c r="B195" s="5" t="s">
        <v>1119</v>
      </c>
      <c r="C195" s="13"/>
      <c r="D195" s="13"/>
      <c r="E195" s="13"/>
      <c r="F195" s="13"/>
      <c r="G195" s="13"/>
      <c r="H195" s="7"/>
      <c r="I195" s="7"/>
    </row>
    <row r="196" spans="1:9">
      <c r="A196" s="5" t="s">
        <v>1123</v>
      </c>
      <c r="B196" s="5" t="s">
        <v>1124</v>
      </c>
      <c r="C196" s="13"/>
      <c r="D196" s="13"/>
      <c r="E196" s="13"/>
      <c r="F196" s="13"/>
      <c r="G196" s="13"/>
      <c r="H196" s="7"/>
      <c r="I196" s="7"/>
    </row>
    <row r="197" spans="1:9">
      <c r="A197" s="5" t="s">
        <v>1130</v>
      </c>
      <c r="B197" s="5" t="s">
        <v>1131</v>
      </c>
      <c r="C197" s="13"/>
      <c r="D197" s="13"/>
      <c r="E197" s="13"/>
      <c r="F197" s="13"/>
      <c r="G197" s="13"/>
      <c r="H197" s="7"/>
      <c r="I197" s="7"/>
    </row>
    <row r="198" spans="1:9">
      <c r="A198" s="5" t="s">
        <v>1137</v>
      </c>
      <c r="B198" s="5" t="s">
        <v>1138</v>
      </c>
      <c r="C198" s="13"/>
      <c r="D198" s="13"/>
      <c r="E198" s="13"/>
      <c r="F198" s="13"/>
      <c r="G198" s="13"/>
      <c r="H198" s="7"/>
      <c r="I198" s="7"/>
    </row>
    <row r="199" spans="1:9">
      <c r="A199" s="5" t="s">
        <v>1144</v>
      </c>
      <c r="B199" s="5" t="s">
        <v>1145</v>
      </c>
      <c r="C199" s="13"/>
      <c r="D199" s="13"/>
      <c r="E199" s="13"/>
      <c r="F199" s="13"/>
      <c r="G199" s="13"/>
      <c r="H199" s="7"/>
      <c r="I199" s="7"/>
    </row>
    <row r="200" spans="1:9">
      <c r="A200" s="5" t="s">
        <v>1149</v>
      </c>
      <c r="B200" s="5" t="s">
        <v>918</v>
      </c>
      <c r="C200" s="13"/>
      <c r="D200" s="13"/>
      <c r="E200" s="13"/>
      <c r="F200" s="13"/>
      <c r="G200" s="13"/>
      <c r="H200" s="7"/>
      <c r="I200" s="7"/>
    </row>
    <row r="201" spans="1:9">
      <c r="A201" s="5" t="s">
        <v>1155</v>
      </c>
      <c r="B201" s="5" t="s">
        <v>942</v>
      </c>
      <c r="C201" s="13"/>
      <c r="D201" s="13"/>
      <c r="E201" s="13"/>
      <c r="F201" s="13"/>
      <c r="G201" s="13"/>
      <c r="H201" s="7"/>
      <c r="I201" s="7"/>
    </row>
    <row r="202" spans="1:9">
      <c r="A202" s="5" t="s">
        <v>1159</v>
      </c>
      <c r="B202" s="5" t="s">
        <v>159</v>
      </c>
      <c r="C202" s="13"/>
      <c r="D202" s="13"/>
      <c r="E202" s="13"/>
      <c r="F202" s="13"/>
      <c r="G202" s="13"/>
      <c r="H202" s="7"/>
      <c r="I202" s="7"/>
    </row>
    <row r="203" spans="1:9">
      <c r="A203" s="5" t="s">
        <v>1165</v>
      </c>
      <c r="B203" s="5" t="s">
        <v>288</v>
      </c>
      <c r="C203" s="13"/>
      <c r="D203" s="13"/>
      <c r="E203" s="13"/>
      <c r="F203" s="13"/>
      <c r="G203" s="13"/>
      <c r="H203" s="7"/>
      <c r="I203" s="7"/>
    </row>
    <row r="204" spans="1:9">
      <c r="A204" s="5" t="s">
        <v>1169</v>
      </c>
      <c r="B204" s="5" t="s">
        <v>933</v>
      </c>
      <c r="C204" s="13"/>
      <c r="D204" s="13"/>
      <c r="E204" s="13"/>
      <c r="F204" s="13"/>
      <c r="G204" s="13"/>
      <c r="H204" s="7"/>
      <c r="I204" s="7"/>
    </row>
    <row r="205" spans="1:9">
      <c r="A205" s="5" t="s">
        <v>1175</v>
      </c>
      <c r="B205" s="5" t="s">
        <v>875</v>
      </c>
      <c r="C205" s="13"/>
      <c r="D205" s="13"/>
      <c r="E205" s="13"/>
      <c r="F205" s="13"/>
      <c r="G205" s="13"/>
      <c r="H205" s="7"/>
      <c r="I205" s="7"/>
    </row>
    <row r="206" spans="1:9">
      <c r="A206" s="5" t="s">
        <v>1181</v>
      </c>
      <c r="B206" s="5" t="s">
        <v>1182</v>
      </c>
      <c r="C206" s="13"/>
      <c r="D206" s="13"/>
      <c r="E206" s="13"/>
      <c r="F206" s="13"/>
      <c r="G206" s="13"/>
      <c r="H206" s="7"/>
      <c r="I206" s="7"/>
    </row>
    <row r="207" spans="1:9">
      <c r="A207" s="5" t="s">
        <v>1188</v>
      </c>
      <c r="B207" s="5" t="s">
        <v>911</v>
      </c>
      <c r="C207" s="13"/>
      <c r="D207" s="13"/>
      <c r="E207" s="13"/>
      <c r="F207" s="13"/>
      <c r="G207" s="13"/>
      <c r="H207" s="7"/>
      <c r="I207" s="7"/>
    </row>
    <row r="208" spans="1:9">
      <c r="A208" s="5" t="s">
        <v>1192</v>
      </c>
      <c r="B208" s="5" t="s">
        <v>1193</v>
      </c>
      <c r="C208" s="13"/>
      <c r="D208" s="13"/>
      <c r="E208" s="13"/>
      <c r="F208" s="13"/>
      <c r="G208" s="13"/>
      <c r="H208" s="7"/>
      <c r="I208" s="7"/>
    </row>
    <row r="209" spans="1:9">
      <c r="A209" s="5" t="s">
        <v>1197</v>
      </c>
      <c r="B209" s="5" t="s">
        <v>1198</v>
      </c>
      <c r="C209" s="13"/>
      <c r="D209" s="13"/>
      <c r="E209" s="13"/>
      <c r="F209" s="13"/>
      <c r="G209" s="13"/>
      <c r="H209" s="7"/>
      <c r="I209" s="7"/>
    </row>
    <row r="210" spans="1:9">
      <c r="A210" s="5" t="s">
        <v>1202</v>
      </c>
      <c r="B210" s="5" t="s">
        <v>869</v>
      </c>
      <c r="C210" s="13"/>
      <c r="D210" s="13"/>
      <c r="E210" s="13"/>
      <c r="F210" s="13"/>
      <c r="G210" s="13"/>
      <c r="H210" s="7"/>
      <c r="I210" s="7"/>
    </row>
    <row r="211" spans="1:9">
      <c r="A211" s="5" t="s">
        <v>1208</v>
      </c>
      <c r="B211" s="5" t="s">
        <v>1012</v>
      </c>
      <c r="C211" s="13"/>
      <c r="D211" s="13"/>
      <c r="E211" s="13"/>
      <c r="F211" s="13"/>
      <c r="G211" s="13"/>
      <c r="H211" s="7"/>
      <c r="I211" s="7"/>
    </row>
    <row r="212" spans="1:9">
      <c r="A212" s="5" t="s">
        <v>1214</v>
      </c>
      <c r="B212" s="5" t="s">
        <v>108</v>
      </c>
      <c r="C212" s="13"/>
      <c r="D212" s="13"/>
      <c r="E212" s="13"/>
      <c r="F212" s="13"/>
      <c r="G212" s="13"/>
      <c r="H212" s="7"/>
      <c r="I212" s="7"/>
    </row>
    <row r="213" spans="1:9">
      <c r="A213" s="5" t="s">
        <v>1217</v>
      </c>
      <c r="B213" s="5" t="s">
        <v>1218</v>
      </c>
      <c r="C213" s="13"/>
      <c r="D213" s="13"/>
      <c r="E213" s="13"/>
      <c r="F213" s="13"/>
      <c r="G213" s="13"/>
      <c r="H213" s="7"/>
      <c r="I213" s="7"/>
    </row>
    <row r="214" spans="1:9">
      <c r="A214" s="5" t="s">
        <v>1223</v>
      </c>
      <c r="B214" s="5" t="s">
        <v>1224</v>
      </c>
      <c r="C214" s="13"/>
      <c r="D214" s="13"/>
      <c r="E214" s="13"/>
      <c r="F214" s="13"/>
      <c r="G214" s="13"/>
      <c r="H214" s="7"/>
      <c r="I214" s="7"/>
    </row>
    <row r="215" spans="1:9">
      <c r="A215" s="5" t="s">
        <v>1230</v>
      </c>
      <c r="B215" s="5" t="s">
        <v>1231</v>
      </c>
      <c r="C215" s="13"/>
      <c r="D215" s="13"/>
      <c r="E215" s="13"/>
      <c r="F215" s="13"/>
      <c r="G215" s="13"/>
      <c r="H215" s="7"/>
      <c r="I215" s="7"/>
    </row>
    <row r="216" spans="1:9">
      <c r="A216" s="5" t="s">
        <v>1237</v>
      </c>
      <c r="B216" s="5" t="s">
        <v>1238</v>
      </c>
      <c r="C216" s="13"/>
      <c r="D216" s="13"/>
      <c r="E216" s="13"/>
      <c r="F216" s="13"/>
      <c r="G216" s="13"/>
      <c r="H216" s="7"/>
      <c r="I216" s="7"/>
    </row>
    <row r="217" spans="1:9">
      <c r="A217" s="5" t="s">
        <v>1241</v>
      </c>
      <c r="B217" s="5" t="s">
        <v>1242</v>
      </c>
      <c r="C217" s="13"/>
      <c r="D217" s="13"/>
      <c r="E217" s="13"/>
      <c r="F217" s="13"/>
      <c r="G217" s="13"/>
      <c r="H217" s="7"/>
      <c r="I217" s="7"/>
    </row>
    <row r="218" spans="1:9">
      <c r="A218" s="5" t="s">
        <v>1245</v>
      </c>
      <c r="B218" s="5" t="s">
        <v>1246</v>
      </c>
      <c r="C218" s="13"/>
      <c r="D218" s="13"/>
      <c r="E218" s="13"/>
      <c r="F218" s="13"/>
      <c r="G218" s="13"/>
      <c r="H218" s="7"/>
      <c r="I218" s="7"/>
    </row>
    <row r="219" spans="1:9">
      <c r="A219" s="5" t="s">
        <v>1249</v>
      </c>
      <c r="B219" s="5" t="s">
        <v>1250</v>
      </c>
      <c r="C219" s="13"/>
      <c r="D219" s="13"/>
      <c r="E219" s="13"/>
      <c r="F219" s="13"/>
      <c r="G219" s="13"/>
      <c r="H219" s="7"/>
      <c r="I219" s="7"/>
    </row>
    <row r="220" spans="1:9" ht="37.5" customHeight="1">
      <c r="A220" s="536" t="s">
        <v>1253</v>
      </c>
      <c r="B220" s="543"/>
      <c r="C220" s="543"/>
      <c r="D220" s="543"/>
      <c r="E220" s="543"/>
      <c r="F220" s="543"/>
      <c r="G220" s="543"/>
      <c r="H220" s="550"/>
      <c r="I220" s="543"/>
    </row>
    <row r="221" spans="1:9">
      <c r="A221" s="5" t="s">
        <v>4</v>
      </c>
      <c r="B221" s="6" t="s">
        <v>5</v>
      </c>
      <c r="C221" s="7" t="s">
        <v>6</v>
      </c>
      <c r="D221" s="7" t="s">
        <v>7</v>
      </c>
      <c r="E221" s="7" t="s">
        <v>8</v>
      </c>
      <c r="F221" s="7" t="s">
        <v>9</v>
      </c>
      <c r="G221" s="7" t="s">
        <v>10</v>
      </c>
      <c r="H221" s="7" t="s">
        <v>11</v>
      </c>
      <c r="I221" s="7" t="s">
        <v>12</v>
      </c>
    </row>
    <row r="222" spans="1:9">
      <c r="A222" s="5" t="s">
        <v>1259</v>
      </c>
      <c r="B222" s="5" t="s">
        <v>1201</v>
      </c>
      <c r="C222" s="13"/>
      <c r="D222" s="13"/>
      <c r="E222" s="13"/>
      <c r="F222" s="13"/>
      <c r="G222" s="13"/>
      <c r="H222" s="7"/>
      <c r="I222" s="7"/>
    </row>
    <row r="223" spans="1:9">
      <c r="A223" s="5" t="s">
        <v>1262</v>
      </c>
      <c r="B223" s="5" t="s">
        <v>1263</v>
      </c>
      <c r="C223" s="13"/>
      <c r="D223" s="13"/>
      <c r="E223" s="13"/>
      <c r="F223" s="13"/>
      <c r="G223" s="13"/>
      <c r="H223" s="7"/>
      <c r="I223" s="7"/>
    </row>
    <row r="224" spans="1:9">
      <c r="A224" s="5" t="s">
        <v>1266</v>
      </c>
      <c r="B224" s="23" t="s">
        <v>1267</v>
      </c>
      <c r="C224" s="13"/>
      <c r="D224" s="13"/>
      <c r="E224" s="13"/>
      <c r="F224" s="13"/>
      <c r="G224" s="13"/>
      <c r="H224" s="7"/>
      <c r="I224" s="7"/>
    </row>
    <row r="225" spans="1:9">
      <c r="A225" s="5" t="s">
        <v>1268</v>
      </c>
      <c r="B225" s="5" t="s">
        <v>1269</v>
      </c>
      <c r="C225" s="13"/>
      <c r="D225" s="13"/>
      <c r="E225" s="13"/>
      <c r="F225" s="13"/>
      <c r="G225" s="13"/>
      <c r="H225" s="7"/>
      <c r="I225" s="7"/>
    </row>
    <row r="226" spans="1:9">
      <c r="A226" s="5" t="s">
        <v>1271</v>
      </c>
      <c r="B226" s="5" t="s">
        <v>1272</v>
      </c>
      <c r="C226" s="13"/>
      <c r="D226" s="13"/>
      <c r="E226" s="13"/>
      <c r="F226" s="13"/>
      <c r="G226" s="13"/>
      <c r="H226" s="7"/>
      <c r="I226" s="7"/>
    </row>
    <row r="227" spans="1:9">
      <c r="A227" s="5" t="s">
        <v>1273</v>
      </c>
      <c r="B227" s="23" t="s">
        <v>1274</v>
      </c>
      <c r="C227" s="13"/>
      <c r="D227" s="13"/>
      <c r="E227" s="13"/>
      <c r="F227" s="13"/>
      <c r="G227" s="13"/>
      <c r="H227" s="7"/>
      <c r="I227" s="7"/>
    </row>
    <row r="228" spans="1:9">
      <c r="A228" s="5" t="s">
        <v>1275</v>
      </c>
      <c r="B228" s="5" t="s">
        <v>939</v>
      </c>
      <c r="C228" s="13"/>
      <c r="D228" s="13"/>
      <c r="E228" s="13"/>
      <c r="F228" s="13"/>
      <c r="G228" s="13"/>
      <c r="H228" s="7"/>
      <c r="I228" s="7"/>
    </row>
    <row r="229" spans="1:9">
      <c r="A229" s="5" t="s">
        <v>1278</v>
      </c>
      <c r="B229" s="5" t="s">
        <v>1279</v>
      </c>
      <c r="C229" s="13"/>
      <c r="D229" s="13"/>
      <c r="E229" s="13"/>
      <c r="F229" s="13"/>
      <c r="G229" s="13"/>
      <c r="H229" s="7"/>
      <c r="I229" s="7"/>
    </row>
    <row r="230" spans="1:9">
      <c r="A230" s="5" t="s">
        <v>1282</v>
      </c>
      <c r="B230" s="5" t="s">
        <v>1283</v>
      </c>
      <c r="C230" s="13"/>
      <c r="D230" s="13"/>
      <c r="E230" s="13"/>
      <c r="F230" s="13"/>
      <c r="G230" s="13"/>
      <c r="H230" s="7"/>
      <c r="I230" s="7"/>
    </row>
    <row r="231" spans="1:9">
      <c r="A231" s="5" t="s">
        <v>1284</v>
      </c>
      <c r="B231" s="5" t="s">
        <v>1285</v>
      </c>
      <c r="C231" s="13"/>
      <c r="D231" s="13"/>
      <c r="E231" s="13"/>
      <c r="F231" s="13"/>
      <c r="G231" s="13"/>
      <c r="H231" s="7"/>
      <c r="I231" s="7"/>
    </row>
    <row r="232" spans="1:9">
      <c r="A232" s="5" t="s">
        <v>1288</v>
      </c>
      <c r="B232" s="23" t="s">
        <v>1129</v>
      </c>
      <c r="C232" s="13"/>
      <c r="D232" s="13"/>
      <c r="E232" s="13"/>
      <c r="F232" s="13"/>
      <c r="G232" s="13"/>
      <c r="H232" s="7"/>
      <c r="I232" s="7"/>
    </row>
    <row r="233" spans="1:9">
      <c r="A233" s="5" t="s">
        <v>1290</v>
      </c>
      <c r="B233" s="23" t="s">
        <v>1158</v>
      </c>
      <c r="C233" s="13"/>
      <c r="D233" s="13"/>
      <c r="E233" s="13"/>
      <c r="F233" s="13"/>
      <c r="G233" s="13"/>
      <c r="H233" s="7"/>
      <c r="I233" s="7"/>
    </row>
    <row r="234" spans="1:9">
      <c r="A234" s="5" t="s">
        <v>1292</v>
      </c>
      <c r="B234" s="23" t="s">
        <v>1293</v>
      </c>
      <c r="C234" s="13"/>
      <c r="D234" s="13"/>
      <c r="E234" s="13"/>
      <c r="F234" s="13"/>
      <c r="G234" s="13"/>
      <c r="H234" s="7"/>
      <c r="I234" s="7"/>
    </row>
    <row r="235" spans="1:9">
      <c r="A235" s="5" t="s">
        <v>1294</v>
      </c>
      <c r="B235" s="23" t="s">
        <v>1295</v>
      </c>
      <c r="C235" s="13"/>
      <c r="D235" s="13"/>
      <c r="E235" s="13"/>
      <c r="F235" s="13"/>
      <c r="G235" s="13"/>
      <c r="H235" s="7"/>
      <c r="I235" s="7"/>
    </row>
    <row r="236" spans="1:9">
      <c r="A236" s="5" t="s">
        <v>1297</v>
      </c>
      <c r="B236" s="5" t="s">
        <v>1298</v>
      </c>
      <c r="C236" s="13"/>
      <c r="D236" s="13"/>
      <c r="E236" s="13"/>
      <c r="F236" s="13"/>
      <c r="G236" s="13"/>
      <c r="H236" s="7"/>
      <c r="I236" s="7"/>
    </row>
    <row r="237" spans="1:9">
      <c r="A237" s="5" t="s">
        <v>1301</v>
      </c>
      <c r="B237" s="5" t="s">
        <v>1302</v>
      </c>
      <c r="C237" s="13"/>
      <c r="D237" s="13"/>
      <c r="E237" s="13"/>
      <c r="F237" s="13"/>
      <c r="G237" s="13"/>
      <c r="H237" s="7"/>
      <c r="I237" s="7"/>
    </row>
    <row r="238" spans="1:9">
      <c r="A238" s="5" t="s">
        <v>1305</v>
      </c>
      <c r="B238" s="5" t="s">
        <v>1306</v>
      </c>
      <c r="C238" s="13"/>
      <c r="D238" s="13"/>
      <c r="E238" s="13"/>
      <c r="F238" s="13"/>
      <c r="G238" s="13"/>
      <c r="H238" s="7"/>
      <c r="I238" s="7"/>
    </row>
    <row r="239" spans="1:9">
      <c r="A239" s="5" t="s">
        <v>1307</v>
      </c>
      <c r="B239" s="5" t="s">
        <v>1308</v>
      </c>
      <c r="C239" s="13"/>
      <c r="D239" s="13"/>
      <c r="E239" s="13"/>
      <c r="F239" s="13"/>
      <c r="G239" s="13"/>
      <c r="H239" s="7"/>
      <c r="I239" s="7"/>
    </row>
    <row r="240" spans="1:9">
      <c r="A240" s="5" t="s">
        <v>1310</v>
      </c>
      <c r="B240" s="5" t="s">
        <v>1085</v>
      </c>
      <c r="C240" s="13"/>
      <c r="D240" s="13"/>
      <c r="E240" s="13"/>
      <c r="F240" s="13"/>
      <c r="G240" s="13"/>
      <c r="H240" s="7"/>
      <c r="I240" s="7"/>
    </row>
    <row r="241" spans="1:9">
      <c r="A241" s="5" t="s">
        <v>1313</v>
      </c>
      <c r="B241" s="5" t="s">
        <v>1314</v>
      </c>
      <c r="C241" s="13"/>
      <c r="D241" s="13"/>
      <c r="E241" s="13"/>
      <c r="F241" s="13"/>
      <c r="G241" s="13"/>
      <c r="H241" s="7"/>
      <c r="I241" s="7"/>
    </row>
    <row r="242" spans="1:9">
      <c r="A242" s="5" t="s">
        <v>1315</v>
      </c>
      <c r="B242" s="5" t="s">
        <v>1316</v>
      </c>
      <c r="C242" s="13"/>
      <c r="D242" s="13"/>
      <c r="E242" s="13"/>
      <c r="F242" s="13"/>
      <c r="G242" s="13"/>
      <c r="H242" s="7"/>
      <c r="I242" s="7"/>
    </row>
    <row r="243" spans="1:9">
      <c r="A243" s="5" t="s">
        <v>1319</v>
      </c>
      <c r="B243" s="5" t="s">
        <v>1320</v>
      </c>
      <c r="C243" s="13"/>
      <c r="D243" s="13"/>
      <c r="E243" s="13"/>
      <c r="F243" s="13"/>
      <c r="G243" s="13"/>
      <c r="H243" s="7"/>
      <c r="I243" s="7"/>
    </row>
    <row r="244" spans="1:9">
      <c r="A244" s="5" t="s">
        <v>1323</v>
      </c>
      <c r="B244" s="5" t="s">
        <v>1079</v>
      </c>
      <c r="C244" s="13"/>
      <c r="D244" s="13"/>
      <c r="E244" s="13"/>
      <c r="F244" s="13"/>
      <c r="G244" s="13"/>
      <c r="H244" s="7"/>
      <c r="I244" s="7"/>
    </row>
    <row r="245" spans="1:9">
      <c r="A245" s="5" t="s">
        <v>1324</v>
      </c>
      <c r="B245" s="23" t="s">
        <v>1091</v>
      </c>
      <c r="C245" s="13"/>
      <c r="D245" s="13"/>
      <c r="E245" s="13"/>
      <c r="F245" s="13"/>
      <c r="G245" s="13"/>
      <c r="H245" s="7"/>
      <c r="I245" s="7"/>
    </row>
    <row r="246" spans="1:9">
      <c r="A246" s="5" t="s">
        <v>1327</v>
      </c>
      <c r="B246" s="5" t="s">
        <v>726</v>
      </c>
      <c r="C246" s="13"/>
      <c r="D246" s="13"/>
      <c r="E246" s="13"/>
      <c r="F246" s="13"/>
      <c r="G246" s="13"/>
      <c r="H246" s="7"/>
      <c r="I246" s="7"/>
    </row>
    <row r="247" spans="1:9">
      <c r="A247" s="5" t="s">
        <v>1330</v>
      </c>
      <c r="B247" s="5" t="s">
        <v>1102</v>
      </c>
      <c r="C247" s="13"/>
      <c r="D247" s="13"/>
      <c r="E247" s="13"/>
      <c r="F247" s="13"/>
      <c r="G247" s="13"/>
      <c r="H247" s="7"/>
      <c r="I247" s="7"/>
    </row>
    <row r="248" spans="1:9">
      <c r="A248" s="5" t="s">
        <v>1331</v>
      </c>
      <c r="B248" s="5" t="s">
        <v>1332</v>
      </c>
      <c r="C248" s="13"/>
      <c r="D248" s="13"/>
      <c r="E248" s="13"/>
      <c r="F248" s="13"/>
      <c r="G248" s="13"/>
      <c r="H248" s="7"/>
      <c r="I248" s="7"/>
    </row>
    <row r="249" spans="1:9">
      <c r="A249" s="5" t="s">
        <v>1336</v>
      </c>
      <c r="B249" s="5" t="s">
        <v>1168</v>
      </c>
      <c r="C249" s="13"/>
      <c r="D249" s="13"/>
      <c r="E249" s="13"/>
      <c r="F249" s="13"/>
      <c r="G249" s="13"/>
      <c r="H249" s="7"/>
      <c r="I249" s="7"/>
    </row>
    <row r="250" spans="1:9">
      <c r="A250" s="5" t="s">
        <v>1339</v>
      </c>
      <c r="B250" s="23" t="s">
        <v>1340</v>
      </c>
      <c r="C250" s="13"/>
      <c r="D250" s="13"/>
      <c r="E250" s="13"/>
      <c r="F250" s="13"/>
      <c r="G250" s="13"/>
      <c r="H250" s="7"/>
      <c r="I250" s="7"/>
    </row>
    <row r="251" spans="1:9">
      <c r="A251" s="5" t="s">
        <v>1343</v>
      </c>
      <c r="B251" s="5" t="s">
        <v>1063</v>
      </c>
      <c r="C251" s="13"/>
      <c r="D251" s="13"/>
      <c r="E251" s="13"/>
      <c r="F251" s="13"/>
      <c r="G251" s="13"/>
      <c r="H251" s="7"/>
      <c r="I251" s="7"/>
    </row>
    <row r="252" spans="1:9">
      <c r="A252" s="5" t="s">
        <v>1346</v>
      </c>
      <c r="B252" s="5" t="s">
        <v>1347</v>
      </c>
      <c r="C252" s="13"/>
      <c r="D252" s="13"/>
      <c r="E252" s="13"/>
      <c r="F252" s="13"/>
      <c r="G252" s="13"/>
      <c r="H252" s="7"/>
      <c r="I252" s="7"/>
    </row>
    <row r="253" spans="1:9">
      <c r="A253" s="5" t="s">
        <v>1350</v>
      </c>
      <c r="B253" s="5" t="s">
        <v>601</v>
      </c>
      <c r="C253" s="13"/>
      <c r="D253" s="13"/>
      <c r="E253" s="13"/>
      <c r="F253" s="13"/>
      <c r="G253" s="13"/>
      <c r="H253" s="7"/>
      <c r="I253" s="7"/>
    </row>
    <row r="254" spans="1:9">
      <c r="A254" s="5" t="s">
        <v>1351</v>
      </c>
      <c r="B254" s="5" t="s">
        <v>1352</v>
      </c>
      <c r="C254" s="13"/>
      <c r="D254" s="13"/>
      <c r="E254" s="13"/>
      <c r="F254" s="13"/>
      <c r="G254" s="13"/>
      <c r="H254" s="7"/>
      <c r="I254" s="7"/>
    </row>
    <row r="255" spans="1:9">
      <c r="A255" s="5" t="s">
        <v>1355</v>
      </c>
      <c r="B255" s="5" t="s">
        <v>1356</v>
      </c>
      <c r="C255" s="13"/>
      <c r="D255" s="13"/>
      <c r="E255" s="13"/>
      <c r="F255" s="13"/>
      <c r="G255" s="13"/>
      <c r="H255" s="7"/>
      <c r="I255" s="7"/>
    </row>
    <row r="256" spans="1:9">
      <c r="A256" s="5" t="s">
        <v>1357</v>
      </c>
      <c r="B256" s="5" t="s">
        <v>1358</v>
      </c>
      <c r="C256" s="13"/>
      <c r="D256" s="13"/>
      <c r="E256" s="13"/>
      <c r="F256" s="13"/>
      <c r="G256" s="13"/>
      <c r="H256" s="7"/>
      <c r="I256" s="7"/>
    </row>
    <row r="257" spans="1:9">
      <c r="A257" s="5" t="s">
        <v>1361</v>
      </c>
      <c r="B257" s="23" t="s">
        <v>1097</v>
      </c>
      <c r="C257" s="13"/>
      <c r="D257" s="13"/>
      <c r="E257" s="13"/>
      <c r="F257" s="13"/>
      <c r="G257" s="13"/>
      <c r="H257" s="7"/>
      <c r="I257" s="7"/>
    </row>
    <row r="258" spans="1:9">
      <c r="A258" s="5" t="s">
        <v>1364</v>
      </c>
      <c r="B258" s="5" t="s">
        <v>1117</v>
      </c>
      <c r="C258" s="13"/>
      <c r="D258" s="13"/>
      <c r="E258" s="13"/>
      <c r="F258" s="13"/>
      <c r="G258" s="13"/>
      <c r="H258" s="7"/>
      <c r="I258" s="7"/>
    </row>
    <row r="259" spans="1:9">
      <c r="A259" s="5" t="s">
        <v>1367</v>
      </c>
      <c r="B259" s="5" t="s">
        <v>1368</v>
      </c>
      <c r="C259" s="13"/>
      <c r="D259" s="13"/>
      <c r="E259" s="13"/>
      <c r="F259" s="13"/>
      <c r="G259" s="13"/>
      <c r="H259" s="7"/>
      <c r="I259" s="7"/>
    </row>
    <row r="260" spans="1:9">
      <c r="A260" s="5" t="s">
        <v>1369</v>
      </c>
      <c r="B260" s="5" t="s">
        <v>1370</v>
      </c>
      <c r="C260" s="13"/>
      <c r="D260" s="13"/>
      <c r="E260" s="13"/>
      <c r="F260" s="13"/>
      <c r="G260" s="13"/>
      <c r="H260" s="7"/>
      <c r="I260" s="7"/>
    </row>
    <row r="261" spans="1:9">
      <c r="A261" s="5" t="s">
        <v>1373</v>
      </c>
      <c r="B261" s="5" t="s">
        <v>1180</v>
      </c>
      <c r="C261" s="13"/>
      <c r="D261" s="13"/>
      <c r="E261" s="13"/>
      <c r="F261" s="13"/>
      <c r="G261" s="13"/>
      <c r="H261" s="7"/>
      <c r="I261" s="7"/>
    </row>
    <row r="262" spans="1:9">
      <c r="A262" s="5" t="s">
        <v>1376</v>
      </c>
      <c r="B262" s="5" t="s">
        <v>1143</v>
      </c>
      <c r="C262" s="13"/>
      <c r="D262" s="13"/>
      <c r="E262" s="13"/>
      <c r="F262" s="13"/>
      <c r="G262" s="13"/>
      <c r="H262" s="7"/>
      <c r="I262" s="7"/>
    </row>
    <row r="263" spans="1:9">
      <c r="A263" s="5" t="s">
        <v>1379</v>
      </c>
      <c r="B263" s="5" t="s">
        <v>1380</v>
      </c>
      <c r="C263" s="13"/>
      <c r="D263" s="13"/>
      <c r="E263" s="13"/>
      <c r="F263" s="13"/>
      <c r="G263" s="13"/>
      <c r="H263" s="7"/>
      <c r="I263" s="7"/>
    </row>
    <row r="264" spans="1:9">
      <c r="A264" s="5" t="s">
        <v>1381</v>
      </c>
      <c r="B264" s="5" t="s">
        <v>1039</v>
      </c>
      <c r="C264" s="13"/>
      <c r="D264" s="13"/>
      <c r="E264" s="13"/>
      <c r="F264" s="13"/>
      <c r="G264" s="13"/>
      <c r="H264" s="7"/>
      <c r="I264" s="7"/>
    </row>
    <row r="265" spans="1:9">
      <c r="A265" s="5" t="s">
        <v>1382</v>
      </c>
      <c r="B265" s="5" t="s">
        <v>1213</v>
      </c>
      <c r="C265" s="13"/>
      <c r="D265" s="13"/>
      <c r="E265" s="13"/>
      <c r="F265" s="13"/>
      <c r="G265" s="13"/>
      <c r="H265" s="7"/>
      <c r="I265" s="7"/>
    </row>
    <row r="266" spans="1:9">
      <c r="A266" s="5" t="s">
        <v>1383</v>
      </c>
      <c r="B266" s="5" t="s">
        <v>1384</v>
      </c>
      <c r="C266" s="13"/>
      <c r="D266" s="13"/>
      <c r="E266" s="13"/>
      <c r="F266" s="13"/>
      <c r="G266" s="13"/>
      <c r="H266" s="7"/>
      <c r="I266" s="7"/>
    </row>
  </sheetData>
  <autoFilter ref="A1:I266" xr:uid="{00000000-0009-0000-0000-000009000000}"/>
  <mergeCells count="7">
    <mergeCell ref="A220:I220"/>
    <mergeCell ref="A179:I179"/>
    <mergeCell ref="K2:R2"/>
    <mergeCell ref="K108:N114"/>
    <mergeCell ref="A2:I2"/>
    <mergeCell ref="A1:I1"/>
    <mergeCell ref="A106:I106"/>
  </mergeCells>
  <phoneticPr fontId="89" type="noConversion"/>
  <dataValidations count="1">
    <dataValidation type="list" allowBlank="1" showInputMessage="1" showErrorMessage="1" sqref="C4:G105 C222:G266 C181:G219 C108:G178" xr:uid="{00000000-0002-0000-0900-000000000000}">
      <formula1>"S,A+,A,B+,B,C+,C,D+,D,?,"</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锐评一个a组下半场">
    <tabColor rgb="FFC3EAD5"/>
  </sheetPr>
  <dimension ref="A1:T323"/>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9" width="41.5703125" style="1" customWidth="1"/>
    <col min="10" max="10" width="6" style="313" customWidth="1"/>
    <col min="11" max="11" width="12.5703125" style="159" customWidth="1"/>
    <col min="12" max="12" width="40.42578125" style="5" customWidth="1"/>
    <col min="13" max="17" width="12.5703125" style="1" customWidth="1"/>
    <col min="18" max="18" width="40.140625" style="1" customWidth="1"/>
    <col min="19" max="19" width="44.42578125" style="1" customWidth="1"/>
    <col min="20" max="20" width="7.7109375" style="313" customWidth="1"/>
  </cols>
  <sheetData>
    <row r="1" spans="1:20" ht="76.5" customHeight="1">
      <c r="A1" s="551" t="s">
        <v>2149</v>
      </c>
      <c r="B1" s="543"/>
      <c r="C1" s="543"/>
      <c r="D1" s="543"/>
      <c r="E1" s="543"/>
      <c r="F1" s="543"/>
      <c r="G1" s="543"/>
      <c r="H1" s="552"/>
      <c r="I1" s="543"/>
      <c r="J1" s="2"/>
      <c r="K1" s="553" t="s">
        <v>0</v>
      </c>
      <c r="L1" s="518"/>
      <c r="M1" s="518"/>
      <c r="N1" s="518"/>
      <c r="O1" s="518"/>
      <c r="P1" s="518"/>
      <c r="Q1" s="518"/>
      <c r="R1" s="518"/>
      <c r="S1" s="524"/>
      <c r="T1" s="2"/>
    </row>
    <row r="2" spans="1:20" ht="30" customHeight="1">
      <c r="A2" s="540" t="s">
        <v>1</v>
      </c>
      <c r="B2" s="543"/>
      <c r="C2" s="543"/>
      <c r="D2" s="543"/>
      <c r="E2" s="543"/>
      <c r="F2" s="543"/>
      <c r="G2" s="543"/>
      <c r="H2" s="550"/>
      <c r="I2" s="543"/>
      <c r="J2" s="2"/>
      <c r="K2" s="540" t="s">
        <v>2</v>
      </c>
      <c r="L2" s="518"/>
      <c r="M2" s="518"/>
      <c r="N2" s="518"/>
      <c r="O2" s="518"/>
      <c r="P2" s="518"/>
      <c r="Q2" s="518"/>
      <c r="R2" s="518"/>
      <c r="S2" s="524"/>
      <c r="T2" s="2"/>
    </row>
    <row r="3" spans="1:20" ht="27" customHeight="1">
      <c r="A3" s="5" t="s">
        <v>4</v>
      </c>
      <c r="B3" s="6" t="s">
        <v>5</v>
      </c>
      <c r="C3" s="7" t="s">
        <v>6</v>
      </c>
      <c r="D3" s="7" t="s">
        <v>7</v>
      </c>
      <c r="E3" s="7" t="s">
        <v>8</v>
      </c>
      <c r="F3" s="7" t="s">
        <v>9</v>
      </c>
      <c r="G3" s="7" t="s">
        <v>10</v>
      </c>
      <c r="H3" s="7" t="s">
        <v>11</v>
      </c>
      <c r="I3" s="7" t="s">
        <v>12</v>
      </c>
      <c r="J3" s="2"/>
      <c r="K3" s="5" t="s">
        <v>4</v>
      </c>
      <c r="L3" s="6" t="s">
        <v>5</v>
      </c>
      <c r="M3" s="7" t="s">
        <v>6</v>
      </c>
      <c r="N3" s="7" t="s">
        <v>7</v>
      </c>
      <c r="O3" s="7" t="s">
        <v>8</v>
      </c>
      <c r="P3" s="7" t="s">
        <v>9</v>
      </c>
      <c r="Q3" s="7" t="s">
        <v>10</v>
      </c>
      <c r="R3" s="7" t="s">
        <v>11</v>
      </c>
      <c r="S3" s="7" t="s">
        <v>12</v>
      </c>
      <c r="T3" s="2"/>
    </row>
    <row r="4" spans="1:20" ht="21">
      <c r="A4" s="5" t="s">
        <v>14</v>
      </c>
      <c r="B4" s="5" t="s">
        <v>15</v>
      </c>
      <c r="C4" s="10" t="s">
        <v>16</v>
      </c>
      <c r="D4" s="10" t="s">
        <v>16</v>
      </c>
      <c r="E4" s="10" t="s">
        <v>17</v>
      </c>
      <c r="F4" s="10" t="s">
        <v>17</v>
      </c>
      <c r="G4" s="10" t="str">
        <f>IF(AND(ISNUMBER(MATCH(C4,{"F","E","D","D+","C","C+","B","B+","A","A+","S"},0)),ISNUMBER(MATCH(D4,{"F","E","D","D+","C","C+","B","B+","A","A+","S"},0)),ISNUMBER(MATCH(E4,{"F","E","D","D+","C","C+","B","B+","A","A+","S"},0)),ISNUMBER(MATCH(F4,{"F","E","D","D+","C","C+","B","B+","A","A+","S"},0))),LOOKUP(AVERAGE(_xlfn.SWITCH(C4,"F",0,"E",10,"D",20,"D+",30,"C",40,"C+",50,"B",60,"B+",70,"A",80,"A+",90,"S",100),_xlfn.SWITCH(D4,"F",0,"E",10,"D",20,"D+",30,"C",40,"C+",50,"B",60,"B+",70,"A",80,"A+",90,"S",100),_xlfn.SWITCH(E4,"F",0,"E",10,"D",20,"D+",30,"C",40,"C+",50,"B",60,"B+",70,"A",80,"A+",90,"S",100),_xlfn.SWITCH(F4,"F",0,"E",10,"D",20,"D+",30,"C",40,"C+",50,"B",60,"B+",70,"A",80,"A+",90,"S",100)),{0,15,25,35,45,55,65,75,85,95},{"D","D","D+","C","C+","B","B+","A","A+","S"}),"?")</f>
        <v>B</v>
      </c>
      <c r="I4" s="11"/>
      <c r="J4" s="2"/>
      <c r="K4" s="5" t="s">
        <v>19</v>
      </c>
      <c r="L4" s="12" t="s">
        <v>20</v>
      </c>
      <c r="M4" s="13" t="s">
        <v>21</v>
      </c>
      <c r="N4" s="13" t="s">
        <v>21</v>
      </c>
      <c r="O4" s="13" t="s">
        <v>17</v>
      </c>
      <c r="P4" s="13" t="s">
        <v>17</v>
      </c>
      <c r="Q4" s="13" t="s">
        <v>22</v>
      </c>
      <c r="R4" s="14"/>
      <c r="S4" s="14"/>
      <c r="T4" s="2"/>
    </row>
    <row r="5" spans="1:20" ht="21">
      <c r="A5" s="5" t="s">
        <v>26</v>
      </c>
      <c r="B5" s="5" t="s">
        <v>27</v>
      </c>
      <c r="C5" s="10" t="s">
        <v>21</v>
      </c>
      <c r="D5" s="10" t="s">
        <v>17</v>
      </c>
      <c r="E5" s="10" t="s">
        <v>17</v>
      </c>
      <c r="F5" s="10" t="s">
        <v>18</v>
      </c>
      <c r="G5" s="10" t="str">
        <f>IF(AND(ISNUMBER(MATCH(C5,{"F","E","D","D+","C","C+","B","B+","A","A+","S"},0)),ISNUMBER(MATCH(D5,{"F","E","D","D+","C","C+","B","B+","A","A+","S"},0)),ISNUMBER(MATCH(E5,{"F","E","D","D+","C","C+","B","B+","A","A+","S"},0)),ISNUMBER(MATCH(F5,{"F","E","D","D+","C","C+","B","B+","A","A+","S"},0))),LOOKUP(AVERAGE(_xlfn.SWITCH(C5,"F",0,"E",10,"D",20,"D+",30,"C",40,"C+",50,"B",60,"B+",70,"A",80,"A+",90,"S",100),_xlfn.SWITCH(D5,"F",0,"E",10,"D",20,"D+",30,"C",40,"C+",50,"B",60,"B+",70,"A",80,"A+",90,"S",100),_xlfn.SWITCH(E5,"F",0,"E",10,"D",20,"D+",30,"C",40,"C+",50,"B",60,"B+",70,"A",80,"A+",90,"S",100),_xlfn.SWITCH(F5,"F",0,"E",10,"D",20,"D+",30,"C",40,"C+",50,"B",60,"B+",70,"A",80,"A+",90,"S",100)),{0,15,25,35,45,55,65,75,85,95},{"D","D","D+","C","C+","B","B+","A","A+","S"}),"?")</f>
        <v>A+</v>
      </c>
      <c r="I5" s="11"/>
      <c r="J5" s="2"/>
      <c r="K5" s="5" t="s">
        <v>29</v>
      </c>
      <c r="L5" s="12" t="s">
        <v>30</v>
      </c>
      <c r="M5" s="13"/>
      <c r="N5" s="13"/>
      <c r="O5" s="13"/>
      <c r="P5" s="13"/>
      <c r="Q5" s="13" t="str">
        <f>IF(AND(ISNUMBER(MATCH(M5,{"F","E","D","D+","C","C+","B","B+","A","A+","S"},0)),ISNUMBER(MATCH(N5,{"F","E","D","D+","C","C+","B","B+","A","A+","S"},0)),ISNUMBER(MATCH(O5,{"F","E","D","D+","C","C+","B","B+","A","A+","S"},0)),ISNUMBER(MATCH(P5,{"F","E","D","D+","C","C+","B","B+","A","A+","S"},0))),LOOKUP(AVERAGE(_xlfn.SWITCH(M5,"F",0,"E",10,"D",20,"D+",30,"C",40,"C+",50,"B",60,"B+",70,"A",80,"A+",90,"S",100),_xlfn.SWITCH(N5,"F",0,"E",10,"D",20,"D+",30,"C",40,"C+",50,"B",60,"B+",70,"A",80,"A+",90,"S",100),_xlfn.SWITCH(O5,"F",0,"E",10,"D",20,"D+",30,"C",40,"C+",50,"B",60,"B+",70,"A",80,"A+",90,"S",100),_xlfn.SWITCH(P5,"F",0,"E",10,"D",20,"D+",30,"C",40,"C+",50,"B",60,"B+",70,"A",80,"A+",90,"S",100)),{0,15,25,35,45,55,65,75,85,95},{"D","D","D+","C","C+","B","B+","A","A+","S"}),"?")</f>
        <v>?</v>
      </c>
      <c r="R5" s="14"/>
      <c r="S5" s="14"/>
      <c r="T5" s="2"/>
    </row>
    <row r="6" spans="1:20" ht="21">
      <c r="A6" s="5" t="s">
        <v>34</v>
      </c>
      <c r="B6" s="5" t="s">
        <v>35</v>
      </c>
      <c r="C6" s="10"/>
      <c r="D6" s="10"/>
      <c r="E6" s="10"/>
      <c r="F6" s="10"/>
      <c r="G6" s="10" t="s">
        <v>1574</v>
      </c>
      <c r="H6" t="s">
        <v>2150</v>
      </c>
      <c r="I6" s="11"/>
      <c r="J6" s="2"/>
      <c r="K6" s="5" t="s">
        <v>36</v>
      </c>
      <c r="L6" s="12" t="s">
        <v>37</v>
      </c>
      <c r="M6" s="13"/>
      <c r="N6" s="13"/>
      <c r="O6" s="13"/>
      <c r="P6" s="13"/>
      <c r="Q6" s="13" t="str">
        <f>IF(AND(ISNUMBER(MATCH(M6,{"F","E","D","D+","C","C+","B","B+","A","A+","S"},0)),ISNUMBER(MATCH(N6,{"F","E","D","D+","C","C+","B","B+","A","A+","S"},0)),ISNUMBER(MATCH(O6,{"F","E","D","D+","C","C+","B","B+","A","A+","S"},0)),ISNUMBER(MATCH(P6,{"F","E","D","D+","C","C+","B","B+","A","A+","S"},0))),LOOKUP(AVERAGE(_xlfn.SWITCH(M6,"F",0,"E",10,"D",20,"D+",30,"C",40,"C+",50,"B",60,"B+",70,"A",80,"A+",90,"S",100),_xlfn.SWITCH(N6,"F",0,"E",10,"D",20,"D+",30,"C",40,"C+",50,"B",60,"B+",70,"A",80,"A+",90,"S",100),_xlfn.SWITCH(O6,"F",0,"E",10,"D",20,"D+",30,"C",40,"C+",50,"B",60,"B+",70,"A",80,"A+",90,"S",100),_xlfn.SWITCH(P6,"F",0,"E",10,"D",20,"D+",30,"C",40,"C+",50,"B",60,"B+",70,"A",80,"A+",90,"S",100)),{0,15,25,35,45,55,65,75,85,95},{"D","D","D+","C","C+","B","B+","A","A+","S"}),"?")</f>
        <v>?</v>
      </c>
      <c r="R6" s="14"/>
      <c r="S6" s="14"/>
      <c r="T6" s="2"/>
    </row>
    <row r="7" spans="1:20" ht="66">
      <c r="A7" s="5" t="s">
        <v>41</v>
      </c>
      <c r="B7" s="5" t="s">
        <v>42</v>
      </c>
      <c r="C7" s="10"/>
      <c r="D7" s="10"/>
      <c r="E7" s="10"/>
      <c r="F7" s="10"/>
      <c r="G7" s="10" t="str">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v>
      </c>
      <c r="I7" s="11"/>
      <c r="J7" s="2"/>
      <c r="K7" s="5" t="s">
        <v>43</v>
      </c>
      <c r="L7" s="12" t="s">
        <v>44</v>
      </c>
      <c r="M7" s="13"/>
      <c r="N7" s="13"/>
      <c r="O7" s="13"/>
      <c r="P7" s="13"/>
      <c r="Q7" s="13" t="s">
        <v>1562</v>
      </c>
      <c r="R7" s="132" t="s">
        <v>2151</v>
      </c>
      <c r="S7" s="14"/>
      <c r="T7" s="2"/>
    </row>
    <row r="8" spans="1:20" ht="21">
      <c r="A8" s="5" t="s">
        <v>48</v>
      </c>
      <c r="B8" s="5" t="s">
        <v>49</v>
      </c>
      <c r="C8" s="10"/>
      <c r="D8" s="10"/>
      <c r="E8" s="10"/>
      <c r="F8" s="10"/>
      <c r="G8" s="10" t="str">
        <f>IF(AND(ISNUMBER(MATCH(C8,{"F","E","D","D+","C","C+","B","B+","A","A+","S"},0)),ISNUMBER(MATCH(D8,{"F","E","D","D+","C","C+","B","B+","A","A+","S"},0)),ISNUMBER(MATCH(E8,{"F","E","D","D+","C","C+","B","B+","A","A+","S"},0)),ISNUMBER(MATCH(F8,{"F","E","D","D+","C","C+","B","B+","A","A+","S"},0))),LOOKUP(AVERAGE(_xlfn.SWITCH(C8,"F",0,"E",10,"D",20,"D+",30,"C",40,"C+",50,"B",60,"B+",70,"A",80,"A+",90,"S",100),_xlfn.SWITCH(D8,"F",0,"E",10,"D",20,"D+",30,"C",40,"C+",50,"B",60,"B+",70,"A",80,"A+",90,"S",100),_xlfn.SWITCH(E8,"F",0,"E",10,"D",20,"D+",30,"C",40,"C+",50,"B",60,"B+",70,"A",80,"A+",90,"S",100),_xlfn.SWITCH(F8,"F",0,"E",10,"D",20,"D+",30,"C",40,"C+",50,"B",60,"B+",70,"A",80,"A+",90,"S",100)),{0,15,25,35,45,55,65,75,85,95},{"D","D","D+","C","C+","B","B+","A","A+","S"}),"?")</f>
        <v>?</v>
      </c>
      <c r="I8" s="11"/>
      <c r="J8" s="2"/>
      <c r="K8" s="5" t="s">
        <v>50</v>
      </c>
      <c r="L8" s="12" t="s">
        <v>51</v>
      </c>
      <c r="M8" s="13"/>
      <c r="N8" s="13"/>
      <c r="O8" s="13"/>
      <c r="P8" s="13"/>
      <c r="Q8" s="13" t="str">
        <f>IF(AND(ISNUMBER(MATCH(M8,{"F","E","D","D+","C","C+","B","B+","A","A+","S"},0)),ISNUMBER(MATCH(N8,{"F","E","D","D+","C","C+","B","B+","A","A+","S"},0)),ISNUMBER(MATCH(O8,{"F","E","D","D+","C","C+","B","B+","A","A+","S"},0)),ISNUMBER(MATCH(P8,{"F","E","D","D+","C","C+","B","B+","A","A+","S"},0))),LOOKUP(AVERAGE(_xlfn.SWITCH(M8,"F",0,"E",10,"D",20,"D+",30,"C",40,"C+",50,"B",60,"B+",70,"A",80,"A+",90,"S",100),_xlfn.SWITCH(N8,"F",0,"E",10,"D",20,"D+",30,"C",40,"C+",50,"B",60,"B+",70,"A",80,"A+",90,"S",100),_xlfn.SWITCH(O8,"F",0,"E",10,"D",20,"D+",30,"C",40,"C+",50,"B",60,"B+",70,"A",80,"A+",90,"S",100),_xlfn.SWITCH(P8,"F",0,"E",10,"D",20,"D+",30,"C",40,"C+",50,"B",60,"B+",70,"A",80,"A+",90,"S",100)),{0,15,25,35,45,55,65,75,85,95},{"D","D","D+","C","C+","B","B+","A","A+","S"}),"?")</f>
        <v>?</v>
      </c>
      <c r="R8" s="14"/>
      <c r="S8" s="14"/>
      <c r="T8" s="2"/>
    </row>
    <row r="9" spans="1:20" ht="21">
      <c r="A9" s="5" t="s">
        <v>55</v>
      </c>
      <c r="B9" s="5" t="s">
        <v>56</v>
      </c>
      <c r="C9" s="10"/>
      <c r="D9" s="10"/>
      <c r="E9" s="10"/>
      <c r="F9" s="10"/>
      <c r="G9" s="10"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v>
      </c>
      <c r="I9" s="11"/>
      <c r="J9" s="2"/>
      <c r="K9" s="5" t="s">
        <v>57</v>
      </c>
      <c r="L9" s="12" t="s">
        <v>58</v>
      </c>
      <c r="M9" s="13"/>
      <c r="N9" s="13"/>
      <c r="O9" s="13"/>
      <c r="P9" s="13"/>
      <c r="Q9" s="13" t="str">
        <f>IF(AND(ISNUMBER(MATCH(M9,{"F","E","D","D+","C","C+","B","B+","A","A+","S"},0)),ISNUMBER(MATCH(N9,{"F","E","D","D+","C","C+","B","B+","A","A+","S"},0)),ISNUMBER(MATCH(O9,{"F","E","D","D+","C","C+","B","B+","A","A+","S"},0)),ISNUMBER(MATCH(P9,{"F","E","D","D+","C","C+","B","B+","A","A+","S"},0))),LOOKUP(AVERAGE(_xlfn.SWITCH(M9,"F",0,"E",10,"D",20,"D+",30,"C",40,"C+",50,"B",60,"B+",70,"A",80,"A+",90,"S",100),_xlfn.SWITCH(N9,"F",0,"E",10,"D",20,"D+",30,"C",40,"C+",50,"B",60,"B+",70,"A",80,"A+",90,"S",100),_xlfn.SWITCH(O9,"F",0,"E",10,"D",20,"D+",30,"C",40,"C+",50,"B",60,"B+",70,"A",80,"A+",90,"S",100),_xlfn.SWITCH(P9,"F",0,"E",10,"D",20,"D+",30,"C",40,"C+",50,"B",60,"B+",70,"A",80,"A+",90,"S",100)),{0,15,25,35,45,55,65,75,85,95},{"D","D","D+","C","C+","B","B+","A","A+","S"}),"?")</f>
        <v>?</v>
      </c>
      <c r="R9" s="14"/>
      <c r="S9" s="14"/>
      <c r="T9" s="2"/>
    </row>
    <row r="10" spans="1:20" ht="21">
      <c r="A10" s="5" t="s">
        <v>62</v>
      </c>
      <c r="B10" s="5" t="s">
        <v>63</v>
      </c>
      <c r="C10" s="10"/>
      <c r="D10" s="10"/>
      <c r="E10" s="10"/>
      <c r="F10" s="10"/>
      <c r="G10" s="10"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v>
      </c>
      <c r="I10" s="11"/>
      <c r="J10" s="2"/>
      <c r="K10" s="5" t="s">
        <v>64</v>
      </c>
      <c r="L10" s="12" t="s">
        <v>65</v>
      </c>
      <c r="M10" s="13"/>
      <c r="N10" s="13"/>
      <c r="O10" s="13"/>
      <c r="P10" s="13"/>
      <c r="Q10" s="13" t="str">
        <f>IF(AND(ISNUMBER(MATCH(M10,{"F","E","D","D+","C","C+","B","B+","A","A+","S"},0)),ISNUMBER(MATCH(N10,{"F","E","D","D+","C","C+","B","B+","A","A+","S"},0)),ISNUMBER(MATCH(O10,{"F","E","D","D+","C","C+","B","B+","A","A+","S"},0)),ISNUMBER(MATCH(P10,{"F","E","D","D+","C","C+","B","B+","A","A+","S"},0))),LOOKUP(AVERAGE(_xlfn.SWITCH(M10,"F",0,"E",10,"D",20,"D+",30,"C",40,"C+",50,"B",60,"B+",70,"A",80,"A+",90,"S",100),_xlfn.SWITCH(N10,"F",0,"E",10,"D",20,"D+",30,"C",40,"C+",50,"B",60,"B+",70,"A",80,"A+",90,"S",100),_xlfn.SWITCH(O10,"F",0,"E",10,"D",20,"D+",30,"C",40,"C+",50,"B",60,"B+",70,"A",80,"A+",90,"S",100),_xlfn.SWITCH(P10,"F",0,"E",10,"D",20,"D+",30,"C",40,"C+",50,"B",60,"B+",70,"A",80,"A+",90,"S",100)),{0,15,25,35,45,55,65,75,85,95},{"D","D","D+","C","C+","B","B+","A","A+","S"}),"?")</f>
        <v>?</v>
      </c>
      <c r="R10" s="14"/>
      <c r="S10" s="14"/>
      <c r="T10" s="2"/>
    </row>
    <row r="11" spans="1:20" ht="21">
      <c r="A11" s="5" t="s">
        <v>67</v>
      </c>
      <c r="B11" s="5" t="s">
        <v>68</v>
      </c>
      <c r="C11" s="10"/>
      <c r="D11" s="10"/>
      <c r="E11" s="10"/>
      <c r="F11" s="10"/>
      <c r="G11" s="10" t="str">
        <f>IF(AND(ISNUMBER(MATCH(C11,{"F","E","D","D+","C","C+","B","B+","A","A+","S"},0)),ISNUMBER(MATCH(D11,{"F","E","D","D+","C","C+","B","B+","A","A+","S"},0)),ISNUMBER(MATCH(E11,{"F","E","D","D+","C","C+","B","B+","A","A+","S"},0)),ISNUMBER(MATCH(F11,{"F","E","D","D+","C","C+","B","B+","A","A+","S"},0))),LOOKUP(AVERAGE(_xlfn.SWITCH(C11,"F",0,"E",10,"D",20,"D+",30,"C",40,"C+",50,"B",60,"B+",70,"A",80,"A+",90,"S",100),_xlfn.SWITCH(D11,"F",0,"E",10,"D",20,"D+",30,"C",40,"C+",50,"B",60,"B+",70,"A",80,"A+",90,"S",100),_xlfn.SWITCH(E11,"F",0,"E",10,"D",20,"D+",30,"C",40,"C+",50,"B",60,"B+",70,"A",80,"A+",90,"S",100),_xlfn.SWITCH(F11,"F",0,"E",10,"D",20,"D+",30,"C",40,"C+",50,"B",60,"B+",70,"A",80,"A+",90,"S",100)),{0,15,25,35,45,55,65,75,85,95},{"D","D","D+","C","C+","B","B+","A","A+","S"}),"?")</f>
        <v>?</v>
      </c>
      <c r="I11" s="11"/>
      <c r="J11" s="2"/>
      <c r="K11" s="5" t="s">
        <v>69</v>
      </c>
      <c r="L11" s="12" t="s">
        <v>70</v>
      </c>
      <c r="M11" s="13"/>
      <c r="N11" s="13"/>
      <c r="O11" s="13"/>
      <c r="P11" s="13"/>
      <c r="Q11" s="13" t="str">
        <f>IF(AND(ISNUMBER(MATCH(M11,{"F","E","D","D+","C","C+","B","B+","A","A+","S"},0)),ISNUMBER(MATCH(N11,{"F","E","D","D+","C","C+","B","B+","A","A+","S"},0)),ISNUMBER(MATCH(O11,{"F","E","D","D+","C","C+","B","B+","A","A+","S"},0)),ISNUMBER(MATCH(P11,{"F","E","D","D+","C","C+","B","B+","A","A+","S"},0))),LOOKUP(AVERAGE(_xlfn.SWITCH(M11,"F",0,"E",10,"D",20,"D+",30,"C",40,"C+",50,"B",60,"B+",70,"A",80,"A+",90,"S",100),_xlfn.SWITCH(N11,"F",0,"E",10,"D",20,"D+",30,"C",40,"C+",50,"B",60,"B+",70,"A",80,"A+",90,"S",100),_xlfn.SWITCH(O11,"F",0,"E",10,"D",20,"D+",30,"C",40,"C+",50,"B",60,"B+",70,"A",80,"A+",90,"S",100),_xlfn.SWITCH(P11,"F",0,"E",10,"D",20,"D+",30,"C",40,"C+",50,"B",60,"B+",70,"A",80,"A+",90,"S",100)),{0,15,25,35,45,55,65,75,85,95},{"D","D","D+","C","C+","B","B+","A","A+","S"}),"?")</f>
        <v>?</v>
      </c>
      <c r="R11" s="14"/>
      <c r="S11" s="14"/>
      <c r="T11" s="2"/>
    </row>
    <row r="12" spans="1:20" ht="21">
      <c r="A12" s="5" t="s">
        <v>74</v>
      </c>
      <c r="B12" s="5" t="s">
        <v>75</v>
      </c>
      <c r="C12" s="10"/>
      <c r="D12" s="10"/>
      <c r="E12" s="10"/>
      <c r="F12" s="10"/>
      <c r="G12" s="10"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v>
      </c>
      <c r="I12" s="11"/>
      <c r="J12" s="2"/>
      <c r="K12" s="5" t="s">
        <v>76</v>
      </c>
      <c r="L12" s="12" t="s">
        <v>77</v>
      </c>
      <c r="M12" s="13"/>
      <c r="N12" s="13"/>
      <c r="O12" s="13"/>
      <c r="P12" s="13"/>
      <c r="Q12" s="13" t="str">
        <f>IF(AND(ISNUMBER(MATCH(M12,{"F","E","D","D+","C","C+","B","B+","A","A+","S"},0)),ISNUMBER(MATCH(N12,{"F","E","D","D+","C","C+","B","B+","A","A+","S"},0)),ISNUMBER(MATCH(O12,{"F","E","D","D+","C","C+","B","B+","A","A+","S"},0)),ISNUMBER(MATCH(P12,{"F","E","D","D+","C","C+","B","B+","A","A+","S"},0))),LOOKUP(AVERAGE(_xlfn.SWITCH(M12,"F",0,"E",10,"D",20,"D+",30,"C",40,"C+",50,"B",60,"B+",70,"A",80,"A+",90,"S",100),_xlfn.SWITCH(N12,"F",0,"E",10,"D",20,"D+",30,"C",40,"C+",50,"B",60,"B+",70,"A",80,"A+",90,"S",100),_xlfn.SWITCH(O12,"F",0,"E",10,"D",20,"D+",30,"C",40,"C+",50,"B",60,"B+",70,"A",80,"A+",90,"S",100),_xlfn.SWITCH(P12,"F",0,"E",10,"D",20,"D+",30,"C",40,"C+",50,"B",60,"B+",70,"A",80,"A+",90,"S",100)),{0,15,25,35,45,55,65,75,85,95},{"D","D","D+","C","C+","B","B+","A","A+","S"}),"?")</f>
        <v>?</v>
      </c>
      <c r="R12" s="14"/>
      <c r="S12" s="14"/>
      <c r="T12" s="2"/>
    </row>
    <row r="13" spans="1:20" ht="21">
      <c r="A13" s="5" t="s">
        <v>81</v>
      </c>
      <c r="B13" s="5" t="s">
        <v>82</v>
      </c>
      <c r="C13" s="10"/>
      <c r="D13" s="10"/>
      <c r="E13" s="10"/>
      <c r="F13" s="10"/>
      <c r="G13" s="10" t="str">
        <f>IF(AND(ISNUMBER(MATCH(C13,{"F","E","D","D+","C","C+","B","B+","A","A+","S"},0)),ISNUMBER(MATCH(D13,{"F","E","D","D+","C","C+","B","B+","A","A+","S"},0)),ISNUMBER(MATCH(E13,{"F","E","D","D+","C","C+","B","B+","A","A+","S"},0)),ISNUMBER(MATCH(F13,{"F","E","D","D+","C","C+","B","B+","A","A+","S"},0))),LOOKUP(AVERAGE(_xlfn.SWITCH(C13,"F",0,"E",10,"D",20,"D+",30,"C",40,"C+",50,"B",60,"B+",70,"A",80,"A+",90,"S",100),_xlfn.SWITCH(D13,"F",0,"E",10,"D",20,"D+",30,"C",40,"C+",50,"B",60,"B+",70,"A",80,"A+",90,"S",100),_xlfn.SWITCH(E13,"F",0,"E",10,"D",20,"D+",30,"C",40,"C+",50,"B",60,"B+",70,"A",80,"A+",90,"S",100),_xlfn.SWITCH(F13,"F",0,"E",10,"D",20,"D+",30,"C",40,"C+",50,"B",60,"B+",70,"A",80,"A+",90,"S",100)),{0,15,25,35,45,55,65,75,85,95},{"D","D","D+","C","C+","B","B+","A","A+","S"}),"?")</f>
        <v>?</v>
      </c>
      <c r="I13" s="11"/>
      <c r="J13" s="2"/>
      <c r="K13" s="5" t="s">
        <v>83</v>
      </c>
      <c r="L13" s="12" t="s">
        <v>84</v>
      </c>
      <c r="M13" s="13"/>
      <c r="N13" s="13"/>
      <c r="O13" s="13"/>
      <c r="P13" s="13"/>
      <c r="Q13" s="13" t="str">
        <f>IF(AND(ISNUMBER(MATCH(M13,{"F","E","D","D+","C","C+","B","B+","A","A+","S"},0)),ISNUMBER(MATCH(N13,{"F","E","D","D+","C","C+","B","B+","A","A+","S"},0)),ISNUMBER(MATCH(O13,{"F","E","D","D+","C","C+","B","B+","A","A+","S"},0)),ISNUMBER(MATCH(P13,{"F","E","D","D+","C","C+","B","B+","A","A+","S"},0))),LOOKUP(AVERAGE(_xlfn.SWITCH(M13,"F",0,"E",10,"D",20,"D+",30,"C",40,"C+",50,"B",60,"B+",70,"A",80,"A+",90,"S",100),_xlfn.SWITCH(N13,"F",0,"E",10,"D",20,"D+",30,"C",40,"C+",50,"B",60,"B+",70,"A",80,"A+",90,"S",100),_xlfn.SWITCH(O13,"F",0,"E",10,"D",20,"D+",30,"C",40,"C+",50,"B",60,"B+",70,"A",80,"A+",90,"S",100),_xlfn.SWITCH(P13,"F",0,"E",10,"D",20,"D+",30,"C",40,"C+",50,"B",60,"B+",70,"A",80,"A+",90,"S",100)),{0,15,25,35,45,55,65,75,85,95},{"D","D","D+","C","C+","B","B+","A","A+","S"}),"?")</f>
        <v>?</v>
      </c>
      <c r="R13" s="14"/>
      <c r="S13" s="14"/>
      <c r="T13" s="2"/>
    </row>
    <row r="14" spans="1:20" ht="21">
      <c r="A14" s="5" t="s">
        <v>88</v>
      </c>
      <c r="B14" s="5" t="s">
        <v>89</v>
      </c>
      <c r="C14" s="10"/>
      <c r="D14" s="10"/>
      <c r="E14" s="10"/>
      <c r="F14" s="10"/>
      <c r="G14" s="10"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v>
      </c>
      <c r="I14" s="11"/>
      <c r="J14" s="2"/>
      <c r="K14" s="5" t="s">
        <v>90</v>
      </c>
      <c r="L14" s="12" t="s">
        <v>91</v>
      </c>
      <c r="M14" s="13"/>
      <c r="N14" s="13"/>
      <c r="O14" s="13"/>
      <c r="P14" s="13"/>
      <c r="Q14" s="13" t="str">
        <f>IF(AND(ISNUMBER(MATCH(M14,{"F","E","D","D+","C","C+","B","B+","A","A+","S"},0)),ISNUMBER(MATCH(N14,{"F","E","D","D+","C","C+","B","B+","A","A+","S"},0)),ISNUMBER(MATCH(O14,{"F","E","D","D+","C","C+","B","B+","A","A+","S"},0)),ISNUMBER(MATCH(P14,{"F","E","D","D+","C","C+","B","B+","A","A+","S"},0))),LOOKUP(AVERAGE(_xlfn.SWITCH(M14,"F",0,"E",10,"D",20,"D+",30,"C",40,"C+",50,"B",60,"B+",70,"A",80,"A+",90,"S",100),_xlfn.SWITCH(N14,"F",0,"E",10,"D",20,"D+",30,"C",40,"C+",50,"B",60,"B+",70,"A",80,"A+",90,"S",100),_xlfn.SWITCH(O14,"F",0,"E",10,"D",20,"D+",30,"C",40,"C+",50,"B",60,"B+",70,"A",80,"A+",90,"S",100),_xlfn.SWITCH(P14,"F",0,"E",10,"D",20,"D+",30,"C",40,"C+",50,"B",60,"B+",70,"A",80,"A+",90,"S",100)),{0,15,25,35,45,55,65,75,85,95},{"D","D","D+","C","C+","B","B+","A","A+","S"}),"?")</f>
        <v>?</v>
      </c>
      <c r="R14" s="14"/>
      <c r="S14" s="14"/>
      <c r="T14" s="2"/>
    </row>
    <row r="15" spans="1:20" ht="21">
      <c r="A15" s="5" t="s">
        <v>95</v>
      </c>
      <c r="B15" s="5" t="s">
        <v>96</v>
      </c>
      <c r="C15" s="10"/>
      <c r="D15" s="10"/>
      <c r="E15" s="10"/>
      <c r="F15" s="10"/>
      <c r="G15" s="10"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v>
      </c>
      <c r="I15" s="11"/>
      <c r="J15" s="2"/>
      <c r="K15" s="5" t="s">
        <v>97</v>
      </c>
      <c r="L15" s="12" t="s">
        <v>98</v>
      </c>
      <c r="M15" s="13"/>
      <c r="N15" s="13"/>
      <c r="O15" s="13"/>
      <c r="P15" s="13"/>
      <c r="Q15" s="13" t="str">
        <f>IF(AND(ISNUMBER(MATCH(M15,{"F","E","D","D+","C","C+","B","B+","A","A+","S"},0)),ISNUMBER(MATCH(N15,{"F","E","D","D+","C","C+","B","B+","A","A+","S"},0)),ISNUMBER(MATCH(O15,{"F","E","D","D+","C","C+","B","B+","A","A+","S"},0)),ISNUMBER(MATCH(P15,{"F","E","D","D+","C","C+","B","B+","A","A+","S"},0))),LOOKUP(AVERAGE(_xlfn.SWITCH(M15,"F",0,"E",10,"D",20,"D+",30,"C",40,"C+",50,"B",60,"B+",70,"A",80,"A+",90,"S",100),_xlfn.SWITCH(N15,"F",0,"E",10,"D",20,"D+",30,"C",40,"C+",50,"B",60,"B+",70,"A",80,"A+",90,"S",100),_xlfn.SWITCH(O15,"F",0,"E",10,"D",20,"D+",30,"C",40,"C+",50,"B",60,"B+",70,"A",80,"A+",90,"S",100),_xlfn.SWITCH(P15,"F",0,"E",10,"D",20,"D+",30,"C",40,"C+",50,"B",60,"B+",70,"A",80,"A+",90,"S",100)),{0,15,25,35,45,55,65,75,85,95},{"D","D","D+","C","C+","B","B+","A","A+","S"}),"?")</f>
        <v>?</v>
      </c>
      <c r="R15" s="14"/>
      <c r="S15" s="14"/>
      <c r="T15" s="2"/>
    </row>
    <row r="16" spans="1:20" ht="44">
      <c r="A16" s="5" t="s">
        <v>102</v>
      </c>
      <c r="B16" s="5" t="s">
        <v>103</v>
      </c>
      <c r="C16" s="10"/>
      <c r="D16" s="10"/>
      <c r="E16" s="10"/>
      <c r="F16" s="10"/>
      <c r="G16" s="10"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v>
      </c>
      <c r="I16" s="11"/>
      <c r="J16" s="2"/>
      <c r="K16" s="5" t="s">
        <v>104</v>
      </c>
      <c r="L16" s="12" t="s">
        <v>105</v>
      </c>
      <c r="M16" s="13"/>
      <c r="N16" s="13"/>
      <c r="O16" s="13"/>
      <c r="P16" s="13"/>
      <c r="Q16" s="13" t="s">
        <v>17</v>
      </c>
      <c r="R16" s="132" t="s">
        <v>2152</v>
      </c>
      <c r="S16" s="14"/>
      <c r="T16" s="2"/>
    </row>
    <row r="17" spans="1:20" ht="21">
      <c r="A17" s="5" t="s">
        <v>109</v>
      </c>
      <c r="B17" s="5" t="s">
        <v>110</v>
      </c>
      <c r="C17" s="10"/>
      <c r="D17" s="10"/>
      <c r="E17" s="10"/>
      <c r="F17" s="10"/>
      <c r="G17" s="10"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v>
      </c>
      <c r="I17" s="11"/>
      <c r="J17" s="2"/>
      <c r="K17" s="5" t="s">
        <v>111</v>
      </c>
      <c r="L17" s="12" t="s">
        <v>112</v>
      </c>
      <c r="M17" s="13"/>
      <c r="N17" s="13"/>
      <c r="O17" s="13"/>
      <c r="P17" s="13"/>
      <c r="Q17" s="13" t="str">
        <f>IF(AND(ISNUMBER(MATCH(M17,{"F","E","D","D+","C","C+","B","B+","A","A+","S"},0)),ISNUMBER(MATCH(N17,{"F","E","D","D+","C","C+","B","B+","A","A+","S"},0)),ISNUMBER(MATCH(O17,{"F","E","D","D+","C","C+","B","B+","A","A+","S"},0)),ISNUMBER(MATCH(P17,{"F","E","D","D+","C","C+","B","B+","A","A+","S"},0))),LOOKUP(AVERAGE(_xlfn.SWITCH(M17,"F",0,"E",10,"D",20,"D+",30,"C",40,"C+",50,"B",60,"B+",70,"A",80,"A+",90,"S",100),_xlfn.SWITCH(N17,"F",0,"E",10,"D",20,"D+",30,"C",40,"C+",50,"B",60,"B+",70,"A",80,"A+",90,"S",100),_xlfn.SWITCH(O17,"F",0,"E",10,"D",20,"D+",30,"C",40,"C+",50,"B",60,"B+",70,"A",80,"A+",90,"S",100),_xlfn.SWITCH(P17,"F",0,"E",10,"D",20,"D+",30,"C",40,"C+",50,"B",60,"B+",70,"A",80,"A+",90,"S",100)),{0,15,25,35,45,55,65,75,85,95},{"D","D","D+","C","C+","B","B+","A","A+","S"}),"?")</f>
        <v>?</v>
      </c>
      <c r="R17" s="14"/>
      <c r="S17" s="14"/>
      <c r="T17" s="2"/>
    </row>
    <row r="18" spans="1:20" ht="21">
      <c r="A18" s="5" t="s">
        <v>116</v>
      </c>
      <c r="B18" s="5" t="s">
        <v>117</v>
      </c>
      <c r="C18" s="10"/>
      <c r="D18" s="10"/>
      <c r="E18" s="10"/>
      <c r="F18" s="10"/>
      <c r="G18" s="10" t="str">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v>
      </c>
      <c r="I18" s="11"/>
      <c r="J18" s="2"/>
      <c r="K18" s="5" t="s">
        <v>118</v>
      </c>
      <c r="L18" s="12" t="s">
        <v>119</v>
      </c>
      <c r="M18" s="13"/>
      <c r="N18" s="13"/>
      <c r="O18" s="13"/>
      <c r="P18" s="13"/>
      <c r="Q18" s="13" t="str">
        <f>IF(AND(ISNUMBER(MATCH(M18,{"F","E","D","D+","C","C+","B","B+","A","A+","S"},0)),ISNUMBER(MATCH(N18,{"F","E","D","D+","C","C+","B","B+","A","A+","S"},0)),ISNUMBER(MATCH(O18,{"F","E","D","D+","C","C+","B","B+","A","A+","S"},0)),ISNUMBER(MATCH(P18,{"F","E","D","D+","C","C+","B","B+","A","A+","S"},0))),LOOKUP(AVERAGE(_xlfn.SWITCH(M18,"F",0,"E",10,"D",20,"D+",30,"C",40,"C+",50,"B",60,"B+",70,"A",80,"A+",90,"S",100),_xlfn.SWITCH(N18,"F",0,"E",10,"D",20,"D+",30,"C",40,"C+",50,"B",60,"B+",70,"A",80,"A+",90,"S",100),_xlfn.SWITCH(O18,"F",0,"E",10,"D",20,"D+",30,"C",40,"C+",50,"B",60,"B+",70,"A",80,"A+",90,"S",100),_xlfn.SWITCH(P18,"F",0,"E",10,"D",20,"D+",30,"C",40,"C+",50,"B",60,"B+",70,"A",80,"A+",90,"S",100)),{0,15,25,35,45,55,65,75,85,95},{"D","D","D+","C","C+","B","B+","A","A+","S"}),"?")</f>
        <v>?</v>
      </c>
      <c r="R18" s="14"/>
      <c r="S18" s="14"/>
      <c r="T18" s="2"/>
    </row>
    <row r="19" spans="1:20" ht="21">
      <c r="A19" s="5" t="s">
        <v>123</v>
      </c>
      <c r="B19" s="5" t="s">
        <v>124</v>
      </c>
      <c r="C19" s="10"/>
      <c r="D19" s="10"/>
      <c r="E19" s="10"/>
      <c r="F19" s="10"/>
      <c r="G19" s="10"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v>
      </c>
      <c r="I19" s="11"/>
      <c r="J19" s="2"/>
      <c r="K19" s="5" t="s">
        <v>125</v>
      </c>
      <c r="L19" s="12" t="s">
        <v>126</v>
      </c>
      <c r="M19" s="13"/>
      <c r="N19" s="13"/>
      <c r="O19" s="13"/>
      <c r="P19" s="13"/>
      <c r="Q19" s="13" t="s">
        <v>1567</v>
      </c>
      <c r="R19" s="14" t="s">
        <v>2153</v>
      </c>
      <c r="S19" s="14"/>
      <c r="T19" s="2"/>
    </row>
    <row r="20" spans="1:20" ht="21">
      <c r="A20" s="5" t="s">
        <v>130</v>
      </c>
      <c r="B20" s="5" t="s">
        <v>129</v>
      </c>
      <c r="C20" s="10"/>
      <c r="D20" s="10"/>
      <c r="E20" s="10"/>
      <c r="F20" s="10"/>
      <c r="G20" s="10"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v>
      </c>
      <c r="I20" s="11"/>
      <c r="J20" s="2"/>
      <c r="K20" s="5" t="s">
        <v>131</v>
      </c>
      <c r="L20" s="12" t="s">
        <v>132</v>
      </c>
      <c r="M20" s="13"/>
      <c r="N20" s="13"/>
      <c r="O20" s="13"/>
      <c r="P20" s="13"/>
      <c r="Q20" s="13" t="str">
        <f>IF(AND(ISNUMBER(MATCH(M20,{"F","E","D","D+","C","C+","B","B+","A","A+","S"},0)),ISNUMBER(MATCH(N20,{"F","E","D","D+","C","C+","B","B+","A","A+","S"},0)),ISNUMBER(MATCH(O20,{"F","E","D","D+","C","C+","B","B+","A","A+","S"},0)),ISNUMBER(MATCH(P20,{"F","E","D","D+","C","C+","B","B+","A","A+","S"},0))),LOOKUP(AVERAGE(_xlfn.SWITCH(M20,"F",0,"E",10,"D",20,"D+",30,"C",40,"C+",50,"B",60,"B+",70,"A",80,"A+",90,"S",100),_xlfn.SWITCH(N20,"F",0,"E",10,"D",20,"D+",30,"C",40,"C+",50,"B",60,"B+",70,"A",80,"A+",90,"S",100),_xlfn.SWITCH(O20,"F",0,"E",10,"D",20,"D+",30,"C",40,"C+",50,"B",60,"B+",70,"A",80,"A+",90,"S",100),_xlfn.SWITCH(P20,"F",0,"E",10,"D",20,"D+",30,"C",40,"C+",50,"B",60,"B+",70,"A",80,"A+",90,"S",100)),{0,15,25,35,45,55,65,75,85,95},{"D","D","D+","C","C+","B","B+","A","A+","S"}),"?")</f>
        <v>?</v>
      </c>
      <c r="R20" s="14"/>
      <c r="S20" s="14"/>
      <c r="T20" s="2"/>
    </row>
    <row r="21" spans="1:20" ht="21">
      <c r="A21" s="5" t="s">
        <v>136</v>
      </c>
      <c r="B21" s="5" t="s">
        <v>137</v>
      </c>
      <c r="C21" s="10"/>
      <c r="D21" s="10"/>
      <c r="E21" s="10"/>
      <c r="F21" s="10"/>
      <c r="G21" s="10" t="str">
        <f>IF(AND(ISNUMBER(MATCH(C21,{"F","E","D","D+","C","C+","B","B+","A","A+","S"},0)),ISNUMBER(MATCH(D21,{"F","E","D","D+","C","C+","B","B+","A","A+","S"},0)),ISNUMBER(MATCH(E21,{"F","E","D","D+","C","C+","B","B+","A","A+","S"},0)),ISNUMBER(MATCH(F21,{"F","E","D","D+","C","C+","B","B+","A","A+","S"},0))),LOOKUP(AVERAGE(_xlfn.SWITCH(C21,"F",0,"E",10,"D",20,"D+",30,"C",40,"C+",50,"B",60,"B+",70,"A",80,"A+",90,"S",100),_xlfn.SWITCH(D21,"F",0,"E",10,"D",20,"D+",30,"C",40,"C+",50,"B",60,"B+",70,"A",80,"A+",90,"S",100),_xlfn.SWITCH(E21,"F",0,"E",10,"D",20,"D+",30,"C",40,"C+",50,"B",60,"B+",70,"A",80,"A+",90,"S",100),_xlfn.SWITCH(F21,"F",0,"E",10,"D",20,"D+",30,"C",40,"C+",50,"B",60,"B+",70,"A",80,"A+",90,"S",100)),{0,15,25,35,45,55,65,75,85,95},{"D","D","D+","C","C+","B","B+","A","A+","S"}),"?")</f>
        <v>?</v>
      </c>
      <c r="I21" s="11"/>
      <c r="J21" s="2"/>
      <c r="K21" s="5" t="s">
        <v>138</v>
      </c>
      <c r="L21" s="12" t="s">
        <v>139</v>
      </c>
      <c r="M21" s="13"/>
      <c r="N21" s="13"/>
      <c r="O21" s="13"/>
      <c r="P21" s="13"/>
      <c r="Q21" s="13" t="str">
        <f>IF(AND(ISNUMBER(MATCH(M21,{"F","E","D","D+","C","C+","B","B+","A","A+","S"},0)),ISNUMBER(MATCH(N21,{"F","E","D","D+","C","C+","B","B+","A","A+","S"},0)),ISNUMBER(MATCH(O21,{"F","E","D","D+","C","C+","B","B+","A","A+","S"},0)),ISNUMBER(MATCH(P21,{"F","E","D","D+","C","C+","B","B+","A","A+","S"},0))),LOOKUP(AVERAGE(_xlfn.SWITCH(M21,"F",0,"E",10,"D",20,"D+",30,"C",40,"C+",50,"B",60,"B+",70,"A",80,"A+",90,"S",100),_xlfn.SWITCH(N21,"F",0,"E",10,"D",20,"D+",30,"C",40,"C+",50,"B",60,"B+",70,"A",80,"A+",90,"S",100),_xlfn.SWITCH(O21,"F",0,"E",10,"D",20,"D+",30,"C",40,"C+",50,"B",60,"B+",70,"A",80,"A+",90,"S",100),_xlfn.SWITCH(P21,"F",0,"E",10,"D",20,"D+",30,"C",40,"C+",50,"B",60,"B+",70,"A",80,"A+",90,"S",100)),{0,15,25,35,45,55,65,75,85,95},{"D","D","D+","C","C+","B","B+","A","A+","S"}),"?")</f>
        <v>?</v>
      </c>
      <c r="R21" s="14"/>
      <c r="S21" s="14"/>
      <c r="T21" s="2"/>
    </row>
    <row r="22" spans="1:20" ht="21">
      <c r="A22" s="5" t="s">
        <v>143</v>
      </c>
      <c r="B22" s="5" t="s">
        <v>144</v>
      </c>
      <c r="C22" s="10"/>
      <c r="D22" s="10"/>
      <c r="E22" s="10"/>
      <c r="F22" s="10"/>
      <c r="G22" s="10"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v>
      </c>
      <c r="I22" s="11"/>
      <c r="J22" s="2"/>
      <c r="K22" s="5" t="s">
        <v>145</v>
      </c>
      <c r="L22" s="12" t="s">
        <v>146</v>
      </c>
      <c r="M22" s="13"/>
      <c r="N22" s="13"/>
      <c r="O22" s="13"/>
      <c r="P22" s="13"/>
      <c r="Q22" s="13" t="s">
        <v>1567</v>
      </c>
      <c r="R22" s="14" t="s">
        <v>2154</v>
      </c>
      <c r="S22" s="14"/>
      <c r="T22" s="2"/>
    </row>
    <row r="23" spans="1:20" ht="21">
      <c r="A23" s="5" t="s">
        <v>150</v>
      </c>
      <c r="B23" s="5" t="s">
        <v>151</v>
      </c>
      <c r="C23" s="10"/>
      <c r="D23" s="10"/>
      <c r="E23" s="10"/>
      <c r="F23" s="10"/>
      <c r="G23" s="10"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v>
      </c>
      <c r="I23" s="11"/>
      <c r="J23" s="2"/>
      <c r="K23" s="5" t="s">
        <v>152</v>
      </c>
      <c r="L23" s="12" t="s">
        <v>30</v>
      </c>
      <c r="M23" s="13"/>
      <c r="N23" s="13"/>
      <c r="O23" s="13"/>
      <c r="P23" s="13"/>
      <c r="Q23" s="13" t="str">
        <f>IF(AND(ISNUMBER(MATCH(M23,{"F","E","D","D+","C","C+","B","B+","A","A+","S"},0)),ISNUMBER(MATCH(N23,{"F","E","D","D+","C","C+","B","B+","A","A+","S"},0)),ISNUMBER(MATCH(O23,{"F","E","D","D+","C","C+","B","B+","A","A+","S"},0)),ISNUMBER(MATCH(P23,{"F","E","D","D+","C","C+","B","B+","A","A+","S"},0))),LOOKUP(AVERAGE(_xlfn.SWITCH(M23,"F",0,"E",10,"D",20,"D+",30,"C",40,"C+",50,"B",60,"B+",70,"A",80,"A+",90,"S",100),_xlfn.SWITCH(N23,"F",0,"E",10,"D",20,"D+",30,"C",40,"C+",50,"B",60,"B+",70,"A",80,"A+",90,"S",100),_xlfn.SWITCH(O23,"F",0,"E",10,"D",20,"D+",30,"C",40,"C+",50,"B",60,"B+",70,"A",80,"A+",90,"S",100),_xlfn.SWITCH(P23,"F",0,"E",10,"D",20,"D+",30,"C",40,"C+",50,"B",60,"B+",70,"A",80,"A+",90,"S",100)),{0,15,25,35,45,55,65,75,85,95},{"D","D","D+","C","C+","B","B+","A","A+","S"}),"?")</f>
        <v>?</v>
      </c>
      <c r="R23" s="14"/>
      <c r="S23" s="14"/>
      <c r="T23" s="2"/>
    </row>
    <row r="24" spans="1:20" ht="21">
      <c r="A24" s="5" t="s">
        <v>156</v>
      </c>
      <c r="B24" s="5" t="s">
        <v>157</v>
      </c>
      <c r="C24" s="10"/>
      <c r="D24" s="10"/>
      <c r="E24" s="10"/>
      <c r="F24" s="10"/>
      <c r="G24" s="10" t="str">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v>
      </c>
      <c r="H24" s="7"/>
      <c r="I24" s="7"/>
      <c r="J24" s="2"/>
      <c r="K24" s="5" t="s">
        <v>158</v>
      </c>
      <c r="L24" s="12" t="s">
        <v>159</v>
      </c>
      <c r="M24" s="13"/>
      <c r="N24" s="13"/>
      <c r="O24" s="13"/>
      <c r="P24" s="13"/>
      <c r="Q24" s="13" t="str">
        <f>IF(AND(ISNUMBER(MATCH(M24,{"F","E","D","D+","C","C+","B","B+","A","A+","S"},0)),ISNUMBER(MATCH(N24,{"F","E","D","D+","C","C+","B","B+","A","A+","S"},0)),ISNUMBER(MATCH(O24,{"F","E","D","D+","C","C+","B","B+","A","A+","S"},0)),ISNUMBER(MATCH(P24,{"F","E","D","D+","C","C+","B","B+","A","A+","S"},0))),LOOKUP(AVERAGE(_xlfn.SWITCH(M24,"F",0,"E",10,"D",20,"D+",30,"C",40,"C+",50,"B",60,"B+",70,"A",80,"A+",90,"S",100),_xlfn.SWITCH(N24,"F",0,"E",10,"D",20,"D+",30,"C",40,"C+",50,"B",60,"B+",70,"A",80,"A+",90,"S",100),_xlfn.SWITCH(O24,"F",0,"E",10,"D",20,"D+",30,"C",40,"C+",50,"B",60,"B+",70,"A",80,"A+",90,"S",100),_xlfn.SWITCH(P24,"F",0,"E",10,"D",20,"D+",30,"C",40,"C+",50,"B",60,"B+",70,"A",80,"A+",90,"S",100)),{0,15,25,35,45,55,65,75,85,95},{"D","D","D+","C","C+","B","B+","A","A+","S"}),"?")</f>
        <v>?</v>
      </c>
      <c r="R24" s="14"/>
      <c r="S24" s="14"/>
      <c r="T24" s="2"/>
    </row>
    <row r="25" spans="1:20" ht="44">
      <c r="A25" s="5" t="s">
        <v>163</v>
      </c>
      <c r="B25" s="5" t="s">
        <v>164</v>
      </c>
      <c r="C25" s="10"/>
      <c r="D25" s="10"/>
      <c r="E25" s="10"/>
      <c r="F25" s="10"/>
      <c r="G25" s="10"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v>
      </c>
      <c r="H25" s="7"/>
      <c r="I25" s="7"/>
      <c r="J25" s="2"/>
      <c r="K25" s="5" t="s">
        <v>165</v>
      </c>
      <c r="L25" s="12" t="s">
        <v>166</v>
      </c>
      <c r="M25" s="13"/>
      <c r="N25" s="13"/>
      <c r="O25" s="13"/>
      <c r="P25" s="13"/>
      <c r="Q25" s="13" t="str">
        <f>IF(AND(ISNUMBER(MATCH(M25,{"F","E","D","D+","C","C+","B","B+","A","A+","S"},0)),ISNUMBER(MATCH(N25,{"F","E","D","D+","C","C+","B","B+","A","A+","S"},0)),ISNUMBER(MATCH(O25,{"F","E","D","D+","C","C+","B","B+","A","A+","S"},0)),ISNUMBER(MATCH(P25,{"F","E","D","D+","C","C+","B","B+","A","A+","S"},0))),LOOKUP(AVERAGE(_xlfn.SWITCH(M25,"F",0,"E",10,"D",20,"D+",30,"C",40,"C+",50,"B",60,"B+",70,"A",80,"A+",90,"S",100),_xlfn.SWITCH(N25,"F",0,"E",10,"D",20,"D+",30,"C",40,"C+",50,"B",60,"B+",70,"A",80,"A+",90,"S",100),_xlfn.SWITCH(O25,"F",0,"E",10,"D",20,"D+",30,"C",40,"C+",50,"B",60,"B+",70,"A",80,"A+",90,"S",100),_xlfn.SWITCH(P25,"F",0,"E",10,"D",20,"D+",30,"C",40,"C+",50,"B",60,"B+",70,"A",80,"A+",90,"S",100)),{0,15,25,35,45,55,65,75,85,95},{"D","D","D+","C","C+","B","B+","A","A+","S"}),"?")</f>
        <v>?</v>
      </c>
      <c r="R25" s="132" t="s">
        <v>2155</v>
      </c>
      <c r="S25" s="14"/>
      <c r="T25" s="2"/>
    </row>
    <row r="26" spans="1:20" ht="44">
      <c r="A26" s="5" t="s">
        <v>170</v>
      </c>
      <c r="B26" s="5" t="s">
        <v>171</v>
      </c>
      <c r="C26" s="10"/>
      <c r="D26" s="10"/>
      <c r="E26" s="10"/>
      <c r="F26" s="10"/>
      <c r="G26" s="10"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v>
      </c>
      <c r="H26" s="7"/>
      <c r="I26" s="7"/>
      <c r="J26" s="2"/>
      <c r="K26" s="5" t="s">
        <v>172</v>
      </c>
      <c r="L26" s="12" t="s">
        <v>173</v>
      </c>
      <c r="M26" s="13"/>
      <c r="N26" s="13"/>
      <c r="O26" s="13"/>
      <c r="P26" s="13"/>
      <c r="Q26" s="13" t="s">
        <v>21</v>
      </c>
      <c r="R26" s="132" t="s">
        <v>2156</v>
      </c>
      <c r="S26" s="14"/>
      <c r="T26" s="2"/>
    </row>
    <row r="27" spans="1:20" ht="21">
      <c r="A27" s="5" t="s">
        <v>177</v>
      </c>
      <c r="B27" s="5" t="s">
        <v>178</v>
      </c>
      <c r="C27" s="10"/>
      <c r="D27" s="10"/>
      <c r="E27" s="10"/>
      <c r="F27" s="10"/>
      <c r="G27" s="10"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v>
      </c>
      <c r="H27" s="7"/>
      <c r="I27" s="7"/>
      <c r="J27" s="2"/>
      <c r="K27" s="5" t="s">
        <v>179</v>
      </c>
      <c r="L27" s="12" t="s">
        <v>180</v>
      </c>
      <c r="M27" s="13"/>
      <c r="N27" s="13"/>
      <c r="O27" s="13"/>
      <c r="P27" s="13"/>
      <c r="Q27" s="13" t="str">
        <f>IF(AND(ISNUMBER(MATCH(M27,{"F","E","D","D+","C","C+","B","B+","A","A+","S"},0)),ISNUMBER(MATCH(N27,{"F","E","D","D+","C","C+","B","B+","A","A+","S"},0)),ISNUMBER(MATCH(O27,{"F","E","D","D+","C","C+","B","B+","A","A+","S"},0)),ISNUMBER(MATCH(P27,{"F","E","D","D+","C","C+","B","B+","A","A+","S"},0))),LOOKUP(AVERAGE(_xlfn.SWITCH(M27,"F",0,"E",10,"D",20,"D+",30,"C",40,"C+",50,"B",60,"B+",70,"A",80,"A+",90,"S",100),_xlfn.SWITCH(N27,"F",0,"E",10,"D",20,"D+",30,"C",40,"C+",50,"B",60,"B+",70,"A",80,"A+",90,"S",100),_xlfn.SWITCH(O27,"F",0,"E",10,"D",20,"D+",30,"C",40,"C+",50,"B",60,"B+",70,"A",80,"A+",90,"S",100),_xlfn.SWITCH(P27,"F",0,"E",10,"D",20,"D+",30,"C",40,"C+",50,"B",60,"B+",70,"A",80,"A+",90,"S",100)),{0,15,25,35,45,55,65,75,85,95},{"D","D","D+","C","C+","B","B+","A","A+","S"}),"?")</f>
        <v>?</v>
      </c>
      <c r="R27" s="14"/>
      <c r="S27" s="14"/>
      <c r="T27" s="2"/>
    </row>
    <row r="28" spans="1:20" ht="21">
      <c r="A28" s="5" t="s">
        <v>184</v>
      </c>
      <c r="B28" s="5" t="s">
        <v>185</v>
      </c>
      <c r="C28" s="10"/>
      <c r="D28" s="10"/>
      <c r="E28" s="10"/>
      <c r="F28" s="10"/>
      <c r="G28" s="10"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v>
      </c>
      <c r="H28" s="7"/>
      <c r="I28" s="7"/>
      <c r="J28" s="2"/>
      <c r="K28" s="5" t="s">
        <v>186</v>
      </c>
      <c r="L28" s="12" t="s">
        <v>187</v>
      </c>
      <c r="M28" s="13"/>
      <c r="N28" s="13"/>
      <c r="O28" s="13"/>
      <c r="P28" s="13"/>
      <c r="Q28" s="13" t="str">
        <f>IF(AND(ISNUMBER(MATCH(M28,{"F","E","D","D+","C","C+","B","B+","A","A+","S"},0)),ISNUMBER(MATCH(N28,{"F","E","D","D+","C","C+","B","B+","A","A+","S"},0)),ISNUMBER(MATCH(O28,{"F","E","D","D+","C","C+","B","B+","A","A+","S"},0)),ISNUMBER(MATCH(P28,{"F","E","D","D+","C","C+","B","B+","A","A+","S"},0))),LOOKUP(AVERAGE(_xlfn.SWITCH(M28,"F",0,"E",10,"D",20,"D+",30,"C",40,"C+",50,"B",60,"B+",70,"A",80,"A+",90,"S",100),_xlfn.SWITCH(N28,"F",0,"E",10,"D",20,"D+",30,"C",40,"C+",50,"B",60,"B+",70,"A",80,"A+",90,"S",100),_xlfn.SWITCH(O28,"F",0,"E",10,"D",20,"D+",30,"C",40,"C+",50,"B",60,"B+",70,"A",80,"A+",90,"S",100),_xlfn.SWITCH(P28,"F",0,"E",10,"D",20,"D+",30,"C",40,"C+",50,"B",60,"B+",70,"A",80,"A+",90,"S",100)),{0,15,25,35,45,55,65,75,85,95},{"D","D","D+","C","C+","B","B+","A","A+","S"}),"?")</f>
        <v>?</v>
      </c>
      <c r="R28" s="14"/>
      <c r="S28" s="14"/>
      <c r="T28" s="2"/>
    </row>
    <row r="29" spans="1:20" ht="21">
      <c r="A29" s="5" t="s">
        <v>191</v>
      </c>
      <c r="B29" s="5" t="s">
        <v>192</v>
      </c>
      <c r="C29" s="10"/>
      <c r="D29" s="10"/>
      <c r="E29" s="10"/>
      <c r="F29" s="10"/>
      <c r="G29" s="10" t="str">
        <f>IF(AND(ISNUMBER(MATCH(C29,{"F","E","D","D+","C","C+","B","B+","A","A+","S"},0)),ISNUMBER(MATCH(D29,{"F","E","D","D+","C","C+","B","B+","A","A+","S"},0)),ISNUMBER(MATCH(E29,{"F","E","D","D+","C","C+","B","B+","A","A+","S"},0)),ISNUMBER(MATCH(F29,{"F","E","D","D+","C","C+","B","B+","A","A+","S"},0))),LOOKUP(AVERAGE(_xlfn.SWITCH(C29,"F",0,"E",10,"D",20,"D+",30,"C",40,"C+",50,"B",60,"B+",70,"A",80,"A+",90,"S",100),_xlfn.SWITCH(D29,"F",0,"E",10,"D",20,"D+",30,"C",40,"C+",50,"B",60,"B+",70,"A",80,"A+",90,"S",100),_xlfn.SWITCH(E29,"F",0,"E",10,"D",20,"D+",30,"C",40,"C+",50,"B",60,"B+",70,"A",80,"A+",90,"S",100),_xlfn.SWITCH(F29,"F",0,"E",10,"D",20,"D+",30,"C",40,"C+",50,"B",60,"B+",70,"A",80,"A+",90,"S",100)),{0,15,25,35,45,55,65,75,85,95},{"D","D","D+","C","C+","B","B+","A","A+","S"}),"?")</f>
        <v>?</v>
      </c>
      <c r="H29" s="7"/>
      <c r="I29" s="7"/>
      <c r="J29" s="2"/>
      <c r="K29" s="5" t="s">
        <v>193</v>
      </c>
      <c r="L29" s="12" t="s">
        <v>194</v>
      </c>
      <c r="M29" s="13"/>
      <c r="N29" s="13"/>
      <c r="O29" s="13"/>
      <c r="P29" s="13"/>
      <c r="Q29" s="13" t="str">
        <f>IF(AND(ISNUMBER(MATCH(M29,{"F","E","D","D+","C","C+","B","B+","A","A+","S"},0)),ISNUMBER(MATCH(N29,{"F","E","D","D+","C","C+","B","B+","A","A+","S"},0)),ISNUMBER(MATCH(O29,{"F","E","D","D+","C","C+","B","B+","A","A+","S"},0)),ISNUMBER(MATCH(P29,{"F","E","D","D+","C","C+","B","B+","A","A+","S"},0))),LOOKUP(AVERAGE(_xlfn.SWITCH(M29,"F",0,"E",10,"D",20,"D+",30,"C",40,"C+",50,"B",60,"B+",70,"A",80,"A+",90,"S",100),_xlfn.SWITCH(N29,"F",0,"E",10,"D",20,"D+",30,"C",40,"C+",50,"B",60,"B+",70,"A",80,"A+",90,"S",100),_xlfn.SWITCH(O29,"F",0,"E",10,"D",20,"D+",30,"C",40,"C+",50,"B",60,"B+",70,"A",80,"A+",90,"S",100),_xlfn.SWITCH(P29,"F",0,"E",10,"D",20,"D+",30,"C",40,"C+",50,"B",60,"B+",70,"A",80,"A+",90,"S",100)),{0,15,25,35,45,55,65,75,85,95},{"D","D","D+","C","C+","B","B+","A","A+","S"}),"?")</f>
        <v>?</v>
      </c>
      <c r="R29" s="14" t="s">
        <v>2157</v>
      </c>
      <c r="S29" s="14"/>
      <c r="T29" s="2"/>
    </row>
    <row r="30" spans="1:20" ht="21">
      <c r="A30" s="5" t="s">
        <v>198</v>
      </c>
      <c r="B30" s="5" t="s">
        <v>199</v>
      </c>
      <c r="C30" s="10"/>
      <c r="D30" s="10"/>
      <c r="E30" s="10"/>
      <c r="F30" s="10"/>
      <c r="G30" s="10"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v>
      </c>
      <c r="H30" s="7"/>
      <c r="I30" s="7"/>
      <c r="J30" s="2"/>
      <c r="K30" s="5" t="s">
        <v>200</v>
      </c>
      <c r="L30" s="12" t="s">
        <v>201</v>
      </c>
      <c r="M30" s="13"/>
      <c r="N30" s="13"/>
      <c r="O30" s="13"/>
      <c r="P30" s="13"/>
      <c r="Q30" s="13" t="str">
        <f>IF(AND(ISNUMBER(MATCH(M30,{"F","E","D","D+","C","C+","B","B+","A","A+","S"},0)),ISNUMBER(MATCH(N30,{"F","E","D","D+","C","C+","B","B+","A","A+","S"},0)),ISNUMBER(MATCH(O30,{"F","E","D","D+","C","C+","B","B+","A","A+","S"},0)),ISNUMBER(MATCH(P30,{"F","E","D","D+","C","C+","B","B+","A","A+","S"},0))),LOOKUP(AVERAGE(_xlfn.SWITCH(M30,"F",0,"E",10,"D",20,"D+",30,"C",40,"C+",50,"B",60,"B+",70,"A",80,"A+",90,"S",100),_xlfn.SWITCH(N30,"F",0,"E",10,"D",20,"D+",30,"C",40,"C+",50,"B",60,"B+",70,"A",80,"A+",90,"S",100),_xlfn.SWITCH(O30,"F",0,"E",10,"D",20,"D+",30,"C",40,"C+",50,"B",60,"B+",70,"A",80,"A+",90,"S",100),_xlfn.SWITCH(P30,"F",0,"E",10,"D",20,"D+",30,"C",40,"C+",50,"B",60,"B+",70,"A",80,"A+",90,"S",100)),{0,15,25,35,45,55,65,75,85,95},{"D","D","D+","C","C+","B","B+","A","A+","S"}),"?")</f>
        <v>?</v>
      </c>
      <c r="R30" s="14"/>
      <c r="S30" s="14"/>
      <c r="T30" s="2"/>
    </row>
    <row r="31" spans="1:20" ht="21">
      <c r="A31" s="5" t="s">
        <v>205</v>
      </c>
      <c r="B31" s="5" t="s">
        <v>206</v>
      </c>
      <c r="C31" s="10"/>
      <c r="D31" s="10"/>
      <c r="E31" s="10"/>
      <c r="F31" s="10"/>
      <c r="G31" s="10"/>
      <c r="H31" s="7"/>
      <c r="I31" s="7"/>
      <c r="J31" s="2"/>
      <c r="K31" s="5" t="s">
        <v>207</v>
      </c>
      <c r="L31" s="12" t="s">
        <v>208</v>
      </c>
      <c r="M31" s="13"/>
      <c r="N31" s="13"/>
      <c r="O31" s="13"/>
      <c r="P31" s="13"/>
      <c r="Q31" s="13" t="str">
        <f>IF(AND(ISNUMBER(MATCH(M31,{"F","E","D","D+","C","C+","B","B+","A","A+","S"},0)),ISNUMBER(MATCH(N31,{"F","E","D","D+","C","C+","B","B+","A","A+","S"},0)),ISNUMBER(MATCH(O31,{"F","E","D","D+","C","C+","B","B+","A","A+","S"},0)),ISNUMBER(MATCH(P31,{"F","E","D","D+","C","C+","B","B+","A","A+","S"},0))),LOOKUP(AVERAGE(_xlfn.SWITCH(M31,"F",0,"E",10,"D",20,"D+",30,"C",40,"C+",50,"B",60,"B+",70,"A",80,"A+",90,"S",100),_xlfn.SWITCH(N31,"F",0,"E",10,"D",20,"D+",30,"C",40,"C+",50,"B",60,"B+",70,"A",80,"A+",90,"S",100),_xlfn.SWITCH(O31,"F",0,"E",10,"D",20,"D+",30,"C",40,"C+",50,"B",60,"B+",70,"A",80,"A+",90,"S",100),_xlfn.SWITCH(P31,"F",0,"E",10,"D",20,"D+",30,"C",40,"C+",50,"B",60,"B+",70,"A",80,"A+",90,"S",100)),{0,15,25,35,45,55,65,75,85,95},{"D","D","D+","C","C+","B","B+","A","A+","S"}),"?")</f>
        <v>?</v>
      </c>
      <c r="R31" s="14"/>
      <c r="S31" s="14"/>
      <c r="T31" s="2"/>
    </row>
    <row r="32" spans="1:20" ht="21">
      <c r="A32" s="5" t="s">
        <v>212</v>
      </c>
      <c r="B32" s="5" t="s">
        <v>213</v>
      </c>
      <c r="C32" s="10"/>
      <c r="D32" s="10"/>
      <c r="E32" s="10"/>
      <c r="F32" s="10"/>
      <c r="G32" s="10"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v>
      </c>
      <c r="H32" s="7"/>
      <c r="I32" s="7"/>
      <c r="J32" s="2"/>
      <c r="K32" s="5" t="s">
        <v>214</v>
      </c>
      <c r="L32" s="12" t="s">
        <v>215</v>
      </c>
      <c r="M32" s="13"/>
      <c r="N32" s="13"/>
      <c r="O32" s="13"/>
      <c r="P32" s="13"/>
      <c r="Q32" s="13" t="str">
        <f>IF(AND(ISNUMBER(MATCH(M32,{"F","E","D","D+","C","C+","B","B+","A","A+","S"},0)),ISNUMBER(MATCH(N32,{"F","E","D","D+","C","C+","B","B+","A","A+","S"},0)),ISNUMBER(MATCH(O32,{"F","E","D","D+","C","C+","B","B+","A","A+","S"},0)),ISNUMBER(MATCH(P32,{"F","E","D","D+","C","C+","B","B+","A","A+","S"},0))),LOOKUP(AVERAGE(_xlfn.SWITCH(M32,"F",0,"E",10,"D",20,"D+",30,"C",40,"C+",50,"B",60,"B+",70,"A",80,"A+",90,"S",100),_xlfn.SWITCH(N32,"F",0,"E",10,"D",20,"D+",30,"C",40,"C+",50,"B",60,"B+",70,"A",80,"A+",90,"S",100),_xlfn.SWITCH(O32,"F",0,"E",10,"D",20,"D+",30,"C",40,"C+",50,"B",60,"B+",70,"A",80,"A+",90,"S",100),_xlfn.SWITCH(P32,"F",0,"E",10,"D",20,"D+",30,"C",40,"C+",50,"B",60,"B+",70,"A",80,"A+",90,"S",100)),{0,15,25,35,45,55,65,75,85,95},{"D","D","D+","C","C+","B","B+","A","A+","S"}),"?")</f>
        <v>?</v>
      </c>
      <c r="R32" s="14"/>
      <c r="S32" s="14"/>
      <c r="T32" s="2"/>
    </row>
    <row r="33" spans="1:20" ht="21">
      <c r="A33" s="5" t="s">
        <v>218</v>
      </c>
      <c r="B33" s="5" t="s">
        <v>219</v>
      </c>
      <c r="C33" s="10"/>
      <c r="D33" s="10"/>
      <c r="E33" s="10"/>
      <c r="F33" s="10"/>
      <c r="G33" s="10"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v>
      </c>
      <c r="H33" s="7"/>
      <c r="I33" s="7"/>
      <c r="J33" s="2"/>
      <c r="K33" s="5" t="s">
        <v>220</v>
      </c>
      <c r="L33" s="12" t="s">
        <v>221</v>
      </c>
      <c r="M33" s="13"/>
      <c r="N33" s="13"/>
      <c r="O33" s="13"/>
      <c r="P33" s="13"/>
      <c r="Q33" s="13" t="str">
        <f>IF(AND(ISNUMBER(MATCH(M33,{"F","E","D","D+","C","C+","B","B+","A","A+","S"},0)),ISNUMBER(MATCH(N33,{"F","E","D","D+","C","C+","B","B+","A","A+","S"},0)),ISNUMBER(MATCH(O33,{"F","E","D","D+","C","C+","B","B+","A","A+","S"},0)),ISNUMBER(MATCH(P33,{"F","E","D","D+","C","C+","B","B+","A","A+","S"},0))),LOOKUP(AVERAGE(_xlfn.SWITCH(M33,"F",0,"E",10,"D",20,"D+",30,"C",40,"C+",50,"B",60,"B+",70,"A",80,"A+",90,"S",100),_xlfn.SWITCH(N33,"F",0,"E",10,"D",20,"D+",30,"C",40,"C+",50,"B",60,"B+",70,"A",80,"A+",90,"S",100),_xlfn.SWITCH(O33,"F",0,"E",10,"D",20,"D+",30,"C",40,"C+",50,"B",60,"B+",70,"A",80,"A+",90,"S",100),_xlfn.SWITCH(P33,"F",0,"E",10,"D",20,"D+",30,"C",40,"C+",50,"B",60,"B+",70,"A",80,"A+",90,"S",100)),{0,15,25,35,45,55,65,75,85,95},{"D","D","D+","C","C+","B","B+","A","A+","S"}),"?")</f>
        <v>?</v>
      </c>
      <c r="R33" s="14"/>
      <c r="S33" s="14"/>
      <c r="T33" s="2"/>
    </row>
    <row r="34" spans="1:20" ht="21">
      <c r="A34" s="5" t="s">
        <v>225</v>
      </c>
      <c r="B34" s="5" t="s">
        <v>226</v>
      </c>
      <c r="C34" s="10"/>
      <c r="D34" s="10"/>
      <c r="E34" s="10"/>
      <c r="F34" s="10"/>
      <c r="G34" s="10"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v>
      </c>
      <c r="H34" s="7"/>
      <c r="I34" s="7"/>
      <c r="J34" s="2"/>
      <c r="K34" s="5" t="s">
        <v>227</v>
      </c>
      <c r="L34" s="12" t="s">
        <v>228</v>
      </c>
      <c r="M34" s="13"/>
      <c r="N34" s="13"/>
      <c r="O34" s="13"/>
      <c r="P34" s="13"/>
      <c r="Q34" s="13" t="str">
        <f>IF(AND(ISNUMBER(MATCH(M34,{"F","E","D","D+","C","C+","B","B+","A","A+","S"},0)),ISNUMBER(MATCH(N34,{"F","E","D","D+","C","C+","B","B+","A","A+","S"},0)),ISNUMBER(MATCH(O34,{"F","E","D","D+","C","C+","B","B+","A","A+","S"},0)),ISNUMBER(MATCH(P34,{"F","E","D","D+","C","C+","B","B+","A","A+","S"},0))),LOOKUP(AVERAGE(_xlfn.SWITCH(M34,"F",0,"E",10,"D",20,"D+",30,"C",40,"C+",50,"B",60,"B+",70,"A",80,"A+",90,"S",100),_xlfn.SWITCH(N34,"F",0,"E",10,"D",20,"D+",30,"C",40,"C+",50,"B",60,"B+",70,"A",80,"A+",90,"S",100),_xlfn.SWITCH(O34,"F",0,"E",10,"D",20,"D+",30,"C",40,"C+",50,"B",60,"B+",70,"A",80,"A+",90,"S",100),_xlfn.SWITCH(P34,"F",0,"E",10,"D",20,"D+",30,"C",40,"C+",50,"B",60,"B+",70,"A",80,"A+",90,"S",100)),{0,15,25,35,45,55,65,75,85,95},{"D","D","D+","C","C+","B","B+","A","A+","S"}),"?")</f>
        <v>?</v>
      </c>
      <c r="R34" s="14"/>
      <c r="S34" s="14"/>
      <c r="T34" s="2"/>
    </row>
    <row r="35" spans="1:20" ht="21">
      <c r="A35" s="5" t="s">
        <v>232</v>
      </c>
      <c r="B35" s="5" t="s">
        <v>233</v>
      </c>
      <c r="C35" s="10"/>
      <c r="D35" s="10"/>
      <c r="E35" s="10"/>
      <c r="F35" s="10"/>
      <c r="G35" s="10"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v>
      </c>
      <c r="H35" s="7"/>
      <c r="I35" s="7"/>
      <c r="J35" s="2"/>
      <c r="K35" s="5" t="s">
        <v>234</v>
      </c>
      <c r="L35" s="12" t="s">
        <v>68</v>
      </c>
      <c r="M35" s="13"/>
      <c r="N35" s="13"/>
      <c r="O35" s="13"/>
      <c r="P35" s="13"/>
      <c r="Q35" s="13" t="str">
        <f>IF(AND(ISNUMBER(MATCH(M35,{"F","E","D","D+","C","C+","B","B+","A","A+","S"},0)),ISNUMBER(MATCH(N35,{"F","E","D","D+","C","C+","B","B+","A","A+","S"},0)),ISNUMBER(MATCH(O35,{"F","E","D","D+","C","C+","B","B+","A","A+","S"},0)),ISNUMBER(MATCH(P35,{"F","E","D","D+","C","C+","B","B+","A","A+","S"},0))),LOOKUP(AVERAGE(_xlfn.SWITCH(M35,"F",0,"E",10,"D",20,"D+",30,"C",40,"C+",50,"B",60,"B+",70,"A",80,"A+",90,"S",100),_xlfn.SWITCH(N35,"F",0,"E",10,"D",20,"D+",30,"C",40,"C+",50,"B",60,"B+",70,"A",80,"A+",90,"S",100),_xlfn.SWITCH(O35,"F",0,"E",10,"D",20,"D+",30,"C",40,"C+",50,"B",60,"B+",70,"A",80,"A+",90,"S",100),_xlfn.SWITCH(P35,"F",0,"E",10,"D",20,"D+",30,"C",40,"C+",50,"B",60,"B+",70,"A",80,"A+",90,"S",100)),{0,15,25,35,45,55,65,75,85,95},{"D","D","D+","C","C+","B","B+","A","A+","S"}),"?")</f>
        <v>?</v>
      </c>
      <c r="R35" s="14"/>
      <c r="S35" s="14"/>
      <c r="T35" s="2"/>
    </row>
    <row r="36" spans="1:20" ht="21">
      <c r="A36" s="5" t="s">
        <v>238</v>
      </c>
      <c r="B36" s="5" t="s">
        <v>239</v>
      </c>
      <c r="C36" s="10"/>
      <c r="D36" s="10"/>
      <c r="E36" s="10"/>
      <c r="F36" s="10"/>
      <c r="G36" s="10"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v>
      </c>
      <c r="H36" s="7"/>
      <c r="I36" s="7"/>
      <c r="J36" s="2"/>
      <c r="K36" s="5" t="s">
        <v>240</v>
      </c>
      <c r="L36" s="12" t="s">
        <v>241</v>
      </c>
      <c r="M36" s="13"/>
      <c r="N36" s="13"/>
      <c r="O36" s="13"/>
      <c r="P36" s="13"/>
      <c r="Q36" s="13" t="str">
        <f>IF(AND(ISNUMBER(MATCH(M36,{"F","E","D","D+","C","C+","B","B+","A","A+","S"},0)),ISNUMBER(MATCH(N36,{"F","E","D","D+","C","C+","B","B+","A","A+","S"},0)),ISNUMBER(MATCH(O36,{"F","E","D","D+","C","C+","B","B+","A","A+","S"},0)),ISNUMBER(MATCH(P36,{"F","E","D","D+","C","C+","B","B+","A","A+","S"},0))),LOOKUP(AVERAGE(_xlfn.SWITCH(M36,"F",0,"E",10,"D",20,"D+",30,"C",40,"C+",50,"B",60,"B+",70,"A",80,"A+",90,"S",100),_xlfn.SWITCH(N36,"F",0,"E",10,"D",20,"D+",30,"C",40,"C+",50,"B",60,"B+",70,"A",80,"A+",90,"S",100),_xlfn.SWITCH(O36,"F",0,"E",10,"D",20,"D+",30,"C",40,"C+",50,"B",60,"B+",70,"A",80,"A+",90,"S",100),_xlfn.SWITCH(P36,"F",0,"E",10,"D",20,"D+",30,"C",40,"C+",50,"B",60,"B+",70,"A",80,"A+",90,"S",100)),{0,15,25,35,45,55,65,75,85,95},{"D","D","D+","C","C+","B","B+","A","A+","S"}),"?")</f>
        <v>?</v>
      </c>
      <c r="R36" s="14"/>
      <c r="S36" s="14"/>
      <c r="T36" s="2"/>
    </row>
    <row r="37" spans="1:20" ht="66">
      <c r="A37" s="5" t="s">
        <v>243</v>
      </c>
      <c r="B37" s="5" t="s">
        <v>244</v>
      </c>
      <c r="C37" s="10"/>
      <c r="D37" s="10"/>
      <c r="E37" s="10"/>
      <c r="F37" s="10"/>
      <c r="G37" s="10"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v>
      </c>
      <c r="H37" s="7"/>
      <c r="I37" s="7"/>
      <c r="J37" s="2"/>
      <c r="K37" s="5" t="s">
        <v>245</v>
      </c>
      <c r="L37" s="12" t="s">
        <v>246</v>
      </c>
      <c r="M37" s="13"/>
      <c r="N37" s="13"/>
      <c r="O37" s="13"/>
      <c r="P37" s="13"/>
      <c r="Q37" s="13" t="str">
        <f>IF(AND(ISNUMBER(MATCH(M37,{"F","E","D","D+","C","C+","B","B+","A","A+","S"},0)),ISNUMBER(MATCH(N37,{"F","E","D","D+","C","C+","B","B+","A","A+","S"},0)),ISNUMBER(MATCH(O37,{"F","E","D","D+","C","C+","B","B+","A","A+","S"},0)),ISNUMBER(MATCH(P37,{"F","E","D","D+","C","C+","B","B+","A","A+","S"},0))),LOOKUP(AVERAGE(_xlfn.SWITCH(M37,"F",0,"E",10,"D",20,"D+",30,"C",40,"C+",50,"B",60,"B+",70,"A",80,"A+",90,"S",100),_xlfn.SWITCH(N37,"F",0,"E",10,"D",20,"D+",30,"C",40,"C+",50,"B",60,"B+",70,"A",80,"A+",90,"S",100),_xlfn.SWITCH(O37,"F",0,"E",10,"D",20,"D+",30,"C",40,"C+",50,"B",60,"B+",70,"A",80,"A+",90,"S",100),_xlfn.SWITCH(P37,"F",0,"E",10,"D",20,"D+",30,"C",40,"C+",50,"B",60,"B+",70,"A",80,"A+",90,"S",100)),{0,15,25,35,45,55,65,75,85,95},{"D","D","D+","C","C+","B","B+","A","A+","S"}),"?")</f>
        <v>?</v>
      </c>
      <c r="R37" s="132" t="s">
        <v>2158</v>
      </c>
      <c r="S37" s="14"/>
      <c r="T37" s="2"/>
    </row>
    <row r="38" spans="1:20" ht="44">
      <c r="A38" s="5" t="s">
        <v>250</v>
      </c>
      <c r="B38" s="5" t="s">
        <v>80</v>
      </c>
      <c r="C38" s="10"/>
      <c r="D38" s="10"/>
      <c r="E38" s="10"/>
      <c r="F38" s="10"/>
      <c r="G38" s="10"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v>
      </c>
      <c r="H38" s="7"/>
      <c r="I38" s="7"/>
      <c r="J38" s="2"/>
      <c r="K38" s="5" t="s">
        <v>251</v>
      </c>
      <c r="L38" s="12" t="s">
        <v>252</v>
      </c>
      <c r="M38" s="13"/>
      <c r="N38" s="13"/>
      <c r="O38" s="13"/>
      <c r="P38" s="13"/>
      <c r="Q38" s="13" t="s">
        <v>1567</v>
      </c>
      <c r="R38" s="132" t="s">
        <v>2159</v>
      </c>
      <c r="S38" s="14"/>
      <c r="T38" s="2"/>
    </row>
    <row r="39" spans="1:20" ht="21">
      <c r="A39" s="5" t="s">
        <v>256</v>
      </c>
      <c r="B39" s="5" t="s">
        <v>257</v>
      </c>
      <c r="C39" s="10"/>
      <c r="D39" s="10"/>
      <c r="E39" s="10"/>
      <c r="F39" s="10"/>
      <c r="G39" s="10"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v>
      </c>
      <c r="H39" s="7"/>
      <c r="I39" s="7"/>
      <c r="J39" s="2"/>
      <c r="K39" s="5" t="s">
        <v>258</v>
      </c>
      <c r="L39" s="12" t="s">
        <v>259</v>
      </c>
      <c r="M39" s="13"/>
      <c r="N39" s="13"/>
      <c r="O39" s="13"/>
      <c r="P39" s="13"/>
      <c r="Q39" s="13" t="str">
        <f>IF(AND(ISNUMBER(MATCH(M39,{"F","E","D","D+","C","C+","B","B+","A","A+","S"},0)),ISNUMBER(MATCH(N39,{"F","E","D","D+","C","C+","B","B+","A","A+","S"},0)),ISNUMBER(MATCH(O39,{"F","E","D","D+","C","C+","B","B+","A","A+","S"},0)),ISNUMBER(MATCH(P39,{"F","E","D","D+","C","C+","B","B+","A","A+","S"},0))),LOOKUP(AVERAGE(_xlfn.SWITCH(M39,"F",0,"E",10,"D",20,"D+",30,"C",40,"C+",50,"B",60,"B+",70,"A",80,"A+",90,"S",100),_xlfn.SWITCH(N39,"F",0,"E",10,"D",20,"D+",30,"C",40,"C+",50,"B",60,"B+",70,"A",80,"A+",90,"S",100),_xlfn.SWITCH(O39,"F",0,"E",10,"D",20,"D+",30,"C",40,"C+",50,"B",60,"B+",70,"A",80,"A+",90,"S",100),_xlfn.SWITCH(P39,"F",0,"E",10,"D",20,"D+",30,"C",40,"C+",50,"B",60,"B+",70,"A",80,"A+",90,"S",100)),{0,15,25,35,45,55,65,75,85,95},{"D","D","D+","C","C+","B","B+","A","A+","S"}),"?")</f>
        <v>?</v>
      </c>
      <c r="R39" s="14"/>
      <c r="S39" s="14"/>
      <c r="T39" s="2"/>
    </row>
    <row r="40" spans="1:20" ht="21">
      <c r="A40" s="5" t="s">
        <v>263</v>
      </c>
      <c r="B40" s="5" t="s">
        <v>264</v>
      </c>
      <c r="C40" s="10"/>
      <c r="D40" s="10"/>
      <c r="E40" s="10"/>
      <c r="F40" s="10"/>
      <c r="G40" s="10"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v>
      </c>
      <c r="H40" s="7"/>
      <c r="I40" s="7"/>
      <c r="J40" s="2"/>
      <c r="K40" s="5" t="s">
        <v>265</v>
      </c>
      <c r="L40" s="12" t="s">
        <v>266</v>
      </c>
      <c r="M40" s="13"/>
      <c r="N40" s="13"/>
      <c r="O40" s="13"/>
      <c r="P40" s="13"/>
      <c r="Q40" s="13" t="str">
        <f>IF(AND(ISNUMBER(MATCH(M40,{"F","E","D","D+","C","C+","B","B+","A","A+","S"},0)),ISNUMBER(MATCH(N40,{"F","E","D","D+","C","C+","B","B+","A","A+","S"},0)),ISNUMBER(MATCH(O40,{"F","E","D","D+","C","C+","B","B+","A","A+","S"},0)),ISNUMBER(MATCH(P40,{"F","E","D","D+","C","C+","B","B+","A","A+","S"},0))),LOOKUP(AVERAGE(_xlfn.SWITCH(M40,"F",0,"E",10,"D",20,"D+",30,"C",40,"C+",50,"B",60,"B+",70,"A",80,"A+",90,"S",100),_xlfn.SWITCH(N40,"F",0,"E",10,"D",20,"D+",30,"C",40,"C+",50,"B",60,"B+",70,"A",80,"A+",90,"S",100),_xlfn.SWITCH(O40,"F",0,"E",10,"D",20,"D+",30,"C",40,"C+",50,"B",60,"B+",70,"A",80,"A+",90,"S",100),_xlfn.SWITCH(P40,"F",0,"E",10,"D",20,"D+",30,"C",40,"C+",50,"B",60,"B+",70,"A",80,"A+",90,"S",100)),{0,15,25,35,45,55,65,75,85,95},{"D","D","D+","C","C+","B","B+","A","A+","S"}),"?")</f>
        <v>?</v>
      </c>
      <c r="R40" s="14"/>
      <c r="S40" s="14"/>
      <c r="T40" s="2"/>
    </row>
    <row r="41" spans="1:20" ht="21">
      <c r="A41" s="5" t="s">
        <v>269</v>
      </c>
      <c r="B41" s="8" t="s">
        <v>270</v>
      </c>
      <c r="C41" s="10"/>
      <c r="D41" s="10"/>
      <c r="E41" s="10"/>
      <c r="F41" s="10"/>
      <c r="G41" s="10"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v>
      </c>
      <c r="H41" s="7"/>
      <c r="I41" s="7"/>
      <c r="J41" s="2"/>
      <c r="K41" s="5" t="s">
        <v>271</v>
      </c>
      <c r="L41" s="12" t="s">
        <v>272</v>
      </c>
      <c r="M41" s="13"/>
      <c r="N41" s="13"/>
      <c r="O41" s="13"/>
      <c r="P41" s="13"/>
      <c r="Q41" s="13" t="str">
        <f>IF(AND(ISNUMBER(MATCH(M41,{"F","E","D","D+","C","C+","B","B+","A","A+","S"},0)),ISNUMBER(MATCH(N41,{"F","E","D","D+","C","C+","B","B+","A","A+","S"},0)),ISNUMBER(MATCH(O41,{"F","E","D","D+","C","C+","B","B+","A","A+","S"},0)),ISNUMBER(MATCH(P41,{"F","E","D","D+","C","C+","B","B+","A","A+","S"},0))),LOOKUP(AVERAGE(_xlfn.SWITCH(M41,"F",0,"E",10,"D",20,"D+",30,"C",40,"C+",50,"B",60,"B+",70,"A",80,"A+",90,"S",100),_xlfn.SWITCH(N41,"F",0,"E",10,"D",20,"D+",30,"C",40,"C+",50,"B",60,"B+",70,"A",80,"A+",90,"S",100),_xlfn.SWITCH(O41,"F",0,"E",10,"D",20,"D+",30,"C",40,"C+",50,"B",60,"B+",70,"A",80,"A+",90,"S",100),_xlfn.SWITCH(P41,"F",0,"E",10,"D",20,"D+",30,"C",40,"C+",50,"B",60,"B+",70,"A",80,"A+",90,"S",100)),{0,15,25,35,45,55,65,75,85,95},{"D","D","D+","C","C+","B","B+","A","A+","S"}),"?")</f>
        <v>?</v>
      </c>
      <c r="R41" s="14"/>
      <c r="S41" s="14"/>
      <c r="T41" s="2"/>
    </row>
    <row r="42" spans="1:20" ht="21">
      <c r="A42" s="5" t="s">
        <v>274</v>
      </c>
      <c r="B42" s="5" t="s">
        <v>275</v>
      </c>
      <c r="C42" s="10"/>
      <c r="D42" s="10"/>
      <c r="E42" s="10"/>
      <c r="F42" s="10"/>
      <c r="G42" s="10"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v>
      </c>
      <c r="H42" s="7"/>
      <c r="I42" s="7"/>
      <c r="J42" s="2"/>
      <c r="K42" s="5" t="s">
        <v>121</v>
      </c>
      <c r="L42" s="12" t="s">
        <v>122</v>
      </c>
      <c r="M42" s="13"/>
      <c r="N42" s="13"/>
      <c r="O42" s="13"/>
      <c r="P42" s="13"/>
      <c r="Q42" s="13" t="str">
        <f>IF(AND(ISNUMBER(MATCH(M42,{"F","E","D","D+","C","C+","B","B+","A","A+","S"},0)),ISNUMBER(MATCH(N42,{"F","E","D","D+","C","C+","B","B+","A","A+","S"},0)),ISNUMBER(MATCH(O42,{"F","E","D","D+","C","C+","B","B+","A","A+","S"},0)),ISNUMBER(MATCH(P42,{"F","E","D","D+","C","C+","B","B+","A","A+","S"},0))),LOOKUP(AVERAGE(_xlfn.SWITCH(M42,"F",0,"E",10,"D",20,"D+",30,"C",40,"C+",50,"B",60,"B+",70,"A",80,"A+",90,"S",100),_xlfn.SWITCH(N42,"F",0,"E",10,"D",20,"D+",30,"C",40,"C+",50,"B",60,"B+",70,"A",80,"A+",90,"S",100),_xlfn.SWITCH(O42,"F",0,"E",10,"D",20,"D+",30,"C",40,"C+",50,"B",60,"B+",70,"A",80,"A+",90,"S",100),_xlfn.SWITCH(P42,"F",0,"E",10,"D",20,"D+",30,"C",40,"C+",50,"B",60,"B+",70,"A",80,"A+",90,"S",100)),{0,15,25,35,45,55,65,75,85,95},{"D","D","D+","C","C+","B","B+","A","A+","S"}),"?")</f>
        <v>?</v>
      </c>
      <c r="R42" s="14"/>
      <c r="S42" s="14"/>
      <c r="T42" s="2"/>
    </row>
    <row r="43" spans="1:20" ht="21">
      <c r="A43" s="5" t="s">
        <v>279</v>
      </c>
      <c r="B43" s="5" t="s">
        <v>280</v>
      </c>
      <c r="C43" s="10"/>
      <c r="D43" s="10"/>
      <c r="E43" s="10"/>
      <c r="F43" s="10"/>
      <c r="G43" s="10"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v>
      </c>
      <c r="H43" s="7"/>
      <c r="I43" s="7"/>
      <c r="J43" s="2"/>
      <c r="K43" s="5" t="s">
        <v>281</v>
      </c>
      <c r="L43" s="12" t="s">
        <v>282</v>
      </c>
      <c r="M43" s="13"/>
      <c r="N43" s="13"/>
      <c r="O43" s="13"/>
      <c r="P43" s="13"/>
      <c r="Q43" s="13" t="str">
        <f>IF(AND(ISNUMBER(MATCH(M43,{"F","E","D","D+","C","C+","B","B+","A","A+","S"},0)),ISNUMBER(MATCH(N43,{"F","E","D","D+","C","C+","B","B+","A","A+","S"},0)),ISNUMBER(MATCH(O43,{"F","E","D","D+","C","C+","B","B+","A","A+","S"},0)),ISNUMBER(MATCH(P43,{"F","E","D","D+","C","C+","B","B+","A","A+","S"},0))),LOOKUP(AVERAGE(_xlfn.SWITCH(M43,"F",0,"E",10,"D",20,"D+",30,"C",40,"C+",50,"B",60,"B+",70,"A",80,"A+",90,"S",100),_xlfn.SWITCH(N43,"F",0,"E",10,"D",20,"D+",30,"C",40,"C+",50,"B",60,"B+",70,"A",80,"A+",90,"S",100),_xlfn.SWITCH(O43,"F",0,"E",10,"D",20,"D+",30,"C",40,"C+",50,"B",60,"B+",70,"A",80,"A+",90,"S",100),_xlfn.SWITCH(P43,"F",0,"E",10,"D",20,"D+",30,"C",40,"C+",50,"B",60,"B+",70,"A",80,"A+",90,"S",100)),{0,15,25,35,45,55,65,75,85,95},{"D","D","D+","C","C+","B","B+","A","A+","S"}),"?")</f>
        <v>?</v>
      </c>
      <c r="R43" s="14"/>
      <c r="S43" s="14"/>
      <c r="T43" s="2"/>
    </row>
    <row r="44" spans="1:20" ht="44">
      <c r="A44" s="5" t="s">
        <v>286</v>
      </c>
      <c r="B44" s="5" t="s">
        <v>54</v>
      </c>
      <c r="C44" s="10"/>
      <c r="D44" s="10"/>
      <c r="E44" s="10"/>
      <c r="F44" s="10"/>
      <c r="G44" s="10"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v>
      </c>
      <c r="H44" s="7"/>
      <c r="I44" s="7"/>
      <c r="J44" s="2"/>
      <c r="K44" s="5" t="s">
        <v>287</v>
      </c>
      <c r="L44" s="12" t="s">
        <v>288</v>
      </c>
      <c r="M44" s="13"/>
      <c r="N44" s="13"/>
      <c r="O44" s="13"/>
      <c r="P44" s="13"/>
      <c r="Q44" s="13" t="s">
        <v>1661</v>
      </c>
      <c r="R44" s="132" t="s">
        <v>2160</v>
      </c>
      <c r="S44" s="14"/>
      <c r="T44" s="2"/>
    </row>
    <row r="45" spans="1:20" ht="21">
      <c r="A45" s="5" t="s">
        <v>292</v>
      </c>
      <c r="B45" s="5" t="s">
        <v>293</v>
      </c>
      <c r="C45" s="10"/>
      <c r="D45" s="10"/>
      <c r="E45" s="10"/>
      <c r="F45" s="10"/>
      <c r="G45" s="10"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v>
      </c>
      <c r="H45" s="7"/>
      <c r="I45" s="7"/>
      <c r="J45" s="2"/>
      <c r="K45" s="5" t="s">
        <v>294</v>
      </c>
      <c r="L45" s="12" t="s">
        <v>295</v>
      </c>
      <c r="M45" s="13"/>
      <c r="N45" s="13"/>
      <c r="O45" s="13"/>
      <c r="P45" s="13"/>
      <c r="Q45" s="13" t="str">
        <f>IF(AND(ISNUMBER(MATCH(M45,{"F","E","D","D+","C","C+","B","B+","A","A+","S"},0)),ISNUMBER(MATCH(N45,{"F","E","D","D+","C","C+","B","B+","A","A+","S"},0)),ISNUMBER(MATCH(O45,{"F","E","D","D+","C","C+","B","B+","A","A+","S"},0)),ISNUMBER(MATCH(P45,{"F","E","D","D+","C","C+","B","B+","A","A+","S"},0))),LOOKUP(AVERAGE(_xlfn.SWITCH(M45,"F",0,"E",10,"D",20,"D+",30,"C",40,"C+",50,"B",60,"B+",70,"A",80,"A+",90,"S",100),_xlfn.SWITCH(N45,"F",0,"E",10,"D",20,"D+",30,"C",40,"C+",50,"B",60,"B+",70,"A",80,"A+",90,"S",100),_xlfn.SWITCH(O45,"F",0,"E",10,"D",20,"D+",30,"C",40,"C+",50,"B",60,"B+",70,"A",80,"A+",90,"S",100),_xlfn.SWITCH(P45,"F",0,"E",10,"D",20,"D+",30,"C",40,"C+",50,"B",60,"B+",70,"A",80,"A+",90,"S",100)),{0,15,25,35,45,55,65,75,85,95},{"D","D","D+","C","C+","B","B+","A","A+","S"}),"?")</f>
        <v>?</v>
      </c>
      <c r="R45" s="14" t="s">
        <v>2161</v>
      </c>
      <c r="S45" s="14"/>
      <c r="T45" s="2"/>
    </row>
    <row r="46" spans="1:20" ht="21">
      <c r="A46" s="5" t="s">
        <v>298</v>
      </c>
      <c r="B46" s="5" t="s">
        <v>299</v>
      </c>
      <c r="C46" s="10"/>
      <c r="D46" s="10"/>
      <c r="E46" s="10"/>
      <c r="F46" s="10"/>
      <c r="G46" s="10"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v>
      </c>
      <c r="H46" s="7"/>
      <c r="I46" s="7"/>
      <c r="J46" s="2"/>
      <c r="K46" s="5" t="s">
        <v>39</v>
      </c>
      <c r="L46" s="12" t="s">
        <v>40</v>
      </c>
      <c r="M46" s="13"/>
      <c r="N46" s="13"/>
      <c r="O46" s="13"/>
      <c r="P46" s="13"/>
      <c r="Q46" s="13" t="str">
        <f>IF(AND(ISNUMBER(MATCH(M46,{"F","E","D","D+","C","C+","B","B+","A","A+","S"},0)),ISNUMBER(MATCH(N46,{"F","E","D","D+","C","C+","B","B+","A","A+","S"},0)),ISNUMBER(MATCH(O46,{"F","E","D","D+","C","C+","B","B+","A","A+","S"},0)),ISNUMBER(MATCH(P46,{"F","E","D","D+","C","C+","B","B+","A","A+","S"},0))),LOOKUP(AVERAGE(_xlfn.SWITCH(M46,"F",0,"E",10,"D",20,"D+",30,"C",40,"C+",50,"B",60,"B+",70,"A",80,"A+",90,"S",100),_xlfn.SWITCH(N46,"F",0,"E",10,"D",20,"D+",30,"C",40,"C+",50,"B",60,"B+",70,"A",80,"A+",90,"S",100),_xlfn.SWITCH(O46,"F",0,"E",10,"D",20,"D+",30,"C",40,"C+",50,"B",60,"B+",70,"A",80,"A+",90,"S",100),_xlfn.SWITCH(P46,"F",0,"E",10,"D",20,"D+",30,"C",40,"C+",50,"B",60,"B+",70,"A",80,"A+",90,"S",100)),{0,15,25,35,45,55,65,75,85,95},{"D","D","D+","C","C+","B","B+","A","A+","S"}),"?")</f>
        <v>?</v>
      </c>
      <c r="R46" s="14"/>
      <c r="S46" s="14"/>
      <c r="T46" s="2"/>
    </row>
    <row r="47" spans="1:20" ht="44">
      <c r="A47" s="5" t="s">
        <v>302</v>
      </c>
      <c r="B47" s="5" t="s">
        <v>303</v>
      </c>
      <c r="C47" s="10"/>
      <c r="D47" s="10"/>
      <c r="E47" s="10"/>
      <c r="F47" s="10"/>
      <c r="G47" s="10"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v>
      </c>
      <c r="H47" s="7"/>
      <c r="I47" s="7"/>
      <c r="J47" s="2"/>
      <c r="K47" s="5" t="s">
        <v>304</v>
      </c>
      <c r="L47" s="12" t="s">
        <v>305</v>
      </c>
      <c r="M47" s="13"/>
      <c r="N47" s="13"/>
      <c r="O47" s="13"/>
      <c r="P47" s="13"/>
      <c r="Q47" s="13" t="str">
        <f>IF(AND(ISNUMBER(MATCH(M47,{"F","E","D","D+","C","C+","B","B+","A","A+","S"},0)),ISNUMBER(MATCH(N47,{"F","E","D","D+","C","C+","B","B+","A","A+","S"},0)),ISNUMBER(MATCH(O47,{"F","E","D","D+","C","C+","B","B+","A","A+","S"},0)),ISNUMBER(MATCH(P47,{"F","E","D","D+","C","C+","B","B+","A","A+","S"},0))),LOOKUP(AVERAGE(_xlfn.SWITCH(M47,"F",0,"E",10,"D",20,"D+",30,"C",40,"C+",50,"B",60,"B+",70,"A",80,"A+",90,"S",100),_xlfn.SWITCH(N47,"F",0,"E",10,"D",20,"D+",30,"C",40,"C+",50,"B",60,"B+",70,"A",80,"A+",90,"S",100),_xlfn.SWITCH(O47,"F",0,"E",10,"D",20,"D+",30,"C",40,"C+",50,"B",60,"B+",70,"A",80,"A+",90,"S",100),_xlfn.SWITCH(P47,"F",0,"E",10,"D",20,"D+",30,"C",40,"C+",50,"B",60,"B+",70,"A",80,"A+",90,"S",100)),{0,15,25,35,45,55,65,75,85,95},{"D","D","D+","C","C+","B","B+","A","A+","S"}),"?")</f>
        <v>?</v>
      </c>
      <c r="R47" s="132" t="s">
        <v>2162</v>
      </c>
      <c r="S47" s="14"/>
      <c r="T47" s="2"/>
    </row>
    <row r="48" spans="1:20" ht="21">
      <c r="A48" s="5" t="s">
        <v>309</v>
      </c>
      <c r="B48" s="5" t="s">
        <v>310</v>
      </c>
      <c r="C48" s="10"/>
      <c r="D48" s="10"/>
      <c r="E48" s="10"/>
      <c r="F48" s="10"/>
      <c r="G48" s="10"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v>
      </c>
      <c r="H48" s="7"/>
      <c r="I48" s="7"/>
      <c r="J48" s="2"/>
      <c r="K48" s="5" t="s">
        <v>311</v>
      </c>
      <c r="L48" s="12" t="s">
        <v>312</v>
      </c>
      <c r="M48" s="13"/>
      <c r="N48" s="13"/>
      <c r="O48" s="13"/>
      <c r="P48" s="13"/>
      <c r="Q48" s="13" t="str">
        <f>IF(AND(ISNUMBER(MATCH(M48,{"F","E","D","D+","C","C+","B","B+","A","A+","S"},0)),ISNUMBER(MATCH(N48,{"F","E","D","D+","C","C+","B","B+","A","A+","S"},0)),ISNUMBER(MATCH(O48,{"F","E","D","D+","C","C+","B","B+","A","A+","S"},0)),ISNUMBER(MATCH(P48,{"F","E","D","D+","C","C+","B","B+","A","A+","S"},0))),LOOKUP(AVERAGE(_xlfn.SWITCH(M48,"F",0,"E",10,"D",20,"D+",30,"C",40,"C+",50,"B",60,"B+",70,"A",80,"A+",90,"S",100),_xlfn.SWITCH(N48,"F",0,"E",10,"D",20,"D+",30,"C",40,"C+",50,"B",60,"B+",70,"A",80,"A+",90,"S",100),_xlfn.SWITCH(O48,"F",0,"E",10,"D",20,"D+",30,"C",40,"C+",50,"B",60,"B+",70,"A",80,"A+",90,"S",100),_xlfn.SWITCH(P48,"F",0,"E",10,"D",20,"D+",30,"C",40,"C+",50,"B",60,"B+",70,"A",80,"A+",90,"S",100)),{0,15,25,35,45,55,65,75,85,95},{"D","D","D+","C","C+","B","B+","A","A+","S"}),"?")</f>
        <v>?</v>
      </c>
      <c r="R48" s="14"/>
      <c r="S48" s="14"/>
      <c r="T48" s="2"/>
    </row>
    <row r="49" spans="1:20" ht="21">
      <c r="A49" s="5" t="s">
        <v>315</v>
      </c>
      <c r="B49" s="5" t="s">
        <v>316</v>
      </c>
      <c r="C49" s="10"/>
      <c r="D49" s="10"/>
      <c r="E49" s="10"/>
      <c r="F49" s="10"/>
      <c r="G49" s="10" t="str">
        <f>IF(AND(ISNUMBER(MATCH(C49,{"F","E","D","D+","C","C+","B","B+","A","A+","S"},0)),ISNUMBER(MATCH(D49,{"F","E","D","D+","C","C+","B","B+","A","A+","S"},0)),ISNUMBER(MATCH(E49,{"F","E","D","D+","C","C+","B","B+","A","A+","S"},0)),ISNUMBER(MATCH(F49,{"F","E","D","D+","C","C+","B","B+","A","A+","S"},0))),LOOKUP(AVERAGE(_xlfn.SWITCH(C49,"F",0,"E",10,"D",20,"D+",30,"C",40,"C+",50,"B",60,"B+",70,"A",80,"A+",90,"S",100),_xlfn.SWITCH(D49,"F",0,"E",10,"D",20,"D+",30,"C",40,"C+",50,"B",60,"B+",70,"A",80,"A+",90,"S",100),_xlfn.SWITCH(E49,"F",0,"E",10,"D",20,"D+",30,"C",40,"C+",50,"B",60,"B+",70,"A",80,"A+",90,"S",100),_xlfn.SWITCH(F49,"F",0,"E",10,"D",20,"D+",30,"C",40,"C+",50,"B",60,"B+",70,"A",80,"A+",90,"S",100)),{0,15,25,35,45,55,65,75,85,95},{"D","D","D+","C","C+","B","B+","A","A+","S"}),"?")</f>
        <v>?</v>
      </c>
      <c r="H49" s="7"/>
      <c r="I49" s="7"/>
      <c r="J49" s="2"/>
      <c r="K49" s="5" t="s">
        <v>317</v>
      </c>
      <c r="L49" s="12" t="s">
        <v>318</v>
      </c>
      <c r="M49" s="13"/>
      <c r="N49" s="13"/>
      <c r="O49" s="13"/>
      <c r="P49" s="13"/>
      <c r="Q49" s="13" t="str">
        <f>IF(AND(ISNUMBER(MATCH(M49,{"F","E","D","D+","C","C+","B","B+","A","A+","S"},0)),ISNUMBER(MATCH(N49,{"F","E","D","D+","C","C+","B","B+","A","A+","S"},0)),ISNUMBER(MATCH(O49,{"F","E","D","D+","C","C+","B","B+","A","A+","S"},0)),ISNUMBER(MATCH(P49,{"F","E","D","D+","C","C+","B","B+","A","A+","S"},0))),LOOKUP(AVERAGE(_xlfn.SWITCH(M49,"F",0,"E",10,"D",20,"D+",30,"C",40,"C+",50,"B",60,"B+",70,"A",80,"A+",90,"S",100),_xlfn.SWITCH(N49,"F",0,"E",10,"D",20,"D+",30,"C",40,"C+",50,"B",60,"B+",70,"A",80,"A+",90,"S",100),_xlfn.SWITCH(O49,"F",0,"E",10,"D",20,"D+",30,"C",40,"C+",50,"B",60,"B+",70,"A",80,"A+",90,"S",100),_xlfn.SWITCH(P49,"F",0,"E",10,"D",20,"D+",30,"C",40,"C+",50,"B",60,"B+",70,"A",80,"A+",90,"S",100)),{0,15,25,35,45,55,65,75,85,95},{"D","D","D+","C","C+","B","B+","A","A+","S"}),"?")</f>
        <v>?</v>
      </c>
      <c r="R49" s="14"/>
      <c r="S49" s="14"/>
      <c r="T49" s="2"/>
    </row>
    <row r="50" spans="1:20" ht="21">
      <c r="A50" s="5" t="s">
        <v>322</v>
      </c>
      <c r="B50" s="5" t="s">
        <v>162</v>
      </c>
      <c r="C50" s="10"/>
      <c r="D50" s="10"/>
      <c r="E50" s="10"/>
      <c r="F50" s="10"/>
      <c r="G50" s="10"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v>
      </c>
      <c r="H50" s="7"/>
      <c r="I50" s="7"/>
      <c r="J50" s="2"/>
      <c r="K50" s="5" t="s">
        <v>323</v>
      </c>
      <c r="L50" s="12" t="s">
        <v>185</v>
      </c>
      <c r="M50" s="13"/>
      <c r="N50" s="13"/>
      <c r="O50" s="13"/>
      <c r="P50" s="13"/>
      <c r="Q50" s="13" t="str">
        <f>IF(AND(ISNUMBER(MATCH(M50,{"F","E","D","D+","C","C+","B","B+","A","A+","S"},0)),ISNUMBER(MATCH(N50,{"F","E","D","D+","C","C+","B","B+","A","A+","S"},0)),ISNUMBER(MATCH(O50,{"F","E","D","D+","C","C+","B","B+","A","A+","S"},0)),ISNUMBER(MATCH(P50,{"F","E","D","D+","C","C+","B","B+","A","A+","S"},0))),LOOKUP(AVERAGE(_xlfn.SWITCH(M50,"F",0,"E",10,"D",20,"D+",30,"C",40,"C+",50,"B",60,"B+",70,"A",80,"A+",90,"S",100),_xlfn.SWITCH(N50,"F",0,"E",10,"D",20,"D+",30,"C",40,"C+",50,"B",60,"B+",70,"A",80,"A+",90,"S",100),_xlfn.SWITCH(O50,"F",0,"E",10,"D",20,"D+",30,"C",40,"C+",50,"B",60,"B+",70,"A",80,"A+",90,"S",100),_xlfn.SWITCH(P50,"F",0,"E",10,"D",20,"D+",30,"C",40,"C+",50,"B",60,"B+",70,"A",80,"A+",90,"S",100)),{0,15,25,35,45,55,65,75,85,95},{"D","D","D+","C","C+","B","B+","A","A+","S"}),"?")</f>
        <v>?</v>
      </c>
      <c r="R50" s="14"/>
      <c r="S50" s="14"/>
      <c r="T50" s="2"/>
    </row>
    <row r="51" spans="1:20" ht="21">
      <c r="A51" s="5" t="s">
        <v>326</v>
      </c>
      <c r="B51" s="5" t="s">
        <v>94</v>
      </c>
      <c r="C51" s="10"/>
      <c r="D51" s="10"/>
      <c r="E51" s="10"/>
      <c r="F51" s="10"/>
      <c r="G51" s="10"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v>
      </c>
      <c r="H51" s="7"/>
      <c r="I51" s="7"/>
      <c r="J51" s="2"/>
      <c r="K51" s="5" t="s">
        <v>327</v>
      </c>
      <c r="L51" s="12" t="s">
        <v>328</v>
      </c>
      <c r="M51" s="13"/>
      <c r="N51" s="13"/>
      <c r="O51" s="13"/>
      <c r="P51" s="13"/>
      <c r="Q51" s="13" t="str">
        <f>IF(AND(ISNUMBER(MATCH(M51,{"F","E","D","D+","C","C+","B","B+","A","A+","S"},0)),ISNUMBER(MATCH(N51,{"F","E","D","D+","C","C+","B","B+","A","A+","S"},0)),ISNUMBER(MATCH(O51,{"F","E","D","D+","C","C+","B","B+","A","A+","S"},0)),ISNUMBER(MATCH(P51,{"F","E","D","D+","C","C+","B","B+","A","A+","S"},0))),LOOKUP(AVERAGE(_xlfn.SWITCH(M51,"F",0,"E",10,"D",20,"D+",30,"C",40,"C+",50,"B",60,"B+",70,"A",80,"A+",90,"S",100),_xlfn.SWITCH(N51,"F",0,"E",10,"D",20,"D+",30,"C",40,"C+",50,"B",60,"B+",70,"A",80,"A+",90,"S",100),_xlfn.SWITCH(O51,"F",0,"E",10,"D",20,"D+",30,"C",40,"C+",50,"B",60,"B+",70,"A",80,"A+",90,"S",100),_xlfn.SWITCH(P51,"F",0,"E",10,"D",20,"D+",30,"C",40,"C+",50,"B",60,"B+",70,"A",80,"A+",90,"S",100)),{0,15,25,35,45,55,65,75,85,95},{"D","D","D+","C","C+","B","B+","A","A+","S"}),"?")</f>
        <v>?</v>
      </c>
      <c r="R51" s="14"/>
      <c r="S51" s="14"/>
      <c r="T51" s="2"/>
    </row>
    <row r="52" spans="1:20" ht="21">
      <c r="A52" s="5" t="s">
        <v>331</v>
      </c>
      <c r="B52" s="5" t="s">
        <v>332</v>
      </c>
      <c r="C52" s="10"/>
      <c r="D52" s="10"/>
      <c r="E52" s="10"/>
      <c r="F52" s="10"/>
      <c r="G52" s="10"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v>
      </c>
      <c r="H52" s="7"/>
      <c r="I52" s="7"/>
      <c r="J52" s="2"/>
      <c r="K52" s="5" t="s">
        <v>217</v>
      </c>
      <c r="L52" s="12" t="s">
        <v>68</v>
      </c>
      <c r="M52" s="13"/>
      <c r="N52" s="13"/>
      <c r="O52" s="13"/>
      <c r="P52" s="13"/>
      <c r="Q52" s="13" t="str">
        <f>IF(AND(ISNUMBER(MATCH(M52,{"F","E","D","D+","C","C+","B","B+","A","A+","S"},0)),ISNUMBER(MATCH(N52,{"F","E","D","D+","C","C+","B","B+","A","A+","S"},0)),ISNUMBER(MATCH(O52,{"F","E","D","D+","C","C+","B","B+","A","A+","S"},0)),ISNUMBER(MATCH(P52,{"F","E","D","D+","C","C+","B","B+","A","A+","S"},0))),LOOKUP(AVERAGE(_xlfn.SWITCH(M52,"F",0,"E",10,"D",20,"D+",30,"C",40,"C+",50,"B",60,"B+",70,"A",80,"A+",90,"S",100),_xlfn.SWITCH(N52,"F",0,"E",10,"D",20,"D+",30,"C",40,"C+",50,"B",60,"B+",70,"A",80,"A+",90,"S",100),_xlfn.SWITCH(O52,"F",0,"E",10,"D",20,"D+",30,"C",40,"C+",50,"B",60,"B+",70,"A",80,"A+",90,"S",100),_xlfn.SWITCH(P52,"F",0,"E",10,"D",20,"D+",30,"C",40,"C+",50,"B",60,"B+",70,"A",80,"A+",90,"S",100)),{0,15,25,35,45,55,65,75,85,95},{"D","D","D+","C","C+","B","B+","A","A+","S"}),"?")</f>
        <v>?</v>
      </c>
      <c r="R52" s="14"/>
      <c r="S52" s="14"/>
      <c r="T52" s="2"/>
    </row>
    <row r="53" spans="1:20" ht="21">
      <c r="A53" s="5" t="s">
        <v>334</v>
      </c>
      <c r="B53" s="5" t="s">
        <v>335</v>
      </c>
      <c r="C53" s="10"/>
      <c r="D53" s="10"/>
      <c r="E53" s="10"/>
      <c r="F53" s="10"/>
      <c r="G53" s="10"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v>
      </c>
      <c r="H53" s="7"/>
      <c r="I53" s="7"/>
      <c r="J53" s="2"/>
      <c r="K53" s="5" t="s">
        <v>336</v>
      </c>
      <c r="L53" s="12" t="s">
        <v>337</v>
      </c>
      <c r="M53" s="13"/>
      <c r="N53" s="13"/>
      <c r="O53" s="13"/>
      <c r="P53" s="13"/>
      <c r="Q53" s="13" t="str">
        <f>IF(AND(ISNUMBER(MATCH(M53,{"F","E","D","D+","C","C+","B","B+","A","A+","S"},0)),ISNUMBER(MATCH(N53,{"F","E","D","D+","C","C+","B","B+","A","A+","S"},0)),ISNUMBER(MATCH(O53,{"F","E","D","D+","C","C+","B","B+","A","A+","S"},0)),ISNUMBER(MATCH(P53,{"F","E","D","D+","C","C+","B","B+","A","A+","S"},0))),LOOKUP(AVERAGE(_xlfn.SWITCH(M53,"F",0,"E",10,"D",20,"D+",30,"C",40,"C+",50,"B",60,"B+",70,"A",80,"A+",90,"S",100),_xlfn.SWITCH(N53,"F",0,"E",10,"D",20,"D+",30,"C",40,"C+",50,"B",60,"B+",70,"A",80,"A+",90,"S",100),_xlfn.SWITCH(O53,"F",0,"E",10,"D",20,"D+",30,"C",40,"C+",50,"B",60,"B+",70,"A",80,"A+",90,"S",100),_xlfn.SWITCH(P53,"F",0,"E",10,"D",20,"D+",30,"C",40,"C+",50,"B",60,"B+",70,"A",80,"A+",90,"S",100)),{0,15,25,35,45,55,65,75,85,95},{"D","D","D+","C","C+","B","B+","A","A+","S"}),"?")</f>
        <v>?</v>
      </c>
      <c r="R53" s="14"/>
      <c r="S53" s="14"/>
      <c r="T53" s="2"/>
    </row>
    <row r="54" spans="1:20" ht="21">
      <c r="A54" s="5" t="s">
        <v>339</v>
      </c>
      <c r="B54" s="5" t="s">
        <v>340</v>
      </c>
      <c r="C54" s="10"/>
      <c r="D54" s="10"/>
      <c r="E54" s="10"/>
      <c r="F54" s="10"/>
      <c r="G54" s="10"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v>
      </c>
      <c r="H54" s="7"/>
      <c r="I54" s="7"/>
      <c r="J54" s="2"/>
      <c r="K54" s="5" t="s">
        <v>341</v>
      </c>
      <c r="L54" s="12" t="s">
        <v>342</v>
      </c>
      <c r="M54" s="13"/>
      <c r="N54" s="13"/>
      <c r="O54" s="13"/>
      <c r="P54" s="13"/>
      <c r="Q54" s="13" t="str">
        <f>IF(AND(ISNUMBER(MATCH(M54,{"F","E","D","D+","C","C+","B","B+","A","A+","S"},0)),ISNUMBER(MATCH(N54,{"F","E","D","D+","C","C+","B","B+","A","A+","S"},0)),ISNUMBER(MATCH(O54,{"F","E","D","D+","C","C+","B","B+","A","A+","S"},0)),ISNUMBER(MATCH(P54,{"F","E","D","D+","C","C+","B","B+","A","A+","S"},0))),LOOKUP(AVERAGE(_xlfn.SWITCH(M54,"F",0,"E",10,"D",20,"D+",30,"C",40,"C+",50,"B",60,"B+",70,"A",80,"A+",90,"S",100),_xlfn.SWITCH(N54,"F",0,"E",10,"D",20,"D+",30,"C",40,"C+",50,"B",60,"B+",70,"A",80,"A+",90,"S",100),_xlfn.SWITCH(O54,"F",0,"E",10,"D",20,"D+",30,"C",40,"C+",50,"B",60,"B+",70,"A",80,"A+",90,"S",100),_xlfn.SWITCH(P54,"F",0,"E",10,"D",20,"D+",30,"C",40,"C+",50,"B",60,"B+",70,"A",80,"A+",90,"S",100)),{0,15,25,35,45,55,65,75,85,95},{"D","D","D+","C","C+","B","B+","A","A+","S"}),"?")</f>
        <v>?</v>
      </c>
      <c r="R54" s="14"/>
      <c r="S54" s="14"/>
      <c r="T54" s="2"/>
    </row>
    <row r="55" spans="1:20" ht="21">
      <c r="A55" s="5" t="s">
        <v>346</v>
      </c>
      <c r="B55" s="5" t="s">
        <v>347</v>
      </c>
      <c r="C55" s="10"/>
      <c r="D55" s="10"/>
      <c r="E55" s="10"/>
      <c r="F55" s="10"/>
      <c r="G55" s="10"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v>
      </c>
      <c r="H55" s="7"/>
      <c r="I55" s="7"/>
      <c r="J55" s="2"/>
      <c r="K55" s="5" t="s">
        <v>348</v>
      </c>
      <c r="L55" s="12" t="s">
        <v>349</v>
      </c>
      <c r="M55" s="13"/>
      <c r="N55" s="13"/>
      <c r="O55" s="13"/>
      <c r="P55" s="13"/>
      <c r="Q55" s="13" t="str">
        <f>IF(AND(ISNUMBER(MATCH(M55,{"F","E","D","D+","C","C+","B","B+","A","A+","S"},0)),ISNUMBER(MATCH(N55,{"F","E","D","D+","C","C+","B","B+","A","A+","S"},0)),ISNUMBER(MATCH(O55,{"F","E","D","D+","C","C+","B","B+","A","A+","S"},0)),ISNUMBER(MATCH(P55,{"F","E","D","D+","C","C+","B","B+","A","A+","S"},0))),LOOKUP(AVERAGE(_xlfn.SWITCH(M55,"F",0,"E",10,"D",20,"D+",30,"C",40,"C+",50,"B",60,"B+",70,"A",80,"A+",90,"S",100),_xlfn.SWITCH(N55,"F",0,"E",10,"D",20,"D+",30,"C",40,"C+",50,"B",60,"B+",70,"A",80,"A+",90,"S",100),_xlfn.SWITCH(O55,"F",0,"E",10,"D",20,"D+",30,"C",40,"C+",50,"B",60,"B+",70,"A",80,"A+",90,"S",100),_xlfn.SWITCH(P55,"F",0,"E",10,"D",20,"D+",30,"C",40,"C+",50,"B",60,"B+",70,"A",80,"A+",90,"S",100)),{0,15,25,35,45,55,65,75,85,95},{"D","D","D+","C","C+","B","B+","A","A+","S"}),"?")</f>
        <v>?</v>
      </c>
      <c r="R55" s="14"/>
      <c r="S55" s="14"/>
      <c r="T55" s="2"/>
    </row>
    <row r="56" spans="1:20" ht="21">
      <c r="A56" s="5" t="s">
        <v>353</v>
      </c>
      <c r="B56" s="5" t="s">
        <v>354</v>
      </c>
      <c r="C56" s="10"/>
      <c r="D56" s="10"/>
      <c r="E56" s="10"/>
      <c r="F56" s="10"/>
      <c r="G56" s="10"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7"/>
      <c r="I56" s="7"/>
      <c r="J56" s="2"/>
      <c r="K56" s="5" t="s">
        <v>355</v>
      </c>
      <c r="L56" s="12" t="s">
        <v>356</v>
      </c>
      <c r="M56" s="13"/>
      <c r="N56" s="13"/>
      <c r="O56" s="13"/>
      <c r="P56" s="13"/>
      <c r="Q56" s="13" t="str">
        <f>IF(AND(ISNUMBER(MATCH(M56,{"F","E","D","D+","C","C+","B","B+","A","A+","S"},0)),ISNUMBER(MATCH(N56,{"F","E","D","D+","C","C+","B","B+","A","A+","S"},0)),ISNUMBER(MATCH(O56,{"F","E","D","D+","C","C+","B","B+","A","A+","S"},0)),ISNUMBER(MATCH(P56,{"F","E","D","D+","C","C+","B","B+","A","A+","S"},0))),LOOKUP(AVERAGE(_xlfn.SWITCH(M56,"F",0,"E",10,"D",20,"D+",30,"C",40,"C+",50,"B",60,"B+",70,"A",80,"A+",90,"S",100),_xlfn.SWITCH(N56,"F",0,"E",10,"D",20,"D+",30,"C",40,"C+",50,"B",60,"B+",70,"A",80,"A+",90,"S",100),_xlfn.SWITCH(O56,"F",0,"E",10,"D",20,"D+",30,"C",40,"C+",50,"B",60,"B+",70,"A",80,"A+",90,"S",100),_xlfn.SWITCH(P56,"F",0,"E",10,"D",20,"D+",30,"C",40,"C+",50,"B",60,"B+",70,"A",80,"A+",90,"S",100)),{0,15,25,35,45,55,65,75,85,95},{"D","D","D+","C","C+","B","B+","A","A+","S"}),"?")</f>
        <v>?</v>
      </c>
      <c r="R56" s="14"/>
      <c r="S56" s="14"/>
      <c r="T56" s="2"/>
    </row>
    <row r="57" spans="1:20" ht="21">
      <c r="A57" s="5" t="s">
        <v>358</v>
      </c>
      <c r="B57" s="5" t="s">
        <v>359</v>
      </c>
      <c r="C57" s="10"/>
      <c r="D57" s="10"/>
      <c r="E57" s="10"/>
      <c r="F57" s="10"/>
      <c r="G57" s="10"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7"/>
      <c r="I57" s="7"/>
      <c r="J57" s="2"/>
      <c r="K57" s="5" t="s">
        <v>360</v>
      </c>
      <c r="L57" s="12" t="s">
        <v>361</v>
      </c>
      <c r="M57" s="13"/>
      <c r="N57" s="13"/>
      <c r="O57" s="13"/>
      <c r="P57" s="13"/>
      <c r="Q57" s="13" t="str">
        <f>IF(AND(ISNUMBER(MATCH(M57,{"F","E","D","D+","C","C+","B","B+","A","A+","S"},0)),ISNUMBER(MATCH(N57,{"F","E","D","D+","C","C+","B","B+","A","A+","S"},0)),ISNUMBER(MATCH(O57,{"F","E","D","D+","C","C+","B","B+","A","A+","S"},0)),ISNUMBER(MATCH(P57,{"F","E","D","D+","C","C+","B","B+","A","A+","S"},0))),LOOKUP(AVERAGE(_xlfn.SWITCH(M57,"F",0,"E",10,"D",20,"D+",30,"C",40,"C+",50,"B",60,"B+",70,"A",80,"A+",90,"S",100),_xlfn.SWITCH(N57,"F",0,"E",10,"D",20,"D+",30,"C",40,"C+",50,"B",60,"B+",70,"A",80,"A+",90,"S",100),_xlfn.SWITCH(O57,"F",0,"E",10,"D",20,"D+",30,"C",40,"C+",50,"B",60,"B+",70,"A",80,"A+",90,"S",100),_xlfn.SWITCH(P57,"F",0,"E",10,"D",20,"D+",30,"C",40,"C+",50,"B",60,"B+",70,"A",80,"A+",90,"S",100)),{0,15,25,35,45,55,65,75,85,95},{"D","D","D+","C","C+","B","B+","A","A+","S"}),"?")</f>
        <v>?</v>
      </c>
      <c r="R57" s="14"/>
      <c r="S57" s="14"/>
      <c r="T57" s="2"/>
    </row>
    <row r="58" spans="1:20" ht="21">
      <c r="A58" s="5" t="s">
        <v>365</v>
      </c>
      <c r="B58" s="5" t="s">
        <v>366</v>
      </c>
      <c r="C58" s="10"/>
      <c r="D58" s="10"/>
      <c r="E58" s="10"/>
      <c r="F58" s="10"/>
      <c r="G58" s="10"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7"/>
      <c r="I58" s="7"/>
      <c r="J58" s="2"/>
      <c r="K58" s="5" t="s">
        <v>367</v>
      </c>
      <c r="L58" s="12" t="s">
        <v>368</v>
      </c>
      <c r="M58" s="13"/>
      <c r="N58" s="13"/>
      <c r="O58" s="13"/>
      <c r="P58" s="13"/>
      <c r="Q58" s="13" t="str">
        <f>IF(AND(ISNUMBER(MATCH(M58,{"F","E","D","D+","C","C+","B","B+","A","A+","S"},0)),ISNUMBER(MATCH(N58,{"F","E","D","D+","C","C+","B","B+","A","A+","S"},0)),ISNUMBER(MATCH(O58,{"F","E","D","D+","C","C+","B","B+","A","A+","S"},0)),ISNUMBER(MATCH(P58,{"F","E","D","D+","C","C+","B","B+","A","A+","S"},0))),LOOKUP(AVERAGE(_xlfn.SWITCH(M58,"F",0,"E",10,"D",20,"D+",30,"C",40,"C+",50,"B",60,"B+",70,"A",80,"A+",90,"S",100),_xlfn.SWITCH(N58,"F",0,"E",10,"D",20,"D+",30,"C",40,"C+",50,"B",60,"B+",70,"A",80,"A+",90,"S",100),_xlfn.SWITCH(O58,"F",0,"E",10,"D",20,"D+",30,"C",40,"C+",50,"B",60,"B+",70,"A",80,"A+",90,"S",100),_xlfn.SWITCH(P58,"F",0,"E",10,"D",20,"D+",30,"C",40,"C+",50,"B",60,"B+",70,"A",80,"A+",90,"S",100)),{0,15,25,35,45,55,65,75,85,95},{"D","D","D+","C","C+","B","B+","A","A+","S"}),"?")</f>
        <v>?</v>
      </c>
      <c r="R58" s="14"/>
      <c r="S58" s="14"/>
      <c r="T58" s="2"/>
    </row>
    <row r="59" spans="1:20" ht="21">
      <c r="A59" s="5" t="s">
        <v>371</v>
      </c>
      <c r="B59" s="5" t="s">
        <v>372</v>
      </c>
      <c r="C59" s="10"/>
      <c r="D59" s="10"/>
      <c r="E59" s="10"/>
      <c r="F59" s="10"/>
      <c r="G59" s="10"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7"/>
      <c r="I59" s="7"/>
      <c r="J59" s="2"/>
      <c r="K59" s="5" t="s">
        <v>210</v>
      </c>
      <c r="L59" s="12" t="s">
        <v>211</v>
      </c>
      <c r="M59" s="13"/>
      <c r="N59" s="13"/>
      <c r="O59" s="13"/>
      <c r="P59" s="13"/>
      <c r="Q59" s="13" t="str">
        <f>IF(AND(ISNUMBER(MATCH(M59,{"F","E","D","D+","C","C+","B","B+","A","A+","S"},0)),ISNUMBER(MATCH(N59,{"F","E","D","D+","C","C+","B","B+","A","A+","S"},0)),ISNUMBER(MATCH(O59,{"F","E","D","D+","C","C+","B","B+","A","A+","S"},0)),ISNUMBER(MATCH(P59,{"F","E","D","D+","C","C+","B","B+","A","A+","S"},0))),LOOKUP(AVERAGE(_xlfn.SWITCH(M59,"F",0,"E",10,"D",20,"D+",30,"C",40,"C+",50,"B",60,"B+",70,"A",80,"A+",90,"S",100),_xlfn.SWITCH(N59,"F",0,"E",10,"D",20,"D+",30,"C",40,"C+",50,"B",60,"B+",70,"A",80,"A+",90,"S",100),_xlfn.SWITCH(O59,"F",0,"E",10,"D",20,"D+",30,"C",40,"C+",50,"B",60,"B+",70,"A",80,"A+",90,"S",100),_xlfn.SWITCH(P59,"F",0,"E",10,"D",20,"D+",30,"C",40,"C+",50,"B",60,"B+",70,"A",80,"A+",90,"S",100)),{0,15,25,35,45,55,65,75,85,95},{"D","D","D+","C","C+","B","B+","A","A+","S"}),"?")</f>
        <v>?</v>
      </c>
      <c r="R59" s="14"/>
      <c r="S59" s="14"/>
      <c r="T59" s="2"/>
    </row>
    <row r="60" spans="1:20" ht="21">
      <c r="A60" s="5" t="s">
        <v>376</v>
      </c>
      <c r="B60" s="5" t="s">
        <v>278</v>
      </c>
      <c r="C60" s="10"/>
      <c r="D60" s="10"/>
      <c r="E60" s="10"/>
      <c r="F60" s="10"/>
      <c r="G60" s="10"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7"/>
      <c r="I60" s="7"/>
      <c r="J60" s="2"/>
      <c r="K60" s="5" t="s">
        <v>377</v>
      </c>
      <c r="L60" s="12" t="s">
        <v>378</v>
      </c>
      <c r="M60" s="13"/>
      <c r="N60" s="13"/>
      <c r="O60" s="13"/>
      <c r="P60" s="13"/>
      <c r="Q60" s="13" t="s">
        <v>1661</v>
      </c>
      <c r="R60" s="14" t="s">
        <v>2163</v>
      </c>
      <c r="S60" s="14"/>
      <c r="T60" s="2"/>
    </row>
    <row r="61" spans="1:20" ht="21">
      <c r="A61" s="5" t="s">
        <v>382</v>
      </c>
      <c r="B61" s="5" t="s">
        <v>383</v>
      </c>
      <c r="C61" s="10"/>
      <c r="D61" s="10"/>
      <c r="E61" s="10"/>
      <c r="F61" s="10"/>
      <c r="G61" s="10"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7"/>
      <c r="I61" s="7"/>
      <c r="J61" s="2"/>
      <c r="K61" s="5" t="s">
        <v>384</v>
      </c>
      <c r="L61" s="12" t="s">
        <v>385</v>
      </c>
      <c r="M61" s="13"/>
      <c r="N61" s="13"/>
      <c r="O61" s="13"/>
      <c r="P61" s="13"/>
      <c r="Q61" s="13" t="str">
        <f>IF(AND(ISNUMBER(MATCH(M61,{"F","E","D","D+","C","C+","B","B+","A","A+","S"},0)),ISNUMBER(MATCH(N61,{"F","E","D","D+","C","C+","B","B+","A","A+","S"},0)),ISNUMBER(MATCH(O61,{"F","E","D","D+","C","C+","B","B+","A","A+","S"},0)),ISNUMBER(MATCH(P61,{"F","E","D","D+","C","C+","B","B+","A","A+","S"},0))),LOOKUP(AVERAGE(_xlfn.SWITCH(M61,"F",0,"E",10,"D",20,"D+",30,"C",40,"C+",50,"B",60,"B+",70,"A",80,"A+",90,"S",100),_xlfn.SWITCH(N61,"F",0,"E",10,"D",20,"D+",30,"C",40,"C+",50,"B",60,"B+",70,"A",80,"A+",90,"S",100),_xlfn.SWITCH(O61,"F",0,"E",10,"D",20,"D+",30,"C",40,"C+",50,"B",60,"B+",70,"A",80,"A+",90,"S",100),_xlfn.SWITCH(P61,"F",0,"E",10,"D",20,"D+",30,"C",40,"C+",50,"B",60,"B+",70,"A",80,"A+",90,"S",100)),{0,15,25,35,45,55,65,75,85,95},{"D","D","D+","C","C+","B","B+","A","A+","S"}),"?")</f>
        <v>?</v>
      </c>
      <c r="R61" s="14"/>
      <c r="S61" s="14"/>
      <c r="T61" s="2"/>
    </row>
    <row r="62" spans="1:20" ht="21">
      <c r="A62" s="5" t="s">
        <v>387</v>
      </c>
      <c r="B62" s="5" t="s">
        <v>388</v>
      </c>
      <c r="C62" s="10"/>
      <c r="D62" s="10"/>
      <c r="E62" s="10"/>
      <c r="F62" s="10"/>
      <c r="G62" s="10"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7"/>
      <c r="I62" s="7"/>
      <c r="J62" s="2"/>
      <c r="K62" s="5" t="s">
        <v>389</v>
      </c>
      <c r="L62" s="12" t="s">
        <v>390</v>
      </c>
      <c r="M62" s="13"/>
      <c r="N62" s="13"/>
      <c r="O62" s="13"/>
      <c r="P62" s="13"/>
      <c r="Q62" s="13" t="str">
        <f>IF(AND(ISNUMBER(MATCH(M62,{"F","E","D","D+","C","C+","B","B+","A","A+","S"},0)),ISNUMBER(MATCH(N62,{"F","E","D","D+","C","C+","B","B+","A","A+","S"},0)),ISNUMBER(MATCH(O62,{"F","E","D","D+","C","C+","B","B+","A","A+","S"},0)),ISNUMBER(MATCH(P62,{"F","E","D","D+","C","C+","B","B+","A","A+","S"},0))),LOOKUP(AVERAGE(_xlfn.SWITCH(M62,"F",0,"E",10,"D",20,"D+",30,"C",40,"C+",50,"B",60,"B+",70,"A",80,"A+",90,"S",100),_xlfn.SWITCH(N62,"F",0,"E",10,"D",20,"D+",30,"C",40,"C+",50,"B",60,"B+",70,"A",80,"A+",90,"S",100),_xlfn.SWITCH(O62,"F",0,"E",10,"D",20,"D+",30,"C",40,"C+",50,"B",60,"B+",70,"A",80,"A+",90,"S",100),_xlfn.SWITCH(P62,"F",0,"E",10,"D",20,"D+",30,"C",40,"C+",50,"B",60,"B+",70,"A",80,"A+",90,"S",100)),{0,15,25,35,45,55,65,75,85,95},{"D","D","D+","C","C+","B","B+","A","A+","S"}),"?")</f>
        <v>?</v>
      </c>
      <c r="R62" s="14"/>
      <c r="S62" s="14"/>
      <c r="T62" s="2"/>
    </row>
    <row r="63" spans="1:20" ht="21">
      <c r="A63" s="5" t="s">
        <v>393</v>
      </c>
      <c r="B63" s="5" t="s">
        <v>394</v>
      </c>
      <c r="C63" s="10"/>
      <c r="D63" s="10"/>
      <c r="E63" s="10"/>
      <c r="F63" s="10"/>
      <c r="G63" s="10"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7"/>
      <c r="I63" s="7"/>
      <c r="J63" s="2"/>
      <c r="K63" s="5" t="s">
        <v>395</v>
      </c>
      <c r="L63" s="12" t="s">
        <v>396</v>
      </c>
      <c r="M63" s="13"/>
      <c r="N63" s="13"/>
      <c r="O63" s="13"/>
      <c r="P63" s="13"/>
      <c r="Q63" s="13" t="str">
        <f>IF(AND(ISNUMBER(MATCH(M63,{"F","E","D","D+","C","C+","B","B+","A","A+","S"},0)),ISNUMBER(MATCH(N63,{"F","E","D","D+","C","C+","B","B+","A","A+","S"},0)),ISNUMBER(MATCH(O63,{"F","E","D","D+","C","C+","B","B+","A","A+","S"},0)),ISNUMBER(MATCH(P63,{"F","E","D","D+","C","C+","B","B+","A","A+","S"},0))),LOOKUP(AVERAGE(_xlfn.SWITCH(M63,"F",0,"E",10,"D",20,"D+",30,"C",40,"C+",50,"B",60,"B+",70,"A",80,"A+",90,"S",100),_xlfn.SWITCH(N63,"F",0,"E",10,"D",20,"D+",30,"C",40,"C+",50,"B",60,"B+",70,"A",80,"A+",90,"S",100),_xlfn.SWITCH(O63,"F",0,"E",10,"D",20,"D+",30,"C",40,"C+",50,"B",60,"B+",70,"A",80,"A+",90,"S",100),_xlfn.SWITCH(P63,"F",0,"E",10,"D",20,"D+",30,"C",40,"C+",50,"B",60,"B+",70,"A",80,"A+",90,"S",100)),{0,15,25,35,45,55,65,75,85,95},{"D","D","D+","C","C+","B","B+","A","A+","S"}),"?")</f>
        <v>?</v>
      </c>
      <c r="R63" s="14"/>
      <c r="S63" s="14"/>
      <c r="T63" s="2"/>
    </row>
    <row r="64" spans="1:20" ht="66">
      <c r="A64" s="5" t="s">
        <v>399</v>
      </c>
      <c r="B64" s="5" t="s">
        <v>400</v>
      </c>
      <c r="C64" s="10"/>
      <c r="D64" s="10"/>
      <c r="E64" s="10"/>
      <c r="F64" s="10"/>
      <c r="G64" s="10"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7"/>
      <c r="I64" s="7"/>
      <c r="J64" s="2"/>
      <c r="K64" s="5" t="s">
        <v>401</v>
      </c>
      <c r="L64" s="12" t="s">
        <v>402</v>
      </c>
      <c r="M64" s="13"/>
      <c r="N64" s="13"/>
      <c r="O64" s="13"/>
      <c r="P64" s="13"/>
      <c r="Q64" s="13" t="s">
        <v>18</v>
      </c>
      <c r="R64" s="132" t="s">
        <v>2164</v>
      </c>
      <c r="S64" s="14"/>
      <c r="T64" s="2"/>
    </row>
    <row r="65" spans="1:20" ht="21">
      <c r="A65" s="5" t="s">
        <v>404</v>
      </c>
      <c r="B65" s="5" t="s">
        <v>405</v>
      </c>
      <c r="C65" s="10"/>
      <c r="D65" s="10"/>
      <c r="E65" s="10"/>
      <c r="F65" s="10"/>
      <c r="G65" s="10"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7"/>
      <c r="I65" s="7"/>
      <c r="J65" s="2"/>
      <c r="K65" s="5" t="s">
        <v>374</v>
      </c>
      <c r="L65" s="12" t="s">
        <v>375</v>
      </c>
      <c r="M65" s="13"/>
      <c r="N65" s="13"/>
      <c r="O65" s="13"/>
      <c r="P65" s="13"/>
      <c r="Q65" s="13" t="str">
        <f>IF(AND(ISNUMBER(MATCH(M65,{"F","E","D","D+","C","C+","B","B+","A","A+","S"},0)),ISNUMBER(MATCH(N65,{"F","E","D","D+","C","C+","B","B+","A","A+","S"},0)),ISNUMBER(MATCH(O65,{"F","E","D","D+","C","C+","B","B+","A","A+","S"},0)),ISNUMBER(MATCH(P65,{"F","E","D","D+","C","C+","B","B+","A","A+","S"},0))),LOOKUP(AVERAGE(_xlfn.SWITCH(M65,"F",0,"E",10,"D",20,"D+",30,"C",40,"C+",50,"B",60,"B+",70,"A",80,"A+",90,"S",100),_xlfn.SWITCH(N65,"F",0,"E",10,"D",20,"D+",30,"C",40,"C+",50,"B",60,"B+",70,"A",80,"A+",90,"S",100),_xlfn.SWITCH(O65,"F",0,"E",10,"D",20,"D+",30,"C",40,"C+",50,"B",60,"B+",70,"A",80,"A+",90,"S",100),_xlfn.SWITCH(P65,"F",0,"E",10,"D",20,"D+",30,"C",40,"C+",50,"B",60,"B+",70,"A",80,"A+",90,"S",100)),{0,15,25,35,45,55,65,75,85,95},{"D","D","D+","C","C+","B","B+","A","A+","S"}),"?")</f>
        <v>?</v>
      </c>
      <c r="R65" s="14"/>
      <c r="S65" s="14"/>
      <c r="T65" s="2"/>
    </row>
    <row r="66" spans="1:20" ht="21">
      <c r="A66" s="5" t="s">
        <v>409</v>
      </c>
      <c r="B66" s="5" t="s">
        <v>308</v>
      </c>
      <c r="C66" s="10"/>
      <c r="D66" s="10"/>
      <c r="E66" s="10"/>
      <c r="F66" s="10"/>
      <c r="G66" s="10"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7"/>
      <c r="I66" s="7"/>
      <c r="J66" s="2"/>
      <c r="K66" s="5" t="s">
        <v>230</v>
      </c>
      <c r="L66" s="12" t="s">
        <v>231</v>
      </c>
      <c r="M66" s="13"/>
      <c r="N66" s="13"/>
      <c r="O66" s="13"/>
      <c r="P66" s="13"/>
      <c r="Q66" s="13" t="str">
        <f>IF(AND(ISNUMBER(MATCH(M66,{"F","E","D","D+","C","C+","B","B+","A","A+","S"},0)),ISNUMBER(MATCH(N66,{"F","E","D","D+","C","C+","B","B+","A","A+","S"},0)),ISNUMBER(MATCH(O66,{"F","E","D","D+","C","C+","B","B+","A","A+","S"},0)),ISNUMBER(MATCH(P66,{"F","E","D","D+","C","C+","B","B+","A","A+","S"},0))),LOOKUP(AVERAGE(_xlfn.SWITCH(M66,"F",0,"E",10,"D",20,"D+",30,"C",40,"C+",50,"B",60,"B+",70,"A",80,"A+",90,"S",100),_xlfn.SWITCH(N66,"F",0,"E",10,"D",20,"D+",30,"C",40,"C+",50,"B",60,"B+",70,"A",80,"A+",90,"S",100),_xlfn.SWITCH(O66,"F",0,"E",10,"D",20,"D+",30,"C",40,"C+",50,"B",60,"B+",70,"A",80,"A+",90,"S",100),_xlfn.SWITCH(P66,"F",0,"E",10,"D",20,"D+",30,"C",40,"C+",50,"B",60,"B+",70,"A",80,"A+",90,"S",100)),{0,15,25,35,45,55,65,75,85,95},{"D","D","D+","C","C+","B","B+","A","A+","S"}),"?")</f>
        <v>?</v>
      </c>
      <c r="R66" s="14"/>
      <c r="S66" s="14"/>
      <c r="T66" s="2"/>
    </row>
    <row r="67" spans="1:20" ht="21">
      <c r="A67" s="5" t="s">
        <v>413</v>
      </c>
      <c r="B67" s="5" t="s">
        <v>414</v>
      </c>
      <c r="C67" s="10"/>
      <c r="D67" s="10"/>
      <c r="E67" s="10"/>
      <c r="F67" s="10"/>
      <c r="G67" s="10"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7"/>
      <c r="I67" s="7"/>
      <c r="J67" s="2"/>
      <c r="K67" s="5" t="s">
        <v>86</v>
      </c>
      <c r="L67" s="12" t="s">
        <v>87</v>
      </c>
      <c r="M67" s="13"/>
      <c r="N67" s="13"/>
      <c r="O67" s="13"/>
      <c r="P67" s="13"/>
      <c r="Q67" s="13" t="str">
        <f>IF(AND(ISNUMBER(MATCH(M67,{"F","E","D","D+","C","C+","B","B+","A","A+","S"},0)),ISNUMBER(MATCH(N67,{"F","E","D","D+","C","C+","B","B+","A","A+","S"},0)),ISNUMBER(MATCH(O67,{"F","E","D","D+","C","C+","B","B+","A","A+","S"},0)),ISNUMBER(MATCH(P67,{"F","E","D","D+","C","C+","B","B+","A","A+","S"},0))),LOOKUP(AVERAGE(_xlfn.SWITCH(M67,"F",0,"E",10,"D",20,"D+",30,"C",40,"C+",50,"B",60,"B+",70,"A",80,"A+",90,"S",100),_xlfn.SWITCH(N67,"F",0,"E",10,"D",20,"D+",30,"C",40,"C+",50,"B",60,"B+",70,"A",80,"A+",90,"S",100),_xlfn.SWITCH(O67,"F",0,"E",10,"D",20,"D+",30,"C",40,"C+",50,"B",60,"B+",70,"A",80,"A+",90,"S",100),_xlfn.SWITCH(P67,"F",0,"E",10,"D",20,"D+",30,"C",40,"C+",50,"B",60,"B+",70,"A",80,"A+",90,"S",100)),{0,15,25,35,45,55,65,75,85,95},{"D","D","D+","C","C+","B","B+","A","A+","S"}),"?")</f>
        <v>?</v>
      </c>
      <c r="R67" s="14"/>
      <c r="S67" s="14"/>
      <c r="T67" s="2"/>
    </row>
    <row r="68" spans="1:20" ht="21">
      <c r="A68" s="5" t="s">
        <v>416</v>
      </c>
      <c r="B68" s="5" t="s">
        <v>417</v>
      </c>
      <c r="C68" s="10"/>
      <c r="D68" s="10"/>
      <c r="E68" s="10"/>
      <c r="F68" s="10"/>
      <c r="G68" s="10"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7"/>
      <c r="I68" s="7"/>
      <c r="J68" s="2"/>
      <c r="K68" s="5" t="s">
        <v>100</v>
      </c>
      <c r="L68" s="12" t="s">
        <v>101</v>
      </c>
      <c r="M68" s="13"/>
      <c r="N68" s="13"/>
      <c r="O68" s="13"/>
      <c r="P68" s="13"/>
      <c r="Q68" s="13" t="str">
        <f>IF(AND(ISNUMBER(MATCH(M68,{"F","E","D","D+","C","C+","B","B+","A","A+","S"},0)),ISNUMBER(MATCH(N68,{"F","E","D","D+","C","C+","B","B+","A","A+","S"},0)),ISNUMBER(MATCH(O68,{"F","E","D","D+","C","C+","B","B+","A","A+","S"},0)),ISNUMBER(MATCH(P68,{"F","E","D","D+","C","C+","B","B+","A","A+","S"},0))),LOOKUP(AVERAGE(_xlfn.SWITCH(M68,"F",0,"E",10,"D",20,"D+",30,"C",40,"C+",50,"B",60,"B+",70,"A",80,"A+",90,"S",100),_xlfn.SWITCH(N68,"F",0,"E",10,"D",20,"D+",30,"C",40,"C+",50,"B",60,"B+",70,"A",80,"A+",90,"S",100),_xlfn.SWITCH(O68,"F",0,"E",10,"D",20,"D+",30,"C",40,"C+",50,"B",60,"B+",70,"A",80,"A+",90,"S",100),_xlfn.SWITCH(P68,"F",0,"E",10,"D",20,"D+",30,"C",40,"C+",50,"B",60,"B+",70,"A",80,"A+",90,"S",100)),{0,15,25,35,45,55,65,75,85,95},{"D","D","D+","C","C+","B","B+","A","A+","S"}),"?")</f>
        <v>?</v>
      </c>
      <c r="R68" s="14"/>
      <c r="S68" s="14"/>
      <c r="T68" s="2"/>
    </row>
    <row r="69" spans="1:20" ht="21">
      <c r="A69" s="5" t="s">
        <v>421</v>
      </c>
      <c r="B69" s="5" t="s">
        <v>422</v>
      </c>
      <c r="C69" s="10"/>
      <c r="D69" s="10"/>
      <c r="E69" s="10"/>
      <c r="F69" s="10"/>
      <c r="G69" s="10"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v>
      </c>
      <c r="H69" s="7"/>
      <c r="I69" s="7"/>
      <c r="J69" s="2"/>
      <c r="K69" s="5" t="s">
        <v>423</v>
      </c>
      <c r="L69" s="12" t="s">
        <v>424</v>
      </c>
      <c r="M69" s="13"/>
      <c r="N69" s="13"/>
      <c r="O69" s="13"/>
      <c r="P69" s="13"/>
      <c r="Q69" s="13" t="str">
        <f>IF(AND(ISNUMBER(MATCH(M69,{"F","E","D","D+","C","C+","B","B+","A","A+","S"},0)),ISNUMBER(MATCH(N69,{"F","E","D","D+","C","C+","B","B+","A","A+","S"},0)),ISNUMBER(MATCH(O69,{"F","E","D","D+","C","C+","B","B+","A","A+","S"},0)),ISNUMBER(MATCH(P69,{"F","E","D","D+","C","C+","B","B+","A","A+","S"},0))),LOOKUP(AVERAGE(_xlfn.SWITCH(M69,"F",0,"E",10,"D",20,"D+",30,"C",40,"C+",50,"B",60,"B+",70,"A",80,"A+",90,"S",100),_xlfn.SWITCH(N69,"F",0,"E",10,"D",20,"D+",30,"C",40,"C+",50,"B",60,"B+",70,"A",80,"A+",90,"S",100),_xlfn.SWITCH(O69,"F",0,"E",10,"D",20,"D+",30,"C",40,"C+",50,"B",60,"B+",70,"A",80,"A+",90,"S",100),_xlfn.SWITCH(P69,"F",0,"E",10,"D",20,"D+",30,"C",40,"C+",50,"B",60,"B+",70,"A",80,"A+",90,"S",100)),{0,15,25,35,45,55,65,75,85,95},{"D","D","D+","C","C+","B","B+","A","A+","S"}),"?")</f>
        <v>?</v>
      </c>
      <c r="R69" s="14"/>
      <c r="S69" s="14"/>
      <c r="T69" s="2"/>
    </row>
    <row r="70" spans="1:20" ht="21">
      <c r="A70" s="5" t="s">
        <v>426</v>
      </c>
      <c r="B70" s="5" t="s">
        <v>427</v>
      </c>
      <c r="C70" s="10"/>
      <c r="D70" s="10"/>
      <c r="E70" s="10"/>
      <c r="F70" s="10"/>
      <c r="G70" s="10"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7"/>
      <c r="I70" s="7"/>
      <c r="J70" s="2"/>
      <c r="K70" s="5" t="s">
        <v>428</v>
      </c>
      <c r="L70" s="12" t="s">
        <v>429</v>
      </c>
      <c r="M70" s="13"/>
      <c r="N70" s="13"/>
      <c r="O70" s="13"/>
      <c r="P70" s="13"/>
      <c r="Q70" s="13" t="str">
        <f>IF(AND(ISNUMBER(MATCH(M70,{"F","E","D","D+","C","C+","B","B+","A","A+","S"},0)),ISNUMBER(MATCH(N70,{"F","E","D","D+","C","C+","B","B+","A","A+","S"},0)),ISNUMBER(MATCH(O70,{"F","E","D","D+","C","C+","B","B+","A","A+","S"},0)),ISNUMBER(MATCH(P70,{"F","E","D","D+","C","C+","B","B+","A","A+","S"},0))),LOOKUP(AVERAGE(_xlfn.SWITCH(M70,"F",0,"E",10,"D",20,"D+",30,"C",40,"C+",50,"B",60,"B+",70,"A",80,"A+",90,"S",100),_xlfn.SWITCH(N70,"F",0,"E",10,"D",20,"D+",30,"C",40,"C+",50,"B",60,"B+",70,"A",80,"A+",90,"S",100),_xlfn.SWITCH(O70,"F",0,"E",10,"D",20,"D+",30,"C",40,"C+",50,"B",60,"B+",70,"A",80,"A+",90,"S",100),_xlfn.SWITCH(P70,"F",0,"E",10,"D",20,"D+",30,"C",40,"C+",50,"B",60,"B+",70,"A",80,"A+",90,"S",100)),{0,15,25,35,45,55,65,75,85,95},{"D","D","D+","C","C+","B","B+","A","A+","S"}),"?")</f>
        <v>?</v>
      </c>
      <c r="R70" s="14" t="s">
        <v>2165</v>
      </c>
      <c r="S70" s="14"/>
      <c r="T70" s="2"/>
    </row>
    <row r="71" spans="1:20" ht="21">
      <c r="A71" s="5" t="s">
        <v>432</v>
      </c>
      <c r="B71" s="5" t="s">
        <v>149</v>
      </c>
      <c r="C71" s="10"/>
      <c r="D71" s="10"/>
      <c r="E71" s="10"/>
      <c r="F71" s="10"/>
      <c r="G71" s="10"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v>
      </c>
      <c r="H71" s="7"/>
      <c r="I71" s="7"/>
      <c r="J71" s="2"/>
      <c r="K71" s="5" t="s">
        <v>261</v>
      </c>
      <c r="L71" s="12" t="s">
        <v>262</v>
      </c>
      <c r="M71" s="13"/>
      <c r="N71" s="13"/>
      <c r="O71" s="13"/>
      <c r="P71" s="13"/>
      <c r="Q71" s="13" t="str">
        <f>IF(AND(ISNUMBER(MATCH(M71,{"F","E","D","D+","C","C+","B","B+","A","A+","S"},0)),ISNUMBER(MATCH(N71,{"F","E","D","D+","C","C+","B","B+","A","A+","S"},0)),ISNUMBER(MATCH(O71,{"F","E","D","D+","C","C+","B","B+","A","A+","S"},0)),ISNUMBER(MATCH(P71,{"F","E","D","D+","C","C+","B","B+","A","A+","S"},0))),LOOKUP(AVERAGE(_xlfn.SWITCH(M71,"F",0,"E",10,"D",20,"D+",30,"C",40,"C+",50,"B",60,"B+",70,"A",80,"A+",90,"S",100),_xlfn.SWITCH(N71,"F",0,"E",10,"D",20,"D+",30,"C",40,"C+",50,"B",60,"B+",70,"A",80,"A+",90,"S",100),_xlfn.SWITCH(O71,"F",0,"E",10,"D",20,"D+",30,"C",40,"C+",50,"B",60,"B+",70,"A",80,"A+",90,"S",100),_xlfn.SWITCH(P71,"F",0,"E",10,"D",20,"D+",30,"C",40,"C+",50,"B",60,"B+",70,"A",80,"A+",90,"S",100)),{0,15,25,35,45,55,65,75,85,95},{"D","D","D+","C","C+","B","B+","A","A+","S"}),"?")</f>
        <v>?</v>
      </c>
      <c r="R71" s="14"/>
      <c r="S71" s="14"/>
      <c r="T71" s="2"/>
    </row>
    <row r="72" spans="1:20" ht="21">
      <c r="A72" s="5" t="s">
        <v>435</v>
      </c>
      <c r="B72" s="5" t="s">
        <v>436</v>
      </c>
      <c r="C72" s="10"/>
      <c r="D72" s="10"/>
      <c r="E72" s="10"/>
      <c r="F72" s="10"/>
      <c r="G72" s="10"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7"/>
      <c r="I72" s="7"/>
      <c r="J72" s="2"/>
      <c r="K72" s="5" t="s">
        <v>437</v>
      </c>
      <c r="L72" s="12" t="s">
        <v>438</v>
      </c>
      <c r="M72" s="13"/>
      <c r="N72" s="13"/>
      <c r="O72" s="13"/>
      <c r="P72" s="13"/>
      <c r="Q72" s="13" t="str">
        <f>IF(AND(ISNUMBER(MATCH(M72,{"F","E","D","D+","C","C+","B","B+","A","A+","S"},0)),ISNUMBER(MATCH(N72,{"F","E","D","D+","C","C+","B","B+","A","A+","S"},0)),ISNUMBER(MATCH(O72,{"F","E","D","D+","C","C+","B","B+","A","A+","S"},0)),ISNUMBER(MATCH(P72,{"F","E","D","D+","C","C+","B","B+","A","A+","S"},0))),LOOKUP(AVERAGE(_xlfn.SWITCH(M72,"F",0,"E",10,"D",20,"D+",30,"C",40,"C+",50,"B",60,"B+",70,"A",80,"A+",90,"S",100),_xlfn.SWITCH(N72,"F",0,"E",10,"D",20,"D+",30,"C",40,"C+",50,"B",60,"B+",70,"A",80,"A+",90,"S",100),_xlfn.SWITCH(O72,"F",0,"E",10,"D",20,"D+",30,"C",40,"C+",50,"B",60,"B+",70,"A",80,"A+",90,"S",100),_xlfn.SWITCH(P72,"F",0,"E",10,"D",20,"D+",30,"C",40,"C+",50,"B",60,"B+",70,"A",80,"A+",90,"S",100)),{0,15,25,35,45,55,65,75,85,95},{"D","D","D+","C","C+","B","B+","A","A+","S"}),"?")</f>
        <v>?</v>
      </c>
      <c r="R72" s="14"/>
      <c r="S72" s="14"/>
      <c r="T72" s="2"/>
    </row>
    <row r="73" spans="1:20" ht="21">
      <c r="A73" s="5" t="s">
        <v>442</v>
      </c>
      <c r="B73" s="5" t="s">
        <v>443</v>
      </c>
      <c r="C73" s="10"/>
      <c r="D73" s="10"/>
      <c r="E73" s="10"/>
      <c r="F73" s="10"/>
      <c r="G73" s="10"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7"/>
      <c r="I73" s="7"/>
      <c r="J73" s="2"/>
      <c r="K73" s="5" t="s">
        <v>444</v>
      </c>
      <c r="L73" s="12" t="s">
        <v>445</v>
      </c>
      <c r="M73" s="13"/>
      <c r="N73" s="13"/>
      <c r="O73" s="13"/>
      <c r="P73" s="13"/>
      <c r="Q73" s="13" t="str">
        <f>IF(AND(ISNUMBER(MATCH(M73,{"F","E","D","D+","C","C+","B","B+","A","A+","S"},0)),ISNUMBER(MATCH(N73,{"F","E","D","D+","C","C+","B","B+","A","A+","S"},0)),ISNUMBER(MATCH(O73,{"F","E","D","D+","C","C+","B","B+","A","A+","S"},0)),ISNUMBER(MATCH(P73,{"F","E","D","D+","C","C+","B","B+","A","A+","S"},0))),LOOKUP(AVERAGE(_xlfn.SWITCH(M73,"F",0,"E",10,"D",20,"D+",30,"C",40,"C+",50,"B",60,"B+",70,"A",80,"A+",90,"S",100),_xlfn.SWITCH(N73,"F",0,"E",10,"D",20,"D+",30,"C",40,"C+",50,"B",60,"B+",70,"A",80,"A+",90,"S",100),_xlfn.SWITCH(O73,"F",0,"E",10,"D",20,"D+",30,"C",40,"C+",50,"B",60,"B+",70,"A",80,"A+",90,"S",100),_xlfn.SWITCH(P73,"F",0,"E",10,"D",20,"D+",30,"C",40,"C+",50,"B",60,"B+",70,"A",80,"A+",90,"S",100)),{0,15,25,35,45,55,65,75,85,95},{"D","D","D+","C","C+","B","B+","A","A+","S"}),"?")</f>
        <v>?</v>
      </c>
      <c r="R73" s="14" t="s">
        <v>1554</v>
      </c>
      <c r="S73" s="14"/>
      <c r="T73" s="2"/>
    </row>
    <row r="74" spans="1:20" ht="21">
      <c r="A74" s="5" t="s">
        <v>447</v>
      </c>
      <c r="B74" s="5" t="s">
        <v>47</v>
      </c>
      <c r="C74" s="10"/>
      <c r="D74" s="10"/>
      <c r="E74" s="10"/>
      <c r="F74" s="10"/>
      <c r="G74" s="10"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7"/>
      <c r="I74" s="7"/>
      <c r="J74" s="2"/>
      <c r="K74" s="5" t="s">
        <v>448</v>
      </c>
      <c r="L74" s="12" t="s">
        <v>449</v>
      </c>
      <c r="M74" s="13"/>
      <c r="N74" s="13"/>
      <c r="O74" s="13"/>
      <c r="P74" s="13"/>
      <c r="Q74" s="13" t="str">
        <f>IF(AND(ISNUMBER(MATCH(M74,{"F","E","D","D+","C","C+","B","B+","A","A+","S"},0)),ISNUMBER(MATCH(N74,{"F","E","D","D+","C","C+","B","B+","A","A+","S"},0)),ISNUMBER(MATCH(O74,{"F","E","D","D+","C","C+","B","B+","A","A+","S"},0)),ISNUMBER(MATCH(P74,{"F","E","D","D+","C","C+","B","B+","A","A+","S"},0))),LOOKUP(AVERAGE(_xlfn.SWITCH(M74,"F",0,"E",10,"D",20,"D+",30,"C",40,"C+",50,"B",60,"B+",70,"A",80,"A+",90,"S",100),_xlfn.SWITCH(N74,"F",0,"E",10,"D",20,"D+",30,"C",40,"C+",50,"B",60,"B+",70,"A",80,"A+",90,"S",100),_xlfn.SWITCH(O74,"F",0,"E",10,"D",20,"D+",30,"C",40,"C+",50,"B",60,"B+",70,"A",80,"A+",90,"S",100),_xlfn.SWITCH(P74,"F",0,"E",10,"D",20,"D+",30,"C",40,"C+",50,"B",60,"B+",70,"A",80,"A+",90,"S",100)),{0,15,25,35,45,55,65,75,85,95},{"D","D","D+","C","C+","B","B+","A","A+","S"}),"?")</f>
        <v>?</v>
      </c>
      <c r="R74" s="14"/>
      <c r="S74" s="14"/>
      <c r="T74" s="2"/>
    </row>
    <row r="75" spans="1:20" ht="21">
      <c r="A75" s="5" t="s">
        <v>451</v>
      </c>
      <c r="B75" s="5" t="s">
        <v>169</v>
      </c>
      <c r="C75" s="10"/>
      <c r="D75" s="10"/>
      <c r="E75" s="10"/>
      <c r="F75" s="10"/>
      <c r="G75" s="10"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7"/>
      <c r="I75" s="7"/>
      <c r="J75" s="2"/>
      <c r="K75" s="5" t="s">
        <v>452</v>
      </c>
      <c r="L75" s="12" t="s">
        <v>453</v>
      </c>
      <c r="M75" s="13"/>
      <c r="N75" s="13"/>
      <c r="O75" s="13"/>
      <c r="P75" s="13"/>
      <c r="Q75" s="13" t="str">
        <f>IF(AND(ISNUMBER(MATCH(M75,{"F","E","D","D+","C","C+","B","B+","A","A+","S"},0)),ISNUMBER(MATCH(N75,{"F","E","D","D+","C","C+","B","B+","A","A+","S"},0)),ISNUMBER(MATCH(O75,{"F","E","D","D+","C","C+","B","B+","A","A+","S"},0)),ISNUMBER(MATCH(P75,{"F","E","D","D+","C","C+","B","B+","A","A+","S"},0))),LOOKUP(AVERAGE(_xlfn.SWITCH(M75,"F",0,"E",10,"D",20,"D+",30,"C",40,"C+",50,"B",60,"B+",70,"A",80,"A+",90,"S",100),_xlfn.SWITCH(N75,"F",0,"E",10,"D",20,"D+",30,"C",40,"C+",50,"B",60,"B+",70,"A",80,"A+",90,"S",100),_xlfn.SWITCH(O75,"F",0,"E",10,"D",20,"D+",30,"C",40,"C+",50,"B",60,"B+",70,"A",80,"A+",90,"S",100),_xlfn.SWITCH(P75,"F",0,"E",10,"D",20,"D+",30,"C",40,"C+",50,"B",60,"B+",70,"A",80,"A+",90,"S",100)),{0,15,25,35,45,55,65,75,85,95},{"D","D","D+","C","C+","B","B+","A","A+","S"}),"?")</f>
        <v>?</v>
      </c>
      <c r="R75" s="14"/>
      <c r="S75" s="14"/>
      <c r="T75" s="2"/>
    </row>
    <row r="76" spans="1:20" ht="110">
      <c r="A76" s="5" t="s">
        <v>455</v>
      </c>
      <c r="B76" s="5" t="s">
        <v>197</v>
      </c>
      <c r="C76" s="10"/>
      <c r="D76" s="10"/>
      <c r="E76" s="10"/>
      <c r="F76" s="10"/>
      <c r="G76" s="10"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7"/>
      <c r="I76" s="7"/>
      <c r="J76" s="2"/>
      <c r="K76" s="5" t="s">
        <v>456</v>
      </c>
      <c r="L76" s="12" t="s">
        <v>457</v>
      </c>
      <c r="M76" s="13"/>
      <c r="N76" s="13"/>
      <c r="O76" s="13"/>
      <c r="P76" s="13"/>
      <c r="Q76" s="13" t="s">
        <v>18</v>
      </c>
      <c r="R76" s="132" t="s">
        <v>2166</v>
      </c>
      <c r="S76" s="14"/>
      <c r="T76" s="2"/>
    </row>
    <row r="77" spans="1:20" ht="21">
      <c r="A77" s="5" t="s">
        <v>461</v>
      </c>
      <c r="B77" s="6" t="s">
        <v>378</v>
      </c>
      <c r="C77" s="10"/>
      <c r="D77" s="10"/>
      <c r="E77" s="10"/>
      <c r="F77" s="10"/>
      <c r="G77" s="10"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7"/>
      <c r="I77" s="7"/>
      <c r="J77" s="2"/>
      <c r="K77" s="5" t="s">
        <v>462</v>
      </c>
      <c r="L77" s="12" t="s">
        <v>463</v>
      </c>
      <c r="M77" s="13"/>
      <c r="N77" s="13"/>
      <c r="O77" s="13"/>
      <c r="P77" s="13"/>
      <c r="Q77" s="13" t="str">
        <f>IF(AND(ISNUMBER(MATCH(M77,{"F","E","D","D+","C","C+","B","B+","A","A+","S"},0)),ISNUMBER(MATCH(N77,{"F","E","D","D+","C","C+","B","B+","A","A+","S"},0)),ISNUMBER(MATCH(O77,{"F","E","D","D+","C","C+","B","B+","A","A+","S"},0)),ISNUMBER(MATCH(P77,{"F","E","D","D+","C","C+","B","B+","A","A+","S"},0))),LOOKUP(AVERAGE(_xlfn.SWITCH(M77,"F",0,"E",10,"D",20,"D+",30,"C",40,"C+",50,"B",60,"B+",70,"A",80,"A+",90,"S",100),_xlfn.SWITCH(N77,"F",0,"E",10,"D",20,"D+",30,"C",40,"C+",50,"B",60,"B+",70,"A",80,"A+",90,"S",100),_xlfn.SWITCH(O77,"F",0,"E",10,"D",20,"D+",30,"C",40,"C+",50,"B",60,"B+",70,"A",80,"A+",90,"S",100),_xlfn.SWITCH(P77,"F",0,"E",10,"D",20,"D+",30,"C",40,"C+",50,"B",60,"B+",70,"A",80,"A+",90,"S",100)),{0,15,25,35,45,55,65,75,85,95},{"D","D","D+","C","C+","B","B+","A","A+","S"}),"?")</f>
        <v>?</v>
      </c>
      <c r="R77" s="14"/>
      <c r="S77" s="14"/>
      <c r="T77" s="2"/>
    </row>
    <row r="78" spans="1:20" ht="21">
      <c r="A78" s="5" t="s">
        <v>467</v>
      </c>
      <c r="B78" s="5" t="s">
        <v>30</v>
      </c>
      <c r="C78" s="10"/>
      <c r="D78" s="10"/>
      <c r="E78" s="10"/>
      <c r="F78" s="10"/>
      <c r="G78" s="10" t="str">
        <f>IF(AND(ISNUMBER(MATCH(C78,{"F","E","D","D+","C","C+","B","B+","A","A+","S"},0)),ISNUMBER(MATCH(D78,{"F","E","D","D+","C","C+","B","B+","A","A+","S"},0)),ISNUMBER(MATCH(E78,{"F","E","D","D+","C","C+","B","B+","A","A+","S"},0)),ISNUMBER(MATCH(F78,{"F","E","D","D+","C","C+","B","B+","A","A+","S"},0))),LOOKUP(AVERAGE(_xlfn.SWITCH(C78,"F",0,"E",10,"D",20,"D+",30,"C",40,"C+",50,"B",60,"B+",70,"A",80,"A+",90,"S",100),_xlfn.SWITCH(D78,"F",0,"E",10,"D",20,"D+",30,"C",40,"C+",50,"B",60,"B+",70,"A",80,"A+",90,"S",100),_xlfn.SWITCH(E78,"F",0,"E",10,"D",20,"D+",30,"C",40,"C+",50,"B",60,"B+",70,"A",80,"A+",90,"S",100),_xlfn.SWITCH(F78,"F",0,"E",10,"D",20,"D+",30,"C",40,"C+",50,"B",60,"B+",70,"A",80,"A+",90,"S",100)),{0,15,25,35,45,55,65,75,85,95},{"D","D","D+","C","C+","B","B+","A","A+","S"}),"?")</f>
        <v>?</v>
      </c>
      <c r="H78" s="7"/>
      <c r="I78" s="7"/>
      <c r="J78" s="2"/>
      <c r="K78" s="5" t="s">
        <v>468</v>
      </c>
      <c r="L78" s="12" t="s">
        <v>469</v>
      </c>
      <c r="M78" s="13"/>
      <c r="N78" s="13"/>
      <c r="O78" s="13"/>
      <c r="P78" s="13"/>
      <c r="Q78" s="13" t="str">
        <f>IF(AND(ISNUMBER(MATCH(M78,{"F","E","D","D+","C","C+","B","B+","A","A+","S"},0)),ISNUMBER(MATCH(N78,{"F","E","D","D+","C","C+","B","B+","A","A+","S"},0)),ISNUMBER(MATCH(O78,{"F","E","D","D+","C","C+","B","B+","A","A+","S"},0)),ISNUMBER(MATCH(P78,{"F","E","D","D+","C","C+","B","B+","A","A+","S"},0))),LOOKUP(AVERAGE(_xlfn.SWITCH(M78,"F",0,"E",10,"D",20,"D+",30,"C",40,"C+",50,"B",60,"B+",70,"A",80,"A+",90,"S",100),_xlfn.SWITCH(N78,"F",0,"E",10,"D",20,"D+",30,"C",40,"C+",50,"B",60,"B+",70,"A",80,"A+",90,"S",100),_xlfn.SWITCH(O78,"F",0,"E",10,"D",20,"D+",30,"C",40,"C+",50,"B",60,"B+",70,"A",80,"A+",90,"S",100),_xlfn.SWITCH(P78,"F",0,"E",10,"D",20,"D+",30,"C",40,"C+",50,"B",60,"B+",70,"A",80,"A+",90,"S",100)),{0,15,25,35,45,55,65,75,85,95},{"D","D","D+","C","C+","B","B+","A","A+","S"}),"?")</f>
        <v>?</v>
      </c>
      <c r="R78" s="14"/>
      <c r="S78" s="14"/>
      <c r="T78" s="2"/>
    </row>
    <row r="79" spans="1:20" ht="21">
      <c r="A79" s="5" t="s">
        <v>472</v>
      </c>
      <c r="B79" s="5" t="s">
        <v>473</v>
      </c>
      <c r="C79" s="10"/>
      <c r="D79" s="10"/>
      <c r="E79" s="10"/>
      <c r="F79" s="10"/>
      <c r="G79" s="10"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7"/>
      <c r="I79" s="7"/>
      <c r="J79" s="2"/>
      <c r="K79" s="5" t="s">
        <v>175</v>
      </c>
      <c r="L79" s="12" t="s">
        <v>176</v>
      </c>
      <c r="M79" s="13"/>
      <c r="N79" s="13"/>
      <c r="O79" s="13"/>
      <c r="P79" s="13"/>
      <c r="Q79" s="13" t="str">
        <f>IF(AND(ISNUMBER(MATCH(M79,{"F","E","D","D+","C","C+","B","B+","A","A+","S"},0)),ISNUMBER(MATCH(N79,{"F","E","D","D+","C","C+","B","B+","A","A+","S"},0)),ISNUMBER(MATCH(O79,{"F","E","D","D+","C","C+","B","B+","A","A+","S"},0)),ISNUMBER(MATCH(P79,{"F","E","D","D+","C","C+","B","B+","A","A+","S"},0))),LOOKUP(AVERAGE(_xlfn.SWITCH(M79,"F",0,"E",10,"D",20,"D+",30,"C",40,"C+",50,"B",60,"B+",70,"A",80,"A+",90,"S",100),_xlfn.SWITCH(N79,"F",0,"E",10,"D",20,"D+",30,"C",40,"C+",50,"B",60,"B+",70,"A",80,"A+",90,"S",100),_xlfn.SWITCH(O79,"F",0,"E",10,"D",20,"D+",30,"C",40,"C+",50,"B",60,"B+",70,"A",80,"A+",90,"S",100),_xlfn.SWITCH(P79,"F",0,"E",10,"D",20,"D+",30,"C",40,"C+",50,"B",60,"B+",70,"A",80,"A+",90,"S",100)),{0,15,25,35,45,55,65,75,85,95},{"D","D","D+","C","C+","B","B+","A","A+","S"}),"?")</f>
        <v>?</v>
      </c>
      <c r="R79" s="14"/>
      <c r="S79" s="14"/>
      <c r="T79" s="2"/>
    </row>
    <row r="80" spans="1:20" ht="21">
      <c r="A80" s="5" t="s">
        <v>475</v>
      </c>
      <c r="B80" s="5" t="s">
        <v>476</v>
      </c>
      <c r="C80" s="10"/>
      <c r="D80" s="10"/>
      <c r="E80" s="10"/>
      <c r="F80" s="10"/>
      <c r="G80" s="10"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7"/>
      <c r="I80" s="7"/>
      <c r="J80" s="2"/>
      <c r="K80" s="5" t="s">
        <v>189</v>
      </c>
      <c r="L80" s="12" t="s">
        <v>190</v>
      </c>
      <c r="M80" s="13"/>
      <c r="N80" s="13"/>
      <c r="O80" s="13"/>
      <c r="P80" s="13"/>
      <c r="Q80" s="13" t="str">
        <f>IF(AND(ISNUMBER(MATCH(M80,{"F","E","D","D+","C","C+","B","B+","A","A+","S"},0)),ISNUMBER(MATCH(N80,{"F","E","D","D+","C","C+","B","B+","A","A+","S"},0)),ISNUMBER(MATCH(O80,{"F","E","D","D+","C","C+","B","B+","A","A+","S"},0)),ISNUMBER(MATCH(P80,{"F","E","D","D+","C","C+","B","B+","A","A+","S"},0))),LOOKUP(AVERAGE(_xlfn.SWITCH(M80,"F",0,"E",10,"D",20,"D+",30,"C",40,"C+",50,"B",60,"B+",70,"A",80,"A+",90,"S",100),_xlfn.SWITCH(N80,"F",0,"E",10,"D",20,"D+",30,"C",40,"C+",50,"B",60,"B+",70,"A",80,"A+",90,"S",100),_xlfn.SWITCH(O80,"F",0,"E",10,"D",20,"D+",30,"C",40,"C+",50,"B",60,"B+",70,"A",80,"A+",90,"S",100),_xlfn.SWITCH(P80,"F",0,"E",10,"D",20,"D+",30,"C",40,"C+",50,"B",60,"B+",70,"A",80,"A+",90,"S",100)),{0,15,25,35,45,55,65,75,85,95},{"D","D","D+","C","C+","B","B+","A","A+","S"}),"?")</f>
        <v>?</v>
      </c>
      <c r="R80" s="14"/>
      <c r="S80" s="14"/>
      <c r="T80" s="2"/>
    </row>
    <row r="81" spans="1:20" ht="21">
      <c r="A81" s="5" t="s">
        <v>478</v>
      </c>
      <c r="B81" s="5" t="s">
        <v>321</v>
      </c>
      <c r="C81" s="10"/>
      <c r="D81" s="10"/>
      <c r="E81" s="10"/>
      <c r="F81" s="10"/>
      <c r="G81" s="10"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7"/>
      <c r="I81" s="7"/>
      <c r="J81" s="2"/>
      <c r="K81" s="5" t="s">
        <v>479</v>
      </c>
      <c r="L81" s="12" t="s">
        <v>480</v>
      </c>
      <c r="M81" s="13"/>
      <c r="N81" s="13"/>
      <c r="O81" s="13"/>
      <c r="P81" s="13"/>
      <c r="Q81" s="13" t="str">
        <f>IF(AND(ISNUMBER(MATCH(M81,{"F","E","D","D+","C","C+","B","B+","A","A+","S"},0)),ISNUMBER(MATCH(N81,{"F","E","D","D+","C","C+","B","B+","A","A+","S"},0)),ISNUMBER(MATCH(O81,{"F","E","D","D+","C","C+","B","B+","A","A+","S"},0)),ISNUMBER(MATCH(P81,{"F","E","D","D+","C","C+","B","B+","A","A+","S"},0))),LOOKUP(AVERAGE(_xlfn.SWITCH(M81,"F",0,"E",10,"D",20,"D+",30,"C",40,"C+",50,"B",60,"B+",70,"A",80,"A+",90,"S",100),_xlfn.SWITCH(N81,"F",0,"E",10,"D",20,"D+",30,"C",40,"C+",50,"B",60,"B+",70,"A",80,"A+",90,"S",100),_xlfn.SWITCH(O81,"F",0,"E",10,"D",20,"D+",30,"C",40,"C+",50,"B",60,"B+",70,"A",80,"A+",90,"S",100),_xlfn.SWITCH(P81,"F",0,"E",10,"D",20,"D+",30,"C",40,"C+",50,"B",60,"B+",70,"A",80,"A+",90,"S",100)),{0,15,25,35,45,55,65,75,85,95},{"D","D","D+","C","C+","B","B+","A","A+","S"}),"?")</f>
        <v>?</v>
      </c>
      <c r="R81" s="14"/>
      <c r="S81" s="14"/>
      <c r="T81" s="2"/>
    </row>
    <row r="82" spans="1:20" ht="21">
      <c r="A82" s="5" t="s">
        <v>483</v>
      </c>
      <c r="B82" s="5" t="s">
        <v>484</v>
      </c>
      <c r="C82" s="10"/>
      <c r="D82" s="10"/>
      <c r="E82" s="10"/>
      <c r="F82" s="10"/>
      <c r="G82" s="10"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7"/>
      <c r="I82" s="7"/>
      <c r="J82" s="2"/>
      <c r="K82" s="5" t="s">
        <v>485</v>
      </c>
      <c r="L82" s="12" t="s">
        <v>486</v>
      </c>
      <c r="M82" s="13"/>
      <c r="N82" s="13"/>
      <c r="O82" s="13"/>
      <c r="P82" s="13"/>
      <c r="Q82" s="13" t="str">
        <f>IF(AND(ISNUMBER(MATCH(M82,{"F","E","D","D+","C","C+","B","B+","A","A+","S"},0)),ISNUMBER(MATCH(N82,{"F","E","D","D+","C","C+","B","B+","A","A+","S"},0)),ISNUMBER(MATCH(O82,{"F","E","D","D+","C","C+","B","B+","A","A+","S"},0)),ISNUMBER(MATCH(P82,{"F","E","D","D+","C","C+","B","B+","A","A+","S"},0))),LOOKUP(AVERAGE(_xlfn.SWITCH(M82,"F",0,"E",10,"D",20,"D+",30,"C",40,"C+",50,"B",60,"B+",70,"A",80,"A+",90,"S",100),_xlfn.SWITCH(N82,"F",0,"E",10,"D",20,"D+",30,"C",40,"C+",50,"B",60,"B+",70,"A",80,"A+",90,"S",100),_xlfn.SWITCH(O82,"F",0,"E",10,"D",20,"D+",30,"C",40,"C+",50,"B",60,"B+",70,"A",80,"A+",90,"S",100),_xlfn.SWITCH(P82,"F",0,"E",10,"D",20,"D+",30,"C",40,"C+",50,"B",60,"B+",70,"A",80,"A+",90,"S",100)),{0,15,25,35,45,55,65,75,85,95},{"D","D","D+","C","C+","B","B+","A","A+","S"}),"?")</f>
        <v>?</v>
      </c>
      <c r="R82" s="14"/>
      <c r="S82" s="14"/>
      <c r="T82" s="2"/>
    </row>
    <row r="83" spans="1:20" ht="44">
      <c r="A83" s="5" t="s">
        <v>488</v>
      </c>
      <c r="B83" s="5" t="s">
        <v>489</v>
      </c>
      <c r="C83" s="10"/>
      <c r="D83" s="10"/>
      <c r="E83" s="10"/>
      <c r="F83" s="10"/>
      <c r="G83" s="10"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7"/>
      <c r="I83" s="7"/>
      <c r="J83" s="2"/>
      <c r="K83" s="5" t="s">
        <v>490</v>
      </c>
      <c r="L83" s="12" t="s">
        <v>491</v>
      </c>
      <c r="M83" s="13"/>
      <c r="N83" s="13"/>
      <c r="O83" s="13"/>
      <c r="P83" s="13"/>
      <c r="Q83" s="13" t="s">
        <v>1567</v>
      </c>
      <c r="R83" s="132" t="s">
        <v>2167</v>
      </c>
      <c r="S83" s="14"/>
      <c r="T83" s="2"/>
    </row>
    <row r="84" spans="1:20" ht="21">
      <c r="A84" s="5" t="s">
        <v>494</v>
      </c>
      <c r="B84" s="5" t="s">
        <v>495</v>
      </c>
      <c r="C84" s="10"/>
      <c r="D84" s="10"/>
      <c r="E84" s="10"/>
      <c r="F84" s="10"/>
      <c r="G84" s="10"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7"/>
      <c r="I84" s="7"/>
      <c r="J84" s="2"/>
      <c r="K84" s="5" t="s">
        <v>496</v>
      </c>
      <c r="L84" s="12" t="s">
        <v>497</v>
      </c>
      <c r="M84" s="13"/>
      <c r="N84" s="13"/>
      <c r="O84" s="13"/>
      <c r="P84" s="13"/>
      <c r="Q84" s="13" t="str">
        <f>IF(AND(ISNUMBER(MATCH(M84,{"F","E","D","D+","C","C+","B","B+","A","A+","S"},0)),ISNUMBER(MATCH(N84,{"F","E","D","D+","C","C+","B","B+","A","A+","S"},0)),ISNUMBER(MATCH(O84,{"F","E","D","D+","C","C+","B","B+","A","A+","S"},0)),ISNUMBER(MATCH(P84,{"F","E","D","D+","C","C+","B","B+","A","A+","S"},0))),LOOKUP(AVERAGE(_xlfn.SWITCH(M84,"F",0,"E",10,"D",20,"D+",30,"C",40,"C+",50,"B",60,"B+",70,"A",80,"A+",90,"S",100),_xlfn.SWITCH(N84,"F",0,"E",10,"D",20,"D+",30,"C",40,"C+",50,"B",60,"B+",70,"A",80,"A+",90,"S",100),_xlfn.SWITCH(O84,"F",0,"E",10,"D",20,"D+",30,"C",40,"C+",50,"B",60,"B+",70,"A",80,"A+",90,"S",100),_xlfn.SWITCH(P84,"F",0,"E",10,"D",20,"D+",30,"C",40,"C+",50,"B",60,"B+",70,"A",80,"A+",90,"S",100)),{0,15,25,35,45,55,65,75,85,95},{"D","D","D+","C","C+","B","B+","A","A+","S"}),"?")</f>
        <v>?</v>
      </c>
      <c r="R84" s="14"/>
      <c r="S84" s="14"/>
      <c r="T84" s="2"/>
    </row>
    <row r="85" spans="1:20" ht="21">
      <c r="A85" s="5" t="s">
        <v>500</v>
      </c>
      <c r="B85" s="5" t="s">
        <v>501</v>
      </c>
      <c r="C85" s="10"/>
      <c r="D85" s="10"/>
      <c r="E85" s="10"/>
      <c r="F85" s="10"/>
      <c r="G85" s="10"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7"/>
      <c r="I85" s="7"/>
      <c r="J85" s="2"/>
      <c r="K85" s="5" t="s">
        <v>502</v>
      </c>
      <c r="L85" s="12" t="s">
        <v>503</v>
      </c>
      <c r="M85" s="13"/>
      <c r="N85" s="13"/>
      <c r="O85" s="13"/>
      <c r="P85" s="13"/>
      <c r="Q85" s="13" t="str">
        <f>IF(AND(ISNUMBER(MATCH(M85,{"F","E","D","D+","C","C+","B","B+","A","A+","S"},0)),ISNUMBER(MATCH(N85,{"F","E","D","D+","C","C+","B","B+","A","A+","S"},0)),ISNUMBER(MATCH(O85,{"F","E","D","D+","C","C+","B","B+","A","A+","S"},0)),ISNUMBER(MATCH(P85,{"F","E","D","D+","C","C+","B","B+","A","A+","S"},0))),LOOKUP(AVERAGE(_xlfn.SWITCH(M85,"F",0,"E",10,"D",20,"D+",30,"C",40,"C+",50,"B",60,"B+",70,"A",80,"A+",90,"S",100),_xlfn.SWITCH(N85,"F",0,"E",10,"D",20,"D+",30,"C",40,"C+",50,"B",60,"B+",70,"A",80,"A+",90,"S",100),_xlfn.SWITCH(O85,"F",0,"E",10,"D",20,"D+",30,"C",40,"C+",50,"B",60,"B+",70,"A",80,"A+",90,"S",100),_xlfn.SWITCH(P85,"F",0,"E",10,"D",20,"D+",30,"C",40,"C+",50,"B",60,"B+",70,"A",80,"A+",90,"S",100)),{0,15,25,35,45,55,65,75,85,95},{"D","D","D+","C","C+","B","B+","A","A+","S"}),"?")</f>
        <v>?</v>
      </c>
      <c r="R85" s="14"/>
      <c r="S85" s="14"/>
      <c r="T85" s="2"/>
    </row>
    <row r="86" spans="1:20" ht="44">
      <c r="A86" s="5" t="s">
        <v>505</v>
      </c>
      <c r="B86" s="5" t="s">
        <v>506</v>
      </c>
      <c r="C86" s="10"/>
      <c r="D86" s="10"/>
      <c r="E86" s="10"/>
      <c r="F86" s="10"/>
      <c r="G86" s="10"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7"/>
      <c r="I86" s="7"/>
      <c r="J86" s="2"/>
      <c r="K86" s="5" t="s">
        <v>507</v>
      </c>
      <c r="L86" s="12" t="s">
        <v>508</v>
      </c>
      <c r="M86" s="13"/>
      <c r="N86" s="13"/>
      <c r="O86" s="13"/>
      <c r="P86" s="13"/>
      <c r="Q86" s="13" t="s">
        <v>1567</v>
      </c>
      <c r="R86" s="132" t="s">
        <v>2168</v>
      </c>
      <c r="S86" s="14"/>
      <c r="T86" s="2"/>
    </row>
    <row r="87" spans="1:20" ht="21">
      <c r="A87" s="5" t="s">
        <v>509</v>
      </c>
      <c r="B87" s="5" t="s">
        <v>237</v>
      </c>
      <c r="C87" s="10"/>
      <c r="D87" s="10"/>
      <c r="E87" s="10"/>
      <c r="F87" s="10"/>
      <c r="G87" s="10"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v>
      </c>
      <c r="H87" s="7"/>
      <c r="I87" s="7"/>
      <c r="J87" s="2"/>
      <c r="K87" s="5" t="s">
        <v>182</v>
      </c>
      <c r="L87" s="12" t="s">
        <v>183</v>
      </c>
      <c r="M87" s="13"/>
      <c r="N87" s="13"/>
      <c r="O87" s="13"/>
      <c r="P87" s="13"/>
      <c r="Q87" s="13" t="str">
        <f>IF(AND(ISNUMBER(MATCH(M87,{"F","E","D","D+","C","C+","B","B+","A","A+","S"},0)),ISNUMBER(MATCH(N87,{"F","E","D","D+","C","C+","B","B+","A","A+","S"},0)),ISNUMBER(MATCH(O87,{"F","E","D","D+","C","C+","B","B+","A","A+","S"},0)),ISNUMBER(MATCH(P87,{"F","E","D","D+","C","C+","B","B+","A","A+","S"},0))),LOOKUP(AVERAGE(_xlfn.SWITCH(M87,"F",0,"E",10,"D",20,"D+",30,"C",40,"C+",50,"B",60,"B+",70,"A",80,"A+",90,"S",100),_xlfn.SWITCH(N87,"F",0,"E",10,"D",20,"D+",30,"C",40,"C+",50,"B",60,"B+",70,"A",80,"A+",90,"S",100),_xlfn.SWITCH(O87,"F",0,"E",10,"D",20,"D+",30,"C",40,"C+",50,"B",60,"B+",70,"A",80,"A+",90,"S",100),_xlfn.SWITCH(P87,"F",0,"E",10,"D",20,"D+",30,"C",40,"C+",50,"B",60,"B+",70,"A",80,"A+",90,"S",100)),{0,15,25,35,45,55,65,75,85,95},{"D","D","D+","C","C+","B","B+","A","A+","S"}),"?")</f>
        <v>?</v>
      </c>
      <c r="R87" s="14"/>
      <c r="S87" s="14"/>
      <c r="T87" s="2"/>
    </row>
    <row r="88" spans="1:20" ht="21">
      <c r="A88" s="5" t="s">
        <v>510</v>
      </c>
      <c r="B88" s="5" t="s">
        <v>511</v>
      </c>
      <c r="C88" s="10"/>
      <c r="D88" s="10"/>
      <c r="E88" s="10"/>
      <c r="F88" s="10"/>
      <c r="G88" s="10"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7"/>
      <c r="I88" s="7"/>
      <c r="J88" s="2"/>
      <c r="K88" s="5" t="s">
        <v>512</v>
      </c>
      <c r="L88" s="12" t="s">
        <v>513</v>
      </c>
      <c r="M88" s="13"/>
      <c r="N88" s="13"/>
      <c r="O88" s="13"/>
      <c r="P88" s="13"/>
      <c r="Q88" s="13" t="str">
        <f>IF(AND(ISNUMBER(MATCH(M88,{"F","E","D","D+","C","C+","B","B+","A","A+","S"},0)),ISNUMBER(MATCH(N88,{"F","E","D","D+","C","C+","B","B+","A","A+","S"},0)),ISNUMBER(MATCH(O88,{"F","E","D","D+","C","C+","B","B+","A","A+","S"},0)),ISNUMBER(MATCH(P88,{"F","E","D","D+","C","C+","B","B+","A","A+","S"},0))),LOOKUP(AVERAGE(_xlfn.SWITCH(M88,"F",0,"E",10,"D",20,"D+",30,"C",40,"C+",50,"B",60,"B+",70,"A",80,"A+",90,"S",100),_xlfn.SWITCH(N88,"F",0,"E",10,"D",20,"D+",30,"C",40,"C+",50,"B",60,"B+",70,"A",80,"A+",90,"S",100),_xlfn.SWITCH(O88,"F",0,"E",10,"D",20,"D+",30,"C",40,"C+",50,"B",60,"B+",70,"A",80,"A+",90,"S",100),_xlfn.SWITCH(P88,"F",0,"E",10,"D",20,"D+",30,"C",40,"C+",50,"B",60,"B+",70,"A",80,"A+",90,"S",100)),{0,15,25,35,45,55,65,75,85,95},{"D","D","D+","C","C+","B","B+","A","A+","S"}),"?")</f>
        <v>?</v>
      </c>
      <c r="R88" s="14"/>
      <c r="S88" s="14"/>
      <c r="T88" s="2"/>
    </row>
    <row r="89" spans="1:20" ht="21">
      <c r="A89" s="5" t="s">
        <v>517</v>
      </c>
      <c r="B89" s="5" t="s">
        <v>224</v>
      </c>
      <c r="C89" s="10"/>
      <c r="D89" s="10"/>
      <c r="E89" s="10"/>
      <c r="F89" s="10"/>
      <c r="G89" s="10"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7"/>
      <c r="I89" s="7"/>
      <c r="J89" s="2"/>
      <c r="K89" s="5" t="s">
        <v>518</v>
      </c>
      <c r="L89" s="12" t="s">
        <v>519</v>
      </c>
      <c r="M89" s="13"/>
      <c r="N89" s="13"/>
      <c r="O89" s="13"/>
      <c r="P89" s="13"/>
      <c r="Q89" s="13" t="str">
        <f>IF(AND(ISNUMBER(MATCH(M89,{"F","E","D","D+","C","C+","B","B+","A","A+","S"},0)),ISNUMBER(MATCH(N89,{"F","E","D","D+","C","C+","B","B+","A","A+","S"},0)),ISNUMBER(MATCH(O89,{"F","E","D","D+","C","C+","B","B+","A","A+","S"},0)),ISNUMBER(MATCH(P89,{"F","E","D","D+","C","C+","B","B+","A","A+","S"},0))),LOOKUP(AVERAGE(_xlfn.SWITCH(M89,"F",0,"E",10,"D",20,"D+",30,"C",40,"C+",50,"B",60,"B+",70,"A",80,"A+",90,"S",100),_xlfn.SWITCH(N89,"F",0,"E",10,"D",20,"D+",30,"C",40,"C+",50,"B",60,"B+",70,"A",80,"A+",90,"S",100),_xlfn.SWITCH(O89,"F",0,"E",10,"D",20,"D+",30,"C",40,"C+",50,"B",60,"B+",70,"A",80,"A+",90,"S",100),_xlfn.SWITCH(P89,"F",0,"E",10,"D",20,"D+",30,"C",40,"C+",50,"B",60,"B+",70,"A",80,"A+",90,"S",100)),{0,15,25,35,45,55,65,75,85,95},{"D","D","D+","C","C+","B","B+","A","A+","S"}),"?")</f>
        <v>?</v>
      </c>
      <c r="R89" s="14"/>
      <c r="S89" s="14"/>
      <c r="T89" s="2"/>
    </row>
    <row r="90" spans="1:20" ht="21">
      <c r="A90" s="5" t="s">
        <v>523</v>
      </c>
      <c r="B90" s="5" t="s">
        <v>460</v>
      </c>
      <c r="C90" s="10"/>
      <c r="D90" s="10"/>
      <c r="E90" s="10"/>
      <c r="F90" s="10"/>
      <c r="G90" s="10"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7"/>
      <c r="I90" s="7"/>
      <c r="J90" s="2"/>
      <c r="K90" s="5" t="s">
        <v>524</v>
      </c>
      <c r="L90" s="12" t="s">
        <v>525</v>
      </c>
      <c r="M90" s="13"/>
      <c r="N90" s="13"/>
      <c r="O90" s="13"/>
      <c r="P90" s="13"/>
      <c r="Q90" s="13" t="str">
        <f>IF(AND(ISNUMBER(MATCH(M90,{"F","E","D","D+","C","C+","B","B+","A","A+","S"},0)),ISNUMBER(MATCH(N90,{"F","E","D","D+","C","C+","B","B+","A","A+","S"},0)),ISNUMBER(MATCH(O90,{"F","E","D","D+","C","C+","B","B+","A","A+","S"},0)),ISNUMBER(MATCH(P90,{"F","E","D","D+","C","C+","B","B+","A","A+","S"},0))),LOOKUP(AVERAGE(_xlfn.SWITCH(M90,"F",0,"E",10,"D",20,"D+",30,"C",40,"C+",50,"B",60,"B+",70,"A",80,"A+",90,"S",100),_xlfn.SWITCH(N90,"F",0,"E",10,"D",20,"D+",30,"C",40,"C+",50,"B",60,"B+",70,"A",80,"A+",90,"S",100),_xlfn.SWITCH(O90,"F",0,"E",10,"D",20,"D+",30,"C",40,"C+",50,"B",60,"B+",70,"A",80,"A+",90,"S",100),_xlfn.SWITCH(P90,"F",0,"E",10,"D",20,"D+",30,"C",40,"C+",50,"B",60,"B+",70,"A",80,"A+",90,"S",100)),{0,15,25,35,45,55,65,75,85,95},{"D","D","D+","C","C+","B","B+","A","A+","S"}),"?")</f>
        <v>?</v>
      </c>
      <c r="R90" s="14"/>
      <c r="S90" s="14"/>
      <c r="T90" s="2"/>
    </row>
    <row r="91" spans="1:20" ht="21">
      <c r="A91" s="5" t="s">
        <v>529</v>
      </c>
      <c r="B91" s="5" t="s">
        <v>530</v>
      </c>
      <c r="C91" s="10"/>
      <c r="D91" s="10"/>
      <c r="E91" s="10"/>
      <c r="F91" s="10"/>
      <c r="G91" s="10"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7"/>
      <c r="I91" s="7"/>
      <c r="J91" s="2"/>
      <c r="K91" s="5" t="s">
        <v>72</v>
      </c>
      <c r="L91" s="12" t="s">
        <v>73</v>
      </c>
      <c r="M91" s="13"/>
      <c r="N91" s="13"/>
      <c r="O91" s="13"/>
      <c r="P91" s="13"/>
      <c r="Q91" s="13" t="str">
        <f>IF(AND(ISNUMBER(MATCH(M91,{"F","E","D","D+","C","C+","B","B+","A","A+","S"},0)),ISNUMBER(MATCH(N91,{"F","E","D","D+","C","C+","B","B+","A","A+","S"},0)),ISNUMBER(MATCH(O91,{"F","E","D","D+","C","C+","B","B+","A","A+","S"},0)),ISNUMBER(MATCH(P91,{"F","E","D","D+","C","C+","B","B+","A","A+","S"},0))),LOOKUP(AVERAGE(_xlfn.SWITCH(M91,"F",0,"E",10,"D",20,"D+",30,"C",40,"C+",50,"B",60,"B+",70,"A",80,"A+",90,"S",100),_xlfn.SWITCH(N91,"F",0,"E",10,"D",20,"D+",30,"C",40,"C+",50,"B",60,"B+",70,"A",80,"A+",90,"S",100),_xlfn.SWITCH(O91,"F",0,"E",10,"D",20,"D+",30,"C",40,"C+",50,"B",60,"B+",70,"A",80,"A+",90,"S",100),_xlfn.SWITCH(P91,"F",0,"E",10,"D",20,"D+",30,"C",40,"C+",50,"B",60,"B+",70,"A",80,"A+",90,"S",100)),{0,15,25,35,45,55,65,75,85,95},{"D","D","D+","C","C+","B","B+","A","A+","S"}),"?")</f>
        <v>?</v>
      </c>
      <c r="R91" s="14"/>
      <c r="S91" s="14"/>
      <c r="T91" s="2"/>
    </row>
    <row r="92" spans="1:20" ht="44">
      <c r="A92" s="5" t="s">
        <v>534</v>
      </c>
      <c r="B92" s="5" t="s">
        <v>535</v>
      </c>
      <c r="C92" s="10"/>
      <c r="D92" s="10"/>
      <c r="E92" s="10"/>
      <c r="F92" s="10"/>
      <c r="G92" s="10"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7"/>
      <c r="I92" s="7"/>
      <c r="J92" s="2"/>
      <c r="K92" s="5" t="s">
        <v>536</v>
      </c>
      <c r="L92" s="12" t="s">
        <v>537</v>
      </c>
      <c r="M92" s="13"/>
      <c r="N92" s="13"/>
      <c r="O92" s="13"/>
      <c r="P92" s="13"/>
      <c r="Q92" s="13" t="s">
        <v>1574</v>
      </c>
      <c r="R92" s="132" t="s">
        <v>2169</v>
      </c>
      <c r="S92" s="14"/>
      <c r="T92" s="2"/>
    </row>
    <row r="93" spans="1:20" ht="21">
      <c r="A93" s="5" t="s">
        <v>541</v>
      </c>
      <c r="B93" s="5" t="s">
        <v>542</v>
      </c>
      <c r="C93" s="10"/>
      <c r="D93" s="10"/>
      <c r="E93" s="10"/>
      <c r="F93" s="10"/>
      <c r="G93" s="10"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7"/>
      <c r="I93" s="7"/>
      <c r="J93" s="2"/>
      <c r="K93" s="5" t="s">
        <v>543</v>
      </c>
      <c r="L93" s="12" t="s">
        <v>544</v>
      </c>
      <c r="M93" s="13"/>
      <c r="N93" s="13"/>
      <c r="O93" s="13"/>
      <c r="P93" s="13"/>
      <c r="Q93" s="13" t="str">
        <f>IF(AND(ISNUMBER(MATCH(M93,{"F","E","D","D+","C","C+","B","B+","A","A+","S"},0)),ISNUMBER(MATCH(N93,{"F","E","D","D+","C","C+","B","B+","A","A+","S"},0)),ISNUMBER(MATCH(O93,{"F","E","D","D+","C","C+","B","B+","A","A+","S"},0)),ISNUMBER(MATCH(P93,{"F","E","D","D+","C","C+","B","B+","A","A+","S"},0))),LOOKUP(AVERAGE(_xlfn.SWITCH(M93,"F",0,"E",10,"D",20,"D+",30,"C",40,"C+",50,"B",60,"B+",70,"A",80,"A+",90,"S",100),_xlfn.SWITCH(N93,"F",0,"E",10,"D",20,"D+",30,"C",40,"C+",50,"B",60,"B+",70,"A",80,"A+",90,"S",100),_xlfn.SWITCH(O93,"F",0,"E",10,"D",20,"D+",30,"C",40,"C+",50,"B",60,"B+",70,"A",80,"A+",90,"S",100),_xlfn.SWITCH(P93,"F",0,"E",10,"D",20,"D+",30,"C",40,"C+",50,"B",60,"B+",70,"A",80,"A+",90,"S",100)),{0,15,25,35,45,55,65,75,85,95},{"D","D","D+","C","C+","B","B+","A","A+","S"}),"?")</f>
        <v>?</v>
      </c>
      <c r="R93" s="14"/>
      <c r="S93" s="14"/>
      <c r="T93" s="2"/>
    </row>
    <row r="94" spans="1:20" ht="21">
      <c r="A94" s="5" t="s">
        <v>548</v>
      </c>
      <c r="B94" s="5" t="s">
        <v>549</v>
      </c>
      <c r="C94" s="10"/>
      <c r="D94" s="10"/>
      <c r="E94" s="10"/>
      <c r="F94" s="10"/>
      <c r="G94" s="10"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7"/>
      <c r="I94" s="7"/>
      <c r="J94" s="2"/>
      <c r="K94" s="5" t="s">
        <v>363</v>
      </c>
      <c r="L94" s="12" t="s">
        <v>364</v>
      </c>
      <c r="M94" s="13"/>
      <c r="N94" s="13"/>
      <c r="O94" s="13"/>
      <c r="P94" s="13"/>
      <c r="Q94" s="13" t="str">
        <f>IF(AND(ISNUMBER(MATCH(M94,{"F","E","D","D+","C","C+","B","B+","A","A+","S"},0)),ISNUMBER(MATCH(N94,{"F","E","D","D+","C","C+","B","B+","A","A+","S"},0)),ISNUMBER(MATCH(O94,{"F","E","D","D+","C","C+","B","B+","A","A+","S"},0)),ISNUMBER(MATCH(P94,{"F","E","D","D+","C","C+","B","B+","A","A+","S"},0))),LOOKUP(AVERAGE(_xlfn.SWITCH(M94,"F",0,"E",10,"D",20,"D+",30,"C",40,"C+",50,"B",60,"B+",70,"A",80,"A+",90,"S",100),_xlfn.SWITCH(N94,"F",0,"E",10,"D",20,"D+",30,"C",40,"C+",50,"B",60,"B+",70,"A",80,"A+",90,"S",100),_xlfn.SWITCH(O94,"F",0,"E",10,"D",20,"D+",30,"C",40,"C+",50,"B",60,"B+",70,"A",80,"A+",90,"S",100),_xlfn.SWITCH(P94,"F",0,"E",10,"D",20,"D+",30,"C",40,"C+",50,"B",60,"B+",70,"A",80,"A+",90,"S",100)),{0,15,25,35,45,55,65,75,85,95},{"D","D","D+","C","C+","B","B+","A","A+","S"}),"?")</f>
        <v>?</v>
      </c>
      <c r="R94" s="14"/>
      <c r="S94" s="14"/>
      <c r="T94" s="2"/>
    </row>
    <row r="95" spans="1:20" ht="21">
      <c r="A95" s="5" t="s">
        <v>553</v>
      </c>
      <c r="B95" s="5" t="s">
        <v>352</v>
      </c>
      <c r="C95" s="10"/>
      <c r="D95" s="10"/>
      <c r="E95" s="10"/>
      <c r="F95" s="10"/>
      <c r="G95" s="10"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7"/>
      <c r="I95" s="7"/>
      <c r="J95" s="2"/>
      <c r="K95" s="5" t="s">
        <v>554</v>
      </c>
      <c r="L95" s="12" t="s">
        <v>555</v>
      </c>
      <c r="M95" s="13"/>
      <c r="N95" s="13"/>
      <c r="O95" s="13"/>
      <c r="P95" s="13"/>
      <c r="Q95" s="13" t="str">
        <f>IF(AND(ISNUMBER(MATCH(M95,{"F","E","D","D+","C","C+","B","B+","A","A+","S"},0)),ISNUMBER(MATCH(N95,{"F","E","D","D+","C","C+","B","B+","A","A+","S"},0)),ISNUMBER(MATCH(O95,{"F","E","D","D+","C","C+","B","B+","A","A+","S"},0)),ISNUMBER(MATCH(P95,{"F","E","D","D+","C","C+","B","B+","A","A+","S"},0))),LOOKUP(AVERAGE(_xlfn.SWITCH(M95,"F",0,"E",10,"D",20,"D+",30,"C",40,"C+",50,"B",60,"B+",70,"A",80,"A+",90,"S",100),_xlfn.SWITCH(N95,"F",0,"E",10,"D",20,"D+",30,"C",40,"C+",50,"B",60,"B+",70,"A",80,"A+",90,"S",100),_xlfn.SWITCH(O95,"F",0,"E",10,"D",20,"D+",30,"C",40,"C+",50,"B",60,"B+",70,"A",80,"A+",90,"S",100),_xlfn.SWITCH(P95,"F",0,"E",10,"D",20,"D+",30,"C",40,"C+",50,"B",60,"B+",70,"A",80,"A+",90,"S",100)),{0,15,25,35,45,55,65,75,85,95},{"D","D","D+","C","C+","B","B+","A","A+","S"}),"?")</f>
        <v>?</v>
      </c>
      <c r="R95" s="14"/>
      <c r="S95" s="14"/>
      <c r="T95" s="2"/>
    </row>
    <row r="96" spans="1:20" ht="21">
      <c r="A96" s="5" t="s">
        <v>559</v>
      </c>
      <c r="B96" s="5" t="s">
        <v>560</v>
      </c>
      <c r="C96" s="10"/>
      <c r="D96" s="10"/>
      <c r="E96" s="10"/>
      <c r="F96" s="10"/>
      <c r="G96" s="10"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7"/>
      <c r="I96" s="7"/>
      <c r="J96" s="2"/>
      <c r="K96" s="5" t="s">
        <v>561</v>
      </c>
      <c r="L96" s="12"/>
      <c r="M96" s="13"/>
      <c r="N96" s="13"/>
      <c r="O96" s="13"/>
      <c r="P96" s="13"/>
      <c r="Q96" s="13" t="str">
        <f>IF(AND(ISNUMBER(MATCH(M96,{"F","E","D","D+","C","C+","B","B+","A","A+","S"},0)),ISNUMBER(MATCH(N96,{"F","E","D","D+","C","C+","B","B+","A","A+","S"},0)),ISNUMBER(MATCH(O96,{"F","E","D","D+","C","C+","B","B+","A","A+","S"},0)),ISNUMBER(MATCH(P96,{"F","E","D","D+","C","C+","B","B+","A","A+","S"},0))),LOOKUP(AVERAGE(_xlfn.SWITCH(M96,"F",0,"E",10,"D",20,"D+",30,"C",40,"C+",50,"B",60,"B+",70,"A",80,"A+",90,"S",100),_xlfn.SWITCH(N96,"F",0,"E",10,"D",20,"D+",30,"C",40,"C+",50,"B",60,"B+",70,"A",80,"A+",90,"S",100),_xlfn.SWITCH(O96,"F",0,"E",10,"D",20,"D+",30,"C",40,"C+",50,"B",60,"B+",70,"A",80,"A+",90,"S",100),_xlfn.SWITCH(P96,"F",0,"E",10,"D",20,"D+",30,"C",40,"C+",50,"B",60,"B+",70,"A",80,"A+",90,"S",100)),{0,15,25,35,45,55,65,75,85,95},{"D","D","D+","C","C+","B","B+","A","A+","S"}),"?")</f>
        <v>?</v>
      </c>
      <c r="R96" s="14"/>
      <c r="S96" s="14"/>
      <c r="T96" s="2"/>
    </row>
    <row r="97" spans="1:20" ht="21">
      <c r="A97" s="5" t="s">
        <v>565</v>
      </c>
      <c r="B97" s="5" t="s">
        <v>441</v>
      </c>
      <c r="C97" s="10"/>
      <c r="D97" s="10"/>
      <c r="E97" s="10"/>
      <c r="F97" s="10"/>
      <c r="G97" s="10"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7"/>
      <c r="I97" s="7"/>
      <c r="J97" s="2"/>
      <c r="K97" s="5" t="s">
        <v>566</v>
      </c>
      <c r="L97" s="12" t="s">
        <v>567</v>
      </c>
      <c r="M97" s="13"/>
      <c r="N97" s="13"/>
      <c r="O97" s="13"/>
      <c r="P97" s="13"/>
      <c r="Q97" s="13" t="str">
        <f>IF(AND(ISNUMBER(MATCH(M97,{"F","E","D","D+","C","C+","B","B+","A","A+","S"},0)),ISNUMBER(MATCH(N97,{"F","E","D","D+","C","C+","B","B+","A","A+","S"},0)),ISNUMBER(MATCH(O97,{"F","E","D","D+","C","C+","B","B+","A","A+","S"},0)),ISNUMBER(MATCH(P97,{"F","E","D","D+","C","C+","B","B+","A","A+","S"},0))),LOOKUP(AVERAGE(_xlfn.SWITCH(M97,"F",0,"E",10,"D",20,"D+",30,"C",40,"C+",50,"B",60,"B+",70,"A",80,"A+",90,"S",100),_xlfn.SWITCH(N97,"F",0,"E",10,"D",20,"D+",30,"C",40,"C+",50,"B",60,"B+",70,"A",80,"A+",90,"S",100),_xlfn.SWITCH(O97,"F",0,"E",10,"D",20,"D+",30,"C",40,"C+",50,"B",60,"B+",70,"A",80,"A+",90,"S",100),_xlfn.SWITCH(P97,"F",0,"E",10,"D",20,"D+",30,"C",40,"C+",50,"B",60,"B+",70,"A",80,"A+",90,"S",100)),{0,15,25,35,45,55,65,75,85,95},{"D","D","D+","C","C+","B","B+","A","A+","S"}),"?")</f>
        <v>?</v>
      </c>
      <c r="R97" s="14"/>
      <c r="S97" s="14"/>
      <c r="T97" s="2"/>
    </row>
    <row r="98" spans="1:20" ht="21">
      <c r="A98" s="5" t="s">
        <v>571</v>
      </c>
      <c r="B98" s="5" t="s">
        <v>572</v>
      </c>
      <c r="C98" s="10"/>
      <c r="D98" s="10"/>
      <c r="E98" s="10"/>
      <c r="F98" s="10"/>
      <c r="G98" s="10"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7"/>
      <c r="I98" s="7"/>
      <c r="J98" s="2"/>
      <c r="K98" s="5" t="s">
        <v>573</v>
      </c>
      <c r="L98" s="12" t="s">
        <v>574</v>
      </c>
      <c r="M98" s="13"/>
      <c r="N98" s="13"/>
      <c r="O98" s="13"/>
      <c r="P98" s="13"/>
      <c r="Q98" s="13" t="str">
        <f>IF(AND(ISNUMBER(MATCH(M98,{"F","E","D","D+","C","C+","B","B+","A","A+","S"},0)),ISNUMBER(MATCH(N98,{"F","E","D","D+","C","C+","B","B+","A","A+","S"},0)),ISNUMBER(MATCH(O98,{"F","E","D","D+","C","C+","B","B+","A","A+","S"},0)),ISNUMBER(MATCH(P98,{"F","E","D","D+","C","C+","B","B+","A","A+","S"},0))),LOOKUP(AVERAGE(_xlfn.SWITCH(M98,"F",0,"E",10,"D",20,"D+",30,"C",40,"C+",50,"B",60,"B+",70,"A",80,"A+",90,"S",100),_xlfn.SWITCH(N98,"F",0,"E",10,"D",20,"D+",30,"C",40,"C+",50,"B",60,"B+",70,"A",80,"A+",90,"S",100),_xlfn.SWITCH(O98,"F",0,"E",10,"D",20,"D+",30,"C",40,"C+",50,"B",60,"B+",70,"A",80,"A+",90,"S",100),_xlfn.SWITCH(P98,"F",0,"E",10,"D",20,"D+",30,"C",40,"C+",50,"B",60,"B+",70,"A",80,"A+",90,"S",100)),{0,15,25,35,45,55,65,75,85,95},{"D","D","D+","C","C+","B","B+","A","A+","S"}),"?")</f>
        <v>?</v>
      </c>
      <c r="R98" s="14"/>
      <c r="S98" s="14"/>
      <c r="T98" s="2"/>
    </row>
    <row r="99" spans="1:20" ht="21">
      <c r="A99" s="5" t="s">
        <v>578</v>
      </c>
      <c r="B99" s="5" t="s">
        <v>579</v>
      </c>
      <c r="C99" s="10"/>
      <c r="D99" s="10"/>
      <c r="E99" s="10"/>
      <c r="F99" s="10"/>
      <c r="G99" s="10"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7"/>
      <c r="I99" s="7"/>
      <c r="J99" s="2"/>
      <c r="K99" s="5" t="s">
        <v>580</v>
      </c>
      <c r="L99" s="12" t="s">
        <v>581</v>
      </c>
      <c r="M99" s="13"/>
      <c r="N99" s="13"/>
      <c r="O99" s="13"/>
      <c r="P99" s="13"/>
      <c r="Q99" s="13" t="str">
        <f>IF(AND(ISNUMBER(MATCH(M99,{"F","E","D","D+","C","C+","B","B+","A","A+","S"},0)),ISNUMBER(MATCH(N99,{"F","E","D","D+","C","C+","B","B+","A","A+","S"},0)),ISNUMBER(MATCH(O99,{"F","E","D","D+","C","C+","B","B+","A","A+","S"},0)),ISNUMBER(MATCH(P99,{"F","E","D","D+","C","C+","B","B+","A","A+","S"},0))),LOOKUP(AVERAGE(_xlfn.SWITCH(M99,"F",0,"E",10,"D",20,"D+",30,"C",40,"C+",50,"B",60,"B+",70,"A",80,"A+",90,"S",100),_xlfn.SWITCH(N99,"F",0,"E",10,"D",20,"D+",30,"C",40,"C+",50,"B",60,"B+",70,"A",80,"A+",90,"S",100),_xlfn.SWITCH(O99,"F",0,"E",10,"D",20,"D+",30,"C",40,"C+",50,"B",60,"B+",70,"A",80,"A+",90,"S",100),_xlfn.SWITCH(P99,"F",0,"E",10,"D",20,"D+",30,"C",40,"C+",50,"B",60,"B+",70,"A",80,"A+",90,"S",100)),{0,15,25,35,45,55,65,75,85,95},{"D","D","D+","C","C+","B","B+","A","A+","S"}),"?")</f>
        <v>?</v>
      </c>
      <c r="R99" s="14"/>
      <c r="S99" s="14"/>
      <c r="T99" s="2"/>
    </row>
    <row r="100" spans="1:20" ht="21">
      <c r="A100" s="5" t="s">
        <v>585</v>
      </c>
      <c r="B100" s="5" t="s">
        <v>586</v>
      </c>
      <c r="C100" s="10"/>
      <c r="D100" s="10"/>
      <c r="E100" s="10"/>
      <c r="F100" s="10"/>
      <c r="G100" s="10"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7"/>
      <c r="I100" s="7"/>
      <c r="J100" s="2"/>
      <c r="K100" s="5" t="s">
        <v>154</v>
      </c>
      <c r="L100" s="12" t="s">
        <v>155</v>
      </c>
      <c r="M100" s="13"/>
      <c r="N100" s="13"/>
      <c r="O100" s="13"/>
      <c r="P100" s="13"/>
      <c r="Q100" s="13" t="str">
        <f>IF(AND(ISNUMBER(MATCH(M100,{"F","E","D","D+","C","C+","B","B+","A","A+","S"},0)),ISNUMBER(MATCH(N100,{"F","E","D","D+","C","C+","B","B+","A","A+","S"},0)),ISNUMBER(MATCH(O100,{"F","E","D","D+","C","C+","B","B+","A","A+","S"},0)),ISNUMBER(MATCH(P100,{"F","E","D","D+","C","C+","B","B+","A","A+","S"},0))),LOOKUP(AVERAGE(_xlfn.SWITCH(M100,"F",0,"E",10,"D",20,"D+",30,"C",40,"C+",50,"B",60,"B+",70,"A",80,"A+",90,"S",100),_xlfn.SWITCH(N100,"F",0,"E",10,"D",20,"D+",30,"C",40,"C+",50,"B",60,"B+",70,"A",80,"A+",90,"S",100),_xlfn.SWITCH(O100,"F",0,"E",10,"D",20,"D+",30,"C",40,"C+",50,"B",60,"B+",70,"A",80,"A+",90,"S",100),_xlfn.SWITCH(P100,"F",0,"E",10,"D",20,"D+",30,"C",40,"C+",50,"B",60,"B+",70,"A",80,"A+",90,"S",100)),{0,15,25,35,45,55,65,75,85,95},{"D","D","D+","C","C+","B","B+","A","A+","S"}),"?")</f>
        <v>?</v>
      </c>
      <c r="R100" s="14"/>
      <c r="S100" s="14"/>
      <c r="T100" s="2"/>
    </row>
    <row r="101" spans="1:20" ht="21">
      <c r="A101" s="5" t="s">
        <v>590</v>
      </c>
      <c r="B101" s="5" t="s">
        <v>591</v>
      </c>
      <c r="C101" s="10"/>
      <c r="D101" s="10"/>
      <c r="E101" s="10"/>
      <c r="F101" s="10"/>
      <c r="G101" s="10"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7"/>
      <c r="I101" s="7"/>
      <c r="J101" s="2"/>
      <c r="K101" s="5" t="s">
        <v>248</v>
      </c>
      <c r="L101" s="12" t="s">
        <v>249</v>
      </c>
      <c r="M101" s="13"/>
      <c r="N101" s="13"/>
      <c r="O101" s="13"/>
      <c r="P101" s="13"/>
      <c r="Q101" s="13" t="str">
        <f>IF(AND(ISNUMBER(MATCH(M101,{"F","E","D","D+","C","C+","B","B+","A","A+","S"},0)),ISNUMBER(MATCH(N101,{"F","E","D","D+","C","C+","B","B+","A","A+","S"},0)),ISNUMBER(MATCH(O101,{"F","E","D","D+","C","C+","B","B+","A","A+","S"},0)),ISNUMBER(MATCH(P101,{"F","E","D","D+","C","C+","B","B+","A","A+","S"},0))),LOOKUP(AVERAGE(_xlfn.SWITCH(M101,"F",0,"E",10,"D",20,"D+",30,"C",40,"C+",50,"B",60,"B+",70,"A",80,"A+",90,"S",100),_xlfn.SWITCH(N101,"F",0,"E",10,"D",20,"D+",30,"C",40,"C+",50,"B",60,"B+",70,"A",80,"A+",90,"S",100),_xlfn.SWITCH(O101,"F",0,"E",10,"D",20,"D+",30,"C",40,"C+",50,"B",60,"B+",70,"A",80,"A+",90,"S",100),_xlfn.SWITCH(P101,"F",0,"E",10,"D",20,"D+",30,"C",40,"C+",50,"B",60,"B+",70,"A",80,"A+",90,"S",100)),{0,15,25,35,45,55,65,75,85,95},{"D","D","D+","C","C+","B","B+","A","A+","S"}),"?")</f>
        <v>?</v>
      </c>
      <c r="R101" s="14"/>
      <c r="S101" s="14"/>
      <c r="T101" s="2"/>
    </row>
    <row r="102" spans="1:20" ht="21">
      <c r="A102" s="5" t="s">
        <v>595</v>
      </c>
      <c r="B102" s="5" t="s">
        <v>596</v>
      </c>
      <c r="C102" s="10"/>
      <c r="D102" s="10"/>
      <c r="E102" s="10"/>
      <c r="F102" s="10"/>
      <c r="G102" s="10"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7"/>
      <c r="I102" s="7"/>
      <c r="J102" s="2"/>
      <c r="K102" s="5" t="s">
        <v>597</v>
      </c>
      <c r="L102" s="12" t="s">
        <v>598</v>
      </c>
      <c r="M102" s="13"/>
      <c r="N102" s="13"/>
      <c r="O102" s="13"/>
      <c r="P102" s="13"/>
      <c r="Q102" s="13" t="s">
        <v>1574</v>
      </c>
      <c r="R102" s="14" t="s">
        <v>2170</v>
      </c>
      <c r="S102" s="14"/>
      <c r="T102" s="2"/>
    </row>
    <row r="103" spans="1:20" ht="21">
      <c r="A103" s="5" t="s">
        <v>602</v>
      </c>
      <c r="B103" s="5" t="s">
        <v>603</v>
      </c>
      <c r="C103" s="10"/>
      <c r="D103" s="10"/>
      <c r="E103" s="10"/>
      <c r="F103" s="10"/>
      <c r="G103" s="10"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7"/>
      <c r="I103" s="7"/>
      <c r="J103" s="2"/>
      <c r="K103" s="5" t="s">
        <v>141</v>
      </c>
      <c r="L103" s="12" t="s">
        <v>142</v>
      </c>
      <c r="M103" s="13"/>
      <c r="N103" s="13"/>
      <c r="O103" s="13"/>
      <c r="P103" s="13"/>
      <c r="Q103" s="13" t="str">
        <f>IF(AND(ISNUMBER(MATCH(M103,{"F","E","D","D+","C","C+","B","B+","A","A+","S"},0)),ISNUMBER(MATCH(N103,{"F","E","D","D+","C","C+","B","B+","A","A+","S"},0)),ISNUMBER(MATCH(O103,{"F","E","D","D+","C","C+","B","B+","A","A+","S"},0)),ISNUMBER(MATCH(P103,{"F","E","D","D+","C","C+","B","B+","A","A+","S"},0))),LOOKUP(AVERAGE(_xlfn.SWITCH(M103,"F",0,"E",10,"D",20,"D+",30,"C",40,"C+",50,"B",60,"B+",70,"A",80,"A+",90,"S",100),_xlfn.SWITCH(N103,"F",0,"E",10,"D",20,"D+",30,"C",40,"C+",50,"B",60,"B+",70,"A",80,"A+",90,"S",100),_xlfn.SWITCH(O103,"F",0,"E",10,"D",20,"D+",30,"C",40,"C+",50,"B",60,"B+",70,"A",80,"A+",90,"S",100),_xlfn.SWITCH(P103,"F",0,"E",10,"D",20,"D+",30,"C",40,"C+",50,"B",60,"B+",70,"A",80,"A+",90,"S",100)),{0,15,25,35,45,55,65,75,85,95},{"D","D","D+","C","C+","B","B+","A","A+","S"}),"?")</f>
        <v>?</v>
      </c>
      <c r="R103" s="14"/>
      <c r="S103" s="14"/>
      <c r="T103" s="2"/>
    </row>
    <row r="104" spans="1:20" ht="44">
      <c r="A104" s="5" t="s">
        <v>607</v>
      </c>
      <c r="B104" s="5" t="s">
        <v>381</v>
      </c>
      <c r="C104" s="10"/>
      <c r="D104" s="10"/>
      <c r="E104" s="10"/>
      <c r="F104" s="10"/>
      <c r="G104" s="10"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v>
      </c>
      <c r="H104" s="7"/>
      <c r="I104" s="7"/>
      <c r="J104" s="2"/>
      <c r="K104" s="5" t="s">
        <v>608</v>
      </c>
      <c r="L104" s="12" t="s">
        <v>609</v>
      </c>
      <c r="M104" s="13"/>
      <c r="N104" s="13"/>
      <c r="O104" s="13"/>
      <c r="P104" s="13"/>
      <c r="Q104" s="13" t="str">
        <f>IF(AND(ISNUMBER(MATCH(M104,{"F","E","D","D+","C","C+","B","B+","A","A+","S"},0)),ISNUMBER(MATCH(N104,{"F","E","D","D+","C","C+","B","B+","A","A+","S"},0)),ISNUMBER(MATCH(O104,{"F","E","D","D+","C","C+","B","B+","A","A+","S"},0)),ISNUMBER(MATCH(P104,{"F","E","D","D+","C","C+","B","B+","A","A+","S"},0))),LOOKUP(AVERAGE(_xlfn.SWITCH(M104,"F",0,"E",10,"D",20,"D+",30,"C",40,"C+",50,"B",60,"B+",70,"A",80,"A+",90,"S",100),_xlfn.SWITCH(N104,"F",0,"E",10,"D",20,"D+",30,"C",40,"C+",50,"B",60,"B+",70,"A",80,"A+",90,"S",100),_xlfn.SWITCH(O104,"F",0,"E",10,"D",20,"D+",30,"C",40,"C+",50,"B",60,"B+",70,"A",80,"A+",90,"S",100),_xlfn.SWITCH(P104,"F",0,"E",10,"D",20,"D+",30,"C",40,"C+",50,"B",60,"B+",70,"A",80,"A+",90,"S",100)),{0,15,25,35,45,55,65,75,85,95},{"D","D","D+","C","C+","B","B+","A","A+","S"}),"?")</f>
        <v>?</v>
      </c>
      <c r="R104" s="132" t="s">
        <v>2171</v>
      </c>
      <c r="S104" s="14"/>
      <c r="T104" s="2"/>
    </row>
    <row r="105" spans="1:20" ht="21">
      <c r="A105" s="5" t="s">
        <v>613</v>
      </c>
      <c r="B105" s="5" t="s">
        <v>108</v>
      </c>
      <c r="C105" s="10"/>
      <c r="D105" s="10"/>
      <c r="E105" s="10"/>
      <c r="F105" s="10"/>
      <c r="G105" s="10" t="str">
        <f>IF(AND(ISNUMBER(MATCH(C105,{"F","E","D","D+","C","C+","B","B+","A","A+","S"},0)),ISNUMBER(MATCH(D105,{"F","E","D","D+","C","C+","B","B+","A","A+","S"},0)),ISNUMBER(MATCH(E105,{"F","E","D","D+","C","C+","B","B+","A","A+","S"},0)),ISNUMBER(MATCH(F105,{"F","E","D","D+","C","C+","B","B+","A","A+","S"},0))),LOOKUP(AVERAGE(_xlfn.SWITCH(C105,"F",0,"E",10,"D",20,"D+",30,"C",40,"C+",50,"B",60,"B+",70,"A",80,"A+",90,"S",100),_xlfn.SWITCH(D105,"F",0,"E",10,"D",20,"D+",30,"C",40,"C+",50,"B",60,"B+",70,"A",80,"A+",90,"S",100),_xlfn.SWITCH(E105,"F",0,"E",10,"D",20,"D+",30,"C",40,"C+",50,"B",60,"B+",70,"A",80,"A+",90,"S",100),_xlfn.SWITCH(F105,"F",0,"E",10,"D",20,"D+",30,"C",40,"C+",50,"B",60,"B+",70,"A",80,"A+",90,"S",100)),{0,15,25,35,45,55,65,75,85,95},{"D","D","D+","C","C+","B","B+","A","A+","S"}),"?")</f>
        <v>?</v>
      </c>
      <c r="H105" s="7"/>
      <c r="I105" s="7"/>
      <c r="J105" s="2"/>
      <c r="K105" s="5" t="s">
        <v>614</v>
      </c>
      <c r="L105" s="12" t="s">
        <v>615</v>
      </c>
      <c r="M105" s="13"/>
      <c r="N105" s="13"/>
      <c r="O105" s="13"/>
      <c r="P105" s="13"/>
      <c r="Q105" s="13" t="str">
        <f>IF(AND(ISNUMBER(MATCH(M105,{"F","E","D","D+","C","C+","B","B+","A","A+","S"},0)),ISNUMBER(MATCH(N105,{"F","E","D","D+","C","C+","B","B+","A","A+","S"},0)),ISNUMBER(MATCH(O105,{"F","E","D","D+","C","C+","B","B+","A","A+","S"},0)),ISNUMBER(MATCH(P105,{"F","E","D","D+","C","C+","B","B+","A","A+","S"},0))),LOOKUP(AVERAGE(_xlfn.SWITCH(M105,"F",0,"E",10,"D",20,"D+",30,"C",40,"C+",50,"B",60,"B+",70,"A",80,"A+",90,"S",100),_xlfn.SWITCH(N105,"F",0,"E",10,"D",20,"D+",30,"C",40,"C+",50,"B",60,"B+",70,"A",80,"A+",90,"S",100),_xlfn.SWITCH(O105,"F",0,"E",10,"D",20,"D+",30,"C",40,"C+",50,"B",60,"B+",70,"A",80,"A+",90,"S",100),_xlfn.SWITCH(P105,"F",0,"E",10,"D",20,"D+",30,"C",40,"C+",50,"B",60,"B+",70,"A",80,"A+",90,"S",100)),{0,15,25,35,45,55,65,75,85,95},{"D","D","D+","C","C+","B","B+","A","A+","S"}),"?")</f>
        <v>?</v>
      </c>
      <c r="R105" s="14"/>
      <c r="S105" s="14"/>
      <c r="T105" s="2"/>
    </row>
    <row r="106" spans="1:20" ht="19.5" customHeight="1">
      <c r="A106" s="550" t="s">
        <v>619</v>
      </c>
      <c r="B106" s="531"/>
      <c r="C106" s="531"/>
      <c r="D106" s="531"/>
      <c r="E106" s="531"/>
      <c r="F106" s="531"/>
      <c r="G106" s="531"/>
      <c r="H106" s="531"/>
      <c r="I106" s="537"/>
      <c r="J106" s="2"/>
      <c r="K106" s="5" t="s">
        <v>620</v>
      </c>
      <c r="L106" s="12" t="s">
        <v>621</v>
      </c>
      <c r="M106" s="13"/>
      <c r="N106" s="13"/>
      <c r="O106" s="13"/>
      <c r="P106" s="13"/>
      <c r="Q106" s="13" t="str">
        <f>IF(AND(ISNUMBER(MATCH(M106,{"F","E","D","D+","C","C+","B","B+","A","A+","S"},0)),ISNUMBER(MATCH(N106,{"F","E","D","D+","C","C+","B","B+","A","A+","S"},0)),ISNUMBER(MATCH(O106,{"F","E","D","D+","C","C+","B","B+","A","A+","S"},0)),ISNUMBER(MATCH(P106,{"F","E","D","D+","C","C+","B","B+","A","A+","S"},0))),LOOKUP(AVERAGE(_xlfn.SWITCH(M106,"F",0,"E",10,"D",20,"D+",30,"C",40,"C+",50,"B",60,"B+",70,"A",80,"A+",90,"S",100),_xlfn.SWITCH(N106,"F",0,"E",10,"D",20,"D+",30,"C",40,"C+",50,"B",60,"B+",70,"A",80,"A+",90,"S",100),_xlfn.SWITCH(O106,"F",0,"E",10,"D",20,"D+",30,"C",40,"C+",50,"B",60,"B+",70,"A",80,"A+",90,"S",100),_xlfn.SWITCH(P106,"F",0,"E",10,"D",20,"D+",30,"C",40,"C+",50,"B",60,"B+",70,"A",80,"A+",90,"S",100)),{0,15,25,35,45,55,65,75,85,95},{"D","D","D+","C","C+","B","B+","A","A+","S"}),"?")</f>
        <v>?</v>
      </c>
      <c r="R106" s="14"/>
      <c r="S106" s="14"/>
      <c r="T106" s="2"/>
    </row>
    <row r="107" spans="1:20" ht="14.25" customHeight="1">
      <c r="A107" s="538"/>
      <c r="B107" s="533"/>
      <c r="C107" s="533"/>
      <c r="D107" s="533"/>
      <c r="E107" s="533"/>
      <c r="F107" s="533"/>
      <c r="G107" s="533"/>
      <c r="H107" s="533"/>
      <c r="I107" s="539"/>
      <c r="J107" s="2"/>
      <c r="K107" s="5" t="s">
        <v>419</v>
      </c>
      <c r="L107" s="12" t="s">
        <v>420</v>
      </c>
      <c r="M107" s="13"/>
      <c r="N107" s="13"/>
      <c r="O107" s="13"/>
      <c r="P107" s="13"/>
      <c r="Q107" s="13" t="str">
        <f>IF(AND(ISNUMBER(MATCH(M107,{"F","E","D","D+","C","C+","B","B+","A","A+","S"},0)),ISNUMBER(MATCH(N107,{"F","E","D","D+","C","C+","B","B+","A","A+","S"},0)),ISNUMBER(MATCH(O107,{"F","E","D","D+","C","C+","B","B+","A","A+","S"},0)),ISNUMBER(MATCH(P107,{"F","E","D","D+","C","C+","B","B+","A","A+","S"},0))),LOOKUP(AVERAGE(_xlfn.SWITCH(M107,"F",0,"E",10,"D",20,"D+",30,"C",40,"C+",50,"B",60,"B+",70,"A",80,"A+",90,"S",100),_xlfn.SWITCH(N107,"F",0,"E",10,"D",20,"D+",30,"C",40,"C+",50,"B",60,"B+",70,"A",80,"A+",90,"S",100),_xlfn.SWITCH(O107,"F",0,"E",10,"D",20,"D+",30,"C",40,"C+",50,"B",60,"B+",70,"A",80,"A+",90,"S",100),_xlfn.SWITCH(P107,"F",0,"E",10,"D",20,"D+",30,"C",40,"C+",50,"B",60,"B+",70,"A",80,"A+",90,"S",100)),{0,15,25,35,45,55,65,75,85,95},{"D","D","D+","C","C+","B","B+","A","A+","S"}),"?")</f>
        <v>?</v>
      </c>
      <c r="R107" s="14"/>
      <c r="S107" s="14"/>
      <c r="T107" s="2"/>
    </row>
    <row r="108" spans="1:20" ht="21">
      <c r="A108" s="5" t="s">
        <v>4</v>
      </c>
      <c r="B108" s="6" t="s">
        <v>5</v>
      </c>
      <c r="C108" s="7" t="s">
        <v>6</v>
      </c>
      <c r="D108" s="7" t="s">
        <v>7</v>
      </c>
      <c r="E108" s="7" t="s">
        <v>8</v>
      </c>
      <c r="F108" s="7" t="s">
        <v>9</v>
      </c>
      <c r="G108" s="7" t="s">
        <v>10</v>
      </c>
      <c r="H108" s="7" t="s">
        <v>11</v>
      </c>
      <c r="I108" s="11" t="s">
        <v>12</v>
      </c>
      <c r="J108" s="2"/>
      <c r="K108" s="5" t="s">
        <v>628</v>
      </c>
      <c r="L108" s="12" t="s">
        <v>629</v>
      </c>
      <c r="M108" s="13"/>
      <c r="N108" s="13"/>
      <c r="O108" s="13"/>
      <c r="P108" s="13"/>
      <c r="Q108" s="13" t="str">
        <f>IF(AND(ISNUMBER(MATCH(M108,{"F","E","D","D+","C","C+","B","B+","A","A+","S"},0)),ISNUMBER(MATCH(N108,{"F","E","D","D+","C","C+","B","B+","A","A+","S"},0)),ISNUMBER(MATCH(O108,{"F","E","D","D+","C","C+","B","B+","A","A+","S"},0)),ISNUMBER(MATCH(P108,{"F","E","D","D+","C","C+","B","B+","A","A+","S"},0))),LOOKUP(AVERAGE(_xlfn.SWITCH(M108,"F",0,"E",10,"D",20,"D+",30,"C",40,"C+",50,"B",60,"B+",70,"A",80,"A+",90,"S",100),_xlfn.SWITCH(N108,"F",0,"E",10,"D",20,"D+",30,"C",40,"C+",50,"B",60,"B+",70,"A",80,"A+",90,"S",100),_xlfn.SWITCH(O108,"F",0,"E",10,"D",20,"D+",30,"C",40,"C+",50,"B",60,"B+",70,"A",80,"A+",90,"S",100),_xlfn.SWITCH(P108,"F",0,"E",10,"D",20,"D+",30,"C",40,"C+",50,"B",60,"B+",70,"A",80,"A+",90,"S",100)),{0,15,25,35,45,55,65,75,85,95},{"D","D","D+","C","C+","B","B+","A","A+","S"}),"?")</f>
        <v>?</v>
      </c>
      <c r="R108" s="14"/>
      <c r="S108" s="14"/>
      <c r="T108" s="2"/>
    </row>
    <row r="109" spans="1:20" ht="21">
      <c r="A109" s="5" t="s">
        <v>633</v>
      </c>
      <c r="B109" s="5" t="s">
        <v>594</v>
      </c>
      <c r="C109" s="13"/>
      <c r="D109" s="13"/>
      <c r="E109" s="13"/>
      <c r="F109" s="13"/>
      <c r="G109" s="13"/>
      <c r="H109" s="7"/>
      <c r="I109" s="7"/>
      <c r="J109" s="2"/>
      <c r="K109" s="5" t="s">
        <v>634</v>
      </c>
      <c r="L109" s="12" t="s">
        <v>635</v>
      </c>
      <c r="M109" s="13"/>
      <c r="N109" s="13"/>
      <c r="O109" s="13"/>
      <c r="P109" s="13"/>
      <c r="Q109" s="13" t="str">
        <f>IF(AND(ISNUMBER(MATCH(M109,{"F","E","D","D+","C","C+","B","B+","A","A+","S"},0)),ISNUMBER(MATCH(N109,{"F","E","D","D+","C","C+","B","B+","A","A+","S"},0)),ISNUMBER(MATCH(O109,{"F","E","D","D+","C","C+","B","B+","A","A+","S"},0)),ISNUMBER(MATCH(P109,{"F","E","D","D+","C","C+","B","B+","A","A+","S"},0))),LOOKUP(AVERAGE(_xlfn.SWITCH(M109,"F",0,"E",10,"D",20,"D+",30,"C",40,"C+",50,"B",60,"B+",70,"A",80,"A+",90,"S",100),_xlfn.SWITCH(N109,"F",0,"E",10,"D",20,"D+",30,"C",40,"C+",50,"B",60,"B+",70,"A",80,"A+",90,"S",100),_xlfn.SWITCH(O109,"F",0,"E",10,"D",20,"D+",30,"C",40,"C+",50,"B",60,"B+",70,"A",80,"A+",90,"S",100),_xlfn.SWITCH(P109,"F",0,"E",10,"D",20,"D+",30,"C",40,"C+",50,"B",60,"B+",70,"A",80,"A+",90,"S",100)),{0,15,25,35,45,55,65,75,85,95},{"D","D","D+","C","C+","B","B+","A","A+","S"}),"?")</f>
        <v>?</v>
      </c>
      <c r="R109" s="14"/>
      <c r="S109" s="14"/>
      <c r="T109" s="2"/>
    </row>
    <row r="110" spans="1:20" ht="21">
      <c r="A110" s="5" t="s">
        <v>639</v>
      </c>
      <c r="B110" s="5" t="s">
        <v>640</v>
      </c>
      <c r="C110" s="13"/>
      <c r="D110" s="13"/>
      <c r="E110" s="13"/>
      <c r="F110" s="13"/>
      <c r="G110" s="13"/>
      <c r="H110" s="7"/>
      <c r="I110" s="7"/>
      <c r="J110" s="2"/>
      <c r="K110" s="5" t="s">
        <v>284</v>
      </c>
      <c r="L110" s="12" t="s">
        <v>285</v>
      </c>
      <c r="M110" s="13"/>
      <c r="N110" s="13"/>
      <c r="O110" s="13"/>
      <c r="P110" s="13"/>
      <c r="Q110" s="13" t="str">
        <f>IF(AND(ISNUMBER(MATCH(M110,{"F","E","D","D+","C","C+","B","B+","A","A+","S"},0)),ISNUMBER(MATCH(N110,{"F","E","D","D+","C","C+","B","B+","A","A+","S"},0)),ISNUMBER(MATCH(O110,{"F","E","D","D+","C","C+","B","B+","A","A+","S"},0)),ISNUMBER(MATCH(P110,{"F","E","D","D+","C","C+","B","B+","A","A+","S"},0))),LOOKUP(AVERAGE(_xlfn.SWITCH(M110,"F",0,"E",10,"D",20,"D+",30,"C",40,"C+",50,"B",60,"B+",70,"A",80,"A+",90,"S",100),_xlfn.SWITCH(N110,"F",0,"E",10,"D",20,"D+",30,"C",40,"C+",50,"B",60,"B+",70,"A",80,"A+",90,"S",100),_xlfn.SWITCH(O110,"F",0,"E",10,"D",20,"D+",30,"C",40,"C+",50,"B",60,"B+",70,"A",80,"A+",90,"S",100),_xlfn.SWITCH(P110,"F",0,"E",10,"D",20,"D+",30,"C",40,"C+",50,"B",60,"B+",70,"A",80,"A+",90,"S",100)),{0,15,25,35,45,55,65,75,85,95},{"D","D","D+","C","C+","B","B+","A","A+","S"}),"?")</f>
        <v>?</v>
      </c>
      <c r="R110" s="14"/>
      <c r="S110" s="14"/>
      <c r="T110" s="2"/>
    </row>
    <row r="111" spans="1:20" ht="21">
      <c r="A111" s="5" t="s">
        <v>644</v>
      </c>
      <c r="B111" s="5" t="s">
        <v>645</v>
      </c>
      <c r="C111" s="13"/>
      <c r="D111" s="13"/>
      <c r="E111" s="13"/>
      <c r="F111" s="13"/>
      <c r="G111" s="13"/>
      <c r="H111" s="7"/>
      <c r="I111" s="7"/>
      <c r="J111" s="2"/>
      <c r="K111" s="5" t="s">
        <v>646</v>
      </c>
      <c r="L111" s="12" t="s">
        <v>647</v>
      </c>
      <c r="M111" s="13"/>
      <c r="N111" s="13"/>
      <c r="O111" s="13"/>
      <c r="P111" s="13"/>
      <c r="Q111" s="13" t="str">
        <f>IF(AND(ISNUMBER(MATCH(M111,{"F","E","D","D+","C","C+","B","B+","A","A+","S"},0)),ISNUMBER(MATCH(N111,{"F","E","D","D+","C","C+","B","B+","A","A+","S"},0)),ISNUMBER(MATCH(O111,{"F","E","D","D+","C","C+","B","B+","A","A+","S"},0)),ISNUMBER(MATCH(P111,{"F","E","D","D+","C","C+","B","B+","A","A+","S"},0))),LOOKUP(AVERAGE(_xlfn.SWITCH(M111,"F",0,"E",10,"D",20,"D+",30,"C",40,"C+",50,"B",60,"B+",70,"A",80,"A+",90,"S",100),_xlfn.SWITCH(N111,"F",0,"E",10,"D",20,"D+",30,"C",40,"C+",50,"B",60,"B+",70,"A",80,"A+",90,"S",100),_xlfn.SWITCH(O111,"F",0,"E",10,"D",20,"D+",30,"C",40,"C+",50,"B",60,"B+",70,"A",80,"A+",90,"S",100),_xlfn.SWITCH(P111,"F",0,"E",10,"D",20,"D+",30,"C",40,"C+",50,"B",60,"B+",70,"A",80,"A+",90,"S",100)),{0,15,25,35,45,55,65,75,85,95},{"D","D","D+","C","C+","B","B+","A","A+","S"}),"?")</f>
        <v>?</v>
      </c>
      <c r="R111" s="14"/>
      <c r="S111" s="14"/>
      <c r="T111" s="2"/>
    </row>
    <row r="112" spans="1:20" ht="21">
      <c r="A112" s="5" t="s">
        <v>651</v>
      </c>
      <c r="B112" s="5" t="s">
        <v>652</v>
      </c>
      <c r="C112" s="13"/>
      <c r="D112" s="13"/>
      <c r="E112" s="13"/>
      <c r="F112" s="13"/>
      <c r="G112" s="13"/>
      <c r="H112" s="7"/>
      <c r="I112" s="7"/>
      <c r="J112" s="2"/>
      <c r="K112" s="5" t="s">
        <v>653</v>
      </c>
      <c r="L112" s="12" t="s">
        <v>654</v>
      </c>
      <c r="M112" s="13"/>
      <c r="N112" s="13"/>
      <c r="O112" s="13"/>
      <c r="P112" s="13"/>
      <c r="Q112" s="13" t="str">
        <f>IF(AND(ISNUMBER(MATCH(M112,{"F","E","D","D+","C","C+","B","B+","A","A+","S"},0)),ISNUMBER(MATCH(N112,{"F","E","D","D+","C","C+","B","B+","A","A+","S"},0)),ISNUMBER(MATCH(O112,{"F","E","D","D+","C","C+","B","B+","A","A+","S"},0)),ISNUMBER(MATCH(P112,{"F","E","D","D+","C","C+","B","B+","A","A+","S"},0))),LOOKUP(AVERAGE(_xlfn.SWITCH(M112,"F",0,"E",10,"D",20,"D+",30,"C",40,"C+",50,"B",60,"B+",70,"A",80,"A+",90,"S",100),_xlfn.SWITCH(N112,"F",0,"E",10,"D",20,"D+",30,"C",40,"C+",50,"B",60,"B+",70,"A",80,"A+",90,"S",100),_xlfn.SWITCH(O112,"F",0,"E",10,"D",20,"D+",30,"C",40,"C+",50,"B",60,"B+",70,"A",80,"A+",90,"S",100),_xlfn.SWITCH(P112,"F",0,"E",10,"D",20,"D+",30,"C",40,"C+",50,"B",60,"B+",70,"A",80,"A+",90,"S",100)),{0,15,25,35,45,55,65,75,85,95},{"D","D","D+","C","C+","B","B+","A","A+","S"}),"?")</f>
        <v>?</v>
      </c>
      <c r="R112" s="14"/>
      <c r="S112" s="14"/>
      <c r="T112" s="2"/>
    </row>
    <row r="113" spans="1:20" ht="21">
      <c r="A113" s="5" t="s">
        <v>658</v>
      </c>
      <c r="B113" s="5" t="s">
        <v>659</v>
      </c>
      <c r="C113" s="13"/>
      <c r="D113" s="13"/>
      <c r="E113" s="13"/>
      <c r="F113" s="13"/>
      <c r="G113" s="13"/>
      <c r="H113" s="7"/>
      <c r="I113" s="7"/>
      <c r="J113" s="2"/>
      <c r="K113" s="5" t="s">
        <v>203</v>
      </c>
      <c r="L113" s="12" t="s">
        <v>204</v>
      </c>
      <c r="M113" s="13"/>
      <c r="N113" s="13"/>
      <c r="O113" s="13"/>
      <c r="P113" s="13"/>
      <c r="Q113" s="13" t="str">
        <f>IF(AND(ISNUMBER(MATCH(M113,{"F","E","D","D+","C","C+","B","B+","A","A+","S"},0)),ISNUMBER(MATCH(N113,{"F","E","D","D+","C","C+","B","B+","A","A+","S"},0)),ISNUMBER(MATCH(O113,{"F","E","D","D+","C","C+","B","B+","A","A+","S"},0)),ISNUMBER(MATCH(P113,{"F","E","D","D+","C","C+","B","B+","A","A+","S"},0))),LOOKUP(AVERAGE(_xlfn.SWITCH(M113,"F",0,"E",10,"D",20,"D+",30,"C",40,"C+",50,"B",60,"B+",70,"A",80,"A+",90,"S",100),_xlfn.SWITCH(N113,"F",0,"E",10,"D",20,"D+",30,"C",40,"C+",50,"B",60,"B+",70,"A",80,"A+",90,"S",100),_xlfn.SWITCH(O113,"F",0,"E",10,"D",20,"D+",30,"C",40,"C+",50,"B",60,"B+",70,"A",80,"A+",90,"S",100),_xlfn.SWITCH(P113,"F",0,"E",10,"D",20,"D+",30,"C",40,"C+",50,"B",60,"B+",70,"A",80,"A+",90,"S",100)),{0,15,25,35,45,55,65,75,85,95},{"D","D","D+","C","C+","B","B+","A","A+","S"}),"?")</f>
        <v>?</v>
      </c>
      <c r="R113" s="14" t="s">
        <v>2172</v>
      </c>
      <c r="S113" s="14"/>
      <c r="T113" s="2"/>
    </row>
    <row r="114" spans="1:20" ht="21">
      <c r="A114" s="5" t="s">
        <v>663</v>
      </c>
      <c r="B114" s="5" t="s">
        <v>5246</v>
      </c>
      <c r="C114" s="13"/>
      <c r="D114" s="13"/>
      <c r="E114" s="13"/>
      <c r="F114" s="13"/>
      <c r="G114" s="13"/>
      <c r="H114" s="7"/>
      <c r="I114" s="7"/>
      <c r="J114" s="2"/>
      <c r="K114" s="5" t="s">
        <v>60</v>
      </c>
      <c r="L114" s="12" t="s">
        <v>61</v>
      </c>
      <c r="M114" s="13"/>
      <c r="N114" s="13"/>
      <c r="O114" s="13"/>
      <c r="P114" s="13"/>
      <c r="Q114" s="13" t="str">
        <f>IF(AND(ISNUMBER(MATCH(M114,{"F","E","D","D+","C","C+","B","B+","A","A+","S"},0)),ISNUMBER(MATCH(N114,{"F","E","D","D+","C","C+","B","B+","A","A+","S"},0)),ISNUMBER(MATCH(O114,{"F","E","D","D+","C","C+","B","B+","A","A+","S"},0)),ISNUMBER(MATCH(P114,{"F","E","D","D+","C","C+","B","B+","A","A+","S"},0))),LOOKUP(AVERAGE(_xlfn.SWITCH(M114,"F",0,"E",10,"D",20,"D+",30,"C",40,"C+",50,"B",60,"B+",70,"A",80,"A+",90,"S",100),_xlfn.SWITCH(N114,"F",0,"E",10,"D",20,"D+",30,"C",40,"C+",50,"B",60,"B+",70,"A",80,"A+",90,"S",100),_xlfn.SWITCH(O114,"F",0,"E",10,"D",20,"D+",30,"C",40,"C+",50,"B",60,"B+",70,"A",80,"A+",90,"S",100),_xlfn.SWITCH(P114,"F",0,"E",10,"D",20,"D+",30,"C",40,"C+",50,"B",60,"B+",70,"A",80,"A+",90,"S",100)),{0,15,25,35,45,55,65,75,85,95},{"D","D","D+","C","C+","B","B+","A","A+","S"}),"?")</f>
        <v>?</v>
      </c>
      <c r="R114" s="14"/>
      <c r="S114" s="14"/>
      <c r="T114" s="2"/>
    </row>
    <row r="115" spans="1:20" ht="21">
      <c r="A115" s="5" t="s">
        <v>667</v>
      </c>
      <c r="B115" s="23" t="s">
        <v>668</v>
      </c>
      <c r="C115" s="13"/>
      <c r="D115" s="13"/>
      <c r="E115" s="13"/>
      <c r="F115" s="13"/>
      <c r="G115" s="13"/>
      <c r="H115" s="7"/>
      <c r="I115" s="7"/>
      <c r="J115" s="2"/>
      <c r="K115" s="5" t="s">
        <v>669</v>
      </c>
      <c r="L115" s="12" t="s">
        <v>670</v>
      </c>
      <c r="M115" s="13"/>
      <c r="N115" s="13"/>
      <c r="O115" s="13"/>
      <c r="P115" s="13"/>
      <c r="Q115" s="13" t="str">
        <f>IF(AND(ISNUMBER(MATCH(M115,{"F","E","D","D+","C","C+","B","B+","A","A+","S"},0)),ISNUMBER(MATCH(N115,{"F","E","D","D+","C","C+","B","B+","A","A+","S"},0)),ISNUMBER(MATCH(O115,{"F","E","D","D+","C","C+","B","B+","A","A+","S"},0)),ISNUMBER(MATCH(P115,{"F","E","D","D+","C","C+","B","B+","A","A+","S"},0))),LOOKUP(AVERAGE(_xlfn.SWITCH(M115,"F",0,"E",10,"D",20,"D+",30,"C",40,"C+",50,"B",60,"B+",70,"A",80,"A+",90,"S",100),_xlfn.SWITCH(N115,"F",0,"E",10,"D",20,"D+",30,"C",40,"C+",50,"B",60,"B+",70,"A",80,"A+",90,"S",100),_xlfn.SWITCH(O115,"F",0,"E",10,"D",20,"D+",30,"C",40,"C+",50,"B",60,"B+",70,"A",80,"A+",90,"S",100),_xlfn.SWITCH(P115,"F",0,"E",10,"D",20,"D+",30,"C",40,"C+",50,"B",60,"B+",70,"A",80,"A+",90,"S",100)),{0,15,25,35,45,55,65,75,85,95},{"D","D","D+","C","C+","B","B+","A","A+","S"}),"?")</f>
        <v>?</v>
      </c>
      <c r="R115" s="14" t="s">
        <v>2173</v>
      </c>
      <c r="S115" s="14"/>
      <c r="T115" s="2"/>
    </row>
    <row r="116" spans="1:20" ht="21">
      <c r="A116" s="5" t="s">
        <v>674</v>
      </c>
      <c r="B116" s="23" t="s">
        <v>675</v>
      </c>
      <c r="C116" s="13"/>
      <c r="D116" s="13"/>
      <c r="E116" s="13"/>
      <c r="F116" s="13"/>
      <c r="G116" s="13"/>
      <c r="H116" s="7"/>
      <c r="I116" s="7"/>
      <c r="J116" s="2"/>
      <c r="K116" s="5" t="s">
        <v>676</v>
      </c>
      <c r="L116" s="12" t="s">
        <v>677</v>
      </c>
      <c r="M116" s="13"/>
      <c r="N116" s="13"/>
      <c r="O116" s="13"/>
      <c r="P116" s="13"/>
      <c r="Q116" s="13" t="str">
        <f>IF(AND(ISNUMBER(MATCH(M116,{"F","E","D","D+","C","C+","B","B+","A","A+","S"},0)),ISNUMBER(MATCH(N116,{"F","E","D","D+","C","C+","B","B+","A","A+","S"},0)),ISNUMBER(MATCH(O116,{"F","E","D","D+","C","C+","B","B+","A","A+","S"},0)),ISNUMBER(MATCH(P116,{"F","E","D","D+","C","C+","B","B+","A","A+","S"},0))),LOOKUP(AVERAGE(_xlfn.SWITCH(M116,"F",0,"E",10,"D",20,"D+",30,"C",40,"C+",50,"B",60,"B+",70,"A",80,"A+",90,"S",100),_xlfn.SWITCH(N116,"F",0,"E",10,"D",20,"D+",30,"C",40,"C+",50,"B",60,"B+",70,"A",80,"A+",90,"S",100),_xlfn.SWITCH(O116,"F",0,"E",10,"D",20,"D+",30,"C",40,"C+",50,"B",60,"B+",70,"A",80,"A+",90,"S",100),_xlfn.SWITCH(P116,"F",0,"E",10,"D",20,"D+",30,"C",40,"C+",50,"B",60,"B+",70,"A",80,"A+",90,"S",100)),{0,15,25,35,45,55,65,75,85,95},{"D","D","D+","C","C+","B","B+","A","A+","S"}),"?")</f>
        <v>?</v>
      </c>
      <c r="R116" s="14" t="s">
        <v>2174</v>
      </c>
      <c r="S116" s="14"/>
      <c r="T116" s="2"/>
    </row>
    <row r="117" spans="1:20" ht="21">
      <c r="A117" s="5" t="s">
        <v>681</v>
      </c>
      <c r="B117" s="5" t="s">
        <v>666</v>
      </c>
      <c r="C117" s="13"/>
      <c r="D117" s="13"/>
      <c r="E117" s="13"/>
      <c r="F117" s="13"/>
      <c r="G117" s="13"/>
      <c r="H117" s="7"/>
      <c r="I117" s="7"/>
      <c r="J117" s="2"/>
      <c r="K117" s="5" t="s">
        <v>682</v>
      </c>
      <c r="L117" s="12" t="s">
        <v>683</v>
      </c>
      <c r="M117" s="13"/>
      <c r="N117" s="13"/>
      <c r="O117" s="13"/>
      <c r="P117" s="13"/>
      <c r="Q117" s="13" t="str">
        <f>IF(AND(ISNUMBER(MATCH(M117,{"F","E","D","D+","C","C+","B","B+","A","A+","S"},0)),ISNUMBER(MATCH(N117,{"F","E","D","D+","C","C+","B","B+","A","A+","S"},0)),ISNUMBER(MATCH(O117,{"F","E","D","D+","C","C+","B","B+","A","A+","S"},0)),ISNUMBER(MATCH(P117,{"F","E","D","D+","C","C+","B","B+","A","A+","S"},0))),LOOKUP(AVERAGE(_xlfn.SWITCH(M117,"F",0,"E",10,"D",20,"D+",30,"C",40,"C+",50,"B",60,"B+",70,"A",80,"A+",90,"S",100),_xlfn.SWITCH(N117,"F",0,"E",10,"D",20,"D+",30,"C",40,"C+",50,"B",60,"B+",70,"A",80,"A+",90,"S",100),_xlfn.SWITCH(O117,"F",0,"E",10,"D",20,"D+",30,"C",40,"C+",50,"B",60,"B+",70,"A",80,"A+",90,"S",100),_xlfn.SWITCH(P117,"F",0,"E",10,"D",20,"D+",30,"C",40,"C+",50,"B",60,"B+",70,"A",80,"A+",90,"S",100)),{0,15,25,35,45,55,65,75,85,95},{"D","D","D+","C","C+","B","B+","A","A+","S"}),"?")</f>
        <v>?</v>
      </c>
      <c r="R117" s="14"/>
      <c r="S117" s="14"/>
      <c r="T117" s="2"/>
    </row>
    <row r="118" spans="1:20" ht="21">
      <c r="A118" s="5" t="s">
        <v>687</v>
      </c>
      <c r="B118" s="5" t="s">
        <v>688</v>
      </c>
      <c r="C118" s="13"/>
      <c r="D118" s="13"/>
      <c r="E118" s="13"/>
      <c r="F118" s="13"/>
      <c r="G118" s="13"/>
      <c r="H118" s="7"/>
      <c r="I118" s="7"/>
      <c r="J118" s="2"/>
      <c r="K118" s="5" t="s">
        <v>689</v>
      </c>
      <c r="L118" s="12" t="s">
        <v>690</v>
      </c>
      <c r="M118" s="13"/>
      <c r="N118" s="13"/>
      <c r="O118" s="13"/>
      <c r="P118" s="13"/>
      <c r="Q118" s="13" t="str">
        <f>IF(AND(ISNUMBER(MATCH(M118,{"F","E","D","D+","C","C+","B","B+","A","A+","S"},0)),ISNUMBER(MATCH(N118,{"F","E","D","D+","C","C+","B","B+","A","A+","S"},0)),ISNUMBER(MATCH(O118,{"F","E","D","D+","C","C+","B","B+","A","A+","S"},0)),ISNUMBER(MATCH(P118,{"F","E","D","D+","C","C+","B","B+","A","A+","S"},0))),LOOKUP(AVERAGE(_xlfn.SWITCH(M118,"F",0,"E",10,"D",20,"D+",30,"C",40,"C+",50,"B",60,"B+",70,"A",80,"A+",90,"S",100),_xlfn.SWITCH(N118,"F",0,"E",10,"D",20,"D+",30,"C",40,"C+",50,"B",60,"B+",70,"A",80,"A+",90,"S",100),_xlfn.SWITCH(O118,"F",0,"E",10,"D",20,"D+",30,"C",40,"C+",50,"B",60,"B+",70,"A",80,"A+",90,"S",100),_xlfn.SWITCH(P118,"F",0,"E",10,"D",20,"D+",30,"C",40,"C+",50,"B",60,"B+",70,"A",80,"A+",90,"S",100)),{0,15,25,35,45,55,65,75,85,95},{"D","D","D+","C","C+","B","B+","A","A+","S"}),"?")</f>
        <v>?</v>
      </c>
      <c r="R118" s="14"/>
      <c r="S118" s="14"/>
      <c r="T118" s="2"/>
    </row>
    <row r="119" spans="1:20" ht="21">
      <c r="A119" s="5" t="s">
        <v>694</v>
      </c>
      <c r="B119" s="5" t="s">
        <v>695</v>
      </c>
      <c r="C119" s="13"/>
      <c r="D119" s="13"/>
      <c r="E119" s="13"/>
      <c r="F119" s="13"/>
      <c r="G119" s="13"/>
      <c r="H119" s="7"/>
      <c r="I119" s="7"/>
      <c r="J119" s="2"/>
      <c r="K119" s="5" t="s">
        <v>696</v>
      </c>
      <c r="L119" s="12" t="s">
        <v>697</v>
      </c>
      <c r="M119" s="13"/>
      <c r="N119" s="13"/>
      <c r="O119" s="13"/>
      <c r="P119" s="13"/>
      <c r="Q119" s="13" t="str">
        <f>IF(AND(ISNUMBER(MATCH(M119,{"F","E","D","D+","C","C+","B","B+","A","A+","S"},0)),ISNUMBER(MATCH(N119,{"F","E","D","D+","C","C+","B","B+","A","A+","S"},0)),ISNUMBER(MATCH(O119,{"F","E","D","D+","C","C+","B","B+","A","A+","S"},0)),ISNUMBER(MATCH(P119,{"F","E","D","D+","C","C+","B","B+","A","A+","S"},0))),LOOKUP(AVERAGE(_xlfn.SWITCH(M119,"F",0,"E",10,"D",20,"D+",30,"C",40,"C+",50,"B",60,"B+",70,"A",80,"A+",90,"S",100),_xlfn.SWITCH(N119,"F",0,"E",10,"D",20,"D+",30,"C",40,"C+",50,"B",60,"B+",70,"A",80,"A+",90,"S",100),_xlfn.SWITCH(O119,"F",0,"E",10,"D",20,"D+",30,"C",40,"C+",50,"B",60,"B+",70,"A",80,"A+",90,"S",100),_xlfn.SWITCH(P119,"F",0,"E",10,"D",20,"D+",30,"C",40,"C+",50,"B",60,"B+",70,"A",80,"A+",90,"S",100)),{0,15,25,35,45,55,65,75,85,95},{"D","D","D+","C","C+","B","B+","A","A+","S"}),"?")</f>
        <v>?</v>
      </c>
      <c r="R119" s="14"/>
      <c r="S119" s="14"/>
      <c r="T119" s="2"/>
    </row>
    <row r="120" spans="1:20" ht="66">
      <c r="A120" s="5" t="s">
        <v>701</v>
      </c>
      <c r="B120" s="5" t="s">
        <v>702</v>
      </c>
      <c r="C120" s="13"/>
      <c r="D120" s="13"/>
      <c r="E120" s="13"/>
      <c r="F120" s="13"/>
      <c r="G120" s="13"/>
      <c r="H120" s="7"/>
      <c r="I120" s="7"/>
      <c r="J120" s="2"/>
      <c r="K120" s="5" t="s">
        <v>703</v>
      </c>
      <c r="L120" s="12" t="s">
        <v>704</v>
      </c>
      <c r="M120" s="13"/>
      <c r="N120" s="13"/>
      <c r="O120" s="13"/>
      <c r="P120" s="13"/>
      <c r="Q120" s="13" t="s">
        <v>1574</v>
      </c>
      <c r="R120" s="132" t="s">
        <v>2175</v>
      </c>
      <c r="S120" s="14"/>
      <c r="T120" s="2"/>
    </row>
    <row r="121" spans="1:20" ht="21">
      <c r="A121" s="5" t="s">
        <v>708</v>
      </c>
      <c r="B121" s="5" t="s">
        <v>709</v>
      </c>
      <c r="C121" s="13"/>
      <c r="D121" s="13"/>
      <c r="E121" s="13"/>
      <c r="F121" s="13"/>
      <c r="G121" s="13"/>
      <c r="H121" s="7"/>
      <c r="I121" s="7"/>
      <c r="J121" s="2"/>
      <c r="K121" s="5" t="s">
        <v>710</v>
      </c>
      <c r="L121" s="12" t="s">
        <v>711</v>
      </c>
      <c r="M121" s="13"/>
      <c r="N121" s="13"/>
      <c r="O121" s="13"/>
      <c r="P121" s="13"/>
      <c r="Q121" s="13" t="str">
        <f>IF(AND(ISNUMBER(MATCH(M121,{"F","E","D","D+","C","C+","B","B+","A","A+","S"},0)),ISNUMBER(MATCH(N121,{"F","E","D","D+","C","C+","B","B+","A","A+","S"},0)),ISNUMBER(MATCH(O121,{"F","E","D","D+","C","C+","B","B+","A","A+","S"},0)),ISNUMBER(MATCH(P121,{"F","E","D","D+","C","C+","B","B+","A","A+","S"},0))),LOOKUP(AVERAGE(_xlfn.SWITCH(M121,"F",0,"E",10,"D",20,"D+",30,"C",40,"C+",50,"B",60,"B+",70,"A",80,"A+",90,"S",100),_xlfn.SWITCH(N121,"F",0,"E",10,"D",20,"D+",30,"C",40,"C+",50,"B",60,"B+",70,"A",80,"A+",90,"S",100),_xlfn.SWITCH(O121,"F",0,"E",10,"D",20,"D+",30,"C",40,"C+",50,"B",60,"B+",70,"A",80,"A+",90,"S",100),_xlfn.SWITCH(P121,"F",0,"E",10,"D",20,"D+",30,"C",40,"C+",50,"B",60,"B+",70,"A",80,"A+",90,"S",100)),{0,15,25,35,45,55,65,75,85,95},{"D","D","D+","C","C+","B","B+","A","A+","S"}),"?")</f>
        <v>?</v>
      </c>
      <c r="R121" s="14"/>
      <c r="S121" s="14"/>
      <c r="T121" s="2"/>
    </row>
    <row r="122" spans="1:20" ht="21">
      <c r="A122" s="5" t="s">
        <v>715</v>
      </c>
      <c r="B122" s="5" t="s">
        <v>716</v>
      </c>
      <c r="C122" s="13"/>
      <c r="D122" s="13"/>
      <c r="E122" s="13"/>
      <c r="F122" s="13"/>
      <c r="G122" s="13"/>
      <c r="H122" s="7"/>
      <c r="I122" s="7"/>
      <c r="J122" s="2"/>
      <c r="K122" s="5" t="s">
        <v>717</v>
      </c>
      <c r="L122" s="12" t="s">
        <v>718</v>
      </c>
      <c r="M122" s="13"/>
      <c r="N122" s="13"/>
      <c r="O122" s="13"/>
      <c r="P122" s="13"/>
      <c r="Q122" s="13" t="str">
        <f>IF(AND(ISNUMBER(MATCH(M122,{"F","E","D","D+","C","C+","B","B+","A","A+","S"},0)),ISNUMBER(MATCH(N122,{"F","E","D","D+","C","C+","B","B+","A","A+","S"},0)),ISNUMBER(MATCH(O122,{"F","E","D","D+","C","C+","B","B+","A","A+","S"},0)),ISNUMBER(MATCH(P122,{"F","E","D","D+","C","C+","B","B+","A","A+","S"},0))),LOOKUP(AVERAGE(_xlfn.SWITCH(M122,"F",0,"E",10,"D",20,"D+",30,"C",40,"C+",50,"B",60,"B+",70,"A",80,"A+",90,"S",100),_xlfn.SWITCH(N122,"F",0,"E",10,"D",20,"D+",30,"C",40,"C+",50,"B",60,"B+",70,"A",80,"A+",90,"S",100),_xlfn.SWITCH(O122,"F",0,"E",10,"D",20,"D+",30,"C",40,"C+",50,"B",60,"B+",70,"A",80,"A+",90,"S",100),_xlfn.SWITCH(P122,"F",0,"E",10,"D",20,"D+",30,"C",40,"C+",50,"B",60,"B+",70,"A",80,"A+",90,"S",100)),{0,15,25,35,45,55,65,75,85,95},{"D","D","D+","C","C+","B","B+","A","A+","S"}),"?")</f>
        <v>?</v>
      </c>
      <c r="R122" s="14"/>
      <c r="S122" s="14"/>
      <c r="T122" s="2"/>
    </row>
    <row r="123" spans="1:20" ht="21">
      <c r="A123" s="5" t="s">
        <v>722</v>
      </c>
      <c r="B123" s="5" t="s">
        <v>723</v>
      </c>
      <c r="C123" s="13"/>
      <c r="D123" s="13"/>
      <c r="E123" s="13"/>
      <c r="F123" s="13"/>
      <c r="G123" s="13"/>
      <c r="H123" s="7"/>
      <c r="I123" s="7"/>
      <c r="J123" s="2"/>
      <c r="K123" s="5" t="s">
        <v>134</v>
      </c>
      <c r="L123" s="12" t="s">
        <v>135</v>
      </c>
      <c r="M123" s="13"/>
      <c r="N123" s="13"/>
      <c r="O123" s="13"/>
      <c r="P123" s="13"/>
      <c r="Q123" s="13" t="str">
        <f>IF(AND(ISNUMBER(MATCH(M123,{"F","E","D","D+","C","C+","B","B+","A","A+","S"},0)),ISNUMBER(MATCH(N123,{"F","E","D","D+","C","C+","B","B+","A","A+","S"},0)),ISNUMBER(MATCH(O123,{"F","E","D","D+","C","C+","B","B+","A","A+","S"},0)),ISNUMBER(MATCH(P123,{"F","E","D","D+","C","C+","B","B+","A","A+","S"},0))),LOOKUP(AVERAGE(_xlfn.SWITCH(M123,"F",0,"E",10,"D",20,"D+",30,"C",40,"C+",50,"B",60,"B+",70,"A",80,"A+",90,"S",100),_xlfn.SWITCH(N123,"F",0,"E",10,"D",20,"D+",30,"C",40,"C+",50,"B",60,"B+",70,"A",80,"A+",90,"S",100),_xlfn.SWITCH(O123,"F",0,"E",10,"D",20,"D+",30,"C",40,"C+",50,"B",60,"B+",70,"A",80,"A+",90,"S",100),_xlfn.SWITCH(P123,"F",0,"E",10,"D",20,"D+",30,"C",40,"C+",50,"B",60,"B+",70,"A",80,"A+",90,"S",100)),{0,15,25,35,45,55,65,75,85,95},{"D","D","D+","C","C+","B","B+","A","A+","S"}),"?")</f>
        <v>?</v>
      </c>
      <c r="R123" s="14"/>
      <c r="S123" s="14"/>
      <c r="T123" s="2"/>
    </row>
    <row r="124" spans="1:20" ht="21">
      <c r="A124" s="5" t="s">
        <v>727</v>
      </c>
      <c r="B124" s="23" t="s">
        <v>558</v>
      </c>
      <c r="C124" s="13"/>
      <c r="D124" s="13"/>
      <c r="E124" s="13"/>
      <c r="F124" s="13"/>
      <c r="G124" s="13"/>
      <c r="H124" s="7"/>
      <c r="I124" s="7"/>
      <c r="J124" s="2"/>
      <c r="K124" s="5" t="s">
        <v>728</v>
      </c>
      <c r="L124" s="12" t="s">
        <v>729</v>
      </c>
      <c r="M124" s="13"/>
      <c r="N124" s="13"/>
      <c r="O124" s="13"/>
      <c r="P124" s="13"/>
      <c r="Q124" s="13" t="str">
        <f>IF(AND(ISNUMBER(MATCH(M124,{"F","E","D","D+","C","C+","B","B+","A","A+","S"},0)),ISNUMBER(MATCH(N124,{"F","E","D","D+","C","C+","B","B+","A","A+","S"},0)),ISNUMBER(MATCH(O124,{"F","E","D","D+","C","C+","B","B+","A","A+","S"},0)),ISNUMBER(MATCH(P124,{"F","E","D","D+","C","C+","B","B+","A","A+","S"},0))),LOOKUP(AVERAGE(_xlfn.SWITCH(M124,"F",0,"E",10,"D",20,"D+",30,"C",40,"C+",50,"B",60,"B+",70,"A",80,"A+",90,"S",100),_xlfn.SWITCH(N124,"F",0,"E",10,"D",20,"D+",30,"C",40,"C+",50,"B",60,"B+",70,"A",80,"A+",90,"S",100),_xlfn.SWITCH(O124,"F",0,"E",10,"D",20,"D+",30,"C",40,"C+",50,"B",60,"B+",70,"A",80,"A+",90,"S",100),_xlfn.SWITCH(P124,"F",0,"E",10,"D",20,"D+",30,"C",40,"C+",50,"B",60,"B+",70,"A",80,"A+",90,"S",100)),{0,15,25,35,45,55,65,75,85,95},{"D","D","D+","C","C+","B","B+","A","A+","S"}),"?")</f>
        <v>?</v>
      </c>
      <c r="R124" s="14"/>
      <c r="S124" s="14"/>
      <c r="T124" s="2"/>
    </row>
    <row r="125" spans="1:20" ht="21">
      <c r="A125" s="5" t="s">
        <v>733</v>
      </c>
      <c r="B125" s="5" t="s">
        <v>686</v>
      </c>
      <c r="C125" s="13"/>
      <c r="D125" s="13"/>
      <c r="E125" s="13"/>
      <c r="F125" s="13"/>
      <c r="G125" s="13"/>
      <c r="H125" s="7"/>
      <c r="I125" s="7"/>
      <c r="J125" s="2"/>
      <c r="K125" s="5" t="s">
        <v>290</v>
      </c>
      <c r="L125" s="12" t="s">
        <v>291</v>
      </c>
      <c r="M125" s="13"/>
      <c r="N125" s="13"/>
      <c r="O125" s="13"/>
      <c r="P125" s="13"/>
      <c r="Q125" s="13" t="str">
        <f>IF(AND(ISNUMBER(MATCH(M125,{"F","E","D","D+","C","C+","B","B+","A","A+","S"},0)),ISNUMBER(MATCH(N125,{"F","E","D","D+","C","C+","B","B+","A","A+","S"},0)),ISNUMBER(MATCH(O125,{"F","E","D","D+","C","C+","B","B+","A","A+","S"},0)),ISNUMBER(MATCH(P125,{"F","E","D","D+","C","C+","B","B+","A","A+","S"},0))),LOOKUP(AVERAGE(_xlfn.SWITCH(M125,"F",0,"E",10,"D",20,"D+",30,"C",40,"C+",50,"B",60,"B+",70,"A",80,"A+",90,"S",100),_xlfn.SWITCH(N125,"F",0,"E",10,"D",20,"D+",30,"C",40,"C+",50,"B",60,"B+",70,"A",80,"A+",90,"S",100),_xlfn.SWITCH(O125,"F",0,"E",10,"D",20,"D+",30,"C",40,"C+",50,"B",60,"B+",70,"A",80,"A+",90,"S",100),_xlfn.SWITCH(P125,"F",0,"E",10,"D",20,"D+",30,"C",40,"C+",50,"B",60,"B+",70,"A",80,"A+",90,"S",100)),{0,15,25,35,45,55,65,75,85,95},{"D","D","D+","C","C+","B","B+","A","A+","S"}),"?")</f>
        <v>?</v>
      </c>
      <c r="R125" s="14"/>
      <c r="S125" s="14"/>
      <c r="T125" s="2"/>
    </row>
    <row r="126" spans="1:20" ht="21">
      <c r="A126" s="5" t="s">
        <v>737</v>
      </c>
      <c r="B126" s="5" t="s">
        <v>700</v>
      </c>
      <c r="C126" s="13"/>
      <c r="D126" s="13"/>
      <c r="E126" s="13"/>
      <c r="F126" s="13"/>
      <c r="G126" s="13"/>
      <c r="H126" s="7"/>
      <c r="I126" s="7"/>
      <c r="J126" s="2"/>
      <c r="K126" s="5" t="s">
        <v>254</v>
      </c>
      <c r="L126" s="12" t="s">
        <v>255</v>
      </c>
      <c r="M126" s="13"/>
      <c r="N126" s="13"/>
      <c r="O126" s="13"/>
      <c r="P126" s="13"/>
      <c r="Q126" s="13" t="str">
        <f>IF(AND(ISNUMBER(MATCH(M126,{"F","E","D","D+","C","C+","B","B+","A","A+","S"},0)),ISNUMBER(MATCH(N126,{"F","E","D","D+","C","C+","B","B+","A","A+","S"},0)),ISNUMBER(MATCH(O126,{"F","E","D","D+","C","C+","B","B+","A","A+","S"},0)),ISNUMBER(MATCH(P126,{"F","E","D","D+","C","C+","B","B+","A","A+","S"},0))),LOOKUP(AVERAGE(_xlfn.SWITCH(M126,"F",0,"E",10,"D",20,"D+",30,"C",40,"C+",50,"B",60,"B+",70,"A",80,"A+",90,"S",100),_xlfn.SWITCH(N126,"F",0,"E",10,"D",20,"D+",30,"C",40,"C+",50,"B",60,"B+",70,"A",80,"A+",90,"S",100),_xlfn.SWITCH(O126,"F",0,"E",10,"D",20,"D+",30,"C",40,"C+",50,"B",60,"B+",70,"A",80,"A+",90,"S",100),_xlfn.SWITCH(P126,"F",0,"E",10,"D",20,"D+",30,"C",40,"C+",50,"B",60,"B+",70,"A",80,"A+",90,"S",100)),{0,15,25,35,45,55,65,75,85,95},{"D","D","D+","C","C+","B","B+","A","A+","S"}),"?")</f>
        <v>?</v>
      </c>
      <c r="R126" s="14"/>
      <c r="S126" s="14"/>
      <c r="T126" s="2"/>
    </row>
    <row r="127" spans="1:20">
      <c r="A127" s="5" t="s">
        <v>741</v>
      </c>
      <c r="B127" s="5" t="s">
        <v>742</v>
      </c>
      <c r="C127" s="13"/>
      <c r="D127" s="13"/>
      <c r="E127" s="13"/>
      <c r="F127" s="13"/>
      <c r="G127" s="13"/>
      <c r="H127" s="7"/>
      <c r="I127" s="7"/>
      <c r="K127" s="24" t="s">
        <v>407</v>
      </c>
      <c r="L127" s="25" t="s">
        <v>408</v>
      </c>
      <c r="M127" s="19"/>
      <c r="N127" s="19"/>
      <c r="O127" s="19"/>
      <c r="P127" s="19"/>
      <c r="Q127" s="19" t="str">
        <f>IF(AND(ISNUMBER(MATCH(M127,{"F","E","D","D+","C","C+","B","B+","A","A+","S"},0)),ISNUMBER(MATCH(N127,{"F","E","D","D+","C","C+","B","B+","A","A+","S"},0)),ISNUMBER(MATCH(O127,{"F","E","D","D+","C","C+","B","B+","A","A+","S"},0)),ISNUMBER(MATCH(P127,{"F","E","D","D+","C","C+","B","B+","A","A+","S"},0))),LOOKUP(AVERAGE(_xlfn.SWITCH(M127,"F",0,"E",10,"D",20,"D+",30,"C",40,"C+",50,"B",60,"B+",70,"A",80,"A+",90,"S",100),_xlfn.SWITCH(N127,"F",0,"E",10,"D",20,"D+",30,"C",40,"C+",50,"B",60,"B+",70,"A",80,"A+",90,"S",100),_xlfn.SWITCH(O127,"F",0,"E",10,"D",20,"D+",30,"C",40,"C+",50,"B",60,"B+",70,"A",80,"A+",90,"S",100),_xlfn.SWITCH(P127,"F",0,"E",10,"D",20,"D+",30,"C",40,"C+",50,"B",60,"B+",70,"A",80,"A+",90,"S",100)),{0,15,25,35,45,55,65,75,85,95},{"D","D","D+","C","C+","B","B+","A","A+","S"}),"?")</f>
        <v>?</v>
      </c>
    </row>
    <row r="128" spans="1:20">
      <c r="A128" s="5" t="s">
        <v>746</v>
      </c>
      <c r="B128" s="5" t="s">
        <v>693</v>
      </c>
      <c r="C128" s="13"/>
      <c r="D128" s="13"/>
      <c r="E128" s="13"/>
      <c r="F128" s="13"/>
      <c r="G128" s="13"/>
      <c r="H128" s="7"/>
      <c r="I128" s="7"/>
      <c r="K128" s="24" t="s">
        <v>747</v>
      </c>
      <c r="L128" s="25" t="s">
        <v>748</v>
      </c>
      <c r="M128" s="19"/>
      <c r="N128" s="19"/>
      <c r="O128" s="19"/>
      <c r="P128" s="19"/>
      <c r="Q128" s="19" t="str">
        <f>IF(AND(ISNUMBER(MATCH(M128,{"F","E","D","D+","C","C+","B","B+","A","A+","S"},0)),ISNUMBER(MATCH(N128,{"F","E","D","D+","C","C+","B","B+","A","A+","S"},0)),ISNUMBER(MATCH(O128,{"F","E","D","D+","C","C+","B","B+","A","A+","S"},0)),ISNUMBER(MATCH(P128,{"F","E","D","D+","C","C+","B","B+","A","A+","S"},0))),LOOKUP(AVERAGE(_xlfn.SWITCH(M128,"F",0,"E",10,"D",20,"D+",30,"C",40,"C+",50,"B",60,"B+",70,"A",80,"A+",90,"S",100),_xlfn.SWITCH(N128,"F",0,"E",10,"D",20,"D+",30,"C",40,"C+",50,"B",60,"B+",70,"A",80,"A+",90,"S",100),_xlfn.SWITCH(O128,"F",0,"E",10,"D",20,"D+",30,"C",40,"C+",50,"B",60,"B+",70,"A",80,"A+",90,"S",100),_xlfn.SWITCH(P128,"F",0,"E",10,"D",20,"D+",30,"C",40,"C+",50,"B",60,"B+",70,"A",80,"A+",90,"S",100)),{0,15,25,35,45,55,65,75,85,95},{"D","D","D+","C","C+","B","B+","A","A+","S"}),"?")</f>
        <v>?</v>
      </c>
    </row>
    <row r="129" spans="1:19">
      <c r="A129" s="5" t="s">
        <v>752</v>
      </c>
      <c r="B129" s="23" t="s">
        <v>753</v>
      </c>
      <c r="C129" s="13"/>
      <c r="D129" s="13"/>
      <c r="E129" s="13"/>
      <c r="F129" s="13"/>
      <c r="G129" s="13"/>
      <c r="H129" s="7"/>
      <c r="I129" s="7"/>
      <c r="K129" s="24" t="s">
        <v>411</v>
      </c>
      <c r="L129" s="25" t="s">
        <v>412</v>
      </c>
      <c r="M129" s="19"/>
      <c r="N129" s="19"/>
      <c r="O129" s="19"/>
      <c r="P129" s="19"/>
      <c r="Q129" s="19" t="str">
        <f>IF(AND(ISNUMBER(MATCH(M129,{"F","E","D","D+","C","C+","B","B+","A","A+","S"},0)),ISNUMBER(MATCH(N129,{"F","E","D","D+","C","C+","B","B+","A","A+","S"},0)),ISNUMBER(MATCH(O129,{"F","E","D","D+","C","C+","B","B+","A","A+","S"},0)),ISNUMBER(MATCH(P129,{"F","E","D","D+","C","C+","B","B+","A","A+","S"},0))),LOOKUP(AVERAGE(_xlfn.SWITCH(M129,"F",0,"E",10,"D",20,"D+",30,"C",40,"C+",50,"B",60,"B+",70,"A",80,"A+",90,"S",100),_xlfn.SWITCH(N129,"F",0,"E",10,"D",20,"D+",30,"C",40,"C+",50,"B",60,"B+",70,"A",80,"A+",90,"S",100),_xlfn.SWITCH(O129,"F",0,"E",10,"D",20,"D+",30,"C",40,"C+",50,"B",60,"B+",70,"A",80,"A+",90,"S",100),_xlfn.SWITCH(P129,"F",0,"E",10,"D",20,"D+",30,"C",40,"C+",50,"B",60,"B+",70,"A",80,"A+",90,"S",100)),{0,15,25,35,45,55,65,75,85,95},{"D","D","D+","C","C+","B","B+","A","A+","S"}),"?")</f>
        <v>?</v>
      </c>
    </row>
    <row r="130" spans="1:19">
      <c r="A130" s="5" t="s">
        <v>757</v>
      </c>
      <c r="B130" s="5" t="s">
        <v>758</v>
      </c>
      <c r="C130" s="13"/>
      <c r="D130" s="13"/>
      <c r="E130" s="13"/>
      <c r="F130" s="13"/>
      <c r="G130" s="13"/>
      <c r="H130" s="7"/>
      <c r="I130" s="7"/>
      <c r="K130" s="24" t="s">
        <v>32</v>
      </c>
      <c r="L130" s="25" t="s">
        <v>33</v>
      </c>
      <c r="M130" s="19"/>
      <c r="N130" s="19"/>
      <c r="O130" s="19"/>
      <c r="P130" s="19"/>
      <c r="Q130" s="19" t="str">
        <f>IF(AND(ISNUMBER(MATCH(M130,{"F","E","D","D+","C","C+","B","B+","A","A+","S"},0)),ISNUMBER(MATCH(N130,{"F","E","D","D+","C","C+","B","B+","A","A+","S"},0)),ISNUMBER(MATCH(O130,{"F","E","D","D+","C","C+","B","B+","A","A+","S"},0)),ISNUMBER(MATCH(P130,{"F","E","D","D+","C","C+","B","B+","A","A+","S"},0))),LOOKUP(AVERAGE(_xlfn.SWITCH(M130,"F",0,"E",10,"D",20,"D+",30,"C",40,"C+",50,"B",60,"B+",70,"A",80,"A+",90,"S",100),_xlfn.SWITCH(N130,"F",0,"E",10,"D",20,"D+",30,"C",40,"C+",50,"B",60,"B+",70,"A",80,"A+",90,"S",100),_xlfn.SWITCH(O130,"F",0,"E",10,"D",20,"D+",30,"C",40,"C+",50,"B",60,"B+",70,"A",80,"A+",90,"S",100),_xlfn.SWITCH(P130,"F",0,"E",10,"D",20,"D+",30,"C",40,"C+",50,"B",60,"B+",70,"A",80,"A+",90,"S",100)),{0,15,25,35,45,55,65,75,85,95},{"D","D","D+","C","C+","B","B+","A","A+","S"}),"?")</f>
        <v>?</v>
      </c>
    </row>
    <row r="131" spans="1:19">
      <c r="A131" s="5" t="s">
        <v>762</v>
      </c>
      <c r="B131" s="5" t="s">
        <v>763</v>
      </c>
      <c r="C131" s="13"/>
      <c r="D131" s="13"/>
      <c r="E131" s="13"/>
      <c r="F131" s="13"/>
      <c r="G131" s="13"/>
      <c r="H131" s="7"/>
      <c r="I131" s="7"/>
      <c r="K131" s="24" t="s">
        <v>301</v>
      </c>
      <c r="L131" s="25" t="s">
        <v>280</v>
      </c>
      <c r="M131" s="19"/>
      <c r="N131" s="19"/>
      <c r="O131" s="19"/>
      <c r="P131" s="19"/>
      <c r="Q131" s="19" t="str">
        <f>IF(AND(ISNUMBER(MATCH(M131,{"F","E","D","D+","C","C+","B","B+","A","A+","S"},0)),ISNUMBER(MATCH(N131,{"F","E","D","D+","C","C+","B","B+","A","A+","S"},0)),ISNUMBER(MATCH(O131,{"F","E","D","D+","C","C+","B","B+","A","A+","S"},0)),ISNUMBER(MATCH(P131,{"F","E","D","D+","C","C+","B","B+","A","A+","S"},0))),LOOKUP(AVERAGE(_xlfn.SWITCH(M131,"F",0,"E",10,"D",20,"D+",30,"C",40,"C+",50,"B",60,"B+",70,"A",80,"A+",90,"S",100),_xlfn.SWITCH(N131,"F",0,"E",10,"D",20,"D+",30,"C",40,"C+",50,"B",60,"B+",70,"A",80,"A+",90,"S",100),_xlfn.SWITCH(O131,"F",0,"E",10,"D",20,"D+",30,"C",40,"C+",50,"B",60,"B+",70,"A",80,"A+",90,"S",100),_xlfn.SWITCH(P131,"F",0,"E",10,"D",20,"D+",30,"C",40,"C+",50,"B",60,"B+",70,"A",80,"A+",90,"S",100)),{0,15,25,35,45,55,65,75,85,95},{"D","D","D+","C","C+","B","B+","A","A+","S"}),"?")</f>
        <v>?</v>
      </c>
    </row>
    <row r="132" spans="1:19">
      <c r="A132" s="5" t="s">
        <v>767</v>
      </c>
      <c r="B132" s="5" t="s">
        <v>768</v>
      </c>
      <c r="C132" s="13"/>
      <c r="D132" s="13"/>
      <c r="E132" s="13"/>
      <c r="F132" s="13"/>
      <c r="G132" s="13"/>
      <c r="H132" s="7"/>
      <c r="I132" s="7"/>
      <c r="K132" s="24" t="s">
        <v>344</v>
      </c>
      <c r="L132" s="25" t="s">
        <v>345</v>
      </c>
      <c r="M132" s="19"/>
      <c r="N132" s="19"/>
      <c r="O132" s="19"/>
      <c r="P132" s="19"/>
      <c r="Q132" s="19" t="str">
        <f>IF(AND(ISNUMBER(MATCH(M132,{"F","E","D","D+","C","C+","B","B+","A","A+","S"},0)),ISNUMBER(MATCH(N132,{"F","E","D","D+","C","C+","B","B+","A","A+","S"},0)),ISNUMBER(MATCH(O132,{"F","E","D","D+","C","C+","B","B+","A","A+","S"},0)),ISNUMBER(MATCH(P132,{"F","E","D","D+","C","C+","B","B+","A","A+","S"},0))),LOOKUP(AVERAGE(_xlfn.SWITCH(M132,"F",0,"E",10,"D",20,"D+",30,"C",40,"C+",50,"B",60,"B+",70,"A",80,"A+",90,"S",100),_xlfn.SWITCH(N132,"F",0,"E",10,"D",20,"D+",30,"C",40,"C+",50,"B",60,"B+",70,"A",80,"A+",90,"S",100),_xlfn.SWITCH(O132,"F",0,"E",10,"D",20,"D+",30,"C",40,"C+",50,"B",60,"B+",70,"A",80,"A+",90,"S",100),_xlfn.SWITCH(P132,"F",0,"E",10,"D",20,"D+",30,"C",40,"C+",50,"B",60,"B+",70,"A",80,"A+",90,"S",100)),{0,15,25,35,45,55,65,75,85,95},{"D","D","D+","C","C+","B","B+","A","A+","S"}),"?")</f>
        <v>?</v>
      </c>
    </row>
    <row r="133" spans="1:19">
      <c r="A133" s="5" t="s">
        <v>772</v>
      </c>
      <c r="B133" s="5" t="s">
        <v>773</v>
      </c>
      <c r="C133" s="13"/>
      <c r="D133" s="13"/>
      <c r="E133" s="13"/>
      <c r="F133" s="13"/>
      <c r="G133" s="13"/>
      <c r="H133" s="7"/>
      <c r="I133" s="7"/>
      <c r="K133" s="24" t="s">
        <v>774</v>
      </c>
      <c r="L133" s="25" t="s">
        <v>775</v>
      </c>
      <c r="M133" s="19"/>
      <c r="N133" s="19"/>
      <c r="O133" s="19"/>
      <c r="P133" s="19"/>
      <c r="Q133" s="19" t="str">
        <f>IF(AND(ISNUMBER(MATCH(M133,{"F","E","D","D+","C","C+","B","B+","A","A+","S"},0)),ISNUMBER(MATCH(N133,{"F","E","D","D+","C","C+","B","B+","A","A+","S"},0)),ISNUMBER(MATCH(O133,{"F","E","D","D+","C","C+","B","B+","A","A+","S"},0)),ISNUMBER(MATCH(P133,{"F","E","D","D+","C","C+","B","B+","A","A+","S"},0))),LOOKUP(AVERAGE(_xlfn.SWITCH(M133,"F",0,"E",10,"D",20,"D+",30,"C",40,"C+",50,"B",60,"B+",70,"A",80,"A+",90,"S",100),_xlfn.SWITCH(N133,"F",0,"E",10,"D",20,"D+",30,"C",40,"C+",50,"B",60,"B+",70,"A",80,"A+",90,"S",100),_xlfn.SWITCH(O133,"F",0,"E",10,"D",20,"D+",30,"C",40,"C+",50,"B",60,"B+",70,"A",80,"A+",90,"S",100),_xlfn.SWITCH(P133,"F",0,"E",10,"D",20,"D+",30,"C",40,"C+",50,"B",60,"B+",70,"A",80,"A+",90,"S",100)),{0,15,25,35,45,55,65,75,85,95},{"D","D","D+","C","C+","B","B+","A","A+","S"}),"?")</f>
        <v>?</v>
      </c>
    </row>
    <row r="134" spans="1:19" ht="114">
      <c r="A134" s="5" t="s">
        <v>779</v>
      </c>
      <c r="B134" s="5" t="s">
        <v>780</v>
      </c>
      <c r="C134" s="13"/>
      <c r="D134" s="13"/>
      <c r="E134" s="13"/>
      <c r="F134" s="13"/>
      <c r="G134" s="13"/>
      <c r="H134" s="7"/>
      <c r="I134" s="7"/>
      <c r="K134" s="24" t="s">
        <v>781</v>
      </c>
      <c r="L134" s="25" t="s">
        <v>544</v>
      </c>
      <c r="M134" s="19"/>
      <c r="N134" s="19"/>
      <c r="O134" s="19"/>
      <c r="P134" s="19"/>
      <c r="Q134" s="19" t="s">
        <v>18</v>
      </c>
      <c r="R134" s="135" t="s">
        <v>2176</v>
      </c>
    </row>
    <row r="135" spans="1:19">
      <c r="A135" s="5" t="s">
        <v>785</v>
      </c>
      <c r="B135" s="23" t="s">
        <v>786</v>
      </c>
      <c r="C135" s="13"/>
      <c r="D135" s="13"/>
      <c r="E135" s="13"/>
      <c r="F135" s="13"/>
      <c r="G135" s="13"/>
      <c r="H135" s="7"/>
      <c r="I135" s="7"/>
      <c r="K135" s="541" t="s">
        <v>787</v>
      </c>
      <c r="L135" s="542"/>
      <c r="M135" s="543"/>
      <c r="N135" s="543"/>
      <c r="O135" s="543"/>
      <c r="P135" s="543"/>
      <c r="Q135" s="543"/>
      <c r="R135" s="543"/>
      <c r="S135" s="543"/>
    </row>
    <row r="136" spans="1:19">
      <c r="A136" s="5" t="s">
        <v>791</v>
      </c>
      <c r="B136" s="5" t="s">
        <v>792</v>
      </c>
      <c r="C136" s="13"/>
      <c r="D136" s="13"/>
      <c r="E136" s="13"/>
      <c r="F136" s="13"/>
      <c r="G136" s="13"/>
      <c r="H136" s="7"/>
      <c r="I136" s="7"/>
      <c r="K136" s="538"/>
      <c r="L136" s="533"/>
      <c r="M136" s="533"/>
      <c r="N136" s="533"/>
      <c r="O136" s="533"/>
      <c r="P136" s="533"/>
      <c r="Q136" s="533"/>
      <c r="R136" s="533"/>
      <c r="S136" s="539"/>
    </row>
    <row r="137" spans="1:19">
      <c r="A137" s="5" t="s">
        <v>796</v>
      </c>
      <c r="B137" s="5" t="s">
        <v>797</v>
      </c>
      <c r="C137" s="13"/>
      <c r="D137" s="13"/>
      <c r="E137" s="13"/>
      <c r="F137" s="13"/>
      <c r="G137" s="13"/>
      <c r="H137" s="7"/>
      <c r="I137" s="7"/>
      <c r="K137" s="5" t="s">
        <v>4</v>
      </c>
      <c r="L137" s="6" t="s">
        <v>5</v>
      </c>
      <c r="M137" s="7" t="s">
        <v>6</v>
      </c>
      <c r="N137" s="7" t="s">
        <v>7</v>
      </c>
      <c r="O137" s="7" t="s">
        <v>8</v>
      </c>
      <c r="P137" s="7" t="s">
        <v>9</v>
      </c>
      <c r="Q137" s="7" t="s">
        <v>10</v>
      </c>
      <c r="R137" s="7" t="s">
        <v>11</v>
      </c>
      <c r="S137" s="11" t="s">
        <v>12</v>
      </c>
    </row>
    <row r="138" spans="1:19">
      <c r="A138" s="5" t="s">
        <v>800</v>
      </c>
      <c r="B138" s="23" t="s">
        <v>801</v>
      </c>
      <c r="C138" s="13"/>
      <c r="D138" s="13"/>
      <c r="E138" s="13"/>
      <c r="F138" s="13"/>
      <c r="G138" s="13"/>
      <c r="H138" s="7"/>
      <c r="I138" s="7"/>
      <c r="K138" s="24" t="s">
        <v>802</v>
      </c>
      <c r="L138" s="25" t="s">
        <v>803</v>
      </c>
      <c r="M138" s="19"/>
      <c r="N138" s="19"/>
      <c r="O138" s="19"/>
      <c r="P138" s="19"/>
      <c r="Q138" s="19" t="str">
        <f>IF(AND(ISNUMBER(MATCH(M138,{"F","E","D","D+","C","C+","B","B+","A","A+","S"},0)),ISNUMBER(MATCH(N138,{"F","E","D","D+","C","C+","B","B+","A","A+","S"},0)),ISNUMBER(MATCH(O138,{"F","E","D","D+","C","C+","B","B+","A","A+","S"},0)),ISNUMBER(MATCH(P138,{"F","E","D","D+","C","C+","B","B+","A","A+","S"},0))),LOOKUP(AVERAGE(_xlfn.SWITCH(M138,"F",0,"E",10,"D",20,"D+",30,"C",40,"C+",50,"B",60,"B+",70,"A",80,"A+",90,"S",100),_xlfn.SWITCH(N138,"F",0,"E",10,"D",20,"D+",30,"C",40,"C+",50,"B",60,"B+",70,"A",80,"A+",90,"S",100),_xlfn.SWITCH(O138,"F",0,"E",10,"D",20,"D+",30,"C",40,"C+",50,"B",60,"B+",70,"A",80,"A+",90,"S",100),_xlfn.SWITCH(P138,"F",0,"E",10,"D",20,"D+",30,"C",40,"C+",50,"B",60,"B+",70,"A",80,"A+",90,"S",100)),{0,15,25,35,45,55,65,75,85,95},{"D","D","D+","C","C+","B","B+","A","A+","S"}),"?")</f>
        <v>?</v>
      </c>
    </row>
    <row r="139" spans="1:19">
      <c r="A139" s="5" t="s">
        <v>807</v>
      </c>
      <c r="B139" s="5" t="s">
        <v>808</v>
      </c>
      <c r="C139" s="13"/>
      <c r="D139" s="13"/>
      <c r="E139" s="13"/>
      <c r="F139" s="13"/>
      <c r="G139" s="13"/>
      <c r="H139" s="7"/>
      <c r="I139" s="7"/>
      <c r="K139" s="24" t="s">
        <v>809</v>
      </c>
      <c r="L139" s="25" t="s">
        <v>810</v>
      </c>
      <c r="M139" s="19"/>
      <c r="N139" s="19"/>
      <c r="O139" s="19"/>
      <c r="P139" s="19"/>
      <c r="Q139" s="19" t="str">
        <f>IF(AND(ISNUMBER(MATCH(M139,{"F","E","D","D+","C","C+","B","B+","A","A+","S"},0)),ISNUMBER(MATCH(N139,{"F","E","D","D+","C","C+","B","B+","A","A+","S"},0)),ISNUMBER(MATCH(O139,{"F","E","D","D+","C","C+","B","B+","A","A+","S"},0)),ISNUMBER(MATCH(P139,{"F","E","D","D+","C","C+","B","B+","A","A+","S"},0))),LOOKUP(AVERAGE(_xlfn.SWITCH(M139,"F",0,"E",10,"D",20,"D+",30,"C",40,"C+",50,"B",60,"B+",70,"A",80,"A+",90,"S",100),_xlfn.SWITCH(N139,"F",0,"E",10,"D",20,"D+",30,"C",40,"C+",50,"B",60,"B+",70,"A",80,"A+",90,"S",100),_xlfn.SWITCH(O139,"F",0,"E",10,"D",20,"D+",30,"C",40,"C+",50,"B",60,"B+",70,"A",80,"A+",90,"S",100),_xlfn.SWITCH(P139,"F",0,"E",10,"D",20,"D+",30,"C",40,"C+",50,"B",60,"B+",70,"A",80,"A+",90,"S",100)),{0,15,25,35,45,55,65,75,85,95},{"D","D","D+","C","C+","B","B+","A","A+","S"}),"?")</f>
        <v>?</v>
      </c>
    </row>
    <row r="140" spans="1:19">
      <c r="A140" s="5" t="s">
        <v>814</v>
      </c>
      <c r="B140" s="5" t="s">
        <v>736</v>
      </c>
      <c r="C140" s="13"/>
      <c r="D140" s="13"/>
      <c r="E140" s="13"/>
      <c r="F140" s="13"/>
      <c r="G140" s="13"/>
      <c r="H140" s="7"/>
      <c r="I140" s="7"/>
      <c r="K140" s="24" t="s">
        <v>755</v>
      </c>
      <c r="L140" s="25" t="s">
        <v>756</v>
      </c>
      <c r="M140" s="19"/>
      <c r="N140" s="19"/>
      <c r="O140" s="19"/>
      <c r="P140" s="19"/>
      <c r="Q140" s="19" t="str">
        <f>IF(AND(ISNUMBER(MATCH(M140,{"F","E","D","D+","C","C+","B","B+","A","A+","S"},0)),ISNUMBER(MATCH(N140,{"F","E","D","D+","C","C+","B","B+","A","A+","S"},0)),ISNUMBER(MATCH(O140,{"F","E","D","D+","C","C+","B","B+","A","A+","S"},0)),ISNUMBER(MATCH(P140,{"F","E","D","D+","C","C+","B","B+","A","A+","S"},0))),LOOKUP(AVERAGE(_xlfn.SWITCH(M140,"F",0,"E",10,"D",20,"D+",30,"C",40,"C+",50,"B",60,"B+",70,"A",80,"A+",90,"S",100),_xlfn.SWITCH(N140,"F",0,"E",10,"D",20,"D+",30,"C",40,"C+",50,"B",60,"B+",70,"A",80,"A+",90,"S",100),_xlfn.SWITCH(O140,"F",0,"E",10,"D",20,"D+",30,"C",40,"C+",50,"B",60,"B+",70,"A",80,"A+",90,"S",100),_xlfn.SWITCH(P140,"F",0,"E",10,"D",20,"D+",30,"C",40,"C+",50,"B",60,"B+",70,"A",80,"A+",90,"S",100)),{0,15,25,35,45,55,65,75,85,95},{"D","D","D+","C","C+","B","B+","A","A+","S"}),"?")</f>
        <v>?</v>
      </c>
    </row>
    <row r="141" spans="1:19">
      <c r="A141" s="5" t="s">
        <v>818</v>
      </c>
      <c r="B141" s="5" t="s">
        <v>819</v>
      </c>
      <c r="C141" s="13"/>
      <c r="D141" s="13"/>
      <c r="E141" s="13"/>
      <c r="F141" s="13"/>
      <c r="G141" s="13"/>
      <c r="H141" s="7"/>
      <c r="I141" s="7"/>
      <c r="K141" s="24" t="s">
        <v>820</v>
      </c>
      <c r="L141" s="25" t="s">
        <v>821</v>
      </c>
      <c r="M141" s="19"/>
      <c r="N141" s="19"/>
      <c r="O141" s="19"/>
      <c r="P141" s="19"/>
      <c r="Q141" s="19" t="str">
        <f>IF(AND(ISNUMBER(MATCH(M141,{"F","E","D","D+","C","C+","B","B+","A","A+","S"},0)),ISNUMBER(MATCH(N141,{"F","E","D","D+","C","C+","B","B+","A","A+","S"},0)),ISNUMBER(MATCH(O141,{"F","E","D","D+","C","C+","B","B+","A","A+","S"},0)),ISNUMBER(MATCH(P141,{"F","E","D","D+","C","C+","B","B+","A","A+","S"},0))),LOOKUP(AVERAGE(_xlfn.SWITCH(M141,"F",0,"E",10,"D",20,"D+",30,"C",40,"C+",50,"B",60,"B+",70,"A",80,"A+",90,"S",100),_xlfn.SWITCH(N141,"F",0,"E",10,"D",20,"D+",30,"C",40,"C+",50,"B",60,"B+",70,"A",80,"A+",90,"S",100),_xlfn.SWITCH(O141,"F",0,"E",10,"D",20,"D+",30,"C",40,"C+",50,"B",60,"B+",70,"A",80,"A+",90,"S",100),_xlfn.SWITCH(P141,"F",0,"E",10,"D",20,"D+",30,"C",40,"C+",50,"B",60,"B+",70,"A",80,"A+",90,"S",100)),{0,15,25,35,45,55,65,75,85,95},{"D","D","D+","C","C+","B","B+","A","A+","S"}),"?")</f>
        <v>?</v>
      </c>
    </row>
    <row r="142" spans="1:19">
      <c r="A142" s="5" t="s">
        <v>825</v>
      </c>
      <c r="B142" s="23" t="s">
        <v>826</v>
      </c>
      <c r="C142" s="13"/>
      <c r="D142" s="13"/>
      <c r="E142" s="13"/>
      <c r="F142" s="13"/>
      <c r="G142" s="13"/>
      <c r="H142" s="7"/>
      <c r="I142" s="7"/>
      <c r="K142" s="24" t="s">
        <v>827</v>
      </c>
      <c r="L142" s="25" t="s">
        <v>828</v>
      </c>
      <c r="M142" s="19"/>
      <c r="N142" s="19"/>
      <c r="O142" s="19"/>
      <c r="P142" s="19"/>
      <c r="Q142" s="19" t="str">
        <f>IF(AND(ISNUMBER(MATCH(M142,{"F","E","D","D+","C","C+","B","B+","A","A+","S"},0)),ISNUMBER(MATCH(N142,{"F","E","D","D+","C","C+","B","B+","A","A+","S"},0)),ISNUMBER(MATCH(O142,{"F","E","D","D+","C","C+","B","B+","A","A+","S"},0)),ISNUMBER(MATCH(P142,{"F","E","D","D+","C","C+","B","B+","A","A+","S"},0))),LOOKUP(AVERAGE(_xlfn.SWITCH(M142,"F",0,"E",10,"D",20,"D+",30,"C",40,"C+",50,"B",60,"B+",70,"A",80,"A+",90,"S",100),_xlfn.SWITCH(N142,"F",0,"E",10,"D",20,"D+",30,"C",40,"C+",50,"B",60,"B+",70,"A",80,"A+",90,"S",100),_xlfn.SWITCH(O142,"F",0,"E",10,"D",20,"D+",30,"C",40,"C+",50,"B",60,"B+",70,"A",80,"A+",90,"S",100),_xlfn.SWITCH(P142,"F",0,"E",10,"D",20,"D+",30,"C",40,"C+",50,"B",60,"B+",70,"A",80,"A+",90,"S",100)),{0,15,25,35,45,55,65,75,85,95},{"D","D","D+","C","C+","B","B+","A","A+","S"}),"?")</f>
        <v>?</v>
      </c>
    </row>
    <row r="143" spans="1:19">
      <c r="A143" s="5" t="s">
        <v>832</v>
      </c>
      <c r="B143" s="5" t="s">
        <v>833</v>
      </c>
      <c r="C143" s="13"/>
      <c r="D143" s="13"/>
      <c r="E143" s="13"/>
      <c r="F143" s="13"/>
      <c r="G143" s="13"/>
      <c r="H143" s="7"/>
      <c r="I143" s="7"/>
      <c r="K143" s="24" t="s">
        <v>812</v>
      </c>
      <c r="L143" s="25" t="s">
        <v>813</v>
      </c>
      <c r="M143" s="19"/>
      <c r="N143" s="19"/>
      <c r="O143" s="19"/>
      <c r="P143" s="19"/>
      <c r="Q143" s="19" t="str">
        <f>IF(AND(ISNUMBER(MATCH(M143,{"F","E","D","D+","C","C+","B","B+","A","A+","S"},0)),ISNUMBER(MATCH(N143,{"F","E","D","D+","C","C+","B","B+","A","A+","S"},0)),ISNUMBER(MATCH(O143,{"F","E","D","D+","C","C+","B","B+","A","A+","S"},0)),ISNUMBER(MATCH(P143,{"F","E","D","D+","C","C+","B","B+","A","A+","S"},0))),LOOKUP(AVERAGE(_xlfn.SWITCH(M143,"F",0,"E",10,"D",20,"D+",30,"C",40,"C+",50,"B",60,"B+",70,"A",80,"A+",90,"S",100),_xlfn.SWITCH(N143,"F",0,"E",10,"D",20,"D+",30,"C",40,"C+",50,"B",60,"B+",70,"A",80,"A+",90,"S",100),_xlfn.SWITCH(O143,"F",0,"E",10,"D",20,"D+",30,"C",40,"C+",50,"B",60,"B+",70,"A",80,"A+",90,"S",100),_xlfn.SWITCH(P143,"F",0,"E",10,"D",20,"D+",30,"C",40,"C+",50,"B",60,"B+",70,"A",80,"A+",90,"S",100)),{0,15,25,35,45,55,65,75,85,95},{"D","D","D+","C","C+","B","B+","A","A+","S"}),"?")</f>
        <v>?</v>
      </c>
    </row>
    <row r="144" spans="1:19">
      <c r="A144" s="5" t="s">
        <v>837</v>
      </c>
      <c r="B144" s="5" t="s">
        <v>838</v>
      </c>
      <c r="C144" s="13"/>
      <c r="D144" s="13"/>
      <c r="E144" s="13"/>
      <c r="F144" s="13"/>
      <c r="G144" s="13"/>
      <c r="H144" s="7"/>
      <c r="I144" s="7"/>
      <c r="K144" s="24" t="s">
        <v>839</v>
      </c>
      <c r="L144" s="25" t="s">
        <v>840</v>
      </c>
      <c r="M144" s="19"/>
      <c r="N144" s="19"/>
      <c r="O144" s="19"/>
      <c r="P144" s="19"/>
      <c r="Q144" s="19" t="str">
        <f>IF(AND(ISNUMBER(MATCH(M144,{"F","E","D","D+","C","C+","B","B+","A","A+","S"},0)),ISNUMBER(MATCH(N144,{"F","E","D","D+","C","C+","B","B+","A","A+","S"},0)),ISNUMBER(MATCH(O144,{"F","E","D","D+","C","C+","B","B+","A","A+","S"},0)),ISNUMBER(MATCH(P144,{"F","E","D","D+","C","C+","B","B+","A","A+","S"},0))),LOOKUP(AVERAGE(_xlfn.SWITCH(M144,"F",0,"E",10,"D",20,"D+",30,"C",40,"C+",50,"B",60,"B+",70,"A",80,"A+",90,"S",100),_xlfn.SWITCH(N144,"F",0,"E",10,"D",20,"D+",30,"C",40,"C+",50,"B",60,"B+",70,"A",80,"A+",90,"S",100),_xlfn.SWITCH(O144,"F",0,"E",10,"D",20,"D+",30,"C",40,"C+",50,"B",60,"B+",70,"A",80,"A+",90,"S",100),_xlfn.SWITCH(P144,"F",0,"E",10,"D",20,"D+",30,"C",40,"C+",50,"B",60,"B+",70,"A",80,"A+",90,"S",100)),{0,15,25,35,45,55,65,75,85,95},{"D","D","D+","C","C+","B","B+","A","A+","S"}),"?")</f>
        <v>?</v>
      </c>
    </row>
    <row r="145" spans="1:17">
      <c r="A145" s="5" t="s">
        <v>844</v>
      </c>
      <c r="B145" s="23" t="s">
        <v>627</v>
      </c>
      <c r="C145" s="13"/>
      <c r="D145" s="13"/>
      <c r="E145" s="13"/>
      <c r="F145" s="13"/>
      <c r="G145" s="13"/>
      <c r="H145" s="7"/>
      <c r="I145" s="7"/>
      <c r="K145" s="24" t="s">
        <v>845</v>
      </c>
      <c r="L145" s="25" t="s">
        <v>846</v>
      </c>
      <c r="M145" s="19"/>
      <c r="N145" s="19"/>
      <c r="O145" s="19"/>
      <c r="P145" s="19"/>
      <c r="Q145" s="19" t="str">
        <f>IF(AND(ISNUMBER(MATCH(M145,{"F","E","D","D+","C","C+","B","B+","A","A+","S"},0)),ISNUMBER(MATCH(N145,{"F","E","D","D+","C","C+","B","B+","A","A+","S"},0)),ISNUMBER(MATCH(O145,{"F","E","D","D+","C","C+","B","B+","A","A+","S"},0)),ISNUMBER(MATCH(P145,{"F","E","D","D+","C","C+","B","B+","A","A+","S"},0))),LOOKUP(AVERAGE(_xlfn.SWITCH(M145,"F",0,"E",10,"D",20,"D+",30,"C",40,"C+",50,"B",60,"B+",70,"A",80,"A+",90,"S",100),_xlfn.SWITCH(N145,"F",0,"E",10,"D",20,"D+",30,"C",40,"C+",50,"B",60,"B+",70,"A",80,"A+",90,"S",100),_xlfn.SWITCH(O145,"F",0,"E",10,"D",20,"D+",30,"C",40,"C+",50,"B",60,"B+",70,"A",80,"A+",90,"S",100),_xlfn.SWITCH(P145,"F",0,"E",10,"D",20,"D+",30,"C",40,"C+",50,"B",60,"B+",70,"A",80,"A+",90,"S",100)),{0,15,25,35,45,55,65,75,85,95},{"D","D","D+","C","C+","B","B+","A","A+","S"}),"?")</f>
        <v>?</v>
      </c>
    </row>
    <row r="146" spans="1:17">
      <c r="A146" s="5" t="s">
        <v>850</v>
      </c>
      <c r="B146" s="5" t="s">
        <v>851</v>
      </c>
      <c r="C146" s="13"/>
      <c r="D146" s="13"/>
      <c r="E146" s="13"/>
      <c r="F146" s="13"/>
      <c r="G146" s="13"/>
      <c r="H146" s="7"/>
      <c r="I146" s="7"/>
      <c r="K146" s="24" t="s">
        <v>617</v>
      </c>
      <c r="L146" s="25" t="s">
        <v>618</v>
      </c>
      <c r="M146" s="19"/>
      <c r="N146" s="19"/>
      <c r="O146" s="19"/>
      <c r="P146" s="19"/>
      <c r="Q146" s="19" t="str">
        <f>IF(AND(ISNUMBER(MATCH(M146,{"F","E","D","D+","C","C+","B","B+","A","A+","S"},0)),ISNUMBER(MATCH(N146,{"F","E","D","D+","C","C+","B","B+","A","A+","S"},0)),ISNUMBER(MATCH(O146,{"F","E","D","D+","C","C+","B","B+","A","A+","S"},0)),ISNUMBER(MATCH(P146,{"F","E","D","D+","C","C+","B","B+","A","A+","S"},0))),LOOKUP(AVERAGE(_xlfn.SWITCH(M146,"F",0,"E",10,"D",20,"D+",30,"C",40,"C+",50,"B",60,"B+",70,"A",80,"A+",90,"S",100),_xlfn.SWITCH(N146,"F",0,"E",10,"D",20,"D+",30,"C",40,"C+",50,"B",60,"B+",70,"A",80,"A+",90,"S",100),_xlfn.SWITCH(O146,"F",0,"E",10,"D",20,"D+",30,"C",40,"C+",50,"B",60,"B+",70,"A",80,"A+",90,"S",100),_xlfn.SWITCH(P146,"F",0,"E",10,"D",20,"D+",30,"C",40,"C+",50,"B",60,"B+",70,"A",80,"A+",90,"S",100)),{0,15,25,35,45,55,65,75,85,95},{"D","D","D+","C","C+","B","B+","A","A+","S"}),"?")</f>
        <v>?</v>
      </c>
    </row>
    <row r="147" spans="1:17">
      <c r="A147" s="5" t="s">
        <v>855</v>
      </c>
      <c r="B147" s="23" t="s">
        <v>662</v>
      </c>
      <c r="C147" s="13"/>
      <c r="D147" s="13"/>
      <c r="E147" s="13"/>
      <c r="F147" s="13"/>
      <c r="G147" s="13"/>
      <c r="H147" s="7"/>
      <c r="I147" s="7"/>
      <c r="K147" s="24" t="s">
        <v>856</v>
      </c>
      <c r="L147" s="25" t="s">
        <v>857</v>
      </c>
      <c r="M147" s="19"/>
      <c r="N147" s="19"/>
      <c r="O147" s="19"/>
      <c r="P147" s="19"/>
      <c r="Q147" s="19" t="str">
        <f>IF(AND(ISNUMBER(MATCH(M147,{"F","E","D","D+","C","C+","B","B+","A","A+","S"},0)),ISNUMBER(MATCH(N147,{"F","E","D","D+","C","C+","B","B+","A","A+","S"},0)),ISNUMBER(MATCH(O147,{"F","E","D","D+","C","C+","B","B+","A","A+","S"},0)),ISNUMBER(MATCH(P147,{"F","E","D","D+","C","C+","B","B+","A","A+","S"},0))),LOOKUP(AVERAGE(_xlfn.SWITCH(M147,"F",0,"E",10,"D",20,"D+",30,"C",40,"C+",50,"B",60,"B+",70,"A",80,"A+",90,"S",100),_xlfn.SWITCH(N147,"F",0,"E",10,"D",20,"D+",30,"C",40,"C+",50,"B",60,"B+",70,"A",80,"A+",90,"S",100),_xlfn.SWITCH(O147,"F",0,"E",10,"D",20,"D+",30,"C",40,"C+",50,"B",60,"B+",70,"A",80,"A+",90,"S",100),_xlfn.SWITCH(P147,"F",0,"E",10,"D",20,"D+",30,"C",40,"C+",50,"B",60,"B+",70,"A",80,"A+",90,"S",100)),{0,15,25,35,45,55,65,75,85,95},{"D","D","D+","C","C+","B","B+","A","A+","S"}),"?")</f>
        <v>?</v>
      </c>
    </row>
    <row r="148" spans="1:17">
      <c r="A148" s="5" t="s">
        <v>859</v>
      </c>
      <c r="B148" s="5" t="s">
        <v>860</v>
      </c>
      <c r="C148" s="13"/>
      <c r="D148" s="13"/>
      <c r="E148" s="13"/>
      <c r="F148" s="13"/>
      <c r="G148" s="13"/>
      <c r="H148" s="7"/>
      <c r="I148" s="7"/>
      <c r="K148" s="24" t="s">
        <v>783</v>
      </c>
      <c r="L148" s="25" t="s">
        <v>784</v>
      </c>
      <c r="M148" s="19"/>
      <c r="N148" s="19"/>
      <c r="O148" s="19"/>
      <c r="P148" s="19"/>
      <c r="Q148" s="19" t="str">
        <f>IF(AND(ISNUMBER(MATCH(M148,{"F","E","D","D+","C","C+","B","B+","A","A+","S"},0)),ISNUMBER(MATCH(N148,{"F","E","D","D+","C","C+","B","B+","A","A+","S"},0)),ISNUMBER(MATCH(O148,{"F","E","D","D+","C","C+","B","B+","A","A+","S"},0)),ISNUMBER(MATCH(P148,{"F","E","D","D+","C","C+","B","B+","A","A+","S"},0))),LOOKUP(AVERAGE(_xlfn.SWITCH(M148,"F",0,"E",10,"D",20,"D+",30,"C",40,"C+",50,"B",60,"B+",70,"A",80,"A+",90,"S",100),_xlfn.SWITCH(N148,"F",0,"E",10,"D",20,"D+",30,"C",40,"C+",50,"B",60,"B+",70,"A",80,"A+",90,"S",100),_xlfn.SWITCH(O148,"F",0,"E",10,"D",20,"D+",30,"C",40,"C+",50,"B",60,"B+",70,"A",80,"A+",90,"S",100),_xlfn.SWITCH(P148,"F",0,"E",10,"D",20,"D+",30,"C",40,"C+",50,"B",60,"B+",70,"A",80,"A+",90,"S",100)),{0,15,25,35,45,55,65,75,85,95},{"D","D","D+","C","C+","B","B+","A","A+","S"}),"?")</f>
        <v>?</v>
      </c>
    </row>
    <row r="149" spans="1:17">
      <c r="A149" s="5" t="s">
        <v>861</v>
      </c>
      <c r="B149" s="5" t="s">
        <v>862</v>
      </c>
      <c r="C149" s="13"/>
      <c r="D149" s="13"/>
      <c r="E149" s="13"/>
      <c r="F149" s="13"/>
      <c r="G149" s="13"/>
      <c r="H149" s="7"/>
      <c r="I149" s="7"/>
      <c r="K149" s="24" t="s">
        <v>863</v>
      </c>
      <c r="L149" s="25" t="s">
        <v>864</v>
      </c>
      <c r="M149" s="19"/>
      <c r="N149" s="19"/>
      <c r="O149" s="19"/>
      <c r="P149" s="19"/>
      <c r="Q149" s="19" t="str">
        <f>IF(AND(ISNUMBER(MATCH(M149,{"F","E","D","D+","C","C+","B","B+","A","A+","S"},0)),ISNUMBER(MATCH(N149,{"F","E","D","D+","C","C+","B","B+","A","A+","S"},0)),ISNUMBER(MATCH(O149,{"F","E","D","D+","C","C+","B","B+","A","A+","S"},0)),ISNUMBER(MATCH(P149,{"F","E","D","D+","C","C+","B","B+","A","A+","S"},0))),LOOKUP(AVERAGE(_xlfn.SWITCH(M149,"F",0,"E",10,"D",20,"D+",30,"C",40,"C+",50,"B",60,"B+",70,"A",80,"A+",90,"S",100),_xlfn.SWITCH(N149,"F",0,"E",10,"D",20,"D+",30,"C",40,"C+",50,"B",60,"B+",70,"A",80,"A+",90,"S",100),_xlfn.SWITCH(O149,"F",0,"E",10,"D",20,"D+",30,"C",40,"C+",50,"B",60,"B+",70,"A",80,"A+",90,"S",100),_xlfn.SWITCH(P149,"F",0,"E",10,"D",20,"D+",30,"C",40,"C+",50,"B",60,"B+",70,"A",80,"A+",90,"S",100)),{0,15,25,35,45,55,65,75,85,95},{"D","D","D+","C","C+","B","B+","A","A+","S"}),"?")</f>
        <v>?</v>
      </c>
    </row>
    <row r="150" spans="1:17">
      <c r="A150" s="5" t="s">
        <v>865</v>
      </c>
      <c r="B150" s="5" t="s">
        <v>866</v>
      </c>
      <c r="C150" s="13"/>
      <c r="D150" s="13"/>
      <c r="E150" s="13"/>
      <c r="F150" s="13"/>
      <c r="G150" s="13"/>
      <c r="H150" s="7"/>
      <c r="I150" s="7"/>
      <c r="K150" s="24" t="s">
        <v>551</v>
      </c>
      <c r="L150" s="25" t="s">
        <v>552</v>
      </c>
      <c r="M150" s="19"/>
      <c r="N150" s="19"/>
      <c r="O150" s="19"/>
      <c r="P150" s="19"/>
      <c r="Q150" s="19" t="str">
        <f>IF(AND(ISNUMBER(MATCH(M150,{"F","E","D","D+","C","C+","B","B+","A","A+","S"},0)),ISNUMBER(MATCH(N150,{"F","E","D","D+","C","C+","B","B+","A","A+","S"},0)),ISNUMBER(MATCH(O150,{"F","E","D","D+","C","C+","B","B+","A","A+","S"},0)),ISNUMBER(MATCH(P150,{"F","E","D","D+","C","C+","B","B+","A","A+","S"},0))),LOOKUP(AVERAGE(_xlfn.SWITCH(M150,"F",0,"E",10,"D",20,"D+",30,"C",40,"C+",50,"B",60,"B+",70,"A",80,"A+",90,"S",100),_xlfn.SWITCH(N150,"F",0,"E",10,"D",20,"D+",30,"C",40,"C+",50,"B",60,"B+",70,"A",80,"A+",90,"S",100),_xlfn.SWITCH(O150,"F",0,"E",10,"D",20,"D+",30,"C",40,"C+",50,"B",60,"B+",70,"A",80,"A+",90,"S",100),_xlfn.SWITCH(P150,"F",0,"E",10,"D",20,"D+",30,"C",40,"C+",50,"B",60,"B+",70,"A",80,"A+",90,"S",100)),{0,15,25,35,45,55,65,75,85,95},{"D","D","D+","C","C+","B","B+","A","A+","S"}),"?")</f>
        <v>?</v>
      </c>
    </row>
    <row r="151" spans="1:17">
      <c r="A151" s="5" t="s">
        <v>870</v>
      </c>
      <c r="B151" s="5" t="s">
        <v>843</v>
      </c>
      <c r="C151" s="13"/>
      <c r="D151" s="13"/>
      <c r="E151" s="13"/>
      <c r="F151" s="13"/>
      <c r="G151" s="13"/>
      <c r="H151" s="7"/>
      <c r="I151" s="7"/>
      <c r="K151" s="24" t="s">
        <v>871</v>
      </c>
      <c r="L151" s="25" t="s">
        <v>872</v>
      </c>
      <c r="M151" s="19"/>
      <c r="N151" s="19"/>
      <c r="O151" s="19"/>
      <c r="P151" s="19"/>
      <c r="Q151" s="19" t="str">
        <f>IF(AND(ISNUMBER(MATCH(M151,{"F","E","D","D+","C","C+","B","B+","A","A+","S"},0)),ISNUMBER(MATCH(N151,{"F","E","D","D+","C","C+","B","B+","A","A+","S"},0)),ISNUMBER(MATCH(O151,{"F","E","D","D+","C","C+","B","B+","A","A+","S"},0)),ISNUMBER(MATCH(P151,{"F","E","D","D+","C","C+","B","B+","A","A+","S"},0))),LOOKUP(AVERAGE(_xlfn.SWITCH(M151,"F",0,"E",10,"D",20,"D+",30,"C",40,"C+",50,"B",60,"B+",70,"A",80,"A+",90,"S",100),_xlfn.SWITCH(N151,"F",0,"E",10,"D",20,"D+",30,"C",40,"C+",50,"B",60,"B+",70,"A",80,"A+",90,"S",100),_xlfn.SWITCH(O151,"F",0,"E",10,"D",20,"D+",30,"C",40,"C+",50,"B",60,"B+",70,"A",80,"A+",90,"S",100),_xlfn.SWITCH(P151,"F",0,"E",10,"D",20,"D+",30,"C",40,"C+",50,"B",60,"B+",70,"A",80,"A+",90,"S",100)),{0,15,25,35,45,55,65,75,85,95},{"D","D","D+","C","C+","B","B+","A","A+","S"}),"?")</f>
        <v>?</v>
      </c>
    </row>
    <row r="152" spans="1:17">
      <c r="A152" s="5" t="s">
        <v>876</v>
      </c>
      <c r="B152" s="23" t="s">
        <v>877</v>
      </c>
      <c r="C152" s="13"/>
      <c r="D152" s="13"/>
      <c r="E152" s="13"/>
      <c r="F152" s="13"/>
      <c r="G152" s="13"/>
      <c r="H152" s="7"/>
      <c r="I152" s="7"/>
      <c r="K152" s="24" t="s">
        <v>760</v>
      </c>
      <c r="L152" s="25" t="s">
        <v>761</v>
      </c>
      <c r="M152" s="19"/>
      <c r="N152" s="19"/>
      <c r="O152" s="19"/>
      <c r="P152" s="19"/>
      <c r="Q152" s="19" t="str">
        <f>IF(AND(ISNUMBER(MATCH(M152,{"F","E","D","D+","C","C+","B","B+","A","A+","S"},0)),ISNUMBER(MATCH(N152,{"F","E","D","D+","C","C+","B","B+","A","A+","S"},0)),ISNUMBER(MATCH(O152,{"F","E","D","D+","C","C+","B","B+","A","A+","S"},0)),ISNUMBER(MATCH(P152,{"F","E","D","D+","C","C+","B","B+","A","A+","S"},0))),LOOKUP(AVERAGE(_xlfn.SWITCH(M152,"F",0,"E",10,"D",20,"D+",30,"C",40,"C+",50,"B",60,"B+",70,"A",80,"A+",90,"S",100),_xlfn.SWITCH(N152,"F",0,"E",10,"D",20,"D+",30,"C",40,"C+",50,"B",60,"B+",70,"A",80,"A+",90,"S",100),_xlfn.SWITCH(O152,"F",0,"E",10,"D",20,"D+",30,"C",40,"C+",50,"B",60,"B+",70,"A",80,"A+",90,"S",100),_xlfn.SWITCH(P152,"F",0,"E",10,"D",20,"D+",30,"C",40,"C+",50,"B",60,"B+",70,"A",80,"A+",90,"S",100)),{0,15,25,35,45,55,65,75,85,95},{"D","D","D+","C","C+","B","B+","A","A+","S"}),"?")</f>
        <v>?</v>
      </c>
    </row>
    <row r="153" spans="1:17">
      <c r="A153" s="5" t="s">
        <v>881</v>
      </c>
      <c r="B153" s="23" t="s">
        <v>882</v>
      </c>
      <c r="C153" s="13"/>
      <c r="D153" s="13"/>
      <c r="E153" s="13"/>
      <c r="F153" s="13"/>
      <c r="G153" s="13"/>
      <c r="H153" s="7"/>
      <c r="I153" s="7"/>
      <c r="K153" s="24" t="s">
        <v>883</v>
      </c>
      <c r="L153" s="25" t="s">
        <v>884</v>
      </c>
      <c r="M153" s="19"/>
      <c r="N153" s="19"/>
      <c r="O153" s="19"/>
      <c r="P153" s="19"/>
      <c r="Q153" s="19" t="str">
        <f>IF(AND(ISNUMBER(MATCH(M153,{"F","E","D","D+","C","C+","B","B+","A","A+","S"},0)),ISNUMBER(MATCH(N153,{"F","E","D","D+","C","C+","B","B+","A","A+","S"},0)),ISNUMBER(MATCH(O153,{"F","E","D","D+","C","C+","B","B+","A","A+","S"},0)),ISNUMBER(MATCH(P153,{"F","E","D","D+","C","C+","B","B+","A","A+","S"},0))),LOOKUP(AVERAGE(_xlfn.SWITCH(M153,"F",0,"E",10,"D",20,"D+",30,"C",40,"C+",50,"B",60,"B+",70,"A",80,"A+",90,"S",100),_xlfn.SWITCH(N153,"F",0,"E",10,"D",20,"D+",30,"C",40,"C+",50,"B",60,"B+",70,"A",80,"A+",90,"S",100),_xlfn.SWITCH(O153,"F",0,"E",10,"D",20,"D+",30,"C",40,"C+",50,"B",60,"B+",70,"A",80,"A+",90,"S",100),_xlfn.SWITCH(P153,"F",0,"E",10,"D",20,"D+",30,"C",40,"C+",50,"B",60,"B+",70,"A",80,"A+",90,"S",100)),{0,15,25,35,45,55,65,75,85,95},{"D","D","D+","C","C+","B","B+","A","A+","S"}),"?")</f>
        <v>?</v>
      </c>
    </row>
    <row r="154" spans="1:17">
      <c r="A154" s="5" t="s">
        <v>888</v>
      </c>
      <c r="B154" s="23" t="s">
        <v>889</v>
      </c>
      <c r="C154" s="13"/>
      <c r="D154" s="13"/>
      <c r="E154" s="13"/>
      <c r="F154" s="13"/>
      <c r="G154" s="13"/>
      <c r="H154" s="7"/>
      <c r="I154" s="7"/>
      <c r="K154" s="24" t="s">
        <v>890</v>
      </c>
      <c r="L154" s="25" t="s">
        <v>891</v>
      </c>
      <c r="M154" s="19"/>
      <c r="N154" s="19"/>
      <c r="O154" s="19"/>
      <c r="P154" s="19"/>
      <c r="Q154" s="19" t="str">
        <f>IF(AND(ISNUMBER(MATCH(M154,{"F","E","D","D+","C","C+","B","B+","A","A+","S"},0)),ISNUMBER(MATCH(N154,{"F","E","D","D+","C","C+","B","B+","A","A+","S"},0)),ISNUMBER(MATCH(O154,{"F","E","D","D+","C","C+","B","B+","A","A+","S"},0)),ISNUMBER(MATCH(P154,{"F","E","D","D+","C","C+","B","B+","A","A+","S"},0))),LOOKUP(AVERAGE(_xlfn.SWITCH(M154,"F",0,"E",10,"D",20,"D+",30,"C",40,"C+",50,"B",60,"B+",70,"A",80,"A+",90,"S",100),_xlfn.SWITCH(N154,"F",0,"E",10,"D",20,"D+",30,"C",40,"C+",50,"B",60,"B+",70,"A",80,"A+",90,"S",100),_xlfn.SWITCH(O154,"F",0,"E",10,"D",20,"D+",30,"C",40,"C+",50,"B",60,"B+",70,"A",80,"A+",90,"S",100),_xlfn.SWITCH(P154,"F",0,"E",10,"D",20,"D+",30,"C",40,"C+",50,"B",60,"B+",70,"A",80,"A+",90,"S",100)),{0,15,25,35,45,55,65,75,85,95},{"D","D","D+","C","C+","B","B+","A","A+","S"}),"?")</f>
        <v>?</v>
      </c>
    </row>
    <row r="155" spans="1:17">
      <c r="A155" s="5" t="s">
        <v>895</v>
      </c>
      <c r="B155" s="23" t="s">
        <v>849</v>
      </c>
      <c r="C155" s="13"/>
      <c r="D155" s="13"/>
      <c r="E155" s="13"/>
      <c r="F155" s="13"/>
      <c r="G155" s="13"/>
      <c r="H155" s="7"/>
      <c r="I155" s="7"/>
      <c r="K155" s="24" t="s">
        <v>750</v>
      </c>
      <c r="L155" s="25" t="s">
        <v>751</v>
      </c>
      <c r="M155" s="19"/>
      <c r="N155" s="19"/>
      <c r="O155" s="19"/>
      <c r="P155" s="19"/>
      <c r="Q155" s="19" t="str">
        <f>IF(AND(ISNUMBER(MATCH(M155,{"F","E","D","D+","C","C+","B","B+","A","A+","S"},0)),ISNUMBER(MATCH(N155,{"F","E","D","D+","C","C+","B","B+","A","A+","S"},0)),ISNUMBER(MATCH(O155,{"F","E","D","D+","C","C+","B","B+","A","A+","S"},0)),ISNUMBER(MATCH(P155,{"F","E","D","D+","C","C+","B","B+","A","A+","S"},0))),LOOKUP(AVERAGE(_xlfn.SWITCH(M155,"F",0,"E",10,"D",20,"D+",30,"C",40,"C+",50,"B",60,"B+",70,"A",80,"A+",90,"S",100),_xlfn.SWITCH(N155,"F",0,"E",10,"D",20,"D+",30,"C",40,"C+",50,"B",60,"B+",70,"A",80,"A+",90,"S",100),_xlfn.SWITCH(O155,"F",0,"E",10,"D",20,"D+",30,"C",40,"C+",50,"B",60,"B+",70,"A",80,"A+",90,"S",100),_xlfn.SWITCH(P155,"F",0,"E",10,"D",20,"D+",30,"C",40,"C+",50,"B",60,"B+",70,"A",80,"A+",90,"S",100)),{0,15,25,35,45,55,65,75,85,95},{"D","D","D+","C","C+","B","B+","A","A+","S"}),"?")</f>
        <v>?</v>
      </c>
    </row>
    <row r="156" spans="1:17">
      <c r="A156" s="5" t="s">
        <v>898</v>
      </c>
      <c r="B156" s="23" t="s">
        <v>899</v>
      </c>
      <c r="C156" s="13"/>
      <c r="D156" s="13"/>
      <c r="E156" s="13"/>
      <c r="F156" s="13"/>
      <c r="G156" s="13"/>
      <c r="H156" s="7"/>
      <c r="I156" s="7"/>
      <c r="K156" s="24" t="s">
        <v>900</v>
      </c>
      <c r="L156" s="25" t="s">
        <v>901</v>
      </c>
      <c r="M156" s="19"/>
      <c r="N156" s="19"/>
      <c r="O156" s="19"/>
      <c r="P156" s="19"/>
      <c r="Q156" s="19" t="str">
        <f>IF(AND(ISNUMBER(MATCH(M156,{"F","E","D","D+","C","C+","B","B+","A","A+","S"},0)),ISNUMBER(MATCH(N156,{"F","E","D","D+","C","C+","B","B+","A","A+","S"},0)),ISNUMBER(MATCH(O156,{"F","E","D","D+","C","C+","B","B+","A","A+","S"},0)),ISNUMBER(MATCH(P156,{"F","E","D","D+","C","C+","B","B+","A","A+","S"},0))),LOOKUP(AVERAGE(_xlfn.SWITCH(M156,"F",0,"E",10,"D",20,"D+",30,"C",40,"C+",50,"B",60,"B+",70,"A",80,"A+",90,"S",100),_xlfn.SWITCH(N156,"F",0,"E",10,"D",20,"D+",30,"C",40,"C+",50,"B",60,"B+",70,"A",80,"A+",90,"S",100),_xlfn.SWITCH(O156,"F",0,"E",10,"D",20,"D+",30,"C",40,"C+",50,"B",60,"B+",70,"A",80,"A+",90,"S",100),_xlfn.SWITCH(P156,"F",0,"E",10,"D",20,"D+",30,"C",40,"C+",50,"B",60,"B+",70,"A",80,"A+",90,"S",100)),{0,15,25,35,45,55,65,75,85,95},{"D","D","D+","C","C+","B","B+","A","A+","S"}),"?")</f>
        <v>?</v>
      </c>
    </row>
    <row r="157" spans="1:17">
      <c r="A157" s="5" t="s">
        <v>905</v>
      </c>
      <c r="B157" s="5" t="s">
        <v>906</v>
      </c>
      <c r="C157" s="13"/>
      <c r="D157" s="13"/>
      <c r="E157" s="13"/>
      <c r="F157" s="13"/>
      <c r="G157" s="13"/>
      <c r="H157" s="7"/>
      <c r="I157" s="7"/>
      <c r="K157" s="24" t="s">
        <v>907</v>
      </c>
      <c r="L157" s="25" t="s">
        <v>908</v>
      </c>
      <c r="M157" s="19"/>
      <c r="N157" s="19"/>
      <c r="O157" s="19"/>
      <c r="P157" s="19"/>
      <c r="Q157" s="19" t="str">
        <f>IF(AND(ISNUMBER(MATCH(M157,{"F","E","D","D+","C","C+","B","B+","A","A+","S"},0)),ISNUMBER(MATCH(N157,{"F","E","D","D+","C","C+","B","B+","A","A+","S"},0)),ISNUMBER(MATCH(O157,{"F","E","D","D+","C","C+","B","B+","A","A+","S"},0)),ISNUMBER(MATCH(P157,{"F","E","D","D+","C","C+","B","B+","A","A+","S"},0))),LOOKUP(AVERAGE(_xlfn.SWITCH(M157,"F",0,"E",10,"D",20,"D+",30,"C",40,"C+",50,"B",60,"B+",70,"A",80,"A+",90,"S",100),_xlfn.SWITCH(N157,"F",0,"E",10,"D",20,"D+",30,"C",40,"C+",50,"B",60,"B+",70,"A",80,"A+",90,"S",100),_xlfn.SWITCH(O157,"F",0,"E",10,"D",20,"D+",30,"C",40,"C+",50,"B",60,"B+",70,"A",80,"A+",90,"S",100),_xlfn.SWITCH(P157,"F",0,"E",10,"D",20,"D+",30,"C",40,"C+",50,"B",60,"B+",70,"A",80,"A+",90,"S",100)),{0,15,25,35,45,55,65,75,85,95},{"D","D","D+","C","C+","B","B+","A","A+","S"}),"?")</f>
        <v>?</v>
      </c>
    </row>
    <row r="158" spans="1:17">
      <c r="A158" s="5" t="s">
        <v>912</v>
      </c>
      <c r="B158" s="5" t="s">
        <v>913</v>
      </c>
      <c r="C158" s="13"/>
      <c r="D158" s="13"/>
      <c r="E158" s="13"/>
      <c r="F158" s="13"/>
      <c r="G158" s="13"/>
      <c r="H158" s="7"/>
      <c r="I158" s="7"/>
      <c r="K158" s="24" t="s">
        <v>914</v>
      </c>
      <c r="L158" s="25" t="s">
        <v>915</v>
      </c>
      <c r="M158" s="19"/>
      <c r="N158" s="19"/>
      <c r="O158" s="19"/>
      <c r="P158" s="19"/>
      <c r="Q158" s="19" t="str">
        <f>IF(AND(ISNUMBER(MATCH(M158,{"F","E","D","D+","C","C+","B","B+","A","A+","S"},0)),ISNUMBER(MATCH(N158,{"F","E","D","D+","C","C+","B","B+","A","A+","S"},0)),ISNUMBER(MATCH(O158,{"F","E","D","D+","C","C+","B","B+","A","A+","S"},0)),ISNUMBER(MATCH(P158,{"F","E","D","D+","C","C+","B","B+","A","A+","S"},0))),LOOKUP(AVERAGE(_xlfn.SWITCH(M158,"F",0,"E",10,"D",20,"D+",30,"C",40,"C+",50,"B",60,"B+",70,"A",80,"A+",90,"S",100),_xlfn.SWITCH(N158,"F",0,"E",10,"D",20,"D+",30,"C",40,"C+",50,"B",60,"B+",70,"A",80,"A+",90,"S",100),_xlfn.SWITCH(O158,"F",0,"E",10,"D",20,"D+",30,"C",40,"C+",50,"B",60,"B+",70,"A",80,"A+",90,"S",100),_xlfn.SWITCH(P158,"F",0,"E",10,"D",20,"D+",30,"C",40,"C+",50,"B",60,"B+",70,"A",80,"A+",90,"S",100)),{0,15,25,35,45,55,65,75,85,95},{"D","D","D+","C","C+","B","B+","A","A+","S"}),"?")</f>
        <v>?</v>
      </c>
    </row>
    <row r="159" spans="1:17">
      <c r="A159" s="5" t="s">
        <v>919</v>
      </c>
      <c r="B159" s="5" t="s">
        <v>920</v>
      </c>
      <c r="C159" s="13"/>
      <c r="D159" s="13"/>
      <c r="E159" s="13"/>
      <c r="F159" s="13"/>
      <c r="G159" s="13"/>
      <c r="H159" s="7"/>
      <c r="I159" s="7"/>
      <c r="K159" s="24" t="s">
        <v>515</v>
      </c>
      <c r="L159" s="25" t="s">
        <v>516</v>
      </c>
      <c r="M159" s="19"/>
      <c r="N159" s="19"/>
      <c r="O159" s="19"/>
      <c r="P159" s="19"/>
      <c r="Q159" s="19" t="str">
        <f>IF(AND(ISNUMBER(MATCH(M159,{"F","E","D","D+","C","C+","B","B+","A","A+","S"},0)),ISNUMBER(MATCH(N159,{"F","E","D","D+","C","C+","B","B+","A","A+","S"},0)),ISNUMBER(MATCH(O159,{"F","E","D","D+","C","C+","B","B+","A","A+","S"},0)),ISNUMBER(MATCH(P159,{"F","E","D","D+","C","C+","B","B+","A","A+","S"},0))),LOOKUP(AVERAGE(_xlfn.SWITCH(M159,"F",0,"E",10,"D",20,"D+",30,"C",40,"C+",50,"B",60,"B+",70,"A",80,"A+",90,"S",100),_xlfn.SWITCH(N159,"F",0,"E",10,"D",20,"D+",30,"C",40,"C+",50,"B",60,"B+",70,"A",80,"A+",90,"S",100),_xlfn.SWITCH(O159,"F",0,"E",10,"D",20,"D+",30,"C",40,"C+",50,"B",60,"B+",70,"A",80,"A+",90,"S",100),_xlfn.SWITCH(P159,"F",0,"E",10,"D",20,"D+",30,"C",40,"C+",50,"B",60,"B+",70,"A",80,"A+",90,"S",100)),{0,15,25,35,45,55,65,75,85,95},{"D","D","D+","C","C+","B","B+","A","A+","S"}),"?")</f>
        <v>?</v>
      </c>
    </row>
    <row r="160" spans="1:17">
      <c r="A160" s="5" t="s">
        <v>924</v>
      </c>
      <c r="B160" s="5" t="s">
        <v>925</v>
      </c>
      <c r="C160" s="13"/>
      <c r="D160" s="13"/>
      <c r="E160" s="13"/>
      <c r="F160" s="13"/>
      <c r="G160" s="13"/>
      <c r="H160" s="7"/>
      <c r="I160" s="7"/>
      <c r="K160" s="24" t="s">
        <v>679</v>
      </c>
      <c r="L160" s="25" t="s">
        <v>680</v>
      </c>
      <c r="M160" s="19"/>
      <c r="N160" s="19"/>
      <c r="O160" s="19"/>
      <c r="P160" s="19"/>
      <c r="Q160" s="19" t="str">
        <f>IF(AND(ISNUMBER(MATCH(M160,{"F","E","D","D+","C","C+","B","B+","A","A+","S"},0)),ISNUMBER(MATCH(N160,{"F","E","D","D+","C","C+","B","B+","A","A+","S"},0)),ISNUMBER(MATCH(O160,{"F","E","D","D+","C","C+","B","B+","A","A+","S"},0)),ISNUMBER(MATCH(P160,{"F","E","D","D+","C","C+","B","B+","A","A+","S"},0))),LOOKUP(AVERAGE(_xlfn.SWITCH(M160,"F",0,"E",10,"D",20,"D+",30,"C",40,"C+",50,"B",60,"B+",70,"A",80,"A+",90,"S",100),_xlfn.SWITCH(N160,"F",0,"E",10,"D",20,"D+",30,"C",40,"C+",50,"B",60,"B+",70,"A",80,"A+",90,"S",100),_xlfn.SWITCH(O160,"F",0,"E",10,"D",20,"D+",30,"C",40,"C+",50,"B",60,"B+",70,"A",80,"A+",90,"S",100),_xlfn.SWITCH(P160,"F",0,"E",10,"D",20,"D+",30,"C",40,"C+",50,"B",60,"B+",70,"A",80,"A+",90,"S",100)),{0,15,25,35,45,55,65,75,85,95},{"D","D","D+","C","C+","B","B+","A","A+","S"}),"?")</f>
        <v>?</v>
      </c>
    </row>
    <row r="161" spans="1:17">
      <c r="A161" s="5" t="s">
        <v>929</v>
      </c>
      <c r="B161" s="5" t="s">
        <v>930</v>
      </c>
      <c r="C161" s="13"/>
      <c r="D161" s="13"/>
      <c r="E161" s="13"/>
      <c r="F161" s="13"/>
      <c r="G161" s="13"/>
      <c r="H161" s="7"/>
      <c r="I161" s="7"/>
      <c r="K161" s="24" t="s">
        <v>611</v>
      </c>
      <c r="L161" s="25" t="s">
        <v>612</v>
      </c>
      <c r="M161" s="19"/>
      <c r="N161" s="19"/>
      <c r="O161" s="19"/>
      <c r="P161" s="19"/>
      <c r="Q161" s="19" t="str">
        <f>IF(AND(ISNUMBER(MATCH(M161,{"F","E","D","D+","C","C+","B","B+","A","A+","S"},0)),ISNUMBER(MATCH(N161,{"F","E","D","D+","C","C+","B","B+","A","A+","S"},0)),ISNUMBER(MATCH(O161,{"F","E","D","D+","C","C+","B","B+","A","A+","S"},0)),ISNUMBER(MATCH(P161,{"F","E","D","D+","C","C+","B","B+","A","A+","S"},0))),LOOKUP(AVERAGE(_xlfn.SWITCH(M161,"F",0,"E",10,"D",20,"D+",30,"C",40,"C+",50,"B",60,"B+",70,"A",80,"A+",90,"S",100),_xlfn.SWITCH(N161,"F",0,"E",10,"D",20,"D+",30,"C",40,"C+",50,"B",60,"B+",70,"A",80,"A+",90,"S",100),_xlfn.SWITCH(O161,"F",0,"E",10,"D",20,"D+",30,"C",40,"C+",50,"B",60,"B+",70,"A",80,"A+",90,"S",100),_xlfn.SWITCH(P161,"F",0,"E",10,"D",20,"D+",30,"C",40,"C+",50,"B",60,"B+",70,"A",80,"A+",90,"S",100)),{0,15,25,35,45,55,65,75,85,95},{"D","D","D+","C","C+","B","B+","A","A+","S"}),"?")</f>
        <v>?</v>
      </c>
    </row>
    <row r="162" spans="1:17">
      <c r="A162" s="5" t="s">
        <v>934</v>
      </c>
      <c r="B162" s="5" t="s">
        <v>522</v>
      </c>
      <c r="C162" s="13"/>
      <c r="D162" s="13"/>
      <c r="E162" s="13"/>
      <c r="F162" s="13"/>
      <c r="G162" s="13"/>
      <c r="H162" s="7"/>
      <c r="I162" s="7"/>
      <c r="K162" s="24" t="s">
        <v>713</v>
      </c>
      <c r="L162" s="25" t="s">
        <v>714</v>
      </c>
      <c r="M162" s="19"/>
      <c r="N162" s="19"/>
      <c r="O162" s="19"/>
      <c r="P162" s="19"/>
      <c r="Q162" s="19" t="str">
        <f>IF(AND(ISNUMBER(MATCH(M162,{"F","E","D","D+","C","C+","B","B+","A","A+","S"},0)),ISNUMBER(MATCH(N162,{"F","E","D","D+","C","C+","B","B+","A","A+","S"},0)),ISNUMBER(MATCH(O162,{"F","E","D","D+","C","C+","B","B+","A","A+","S"},0)),ISNUMBER(MATCH(P162,{"F","E","D","D+","C","C+","B","B+","A","A+","S"},0))),LOOKUP(AVERAGE(_xlfn.SWITCH(M162,"F",0,"E",10,"D",20,"D+",30,"C",40,"C+",50,"B",60,"B+",70,"A",80,"A+",90,"S",100),_xlfn.SWITCH(N162,"F",0,"E",10,"D",20,"D+",30,"C",40,"C+",50,"B",60,"B+",70,"A",80,"A+",90,"S",100),_xlfn.SWITCH(O162,"F",0,"E",10,"D",20,"D+",30,"C",40,"C+",50,"B",60,"B+",70,"A",80,"A+",90,"S",100),_xlfn.SWITCH(P162,"F",0,"E",10,"D",20,"D+",30,"C",40,"C+",50,"B",60,"B+",70,"A",80,"A+",90,"S",100)),{0,15,25,35,45,55,65,75,85,95},{"D","D","D+","C","C+","B","B+","A","A+","S"}),"?")</f>
        <v>?</v>
      </c>
    </row>
    <row r="163" spans="1:17">
      <c r="A163" s="5" t="s">
        <v>937</v>
      </c>
      <c r="B163" s="5" t="s">
        <v>547</v>
      </c>
      <c r="C163" s="13"/>
      <c r="D163" s="13"/>
      <c r="E163" s="13"/>
      <c r="F163" s="13"/>
      <c r="G163" s="13"/>
      <c r="H163" s="7"/>
      <c r="I163" s="7"/>
      <c r="K163" s="24" t="s">
        <v>938</v>
      </c>
      <c r="L163" s="25" t="s">
        <v>939</v>
      </c>
      <c r="M163" s="19"/>
      <c r="N163" s="19"/>
      <c r="O163" s="19"/>
      <c r="P163" s="19"/>
      <c r="Q163" s="19" t="str">
        <f>IF(AND(ISNUMBER(MATCH(M163,{"F","E","D","D+","C","C+","B","B+","A","A+","S"},0)),ISNUMBER(MATCH(N163,{"F","E","D","D+","C","C+","B","B+","A","A+","S"},0)),ISNUMBER(MATCH(O163,{"F","E","D","D+","C","C+","B","B+","A","A+","S"},0)),ISNUMBER(MATCH(P163,{"F","E","D","D+","C","C+","B","B+","A","A+","S"},0))),LOOKUP(AVERAGE(_xlfn.SWITCH(M163,"F",0,"E",10,"D",20,"D+",30,"C",40,"C+",50,"B",60,"B+",70,"A",80,"A+",90,"S",100),_xlfn.SWITCH(N163,"F",0,"E",10,"D",20,"D+",30,"C",40,"C+",50,"B",60,"B+",70,"A",80,"A+",90,"S",100),_xlfn.SWITCH(O163,"F",0,"E",10,"D",20,"D+",30,"C",40,"C+",50,"B",60,"B+",70,"A",80,"A+",90,"S",100),_xlfn.SWITCH(P163,"F",0,"E",10,"D",20,"D+",30,"C",40,"C+",50,"B",60,"B+",70,"A",80,"A+",90,"S",100)),{0,15,25,35,45,55,65,75,85,95},{"D","D","D+","C","C+","B","B+","A","A+","S"}),"?")</f>
        <v>?</v>
      </c>
    </row>
    <row r="164" spans="1:17">
      <c r="A164" s="5" t="s">
        <v>943</v>
      </c>
      <c r="B164" s="5" t="s">
        <v>944</v>
      </c>
      <c r="C164" s="13"/>
      <c r="D164" s="13"/>
      <c r="E164" s="13"/>
      <c r="F164" s="13"/>
      <c r="G164" s="13"/>
      <c r="H164" s="7"/>
      <c r="I164" s="7"/>
      <c r="K164" s="24" t="s">
        <v>945</v>
      </c>
      <c r="L164" s="25" t="s">
        <v>946</v>
      </c>
      <c r="M164" s="19"/>
      <c r="N164" s="19"/>
      <c r="O164" s="19"/>
      <c r="P164" s="19"/>
      <c r="Q164" s="19" t="str">
        <f>IF(AND(ISNUMBER(MATCH(M164,{"F","E","D","D+","C","C+","B","B+","A","A+","S"},0)),ISNUMBER(MATCH(N164,{"F","E","D","D+","C","C+","B","B+","A","A+","S"},0)),ISNUMBER(MATCH(O164,{"F","E","D","D+","C","C+","B","B+","A","A+","S"},0)),ISNUMBER(MATCH(P164,{"F","E","D","D+","C","C+","B","B+","A","A+","S"},0))),LOOKUP(AVERAGE(_xlfn.SWITCH(M164,"F",0,"E",10,"D",20,"D+",30,"C",40,"C+",50,"B",60,"B+",70,"A",80,"A+",90,"S",100),_xlfn.SWITCH(N164,"F",0,"E",10,"D",20,"D+",30,"C",40,"C+",50,"B",60,"B+",70,"A",80,"A+",90,"S",100),_xlfn.SWITCH(O164,"F",0,"E",10,"D",20,"D+",30,"C",40,"C+",50,"B",60,"B+",70,"A",80,"A+",90,"S",100),_xlfn.SWITCH(P164,"F",0,"E",10,"D",20,"D+",30,"C",40,"C+",50,"B",60,"B+",70,"A",80,"A+",90,"S",100)),{0,15,25,35,45,55,65,75,85,95},{"D","D","D+","C","C+","B","B+","A","A+","S"}),"?")</f>
        <v>?</v>
      </c>
    </row>
    <row r="165" spans="1:17">
      <c r="A165" s="5" t="s">
        <v>950</v>
      </c>
      <c r="B165" s="5" t="s">
        <v>951</v>
      </c>
      <c r="C165" s="13"/>
      <c r="D165" s="13"/>
      <c r="E165" s="13"/>
      <c r="F165" s="13"/>
      <c r="G165" s="13"/>
      <c r="H165" s="7"/>
      <c r="I165" s="7"/>
      <c r="K165" s="24" t="s">
        <v>952</v>
      </c>
      <c r="L165" s="25" t="s">
        <v>953</v>
      </c>
      <c r="M165" s="19"/>
      <c r="N165" s="19"/>
      <c r="O165" s="19"/>
      <c r="P165" s="19"/>
      <c r="Q165" s="19" t="str">
        <f>IF(AND(ISNUMBER(MATCH(M165,{"F","E","D","D+","C","C+","B","B+","A","A+","S"},0)),ISNUMBER(MATCH(N165,{"F","E","D","D+","C","C+","B","B+","A","A+","S"},0)),ISNUMBER(MATCH(O165,{"F","E","D","D+","C","C+","B","B+","A","A+","S"},0)),ISNUMBER(MATCH(P165,{"F","E","D","D+","C","C+","B","B+","A","A+","S"},0))),LOOKUP(AVERAGE(_xlfn.SWITCH(M165,"F",0,"E",10,"D",20,"D+",30,"C",40,"C+",50,"B",60,"B+",70,"A",80,"A+",90,"S",100),_xlfn.SWITCH(N165,"F",0,"E",10,"D",20,"D+",30,"C",40,"C+",50,"B",60,"B+",70,"A",80,"A+",90,"S",100),_xlfn.SWITCH(O165,"F",0,"E",10,"D",20,"D+",30,"C",40,"C+",50,"B",60,"B+",70,"A",80,"A+",90,"S",100),_xlfn.SWITCH(P165,"F",0,"E",10,"D",20,"D+",30,"C",40,"C+",50,"B",60,"B+",70,"A",80,"A+",90,"S",100)),{0,15,25,35,45,55,65,75,85,95},{"D","D","D+","C","C+","B","B+","A","A+","S"}),"?")</f>
        <v>?</v>
      </c>
    </row>
    <row r="166" spans="1:17">
      <c r="A166" s="5" t="s">
        <v>957</v>
      </c>
      <c r="B166" s="5" t="s">
        <v>958</v>
      </c>
      <c r="C166" s="13"/>
      <c r="D166" s="13"/>
      <c r="E166" s="13"/>
      <c r="F166" s="13"/>
      <c r="G166" s="13"/>
      <c r="H166" s="7"/>
      <c r="I166" s="7"/>
      <c r="K166" s="24" t="s">
        <v>959</v>
      </c>
      <c r="L166" s="25" t="s">
        <v>960</v>
      </c>
      <c r="M166" s="19"/>
      <c r="N166" s="19"/>
      <c r="O166" s="19"/>
      <c r="P166" s="19"/>
      <c r="Q166" s="19" t="str">
        <f>IF(AND(ISNUMBER(MATCH(M166,{"F","E","D","D+","C","C+","B","B+","A","A+","S"},0)),ISNUMBER(MATCH(N166,{"F","E","D","D+","C","C+","B","B+","A","A+","S"},0)),ISNUMBER(MATCH(O166,{"F","E","D","D+","C","C+","B","B+","A","A+","S"},0)),ISNUMBER(MATCH(P166,{"F","E","D","D+","C","C+","B","B+","A","A+","S"},0))),LOOKUP(AVERAGE(_xlfn.SWITCH(M166,"F",0,"E",10,"D",20,"D+",30,"C",40,"C+",50,"B",60,"B+",70,"A",80,"A+",90,"S",100),_xlfn.SWITCH(N166,"F",0,"E",10,"D",20,"D+",30,"C",40,"C+",50,"B",60,"B+",70,"A",80,"A+",90,"S",100),_xlfn.SWITCH(O166,"F",0,"E",10,"D",20,"D+",30,"C",40,"C+",50,"B",60,"B+",70,"A",80,"A+",90,"S",100),_xlfn.SWITCH(P166,"F",0,"E",10,"D",20,"D+",30,"C",40,"C+",50,"B",60,"B+",70,"A",80,"A+",90,"S",100)),{0,15,25,35,45,55,65,75,85,95},{"D","D","D+","C","C+","B","B+","A","A+","S"}),"?")</f>
        <v>?</v>
      </c>
    </row>
    <row r="167" spans="1:17">
      <c r="A167" s="5" t="s">
        <v>964</v>
      </c>
      <c r="B167" s="5" t="s">
        <v>965</v>
      </c>
      <c r="C167" s="13"/>
      <c r="D167" s="13"/>
      <c r="E167" s="13"/>
      <c r="F167" s="13"/>
      <c r="G167" s="13"/>
      <c r="H167" s="7"/>
      <c r="I167" s="7"/>
      <c r="K167" s="24" t="s">
        <v>966</v>
      </c>
      <c r="L167" s="33" t="s">
        <v>967</v>
      </c>
      <c r="M167" s="19"/>
      <c r="N167" s="19"/>
      <c r="O167" s="19"/>
      <c r="P167" s="19"/>
      <c r="Q167" s="19" t="str">
        <f>IF(AND(ISNUMBER(MATCH(M167,{"F","E","D","D+","C","C+","B","B+","A","A+","S"},0)),ISNUMBER(MATCH(N167,{"F","E","D","D+","C","C+","B","B+","A","A+","S"},0)),ISNUMBER(MATCH(O167,{"F","E","D","D+","C","C+","B","B+","A","A+","S"},0)),ISNUMBER(MATCH(P167,{"F","E","D","D+","C","C+","B","B+","A","A+","S"},0))),LOOKUP(AVERAGE(_xlfn.SWITCH(M167,"F",0,"E",10,"D",20,"D+",30,"C",40,"C+",50,"B",60,"B+",70,"A",80,"A+",90,"S",100),_xlfn.SWITCH(N167,"F",0,"E",10,"D",20,"D+",30,"C",40,"C+",50,"B",60,"B+",70,"A",80,"A+",90,"S",100),_xlfn.SWITCH(O167,"F",0,"E",10,"D",20,"D+",30,"C",40,"C+",50,"B",60,"B+",70,"A",80,"A+",90,"S",100),_xlfn.SWITCH(P167,"F",0,"E",10,"D",20,"D+",30,"C",40,"C+",50,"B",60,"B+",70,"A",80,"A+",90,"S",100)),{0,15,25,35,45,55,65,75,85,95},{"D","D","D+","C","C+","B","B+","A","A+","S"}),"?")</f>
        <v>?</v>
      </c>
    </row>
    <row r="168" spans="1:17">
      <c r="A168" s="5" t="s">
        <v>971</v>
      </c>
      <c r="B168" s="23" t="s">
        <v>972</v>
      </c>
      <c r="C168" s="13"/>
      <c r="D168" s="13"/>
      <c r="E168" s="13"/>
      <c r="F168" s="13"/>
      <c r="G168" s="13"/>
      <c r="H168" s="7"/>
      <c r="I168" s="7"/>
      <c r="K168" s="24" t="s">
        <v>649</v>
      </c>
      <c r="L168" s="25" t="s">
        <v>650</v>
      </c>
      <c r="M168" s="19"/>
      <c r="N168" s="19"/>
      <c r="O168" s="19"/>
      <c r="P168" s="19"/>
      <c r="Q168" s="19" t="str">
        <f>IF(AND(ISNUMBER(MATCH(M168,{"F","E","D","D+","C","C+","B","B+","A","A+","S"},0)),ISNUMBER(MATCH(N168,{"F","E","D","D+","C","C+","B","B+","A","A+","S"},0)),ISNUMBER(MATCH(O168,{"F","E","D","D+","C","C+","B","B+","A","A+","S"},0)),ISNUMBER(MATCH(P168,{"F","E","D","D+","C","C+","B","B+","A","A+","S"},0))),LOOKUP(AVERAGE(_xlfn.SWITCH(M168,"F",0,"E",10,"D",20,"D+",30,"C",40,"C+",50,"B",60,"B+",70,"A",80,"A+",90,"S",100),_xlfn.SWITCH(N168,"F",0,"E",10,"D",20,"D+",30,"C",40,"C+",50,"B",60,"B+",70,"A",80,"A+",90,"S",100),_xlfn.SWITCH(O168,"F",0,"E",10,"D",20,"D+",30,"C",40,"C+",50,"B",60,"B+",70,"A",80,"A+",90,"S",100),_xlfn.SWITCH(P168,"F",0,"E",10,"D",20,"D+",30,"C",40,"C+",50,"B",60,"B+",70,"A",80,"A+",90,"S",100)),{0,15,25,35,45,55,65,75,85,95},{"D","D","D+","C","C+","B","B+","A","A+","S"}),"?")</f>
        <v>?</v>
      </c>
    </row>
    <row r="169" spans="1:17">
      <c r="A169" s="5" t="s">
        <v>976</v>
      </c>
      <c r="B169" s="5" t="s">
        <v>977</v>
      </c>
      <c r="C169" s="13"/>
      <c r="D169" s="13"/>
      <c r="E169" s="13"/>
      <c r="F169" s="13"/>
      <c r="G169" s="13"/>
      <c r="H169" s="7"/>
      <c r="I169" s="7"/>
      <c r="K169" s="24" t="s">
        <v>631</v>
      </c>
      <c r="L169" s="25" t="s">
        <v>632</v>
      </c>
      <c r="M169" s="19"/>
      <c r="N169" s="19"/>
      <c r="O169" s="19"/>
      <c r="P169" s="19"/>
      <c r="Q169" s="19" t="str">
        <f>IF(AND(ISNUMBER(MATCH(M169,{"F","E","D","D+","C","C+","B","B+","A","A+","S"},0)),ISNUMBER(MATCH(N169,{"F","E","D","D+","C","C+","B","B+","A","A+","S"},0)),ISNUMBER(MATCH(O169,{"F","E","D","D+","C","C+","B","B+","A","A+","S"},0)),ISNUMBER(MATCH(P169,{"F","E","D","D+","C","C+","B","B+","A","A+","S"},0))),LOOKUP(AVERAGE(_xlfn.SWITCH(M169,"F",0,"E",10,"D",20,"D+",30,"C",40,"C+",50,"B",60,"B+",70,"A",80,"A+",90,"S",100),_xlfn.SWITCH(N169,"F",0,"E",10,"D",20,"D+",30,"C",40,"C+",50,"B",60,"B+",70,"A",80,"A+",90,"S",100),_xlfn.SWITCH(O169,"F",0,"E",10,"D",20,"D+",30,"C",40,"C+",50,"B",60,"B+",70,"A",80,"A+",90,"S",100),_xlfn.SWITCH(P169,"F",0,"E",10,"D",20,"D+",30,"C",40,"C+",50,"B",60,"B+",70,"A",80,"A+",90,"S",100)),{0,15,25,35,45,55,65,75,85,95},{"D","D","D+","C","C+","B","B+","A","A+","S"}),"?")</f>
        <v>?</v>
      </c>
    </row>
    <row r="170" spans="1:17">
      <c r="A170" s="5" t="s">
        <v>981</v>
      </c>
      <c r="B170" s="23" t="s">
        <v>624</v>
      </c>
      <c r="C170" s="13"/>
      <c r="D170" s="13"/>
      <c r="E170" s="13"/>
      <c r="F170" s="13"/>
      <c r="G170" s="13"/>
      <c r="H170" s="7"/>
      <c r="I170" s="7"/>
      <c r="K170" s="24" t="s">
        <v>982</v>
      </c>
      <c r="L170" s="25" t="s">
        <v>983</v>
      </c>
      <c r="M170" s="19"/>
      <c r="N170" s="19"/>
      <c r="O170" s="19"/>
      <c r="P170" s="19"/>
      <c r="Q170" s="19" t="str">
        <f>IF(AND(ISNUMBER(MATCH(M170,{"F","E","D","D+","C","C+","B","B+","A","A+","S"},0)),ISNUMBER(MATCH(N170,{"F","E","D","D+","C","C+","B","B+","A","A+","S"},0)),ISNUMBER(MATCH(O170,{"F","E","D","D+","C","C+","B","B+","A","A+","S"},0)),ISNUMBER(MATCH(P170,{"F","E","D","D+","C","C+","B","B+","A","A+","S"},0))),LOOKUP(AVERAGE(_xlfn.SWITCH(M170,"F",0,"E",10,"D",20,"D+",30,"C",40,"C+",50,"B",60,"B+",70,"A",80,"A+",90,"S",100),_xlfn.SWITCH(N170,"F",0,"E",10,"D",20,"D+",30,"C",40,"C+",50,"B",60,"B+",70,"A",80,"A+",90,"S",100),_xlfn.SWITCH(O170,"F",0,"E",10,"D",20,"D+",30,"C",40,"C+",50,"B",60,"B+",70,"A",80,"A+",90,"S",100),_xlfn.SWITCH(P170,"F",0,"E",10,"D",20,"D+",30,"C",40,"C+",50,"B",60,"B+",70,"A",80,"A+",90,"S",100)),{0,15,25,35,45,55,65,75,85,95},{"D","D","D+","C","C+","B","B+","A","A+","S"}),"?")</f>
        <v>?</v>
      </c>
    </row>
    <row r="171" spans="1:17">
      <c r="A171" s="5" t="s">
        <v>986</v>
      </c>
      <c r="B171" s="23" t="s">
        <v>657</v>
      </c>
      <c r="C171" s="13"/>
      <c r="D171" s="13"/>
      <c r="E171" s="13"/>
      <c r="F171" s="13"/>
      <c r="G171" s="13"/>
      <c r="H171" s="7"/>
      <c r="I171" s="7"/>
      <c r="K171" s="24" t="s">
        <v>765</v>
      </c>
      <c r="L171" s="25" t="s">
        <v>766</v>
      </c>
      <c r="M171" s="19"/>
      <c r="N171" s="19"/>
      <c r="O171" s="19"/>
      <c r="P171" s="19"/>
      <c r="Q171" s="19" t="str">
        <f>IF(AND(ISNUMBER(MATCH(M171,{"F","E","D","D+","C","C+","B","B+","A","A+","S"},0)),ISNUMBER(MATCH(N171,{"F","E","D","D+","C","C+","B","B+","A","A+","S"},0)),ISNUMBER(MATCH(O171,{"F","E","D","D+","C","C+","B","B+","A","A+","S"},0)),ISNUMBER(MATCH(P171,{"F","E","D","D+","C","C+","B","B+","A","A+","S"},0))),LOOKUP(AVERAGE(_xlfn.SWITCH(M171,"F",0,"E",10,"D",20,"D+",30,"C",40,"C+",50,"B",60,"B+",70,"A",80,"A+",90,"S",100),_xlfn.SWITCH(N171,"F",0,"E",10,"D",20,"D+",30,"C",40,"C+",50,"B",60,"B+",70,"A",80,"A+",90,"S",100),_xlfn.SWITCH(O171,"F",0,"E",10,"D",20,"D+",30,"C",40,"C+",50,"B",60,"B+",70,"A",80,"A+",90,"S",100),_xlfn.SWITCH(P171,"F",0,"E",10,"D",20,"D+",30,"C",40,"C+",50,"B",60,"B+",70,"A",80,"A+",90,"S",100)),{0,15,25,35,45,55,65,75,85,95},{"D","D","D+","C","C+","B","B+","A","A+","S"}),"?")</f>
        <v>?</v>
      </c>
    </row>
    <row r="172" spans="1:17">
      <c r="A172" s="5" t="s">
        <v>990</v>
      </c>
      <c r="B172" s="23" t="s">
        <v>836</v>
      </c>
      <c r="C172" s="13"/>
      <c r="D172" s="13"/>
      <c r="E172" s="13"/>
      <c r="F172" s="13"/>
      <c r="G172" s="13"/>
      <c r="H172" s="7"/>
      <c r="I172" s="7"/>
      <c r="K172" s="24" t="s">
        <v>991</v>
      </c>
      <c r="L172" s="25" t="s">
        <v>992</v>
      </c>
      <c r="M172" s="19"/>
      <c r="N172" s="19"/>
      <c r="O172" s="19"/>
      <c r="P172" s="19"/>
      <c r="Q172" s="19" t="str">
        <f>IF(AND(ISNUMBER(MATCH(M172,{"F","E","D","D+","C","C+","B","B+","A","A+","S"},0)),ISNUMBER(MATCH(N172,{"F","E","D","D+","C","C+","B","B+","A","A+","S"},0)),ISNUMBER(MATCH(O172,{"F","E","D","D+","C","C+","B","B+","A","A+","S"},0)),ISNUMBER(MATCH(P172,{"F","E","D","D+","C","C+","B","B+","A","A+","S"},0))),LOOKUP(AVERAGE(_xlfn.SWITCH(M172,"F",0,"E",10,"D",20,"D+",30,"C",40,"C+",50,"B",60,"B+",70,"A",80,"A+",90,"S",100),_xlfn.SWITCH(N172,"F",0,"E",10,"D",20,"D+",30,"C",40,"C+",50,"B",60,"B+",70,"A",80,"A+",90,"S",100),_xlfn.SWITCH(O172,"F",0,"E",10,"D",20,"D+",30,"C",40,"C+",50,"B",60,"B+",70,"A",80,"A+",90,"S",100),_xlfn.SWITCH(P172,"F",0,"E",10,"D",20,"D+",30,"C",40,"C+",50,"B",60,"B+",70,"A",80,"A+",90,"S",100)),{0,15,25,35,45,55,65,75,85,95},{"D","D","D+","C","C+","B","B+","A","A+","S"}),"?")</f>
        <v>?</v>
      </c>
    </row>
    <row r="173" spans="1:17">
      <c r="A173" s="5" t="s">
        <v>996</v>
      </c>
      <c r="B173" s="5" t="s">
        <v>806</v>
      </c>
      <c r="C173" s="13"/>
      <c r="D173" s="13"/>
      <c r="E173" s="13"/>
      <c r="F173" s="13"/>
      <c r="G173" s="13"/>
      <c r="H173" s="7"/>
      <c r="I173" s="7"/>
      <c r="K173" s="24" t="s">
        <v>997</v>
      </c>
      <c r="L173" s="25" t="s">
        <v>998</v>
      </c>
      <c r="M173" s="19"/>
      <c r="N173" s="19"/>
      <c r="O173" s="19"/>
      <c r="P173" s="19"/>
      <c r="Q173" s="19" t="str">
        <f>IF(AND(ISNUMBER(MATCH(M173,{"F","E","D","D+","C","C+","B","B+","A","A+","S"},0)),ISNUMBER(MATCH(N173,{"F","E","D","D+","C","C+","B","B+","A","A+","S"},0)),ISNUMBER(MATCH(O173,{"F","E","D","D+","C","C+","B","B+","A","A+","S"},0)),ISNUMBER(MATCH(P173,{"F","E","D","D+","C","C+","B","B+","A","A+","S"},0))),LOOKUP(AVERAGE(_xlfn.SWITCH(M173,"F",0,"E",10,"D",20,"D+",30,"C",40,"C+",50,"B",60,"B+",70,"A",80,"A+",90,"S",100),_xlfn.SWITCH(N173,"F",0,"E",10,"D",20,"D+",30,"C",40,"C+",50,"B",60,"B+",70,"A",80,"A+",90,"S",100),_xlfn.SWITCH(O173,"F",0,"E",10,"D",20,"D+",30,"C",40,"C+",50,"B",60,"B+",70,"A",80,"A+",90,"S",100),_xlfn.SWITCH(P173,"F",0,"E",10,"D",20,"D+",30,"C",40,"C+",50,"B",60,"B+",70,"A",80,"A+",90,"S",100)),{0,15,25,35,45,55,65,75,85,95},{"D","D","D+","C","C+","B","B+","A","A+","S"}),"?")</f>
        <v>?</v>
      </c>
    </row>
    <row r="174" spans="1:17">
      <c r="A174" s="5" t="s">
        <v>1002</v>
      </c>
      <c r="B174" s="23" t="s">
        <v>1003</v>
      </c>
      <c r="C174" s="13"/>
      <c r="D174" s="13"/>
      <c r="E174" s="13"/>
      <c r="F174" s="13"/>
      <c r="G174" s="13"/>
      <c r="H174" s="7"/>
      <c r="I174" s="7"/>
      <c r="K174" s="24" t="s">
        <v>1004</v>
      </c>
      <c r="L174" s="25" t="s">
        <v>1005</v>
      </c>
      <c r="M174" s="19"/>
      <c r="N174" s="19"/>
      <c r="O174" s="19"/>
      <c r="P174" s="19"/>
      <c r="Q174" s="19" t="str">
        <f>IF(AND(ISNUMBER(MATCH(M174,{"F","E","D","D+","C","C+","B","B+","A","A+","S"},0)),ISNUMBER(MATCH(N174,{"F","E","D","D+","C","C+","B","B+","A","A+","S"},0)),ISNUMBER(MATCH(O174,{"F","E","D","D+","C","C+","B","B+","A","A+","S"},0)),ISNUMBER(MATCH(P174,{"F","E","D","D+","C","C+","B","B+","A","A+","S"},0))),LOOKUP(AVERAGE(_xlfn.SWITCH(M174,"F",0,"E",10,"D",20,"D+",30,"C",40,"C+",50,"B",60,"B+",70,"A",80,"A+",90,"S",100),_xlfn.SWITCH(N174,"F",0,"E",10,"D",20,"D+",30,"C",40,"C+",50,"B",60,"B+",70,"A",80,"A+",90,"S",100),_xlfn.SWITCH(O174,"F",0,"E",10,"D",20,"D+",30,"C",40,"C+",50,"B",60,"B+",70,"A",80,"A+",90,"S",100),_xlfn.SWITCH(P174,"F",0,"E",10,"D",20,"D+",30,"C",40,"C+",50,"B",60,"B+",70,"A",80,"A+",90,"S",100)),{0,15,25,35,45,55,65,75,85,95},{"D","D","D+","C","C+","B","B+","A","A+","S"}),"?")</f>
        <v>?</v>
      </c>
    </row>
    <row r="175" spans="1:17">
      <c r="A175" s="5" t="s">
        <v>1009</v>
      </c>
      <c r="B175" s="5" t="s">
        <v>795</v>
      </c>
      <c r="C175" s="13"/>
      <c r="D175" s="13"/>
      <c r="E175" s="13"/>
      <c r="F175" s="13"/>
      <c r="G175" s="13"/>
      <c r="H175" s="7"/>
      <c r="I175" s="7"/>
      <c r="K175" s="24" t="s">
        <v>830</v>
      </c>
      <c r="L175" s="25" t="s">
        <v>831</v>
      </c>
      <c r="M175" s="19"/>
      <c r="N175" s="19"/>
      <c r="O175" s="19"/>
      <c r="P175" s="19"/>
      <c r="Q175" s="19" t="str">
        <f>IF(AND(ISNUMBER(MATCH(M175,{"F","E","D","D+","C","C+","B","B+","A","A+","S"},0)),ISNUMBER(MATCH(N175,{"F","E","D","D+","C","C+","B","B+","A","A+","S"},0)),ISNUMBER(MATCH(O175,{"F","E","D","D+","C","C+","B","B+","A","A+","S"},0)),ISNUMBER(MATCH(P175,{"F","E","D","D+","C","C+","B","B+","A","A+","S"},0))),LOOKUP(AVERAGE(_xlfn.SWITCH(M175,"F",0,"E",10,"D",20,"D+",30,"C",40,"C+",50,"B",60,"B+",70,"A",80,"A+",90,"S",100),_xlfn.SWITCH(N175,"F",0,"E",10,"D",20,"D+",30,"C",40,"C+",50,"B",60,"B+",70,"A",80,"A+",90,"S",100),_xlfn.SWITCH(O175,"F",0,"E",10,"D",20,"D+",30,"C",40,"C+",50,"B",60,"B+",70,"A",80,"A+",90,"S",100),_xlfn.SWITCH(P175,"F",0,"E",10,"D",20,"D+",30,"C",40,"C+",50,"B",60,"B+",70,"A",80,"A+",90,"S",100)),{0,15,25,35,45,55,65,75,85,95},{"D","D","D+","C","C+","B","B+","A","A+","S"}),"?")</f>
        <v>?</v>
      </c>
    </row>
    <row r="176" spans="1:17">
      <c r="A176" s="5" t="s">
        <v>1013</v>
      </c>
      <c r="B176" s="23" t="s">
        <v>1014</v>
      </c>
      <c r="C176" s="13"/>
      <c r="D176" s="13"/>
      <c r="E176" s="13"/>
      <c r="F176" s="13"/>
      <c r="G176" s="13"/>
      <c r="H176" s="7"/>
      <c r="I176" s="7"/>
      <c r="K176" s="24" t="s">
        <v>789</v>
      </c>
      <c r="L176" s="25" t="s">
        <v>790</v>
      </c>
      <c r="M176" s="19"/>
      <c r="N176" s="19"/>
      <c r="O176" s="19"/>
      <c r="P176" s="19"/>
      <c r="Q176" s="19" t="str">
        <f>IF(AND(ISNUMBER(MATCH(M176,{"F","E","D","D+","C","C+","B","B+","A","A+","S"},0)),ISNUMBER(MATCH(N176,{"F","E","D","D+","C","C+","B","B+","A","A+","S"},0)),ISNUMBER(MATCH(O176,{"F","E","D","D+","C","C+","B","B+","A","A+","S"},0)),ISNUMBER(MATCH(P176,{"F","E","D","D+","C","C+","B","B+","A","A+","S"},0))),LOOKUP(AVERAGE(_xlfn.SWITCH(M176,"F",0,"E",10,"D",20,"D+",30,"C",40,"C+",50,"B",60,"B+",70,"A",80,"A+",90,"S",100),_xlfn.SWITCH(N176,"F",0,"E",10,"D",20,"D+",30,"C",40,"C+",50,"B",60,"B+",70,"A",80,"A+",90,"S",100),_xlfn.SWITCH(O176,"F",0,"E",10,"D",20,"D+",30,"C",40,"C+",50,"B",60,"B+",70,"A",80,"A+",90,"S",100),_xlfn.SWITCH(P176,"F",0,"E",10,"D",20,"D+",30,"C",40,"C+",50,"B",60,"B+",70,"A",80,"A+",90,"S",100)),{0,15,25,35,45,55,65,75,85,95},{"D","D","D+","C","C+","B","B+","A","A+","S"}),"?")</f>
        <v>?</v>
      </c>
    </row>
    <row r="177" spans="1:17">
      <c r="A177" s="5" t="s">
        <v>1018</v>
      </c>
      <c r="B177" s="5" t="s">
        <v>1019</v>
      </c>
      <c r="C177" s="13"/>
      <c r="D177" s="13"/>
      <c r="E177" s="13"/>
      <c r="F177" s="13"/>
      <c r="G177" s="13"/>
      <c r="H177" s="7"/>
      <c r="I177" s="7"/>
      <c r="K177" s="24" t="s">
        <v>527</v>
      </c>
      <c r="L177" s="25" t="s">
        <v>528</v>
      </c>
      <c r="M177" s="19"/>
      <c r="N177" s="19"/>
      <c r="O177" s="19"/>
      <c r="P177" s="19"/>
      <c r="Q177" s="19" t="str">
        <f>IF(AND(ISNUMBER(MATCH(M177,{"F","E","D","D+","C","C+","B","B+","A","A+","S"},0)),ISNUMBER(MATCH(N177,{"F","E","D","D+","C","C+","B","B+","A","A+","S"},0)),ISNUMBER(MATCH(O177,{"F","E","D","D+","C","C+","B","B+","A","A+","S"},0)),ISNUMBER(MATCH(P177,{"F","E","D","D+","C","C+","B","B+","A","A+","S"},0))),LOOKUP(AVERAGE(_xlfn.SWITCH(M177,"F",0,"E",10,"D",20,"D+",30,"C",40,"C+",50,"B",60,"B+",70,"A",80,"A+",90,"S",100),_xlfn.SWITCH(N177,"F",0,"E",10,"D",20,"D+",30,"C",40,"C+",50,"B",60,"B+",70,"A",80,"A+",90,"S",100),_xlfn.SWITCH(O177,"F",0,"E",10,"D",20,"D+",30,"C",40,"C+",50,"B",60,"B+",70,"A",80,"A+",90,"S",100),_xlfn.SWITCH(P177,"F",0,"E",10,"D",20,"D+",30,"C",40,"C+",50,"B",60,"B+",70,"A",80,"A+",90,"S",100)),{0,15,25,35,45,55,65,75,85,95},{"D","D","D+","C","C+","B","B+","A","A+","S"}),"?")</f>
        <v>?</v>
      </c>
    </row>
    <row r="178" spans="1:17">
      <c r="A178" s="5" t="s">
        <v>1023</v>
      </c>
      <c r="B178" s="5" t="s">
        <v>540</v>
      </c>
      <c r="C178" s="13"/>
      <c r="D178" s="13"/>
      <c r="E178" s="13"/>
      <c r="F178" s="13"/>
      <c r="G178" s="13"/>
      <c r="H178" s="7"/>
      <c r="I178" s="7"/>
      <c r="K178" s="24" t="s">
        <v>1024</v>
      </c>
      <c r="L178" s="25" t="s">
        <v>1025</v>
      </c>
      <c r="M178" s="19"/>
      <c r="N178" s="19"/>
      <c r="O178" s="19"/>
      <c r="P178" s="19"/>
      <c r="Q178" s="19" t="str">
        <f>IF(AND(ISNUMBER(MATCH(M178,{"F","E","D","D+","C","C+","B","B+","A","A+","S"},0)),ISNUMBER(MATCH(N178,{"F","E","D","D+","C","C+","B","B+","A","A+","S"},0)),ISNUMBER(MATCH(O178,{"F","E","D","D+","C","C+","B","B+","A","A+","S"},0)),ISNUMBER(MATCH(P178,{"F","E","D","D+","C","C+","B","B+","A","A+","S"},0))),LOOKUP(AVERAGE(_xlfn.SWITCH(M178,"F",0,"E",10,"D",20,"D+",30,"C",40,"C+",50,"B",60,"B+",70,"A",80,"A+",90,"S",100),_xlfn.SWITCH(N178,"F",0,"E",10,"D",20,"D+",30,"C",40,"C+",50,"B",60,"B+",70,"A",80,"A+",90,"S",100),_xlfn.SWITCH(O178,"F",0,"E",10,"D",20,"D+",30,"C",40,"C+",50,"B",60,"B+",70,"A",80,"A+",90,"S",100),_xlfn.SWITCH(P178,"F",0,"E",10,"D",20,"D+",30,"C",40,"C+",50,"B",60,"B+",70,"A",80,"A+",90,"S",100)),{0,15,25,35,45,55,65,75,85,95},{"D","D","D+","C","C+","B","B+","A","A+","S"}),"?")</f>
        <v>?</v>
      </c>
    </row>
    <row r="179" spans="1:17">
      <c r="A179" s="5" t="s">
        <v>1029</v>
      </c>
      <c r="B179" s="5" t="s">
        <v>1030</v>
      </c>
      <c r="C179" s="13"/>
      <c r="D179" s="13"/>
      <c r="E179" s="13"/>
      <c r="F179" s="13"/>
      <c r="G179" s="13"/>
      <c r="H179" s="7"/>
      <c r="I179" s="7"/>
      <c r="K179" s="24" t="s">
        <v>1031</v>
      </c>
      <c r="L179" s="25" t="s">
        <v>1032</v>
      </c>
      <c r="M179" s="19"/>
      <c r="N179" s="19"/>
      <c r="O179" s="19"/>
      <c r="P179" s="19"/>
      <c r="Q179" s="19" t="str">
        <f>IF(AND(ISNUMBER(MATCH(M179,{"F","E","D","D+","C","C+","B","B+","A","A+","S"},0)),ISNUMBER(MATCH(N179,{"F","E","D","D+","C","C+","B","B+","A","A+","S"},0)),ISNUMBER(MATCH(O179,{"F","E","D","D+","C","C+","B","B+","A","A+","S"},0)),ISNUMBER(MATCH(P179,{"F","E","D","D+","C","C+","B","B+","A","A+","S"},0))),LOOKUP(AVERAGE(_xlfn.SWITCH(M179,"F",0,"E",10,"D",20,"D+",30,"C",40,"C+",50,"B",60,"B+",70,"A",80,"A+",90,"S",100),_xlfn.SWITCH(N179,"F",0,"E",10,"D",20,"D+",30,"C",40,"C+",50,"B",60,"B+",70,"A",80,"A+",90,"S",100),_xlfn.SWITCH(O179,"F",0,"E",10,"D",20,"D+",30,"C",40,"C+",50,"B",60,"B+",70,"A",80,"A+",90,"S",100),_xlfn.SWITCH(P179,"F",0,"E",10,"D",20,"D+",30,"C",40,"C+",50,"B",60,"B+",70,"A",80,"A+",90,"S",100)),{0,15,25,35,45,55,65,75,85,95},{"D","D","D+","C","C+","B","B+","A","A+","S"}),"?")</f>
        <v>?</v>
      </c>
    </row>
    <row r="180" spans="1:17" ht="18" customHeight="1">
      <c r="A180" s="550" t="s">
        <v>1034</v>
      </c>
      <c r="B180" s="531"/>
      <c r="C180" s="531"/>
      <c r="D180" s="531"/>
      <c r="E180" s="531"/>
      <c r="F180" s="531"/>
      <c r="G180" s="531"/>
      <c r="H180" s="531"/>
      <c r="I180" s="537"/>
      <c r="K180" s="24" t="s">
        <v>816</v>
      </c>
      <c r="L180" s="25" t="s">
        <v>817</v>
      </c>
      <c r="M180" s="19"/>
      <c r="N180" s="19"/>
      <c r="O180" s="19"/>
      <c r="P180" s="19"/>
      <c r="Q180" s="19" t="str">
        <f>IF(AND(ISNUMBER(MATCH(M180,{"F","E","D","D+","C","C+","B","B+","A","A+","S"},0)),ISNUMBER(MATCH(N180,{"F","E","D","D+","C","C+","B","B+","A","A+","S"},0)),ISNUMBER(MATCH(O180,{"F","E","D","D+","C","C+","B","B+","A","A+","S"},0)),ISNUMBER(MATCH(P180,{"F","E","D","D+","C","C+","B","B+","A","A+","S"},0))),LOOKUP(AVERAGE(_xlfn.SWITCH(M180,"F",0,"E",10,"D",20,"D+",30,"C",40,"C+",50,"B",60,"B+",70,"A",80,"A+",90,"S",100),_xlfn.SWITCH(N180,"F",0,"E",10,"D",20,"D+",30,"C",40,"C+",50,"B",60,"B+",70,"A",80,"A+",90,"S",100),_xlfn.SWITCH(O180,"F",0,"E",10,"D",20,"D+",30,"C",40,"C+",50,"B",60,"B+",70,"A",80,"A+",90,"S",100),_xlfn.SWITCH(P180,"F",0,"E",10,"D",20,"D+",30,"C",40,"C+",50,"B",60,"B+",70,"A",80,"A+",90,"S",100)),{0,15,25,35,45,55,65,75,85,95},{"D","D","D+","C","C+","B","B+","A","A+","S"}),"?")</f>
        <v>?</v>
      </c>
    </row>
    <row r="181" spans="1:17" ht="12.75" customHeight="1">
      <c r="A181" s="538"/>
      <c r="B181" s="533"/>
      <c r="C181" s="533"/>
      <c r="D181" s="533"/>
      <c r="E181" s="533"/>
      <c r="F181" s="533"/>
      <c r="G181" s="533"/>
      <c r="H181" s="533"/>
      <c r="I181" s="539"/>
      <c r="K181" s="24" t="s">
        <v>1035</v>
      </c>
      <c r="L181" s="25" t="s">
        <v>1036</v>
      </c>
      <c r="M181" s="19"/>
      <c r="N181" s="19"/>
      <c r="O181" s="19"/>
      <c r="P181" s="19"/>
      <c r="Q181" s="19" t="str">
        <f>IF(AND(ISNUMBER(MATCH(M181,{"F","E","D","D+","C","C+","B","B+","A","A+","S"},0)),ISNUMBER(MATCH(N181,{"F","E","D","D+","C","C+","B","B+","A","A+","S"},0)),ISNUMBER(MATCH(O181,{"F","E","D","D+","C","C+","B","B+","A","A+","S"},0)),ISNUMBER(MATCH(P181,{"F","E","D","D+","C","C+","B","B+","A","A+","S"},0))),LOOKUP(AVERAGE(_xlfn.SWITCH(M181,"F",0,"E",10,"D",20,"D+",30,"C",40,"C+",50,"B",60,"B+",70,"A",80,"A+",90,"S",100),_xlfn.SWITCH(N181,"F",0,"E",10,"D",20,"D+",30,"C",40,"C+",50,"B",60,"B+",70,"A",80,"A+",90,"S",100),_xlfn.SWITCH(O181,"F",0,"E",10,"D",20,"D+",30,"C",40,"C+",50,"B",60,"B+",70,"A",80,"A+",90,"S",100),_xlfn.SWITCH(P181,"F",0,"E",10,"D",20,"D+",30,"C",40,"C+",50,"B",60,"B+",70,"A",80,"A+",90,"S",100)),{0,15,25,35,45,55,65,75,85,95},{"D","D","D+","C","C+","B","B+","A","A+","S"}),"?")</f>
        <v>?</v>
      </c>
    </row>
    <row r="182" spans="1:17">
      <c r="A182" s="5" t="s">
        <v>4</v>
      </c>
      <c r="B182" s="6" t="s">
        <v>5</v>
      </c>
      <c r="C182" s="7" t="s">
        <v>6</v>
      </c>
      <c r="D182" s="7" t="s">
        <v>7</v>
      </c>
      <c r="E182" s="7" t="s">
        <v>8</v>
      </c>
      <c r="F182" s="7" t="s">
        <v>9</v>
      </c>
      <c r="G182" s="7" t="s">
        <v>10</v>
      </c>
      <c r="H182" s="7" t="s">
        <v>11</v>
      </c>
      <c r="I182" s="7" t="s">
        <v>12</v>
      </c>
      <c r="K182" s="24" t="s">
        <v>672</v>
      </c>
      <c r="L182" s="25" t="s">
        <v>673</v>
      </c>
      <c r="M182" s="19"/>
      <c r="N182" s="19"/>
      <c r="O182" s="19"/>
      <c r="P182" s="19"/>
      <c r="Q182" s="19" t="str">
        <f>IF(AND(ISNUMBER(MATCH(M182,{"F","E","D","D+","C","C+","B","B+","A","A+","S"},0)),ISNUMBER(MATCH(N182,{"F","E","D","D+","C","C+","B","B+","A","A+","S"},0)),ISNUMBER(MATCH(O182,{"F","E","D","D+","C","C+","B","B+","A","A+","S"},0)),ISNUMBER(MATCH(P182,{"F","E","D","D+","C","C+","B","B+","A","A+","S"},0))),LOOKUP(AVERAGE(_xlfn.SWITCH(M182,"F",0,"E",10,"D",20,"D+",30,"C",40,"C+",50,"B",60,"B+",70,"A",80,"A+",90,"S",100),_xlfn.SWITCH(N182,"F",0,"E",10,"D",20,"D+",30,"C",40,"C+",50,"B",60,"B+",70,"A",80,"A+",90,"S",100),_xlfn.SWITCH(O182,"F",0,"E",10,"D",20,"D+",30,"C",40,"C+",50,"B",60,"B+",70,"A",80,"A+",90,"S",100),_xlfn.SWITCH(P182,"F",0,"E",10,"D",20,"D+",30,"C",40,"C+",50,"B",60,"B+",70,"A",80,"A+",90,"S",100)),{0,15,25,35,45,55,65,75,85,95},{"D","D","D+","C","C+","B","B+","A","A+","S"}),"?")</f>
        <v>?</v>
      </c>
    </row>
    <row r="183" spans="1:17">
      <c r="A183" s="5" t="s">
        <v>1040</v>
      </c>
      <c r="B183" s="5" t="s">
        <v>1041</v>
      </c>
      <c r="C183" s="13"/>
      <c r="D183" s="13"/>
      <c r="E183" s="13"/>
      <c r="F183" s="13"/>
      <c r="G183" s="13"/>
      <c r="H183" s="7"/>
      <c r="I183" s="7" t="s">
        <v>1042</v>
      </c>
      <c r="K183" s="24" t="s">
        <v>706</v>
      </c>
      <c r="L183" s="25" t="s">
        <v>707</v>
      </c>
      <c r="M183" s="19"/>
      <c r="N183" s="19"/>
      <c r="O183" s="19"/>
      <c r="P183" s="19"/>
      <c r="Q183" s="19" t="str">
        <f>IF(AND(ISNUMBER(MATCH(M183,{"F","E","D","D+","C","C+","B","B+","A","A+","S"},0)),ISNUMBER(MATCH(N183,{"F","E","D","D+","C","C+","B","B+","A","A+","S"},0)),ISNUMBER(MATCH(O183,{"F","E","D","D+","C","C+","B","B+","A","A+","S"},0)),ISNUMBER(MATCH(P183,{"F","E","D","D+","C","C+","B","B+","A","A+","S"},0))),LOOKUP(AVERAGE(_xlfn.SWITCH(M183,"F",0,"E",10,"D",20,"D+",30,"C",40,"C+",50,"B",60,"B+",70,"A",80,"A+",90,"S",100),_xlfn.SWITCH(N183,"F",0,"E",10,"D",20,"D+",30,"C",40,"C+",50,"B",60,"B+",70,"A",80,"A+",90,"S",100),_xlfn.SWITCH(O183,"F",0,"E",10,"D",20,"D+",30,"C",40,"C+",50,"B",60,"B+",70,"A",80,"A+",90,"S",100),_xlfn.SWITCH(P183,"F",0,"E",10,"D",20,"D+",30,"C",40,"C+",50,"B",60,"B+",70,"A",80,"A+",90,"S",100)),{0,15,25,35,45,55,65,75,85,95},{"D","D","D+","C","C+","B","B+","A","A+","S"}),"?")</f>
        <v>?</v>
      </c>
    </row>
    <row r="184" spans="1:17">
      <c r="A184" s="5" t="s">
        <v>1046</v>
      </c>
      <c r="B184" s="5" t="s">
        <v>1047</v>
      </c>
      <c r="C184" s="13"/>
      <c r="D184" s="13"/>
      <c r="E184" s="13"/>
      <c r="F184" s="13"/>
      <c r="G184" s="13"/>
      <c r="H184" s="7"/>
      <c r="I184" s="7"/>
      <c r="K184" s="24" t="s">
        <v>1048</v>
      </c>
      <c r="L184" s="25" t="s">
        <v>1049</v>
      </c>
      <c r="M184" s="19"/>
      <c r="N184" s="19"/>
      <c r="O184" s="19"/>
      <c r="P184" s="19"/>
      <c r="Q184" s="19" t="str">
        <f>IF(AND(ISNUMBER(MATCH(M184,{"F","E","D","D+","C","C+","B","B+","A","A+","S"},0)),ISNUMBER(MATCH(N184,{"F","E","D","D+","C","C+","B","B+","A","A+","S"},0)),ISNUMBER(MATCH(O184,{"F","E","D","D+","C","C+","B","B+","A","A+","S"},0)),ISNUMBER(MATCH(P184,{"F","E","D","D+","C","C+","B","B+","A","A+","S"},0))),LOOKUP(AVERAGE(_xlfn.SWITCH(M184,"F",0,"E",10,"D",20,"D+",30,"C",40,"C+",50,"B",60,"B+",70,"A",80,"A+",90,"S",100),_xlfn.SWITCH(N184,"F",0,"E",10,"D",20,"D+",30,"C",40,"C+",50,"B",60,"B+",70,"A",80,"A+",90,"S",100),_xlfn.SWITCH(O184,"F",0,"E",10,"D",20,"D+",30,"C",40,"C+",50,"B",60,"B+",70,"A",80,"A+",90,"S",100),_xlfn.SWITCH(P184,"F",0,"E",10,"D",20,"D+",30,"C",40,"C+",50,"B",60,"B+",70,"A",80,"A+",90,"S",100)),{0,15,25,35,45,55,65,75,85,95},{"D","D","D+","C","C+","B","B+","A","A+","S"}),"?")</f>
        <v>?</v>
      </c>
    </row>
    <row r="185" spans="1:17">
      <c r="A185" s="5" t="s">
        <v>1053</v>
      </c>
      <c r="B185" s="5" t="s">
        <v>975</v>
      </c>
      <c r="C185" s="13"/>
      <c r="D185" s="13"/>
      <c r="E185" s="13"/>
      <c r="F185" s="13"/>
      <c r="G185" s="13"/>
      <c r="H185" s="7"/>
      <c r="I185" s="7"/>
      <c r="K185" s="24" t="s">
        <v>1054</v>
      </c>
      <c r="L185" s="25" t="s">
        <v>1055</v>
      </c>
      <c r="M185" s="19"/>
      <c r="N185" s="19"/>
      <c r="O185" s="19"/>
      <c r="P185" s="19"/>
      <c r="Q185" s="19" t="str">
        <f>IF(AND(ISNUMBER(MATCH(M185,{"F","E","D","D+","C","C+","B","B+","A","A+","S"},0)),ISNUMBER(MATCH(N185,{"F","E","D","D+","C","C+","B","B+","A","A+","S"},0)),ISNUMBER(MATCH(O185,{"F","E","D","D+","C","C+","B","B+","A","A+","S"},0)),ISNUMBER(MATCH(P185,{"F","E","D","D+","C","C+","B","B+","A","A+","S"},0))),LOOKUP(AVERAGE(_xlfn.SWITCH(M185,"F",0,"E",10,"D",20,"D+",30,"C",40,"C+",50,"B",60,"B+",70,"A",80,"A+",90,"S",100),_xlfn.SWITCH(N185,"F",0,"E",10,"D",20,"D+",30,"C",40,"C+",50,"B",60,"B+",70,"A",80,"A+",90,"S",100),_xlfn.SWITCH(O185,"F",0,"E",10,"D",20,"D+",30,"C",40,"C+",50,"B",60,"B+",70,"A",80,"A+",90,"S",100),_xlfn.SWITCH(P185,"F",0,"E",10,"D",20,"D+",30,"C",40,"C+",50,"B",60,"B+",70,"A",80,"A+",90,"S",100)),{0,15,25,35,45,55,65,75,85,95},{"D","D","D+","C","C+","B","B+","A","A+","S"}),"?")</f>
        <v>?</v>
      </c>
    </row>
    <row r="186" spans="1:17">
      <c r="A186" s="5" t="s">
        <v>1059</v>
      </c>
      <c r="B186" s="5" t="s">
        <v>1060</v>
      </c>
      <c r="C186" s="13"/>
      <c r="D186" s="13"/>
      <c r="E186" s="13"/>
      <c r="F186" s="13"/>
      <c r="G186" s="13"/>
      <c r="H186" s="7"/>
      <c r="I186" s="7"/>
      <c r="K186" s="24" t="s">
        <v>569</v>
      </c>
      <c r="L186" s="25" t="s">
        <v>707</v>
      </c>
      <c r="M186" s="19"/>
      <c r="N186" s="19"/>
      <c r="O186" s="19"/>
      <c r="P186" s="19"/>
      <c r="Q186" s="19" t="str">
        <f>IF(AND(ISNUMBER(MATCH(M186,{"F","E","D","D+","C","C+","B","B+","A","A+","S"},0)),ISNUMBER(MATCH(N186,{"F","E","D","D+","C","C+","B","B+","A","A+","S"},0)),ISNUMBER(MATCH(O186,{"F","E","D","D+","C","C+","B","B+","A","A+","S"},0)),ISNUMBER(MATCH(P186,{"F","E","D","D+","C","C+","B","B+","A","A+","S"},0))),LOOKUP(AVERAGE(_xlfn.SWITCH(M186,"F",0,"E",10,"D",20,"D+",30,"C",40,"C+",50,"B",60,"B+",70,"A",80,"A+",90,"S",100),_xlfn.SWITCH(N186,"F",0,"E",10,"D",20,"D+",30,"C",40,"C+",50,"B",60,"B+",70,"A",80,"A+",90,"S",100),_xlfn.SWITCH(O186,"F",0,"E",10,"D",20,"D+",30,"C",40,"C+",50,"B",60,"B+",70,"A",80,"A+",90,"S",100),_xlfn.SWITCH(P186,"F",0,"E",10,"D",20,"D+",30,"C",40,"C+",50,"B",60,"B+",70,"A",80,"A+",90,"S",100)),{0,15,25,35,45,55,65,75,85,95},{"D","D","D+","C","C+","B","B+","A","A+","S"}),"?")</f>
        <v>?</v>
      </c>
    </row>
    <row r="187" spans="1:17">
      <c r="A187" s="5" t="s">
        <v>1064</v>
      </c>
      <c r="B187" s="34" t="s">
        <v>1017</v>
      </c>
      <c r="C187" s="13"/>
      <c r="D187" s="13"/>
      <c r="E187" s="13"/>
      <c r="F187" s="13"/>
      <c r="G187" s="13"/>
      <c r="H187" s="7"/>
      <c r="I187" s="7"/>
      <c r="K187" s="24" t="s">
        <v>1065</v>
      </c>
      <c r="L187" s="25" t="s">
        <v>1066</v>
      </c>
      <c r="M187" s="19"/>
      <c r="N187" s="19"/>
      <c r="O187" s="19"/>
      <c r="P187" s="19"/>
      <c r="Q187" s="19" t="str">
        <f>IF(AND(ISNUMBER(MATCH(M187,{"F","E","D","D+","C","C+","B","B+","A","A+","S"},0)),ISNUMBER(MATCH(N187,{"F","E","D","D+","C","C+","B","B+","A","A+","S"},0)),ISNUMBER(MATCH(O187,{"F","E","D","D+","C","C+","B","B+","A","A+","S"},0)),ISNUMBER(MATCH(P187,{"F","E","D","D+","C","C+","B","B+","A","A+","S"},0))),LOOKUP(AVERAGE(_xlfn.SWITCH(M187,"F",0,"E",10,"D",20,"D+",30,"C",40,"C+",50,"B",60,"B+",70,"A",80,"A+",90,"S",100),_xlfn.SWITCH(N187,"F",0,"E",10,"D",20,"D+",30,"C",40,"C+",50,"B",60,"B+",70,"A",80,"A+",90,"S",100),_xlfn.SWITCH(O187,"F",0,"E",10,"D",20,"D+",30,"C",40,"C+",50,"B",60,"B+",70,"A",80,"A+",90,"S",100),_xlfn.SWITCH(P187,"F",0,"E",10,"D",20,"D+",30,"C",40,"C+",50,"B",60,"B+",70,"A",80,"A+",90,"S",100)),{0,15,25,35,45,55,65,75,85,95},{"D","D","D+","C","C+","B","B+","A","A+","S"}),"?")</f>
        <v>?</v>
      </c>
    </row>
    <row r="188" spans="1:17">
      <c r="A188" s="5" t="s">
        <v>1069</v>
      </c>
      <c r="B188" s="34" t="s">
        <v>1017</v>
      </c>
      <c r="C188" s="13"/>
      <c r="D188" s="13"/>
      <c r="E188" s="13"/>
      <c r="F188" s="13"/>
      <c r="G188" s="13"/>
      <c r="H188" s="7"/>
      <c r="I188" s="7"/>
      <c r="K188" s="24" t="s">
        <v>1070</v>
      </c>
      <c r="L188" s="25" t="s">
        <v>1071</v>
      </c>
      <c r="M188" s="19"/>
      <c r="N188" s="19"/>
      <c r="O188" s="19"/>
      <c r="P188" s="19"/>
      <c r="Q188" s="19" t="str">
        <f>IF(AND(ISNUMBER(MATCH(M188,{"F","E","D","D+","C","C+","B","B+","A","A+","S"},0)),ISNUMBER(MATCH(N188,{"F","E","D","D+","C","C+","B","B+","A","A+","S"},0)),ISNUMBER(MATCH(O188,{"F","E","D","D+","C","C+","B","B+","A","A+","S"},0)),ISNUMBER(MATCH(P188,{"F","E","D","D+","C","C+","B","B+","A","A+","S"},0))),LOOKUP(AVERAGE(_xlfn.SWITCH(M188,"F",0,"E",10,"D",20,"D+",30,"C",40,"C+",50,"B",60,"B+",70,"A",80,"A+",90,"S",100),_xlfn.SWITCH(N188,"F",0,"E",10,"D",20,"D+",30,"C",40,"C+",50,"B",60,"B+",70,"A",80,"A+",90,"S",100),_xlfn.SWITCH(O188,"F",0,"E",10,"D",20,"D+",30,"C",40,"C+",50,"B",60,"B+",70,"A",80,"A+",90,"S",100),_xlfn.SWITCH(P188,"F",0,"E",10,"D",20,"D+",30,"C",40,"C+",50,"B",60,"B+",70,"A",80,"A+",90,"S",100)),{0,15,25,35,45,55,65,75,85,95},{"D","D","D+","C","C+","B","B+","A","A+","S"}),"?")</f>
        <v>?</v>
      </c>
    </row>
    <row r="189" spans="1:17">
      <c r="A189" s="5" t="s">
        <v>1075</v>
      </c>
      <c r="B189" s="5" t="s">
        <v>1076</v>
      </c>
      <c r="C189" s="13"/>
      <c r="D189" s="13"/>
      <c r="E189" s="13"/>
      <c r="F189" s="13"/>
      <c r="G189" s="13"/>
      <c r="H189" s="7"/>
      <c r="I189" s="7"/>
      <c r="K189" s="24" t="s">
        <v>605</v>
      </c>
      <c r="L189" s="25" t="s">
        <v>606</v>
      </c>
      <c r="M189" s="19"/>
      <c r="N189" s="19"/>
      <c r="O189" s="19"/>
      <c r="P189" s="19"/>
      <c r="Q189" s="19" t="str">
        <f>IF(AND(ISNUMBER(MATCH(M189,{"F","E","D","D+","C","C+","B","B+","A","A+","S"},0)),ISNUMBER(MATCH(N189,{"F","E","D","D+","C","C+","B","B+","A","A+","S"},0)),ISNUMBER(MATCH(O189,{"F","E","D","D+","C","C+","B","B+","A","A+","S"},0)),ISNUMBER(MATCH(P189,{"F","E","D","D+","C","C+","B","B+","A","A+","S"},0))),LOOKUP(AVERAGE(_xlfn.SWITCH(M189,"F",0,"E",10,"D",20,"D+",30,"C",40,"C+",50,"B",60,"B+",70,"A",80,"A+",90,"S",100),_xlfn.SWITCH(N189,"F",0,"E",10,"D",20,"D+",30,"C",40,"C+",50,"B",60,"B+",70,"A",80,"A+",90,"S",100),_xlfn.SWITCH(O189,"F",0,"E",10,"D",20,"D+",30,"C",40,"C+",50,"B",60,"B+",70,"A",80,"A+",90,"S",100),_xlfn.SWITCH(P189,"F",0,"E",10,"D",20,"D+",30,"C",40,"C+",50,"B",60,"B+",70,"A",80,"A+",90,"S",100)),{0,15,25,35,45,55,65,75,85,95},{"D","D","D+","C","C+","B","B+","A","A+","S"}),"?")</f>
        <v>?</v>
      </c>
    </row>
    <row r="190" spans="1:17">
      <c r="A190" s="5" t="s">
        <v>1080</v>
      </c>
      <c r="B190" s="5" t="s">
        <v>923</v>
      </c>
      <c r="C190" s="13"/>
      <c r="D190" s="13"/>
      <c r="E190" s="13"/>
      <c r="F190" s="13"/>
      <c r="G190" s="13"/>
      <c r="H190" s="7"/>
      <c r="I190" s="7"/>
      <c r="K190" s="24" t="s">
        <v>1081</v>
      </c>
      <c r="L190" s="25" t="s">
        <v>1082</v>
      </c>
      <c r="M190" s="19"/>
      <c r="N190" s="19"/>
      <c r="O190" s="19"/>
      <c r="P190" s="19"/>
      <c r="Q190" s="19" t="str">
        <f>IF(AND(ISNUMBER(MATCH(M190,{"F","E","D","D+","C","C+","B","B+","A","A+","S"},0)),ISNUMBER(MATCH(N190,{"F","E","D","D+","C","C+","B","B+","A","A+","S"},0)),ISNUMBER(MATCH(O190,{"F","E","D","D+","C","C+","B","B+","A","A+","S"},0)),ISNUMBER(MATCH(P190,{"F","E","D","D+","C","C+","B","B+","A","A+","S"},0))),LOOKUP(AVERAGE(_xlfn.SWITCH(M190,"F",0,"E",10,"D",20,"D+",30,"C",40,"C+",50,"B",60,"B+",70,"A",80,"A+",90,"S",100),_xlfn.SWITCH(N190,"F",0,"E",10,"D",20,"D+",30,"C",40,"C+",50,"B",60,"B+",70,"A",80,"A+",90,"S",100),_xlfn.SWITCH(O190,"F",0,"E",10,"D",20,"D+",30,"C",40,"C+",50,"B",60,"B+",70,"A",80,"A+",90,"S",100),_xlfn.SWITCH(P190,"F",0,"E",10,"D",20,"D+",30,"C",40,"C+",50,"B",60,"B+",70,"A",80,"A+",90,"S",100)),{0,15,25,35,45,55,65,75,85,95},{"D","D","D+","C","C+","B","B+","A","A+","S"}),"?")</f>
        <v>?</v>
      </c>
    </row>
    <row r="191" spans="1:17">
      <c r="A191" s="5" t="s">
        <v>1086</v>
      </c>
      <c r="B191" s="5" t="s">
        <v>918</v>
      </c>
      <c r="C191" s="13"/>
      <c r="D191" s="13"/>
      <c r="E191" s="13"/>
      <c r="F191" s="13"/>
      <c r="G191" s="13"/>
      <c r="H191" s="7"/>
      <c r="I191" s="7"/>
      <c r="K191" s="24" t="s">
        <v>1087</v>
      </c>
      <c r="L191" s="25" t="s">
        <v>1088</v>
      </c>
      <c r="M191" s="19"/>
      <c r="N191" s="19"/>
      <c r="O191" s="19"/>
      <c r="P191" s="19"/>
      <c r="Q191" s="19" t="str">
        <f>IF(AND(ISNUMBER(MATCH(M191,{"F","E","D","D+","C","C+","B","B+","A","A+","S"},0)),ISNUMBER(MATCH(N191,{"F","E","D","D+","C","C+","B","B+","A","A+","S"},0)),ISNUMBER(MATCH(O191,{"F","E","D","D+","C","C+","B","B+","A","A+","S"},0)),ISNUMBER(MATCH(P191,{"F","E","D","D+","C","C+","B","B+","A","A+","S"},0))),LOOKUP(AVERAGE(_xlfn.SWITCH(M191,"F",0,"E",10,"D",20,"D+",30,"C",40,"C+",50,"B",60,"B+",70,"A",80,"A+",90,"S",100),_xlfn.SWITCH(N191,"F",0,"E",10,"D",20,"D+",30,"C",40,"C+",50,"B",60,"B+",70,"A",80,"A+",90,"S",100),_xlfn.SWITCH(O191,"F",0,"E",10,"D",20,"D+",30,"C",40,"C+",50,"B",60,"B+",70,"A",80,"A+",90,"S",100),_xlfn.SWITCH(P191,"F",0,"E",10,"D",20,"D+",30,"C",40,"C+",50,"B",60,"B+",70,"A",80,"A+",90,"S",100)),{0,15,25,35,45,55,65,75,85,95},{"D","D","D+","C","C+","B","B+","A","A+","S"}),"?")</f>
        <v>?</v>
      </c>
    </row>
    <row r="192" spans="1:17">
      <c r="A192" s="5" t="s">
        <v>1092</v>
      </c>
      <c r="B192" s="5" t="s">
        <v>151</v>
      </c>
      <c r="C192" s="13"/>
      <c r="D192" s="13"/>
      <c r="E192" s="13"/>
      <c r="F192" s="13"/>
      <c r="G192" s="13"/>
      <c r="H192" s="7"/>
      <c r="I192" s="7"/>
      <c r="K192" s="24" t="s">
        <v>1093</v>
      </c>
      <c r="L192" s="25" t="s">
        <v>1094</v>
      </c>
      <c r="M192" s="19"/>
      <c r="N192" s="19"/>
      <c r="O192" s="19"/>
      <c r="P192" s="19"/>
      <c r="Q192" s="19" t="str">
        <f>IF(AND(ISNUMBER(MATCH(M192,{"F","E","D","D+","C","C+","B","B+","A","A+","S"},0)),ISNUMBER(MATCH(N192,{"F","E","D","D+","C","C+","B","B+","A","A+","S"},0)),ISNUMBER(MATCH(O192,{"F","E","D","D+","C","C+","B","B+","A","A+","S"},0)),ISNUMBER(MATCH(P192,{"F","E","D","D+","C","C+","B","B+","A","A+","S"},0))),LOOKUP(AVERAGE(_xlfn.SWITCH(M192,"F",0,"E",10,"D",20,"D+",30,"C",40,"C+",50,"B",60,"B+",70,"A",80,"A+",90,"S",100),_xlfn.SWITCH(N192,"F",0,"E",10,"D",20,"D+",30,"C",40,"C+",50,"B",60,"B+",70,"A",80,"A+",90,"S",100),_xlfn.SWITCH(O192,"F",0,"E",10,"D",20,"D+",30,"C",40,"C+",50,"B",60,"B+",70,"A",80,"A+",90,"S",100),_xlfn.SWITCH(P192,"F",0,"E",10,"D",20,"D+",30,"C",40,"C+",50,"B",60,"B+",70,"A",80,"A+",90,"S",100)),{0,15,25,35,45,55,65,75,85,95},{"D","D","D+","C","C+","B","B+","A","A+","S"}),"?")</f>
        <v>?</v>
      </c>
    </row>
    <row r="193" spans="1:17">
      <c r="A193" s="5" t="s">
        <v>1098</v>
      </c>
      <c r="B193" s="5" t="s">
        <v>1099</v>
      </c>
      <c r="C193" s="13"/>
      <c r="D193" s="13"/>
      <c r="E193" s="13"/>
      <c r="F193" s="13"/>
      <c r="G193" s="13"/>
      <c r="H193" s="7"/>
      <c r="I193" s="7"/>
      <c r="K193" s="24" t="s">
        <v>853</v>
      </c>
      <c r="L193" s="25" t="s">
        <v>854</v>
      </c>
      <c r="M193" s="19"/>
      <c r="N193" s="19"/>
      <c r="O193" s="19"/>
      <c r="P193" s="19"/>
      <c r="Q193" s="19" t="str">
        <f>IF(AND(ISNUMBER(MATCH(M193,{"F","E","D","D+","C","C+","B","B+","A","A+","S"},0)),ISNUMBER(MATCH(N193,{"F","E","D","D+","C","C+","B","B+","A","A+","S"},0)),ISNUMBER(MATCH(O193,{"F","E","D","D+","C","C+","B","B+","A","A+","S"},0)),ISNUMBER(MATCH(P193,{"F","E","D","D+","C","C+","B","B+","A","A+","S"},0))),LOOKUP(AVERAGE(_xlfn.SWITCH(M193,"F",0,"E",10,"D",20,"D+",30,"C",40,"C+",50,"B",60,"B+",70,"A",80,"A+",90,"S",100),_xlfn.SWITCH(N193,"F",0,"E",10,"D",20,"D+",30,"C",40,"C+",50,"B",60,"B+",70,"A",80,"A+",90,"S",100),_xlfn.SWITCH(O193,"F",0,"E",10,"D",20,"D+",30,"C",40,"C+",50,"B",60,"B+",70,"A",80,"A+",90,"S",100),_xlfn.SWITCH(P193,"F",0,"E",10,"D",20,"D+",30,"C",40,"C+",50,"B",60,"B+",70,"A",80,"A+",90,"S",100)),{0,15,25,35,45,55,65,75,85,95},{"D","D","D+","C","C+","B","B+","A","A+","S"}),"?")</f>
        <v>?</v>
      </c>
    </row>
    <row r="194" spans="1:17">
      <c r="A194" s="5" t="s">
        <v>1103</v>
      </c>
      <c r="B194" s="5" t="s">
        <v>1104</v>
      </c>
      <c r="C194" s="13"/>
      <c r="D194" s="13"/>
      <c r="E194" s="13"/>
      <c r="F194" s="13"/>
      <c r="G194" s="13"/>
      <c r="H194" s="7"/>
      <c r="I194" s="7"/>
      <c r="K194" s="24" t="s">
        <v>725</v>
      </c>
      <c r="L194" s="25" t="s">
        <v>726</v>
      </c>
      <c r="M194" s="19"/>
      <c r="N194" s="19"/>
      <c r="O194" s="19"/>
      <c r="P194" s="19"/>
      <c r="Q194" s="19" t="str">
        <f>IF(AND(ISNUMBER(MATCH(M194,{"F","E","D","D+","C","C+","B","B+","A","A+","S"},0)),ISNUMBER(MATCH(N194,{"F","E","D","D+","C","C+","B","B+","A","A+","S"},0)),ISNUMBER(MATCH(O194,{"F","E","D","D+","C","C+","B","B+","A","A+","S"},0)),ISNUMBER(MATCH(P194,{"F","E","D","D+","C","C+","B","B+","A","A+","S"},0))),LOOKUP(AVERAGE(_xlfn.SWITCH(M194,"F",0,"E",10,"D",20,"D+",30,"C",40,"C+",50,"B",60,"B+",70,"A",80,"A+",90,"S",100),_xlfn.SWITCH(N194,"F",0,"E",10,"D",20,"D+",30,"C",40,"C+",50,"B",60,"B+",70,"A",80,"A+",90,"S",100),_xlfn.SWITCH(O194,"F",0,"E",10,"D",20,"D+",30,"C",40,"C+",50,"B",60,"B+",70,"A",80,"A+",90,"S",100),_xlfn.SWITCH(P194,"F",0,"E",10,"D",20,"D+",30,"C",40,"C+",50,"B",60,"B+",70,"A",80,"A+",90,"S",100)),{0,15,25,35,45,55,65,75,85,95},{"D","D","D+","C","C+","B","B+","A","A+","S"}),"?")</f>
        <v>?</v>
      </c>
    </row>
    <row r="195" spans="1:17">
      <c r="A195" s="5" t="s">
        <v>1108</v>
      </c>
      <c r="B195" s="5" t="s">
        <v>970</v>
      </c>
      <c r="C195" s="13"/>
      <c r="D195" s="13"/>
      <c r="E195" s="13"/>
      <c r="F195" s="13"/>
      <c r="G195" s="13"/>
      <c r="H195" s="7"/>
      <c r="I195" s="7"/>
      <c r="K195" s="24" t="s">
        <v>731</v>
      </c>
      <c r="L195" s="25" t="s">
        <v>732</v>
      </c>
      <c r="M195" s="19"/>
      <c r="N195" s="19"/>
      <c r="O195" s="19"/>
      <c r="P195" s="19"/>
      <c r="Q195" s="19" t="str">
        <f>IF(AND(ISNUMBER(MATCH(M195,{"F","E","D","D+","C","C+","B","B+","A","A+","S"},0)),ISNUMBER(MATCH(N195,{"F","E","D","D+","C","C+","B","B+","A","A+","S"},0)),ISNUMBER(MATCH(O195,{"F","E","D","D+","C","C+","B","B+","A","A+","S"},0)),ISNUMBER(MATCH(P195,{"F","E","D","D+","C","C+","B","B+","A","A+","S"},0))),LOOKUP(AVERAGE(_xlfn.SWITCH(M195,"F",0,"E",10,"D",20,"D+",30,"C",40,"C+",50,"B",60,"B+",70,"A",80,"A+",90,"S",100),_xlfn.SWITCH(N195,"F",0,"E",10,"D",20,"D+",30,"C",40,"C+",50,"B",60,"B+",70,"A",80,"A+",90,"S",100),_xlfn.SWITCH(O195,"F",0,"E",10,"D",20,"D+",30,"C",40,"C+",50,"B",60,"B+",70,"A",80,"A+",90,"S",100),_xlfn.SWITCH(P195,"F",0,"E",10,"D",20,"D+",30,"C",40,"C+",50,"B",60,"B+",70,"A",80,"A+",90,"S",100)),{0,15,25,35,45,55,65,75,85,95},{"D","D","D+","C","C+","B","B+","A","A+","S"}),"?")</f>
        <v>?</v>
      </c>
    </row>
    <row r="196" spans="1:17">
      <c r="A196" s="5" t="s">
        <v>1111</v>
      </c>
      <c r="B196" s="5" t="s">
        <v>1112</v>
      </c>
      <c r="C196" s="13"/>
      <c r="D196" s="13"/>
      <c r="E196" s="13"/>
      <c r="F196" s="13"/>
      <c r="G196" s="13"/>
      <c r="H196" s="7"/>
      <c r="I196" s="7"/>
      <c r="K196" s="24" t="s">
        <v>1113</v>
      </c>
      <c r="L196" s="25" t="s">
        <v>1114</v>
      </c>
      <c r="M196" s="19"/>
      <c r="N196" s="19"/>
      <c r="O196" s="19"/>
      <c r="P196" s="19"/>
      <c r="Q196" s="19" t="str">
        <f>IF(AND(ISNUMBER(MATCH(M196,{"F","E","D","D+","C","C+","B","B+","A","A+","S"},0)),ISNUMBER(MATCH(N196,{"F","E","D","D+","C","C+","B","B+","A","A+","S"},0)),ISNUMBER(MATCH(O196,{"F","E","D","D+","C","C+","B","B+","A","A+","S"},0)),ISNUMBER(MATCH(P196,{"F","E","D","D+","C","C+","B","B+","A","A+","S"},0))),LOOKUP(AVERAGE(_xlfn.SWITCH(M196,"F",0,"E",10,"D",20,"D+",30,"C",40,"C+",50,"B",60,"B+",70,"A",80,"A+",90,"S",100),_xlfn.SWITCH(N196,"F",0,"E",10,"D",20,"D+",30,"C",40,"C+",50,"B",60,"B+",70,"A",80,"A+",90,"S",100),_xlfn.SWITCH(O196,"F",0,"E",10,"D",20,"D+",30,"C",40,"C+",50,"B",60,"B+",70,"A",80,"A+",90,"S",100),_xlfn.SWITCH(P196,"F",0,"E",10,"D",20,"D+",30,"C",40,"C+",50,"B",60,"B+",70,"A",80,"A+",90,"S",100)),{0,15,25,35,45,55,65,75,85,95},{"D","D","D+","C","C+","B","B+","A","A+","S"}),"?")</f>
        <v>?</v>
      </c>
    </row>
    <row r="197" spans="1:17">
      <c r="A197" s="5" t="s">
        <v>1118</v>
      </c>
      <c r="B197" s="5" t="s">
        <v>1119</v>
      </c>
      <c r="C197" s="13"/>
      <c r="D197" s="13"/>
      <c r="E197" s="13"/>
      <c r="F197" s="13"/>
      <c r="G197" s="13"/>
      <c r="H197" s="7"/>
      <c r="I197" s="7"/>
      <c r="K197" s="24" t="s">
        <v>642</v>
      </c>
      <c r="L197" s="25" t="s">
        <v>643</v>
      </c>
      <c r="M197" s="19"/>
      <c r="N197" s="19"/>
      <c r="O197" s="19"/>
      <c r="P197" s="19"/>
      <c r="Q197" s="19" t="str">
        <f>IF(AND(ISNUMBER(MATCH(M197,{"F","E","D","D+","C","C+","B","B+","A","A+","S"},0)),ISNUMBER(MATCH(N197,{"F","E","D","D+","C","C+","B","B+","A","A+","S"},0)),ISNUMBER(MATCH(O197,{"F","E","D","D+","C","C+","B","B+","A","A+","S"},0)),ISNUMBER(MATCH(P197,{"F","E","D","D+","C","C+","B","B+","A","A+","S"},0))),LOOKUP(AVERAGE(_xlfn.SWITCH(M197,"F",0,"E",10,"D",20,"D+",30,"C",40,"C+",50,"B",60,"B+",70,"A",80,"A+",90,"S",100),_xlfn.SWITCH(N197,"F",0,"E",10,"D",20,"D+",30,"C",40,"C+",50,"B",60,"B+",70,"A",80,"A+",90,"S",100),_xlfn.SWITCH(O197,"F",0,"E",10,"D",20,"D+",30,"C",40,"C+",50,"B",60,"B+",70,"A",80,"A+",90,"S",100),_xlfn.SWITCH(P197,"F",0,"E",10,"D",20,"D+",30,"C",40,"C+",50,"B",60,"B+",70,"A",80,"A+",90,"S",100)),{0,15,25,35,45,55,65,75,85,95},{"D","D","D+","C","C+","B","B+","A","A+","S"}),"?")</f>
        <v>?</v>
      </c>
    </row>
    <row r="198" spans="1:17">
      <c r="A198" s="5" t="s">
        <v>1123</v>
      </c>
      <c r="B198" s="5" t="s">
        <v>1124</v>
      </c>
      <c r="C198" s="13"/>
      <c r="D198" s="13"/>
      <c r="E198" s="13"/>
      <c r="F198" s="13"/>
      <c r="G198" s="13"/>
      <c r="H198" s="7"/>
      <c r="I198" s="7"/>
      <c r="K198" s="24" t="s">
        <v>1125</v>
      </c>
      <c r="L198" s="25" t="s">
        <v>1126</v>
      </c>
      <c r="M198" s="19"/>
      <c r="N198" s="19"/>
      <c r="O198" s="19"/>
      <c r="P198" s="19"/>
      <c r="Q198" s="19" t="str">
        <f>IF(AND(ISNUMBER(MATCH(M198,{"F","E","D","D+","C","C+","B","B+","A","A+","S"},0)),ISNUMBER(MATCH(N198,{"F","E","D","D+","C","C+","B","B+","A","A+","S"},0)),ISNUMBER(MATCH(O198,{"F","E","D","D+","C","C+","B","B+","A","A+","S"},0)),ISNUMBER(MATCH(P198,{"F","E","D","D+","C","C+","B","B+","A","A+","S"},0))),LOOKUP(AVERAGE(_xlfn.SWITCH(M198,"F",0,"E",10,"D",20,"D+",30,"C",40,"C+",50,"B",60,"B+",70,"A",80,"A+",90,"S",100),_xlfn.SWITCH(N198,"F",0,"E",10,"D",20,"D+",30,"C",40,"C+",50,"B",60,"B+",70,"A",80,"A+",90,"S",100),_xlfn.SWITCH(O198,"F",0,"E",10,"D",20,"D+",30,"C",40,"C+",50,"B",60,"B+",70,"A",80,"A+",90,"S",100),_xlfn.SWITCH(P198,"F",0,"E",10,"D",20,"D+",30,"C",40,"C+",50,"B",60,"B+",70,"A",80,"A+",90,"S",100)),{0,15,25,35,45,55,65,75,85,95},{"D","D","D+","C","C+","B","B+","A","A+","S"}),"?")</f>
        <v>?</v>
      </c>
    </row>
    <row r="199" spans="1:17">
      <c r="A199" s="5" t="s">
        <v>1130</v>
      </c>
      <c r="B199" s="5" t="s">
        <v>1131</v>
      </c>
      <c r="C199" s="13"/>
      <c r="D199" s="13"/>
      <c r="E199" s="13"/>
      <c r="F199" s="13"/>
      <c r="G199" s="13"/>
      <c r="H199" s="7"/>
      <c r="I199" s="7"/>
      <c r="K199" s="24" t="s">
        <v>1132</v>
      </c>
      <c r="L199" s="25" t="s">
        <v>1133</v>
      </c>
      <c r="M199" s="19"/>
      <c r="N199" s="19"/>
      <c r="O199" s="19"/>
      <c r="P199" s="19"/>
      <c r="Q199" s="19" t="str">
        <f>IF(AND(ISNUMBER(MATCH(M199,{"F","E","D","D+","C","C+","B","B+","A","A+","S"},0)),ISNUMBER(MATCH(N199,{"F","E","D","D+","C","C+","B","B+","A","A+","S"},0)),ISNUMBER(MATCH(O199,{"F","E","D","D+","C","C+","B","B+","A","A+","S"},0)),ISNUMBER(MATCH(P199,{"F","E","D","D+","C","C+","B","B+","A","A+","S"},0))),LOOKUP(AVERAGE(_xlfn.SWITCH(M199,"F",0,"E",10,"D",20,"D+",30,"C",40,"C+",50,"B",60,"B+",70,"A",80,"A+",90,"S",100),_xlfn.SWITCH(N199,"F",0,"E",10,"D",20,"D+",30,"C",40,"C+",50,"B",60,"B+",70,"A",80,"A+",90,"S",100),_xlfn.SWITCH(O199,"F",0,"E",10,"D",20,"D+",30,"C",40,"C+",50,"B",60,"B+",70,"A",80,"A+",90,"S",100),_xlfn.SWITCH(P199,"F",0,"E",10,"D",20,"D+",30,"C",40,"C+",50,"B",60,"B+",70,"A",80,"A+",90,"S",100)),{0,15,25,35,45,55,65,75,85,95},{"D","D","D+","C","C+","B","B+","A","A+","S"}),"?")</f>
        <v>?</v>
      </c>
    </row>
    <row r="200" spans="1:17">
      <c r="A200" s="5" t="s">
        <v>1137</v>
      </c>
      <c r="B200" s="5" t="s">
        <v>1138</v>
      </c>
      <c r="C200" s="13"/>
      <c r="D200" s="13"/>
      <c r="E200" s="13"/>
      <c r="F200" s="13"/>
      <c r="G200" s="13"/>
      <c r="H200" s="7"/>
      <c r="I200" s="7"/>
      <c r="K200" s="24" t="s">
        <v>1139</v>
      </c>
      <c r="L200" s="25" t="s">
        <v>1140</v>
      </c>
      <c r="M200" s="19"/>
      <c r="N200" s="19"/>
      <c r="O200" s="19"/>
      <c r="P200" s="19"/>
      <c r="Q200" s="19" t="str">
        <f>IF(AND(ISNUMBER(MATCH(M200,{"F","E","D","D+","C","C+","B","B+","A","A+","S"},0)),ISNUMBER(MATCH(N200,{"F","E","D","D+","C","C+","B","B+","A","A+","S"},0)),ISNUMBER(MATCH(O200,{"F","E","D","D+","C","C+","B","B+","A","A+","S"},0)),ISNUMBER(MATCH(P200,{"F","E","D","D+","C","C+","B","B+","A","A+","S"},0))),LOOKUP(AVERAGE(_xlfn.SWITCH(M200,"F",0,"E",10,"D",20,"D+",30,"C",40,"C+",50,"B",60,"B+",70,"A",80,"A+",90,"S",100),_xlfn.SWITCH(N200,"F",0,"E",10,"D",20,"D+",30,"C",40,"C+",50,"B",60,"B+",70,"A",80,"A+",90,"S",100),_xlfn.SWITCH(O200,"F",0,"E",10,"D",20,"D+",30,"C",40,"C+",50,"B",60,"B+",70,"A",80,"A+",90,"S",100),_xlfn.SWITCH(P200,"F",0,"E",10,"D",20,"D+",30,"C",40,"C+",50,"B",60,"B+",70,"A",80,"A+",90,"S",100)),{0,15,25,35,45,55,65,75,85,95},{"D","D","D+","C","C+","B","B+","A","A+","S"}),"?")</f>
        <v>?</v>
      </c>
    </row>
    <row r="201" spans="1:17">
      <c r="A201" s="5" t="s">
        <v>1144</v>
      </c>
      <c r="B201" s="5" t="s">
        <v>1145</v>
      </c>
      <c r="C201" s="13"/>
      <c r="D201" s="13"/>
      <c r="E201" s="13"/>
      <c r="F201" s="13"/>
      <c r="G201" s="13"/>
      <c r="H201" s="7"/>
      <c r="I201" s="7"/>
      <c r="K201" s="24" t="s">
        <v>600</v>
      </c>
      <c r="L201" s="25" t="s">
        <v>601</v>
      </c>
      <c r="M201" s="19"/>
      <c r="N201" s="19"/>
      <c r="O201" s="19"/>
      <c r="P201" s="19"/>
      <c r="Q201" s="19" t="str">
        <f>IF(AND(ISNUMBER(MATCH(M201,{"F","E","D","D+","C","C+","B","B+","A","A+","S"},0)),ISNUMBER(MATCH(N201,{"F","E","D","D+","C","C+","B","B+","A","A+","S"},0)),ISNUMBER(MATCH(O201,{"F","E","D","D+","C","C+","B","B+","A","A+","S"},0)),ISNUMBER(MATCH(P201,{"F","E","D","D+","C","C+","B","B+","A","A+","S"},0))),LOOKUP(AVERAGE(_xlfn.SWITCH(M201,"F",0,"E",10,"D",20,"D+",30,"C",40,"C+",50,"B",60,"B+",70,"A",80,"A+",90,"S",100),_xlfn.SWITCH(N201,"F",0,"E",10,"D",20,"D+",30,"C",40,"C+",50,"B",60,"B+",70,"A",80,"A+",90,"S",100),_xlfn.SWITCH(O201,"F",0,"E",10,"D",20,"D+",30,"C",40,"C+",50,"B",60,"B+",70,"A",80,"A+",90,"S",100),_xlfn.SWITCH(P201,"F",0,"E",10,"D",20,"D+",30,"C",40,"C+",50,"B",60,"B+",70,"A",80,"A+",90,"S",100)),{0,15,25,35,45,55,65,75,85,95},{"D","D","D+","C","C+","B","B+","A","A+","S"}),"?")</f>
        <v>?</v>
      </c>
    </row>
    <row r="202" spans="1:17">
      <c r="A202" s="5" t="s">
        <v>1149</v>
      </c>
      <c r="B202" s="5" t="s">
        <v>918</v>
      </c>
      <c r="C202" s="13"/>
      <c r="D202" s="13"/>
      <c r="E202" s="13"/>
      <c r="F202" s="13"/>
      <c r="G202" s="13"/>
      <c r="H202" s="7"/>
      <c r="I202" s="7"/>
      <c r="K202" s="24" t="s">
        <v>1150</v>
      </c>
      <c r="L202" s="25" t="s">
        <v>1151</v>
      </c>
      <c r="M202" s="19"/>
      <c r="N202" s="19"/>
      <c r="O202" s="19"/>
      <c r="P202" s="19"/>
      <c r="Q202" s="19" t="str">
        <f>IF(AND(ISNUMBER(MATCH(M202,{"F","E","D","D+","C","C+","B","B+","A","A+","S"},0)),ISNUMBER(MATCH(N202,{"F","E","D","D+","C","C+","B","B+","A","A+","S"},0)),ISNUMBER(MATCH(O202,{"F","E","D","D+","C","C+","B","B+","A","A+","S"},0)),ISNUMBER(MATCH(P202,{"F","E","D","D+","C","C+","B","B+","A","A+","S"},0))),LOOKUP(AVERAGE(_xlfn.SWITCH(M202,"F",0,"E",10,"D",20,"D+",30,"C",40,"C+",50,"B",60,"B+",70,"A",80,"A+",90,"S",100),_xlfn.SWITCH(N202,"F",0,"E",10,"D",20,"D+",30,"C",40,"C+",50,"B",60,"B+",70,"A",80,"A+",90,"S",100),_xlfn.SWITCH(O202,"F",0,"E",10,"D",20,"D+",30,"C",40,"C+",50,"B",60,"B+",70,"A",80,"A+",90,"S",100),_xlfn.SWITCH(P202,"F",0,"E",10,"D",20,"D+",30,"C",40,"C+",50,"B",60,"B+",70,"A",80,"A+",90,"S",100)),{0,15,25,35,45,55,65,75,85,95},{"D","D","D+","C","C+","B","B+","A","A+","S"}),"?")</f>
        <v>?</v>
      </c>
    </row>
    <row r="203" spans="1:17">
      <c r="A203" s="5" t="s">
        <v>1155</v>
      </c>
      <c r="B203" s="5" t="s">
        <v>942</v>
      </c>
      <c r="C203" s="13"/>
      <c r="D203" s="13"/>
      <c r="E203" s="13"/>
      <c r="F203" s="13"/>
      <c r="G203" s="13"/>
      <c r="H203" s="7"/>
      <c r="I203" s="7"/>
      <c r="K203" s="24" t="s">
        <v>637</v>
      </c>
      <c r="L203" s="25" t="s">
        <v>638</v>
      </c>
      <c r="M203" s="19"/>
      <c r="N203" s="19"/>
      <c r="O203" s="19"/>
      <c r="P203" s="19"/>
      <c r="Q203" s="19" t="str">
        <f>IF(AND(ISNUMBER(MATCH(M203,{"F","E","D","D+","C","C+","B","B+","A","A+","S"},0)),ISNUMBER(MATCH(N203,{"F","E","D","D+","C","C+","B","B+","A","A+","S"},0)),ISNUMBER(MATCH(O203,{"F","E","D","D+","C","C+","B","B+","A","A+","S"},0)),ISNUMBER(MATCH(P203,{"F","E","D","D+","C","C+","B","B+","A","A+","S"},0))),LOOKUP(AVERAGE(_xlfn.SWITCH(M203,"F",0,"E",10,"D",20,"D+",30,"C",40,"C+",50,"B",60,"B+",70,"A",80,"A+",90,"S",100),_xlfn.SWITCH(N203,"F",0,"E",10,"D",20,"D+",30,"C",40,"C+",50,"B",60,"B+",70,"A",80,"A+",90,"S",100),_xlfn.SWITCH(O203,"F",0,"E",10,"D",20,"D+",30,"C",40,"C+",50,"B",60,"B+",70,"A",80,"A+",90,"S",100),_xlfn.SWITCH(P203,"F",0,"E",10,"D",20,"D+",30,"C",40,"C+",50,"B",60,"B+",70,"A",80,"A+",90,"S",100)),{0,15,25,35,45,55,65,75,85,95},{"D","D","D+","C","C+","B","B+","A","A+","S"}),"?")</f>
        <v>?</v>
      </c>
    </row>
    <row r="204" spans="1:17">
      <c r="A204" s="5" t="s">
        <v>1159</v>
      </c>
      <c r="B204" s="5" t="s">
        <v>159</v>
      </c>
      <c r="C204" s="13"/>
      <c r="D204" s="13"/>
      <c r="E204" s="13"/>
      <c r="F204" s="13"/>
      <c r="G204" s="13"/>
      <c r="H204" s="7"/>
      <c r="I204" s="7"/>
      <c r="K204" s="24" t="s">
        <v>1160</v>
      </c>
      <c r="L204" s="25" t="s">
        <v>1161</v>
      </c>
      <c r="M204" s="19"/>
      <c r="N204" s="19"/>
      <c r="O204" s="19"/>
      <c r="P204" s="19"/>
      <c r="Q204" s="19" t="str">
        <f>IF(AND(ISNUMBER(MATCH(M204,{"F","E","D","D+","C","C+","B","B+","A","A+","S"},0)),ISNUMBER(MATCH(N204,{"F","E","D","D+","C","C+","B","B+","A","A+","S"},0)),ISNUMBER(MATCH(O204,{"F","E","D","D+","C","C+","B","B+","A","A+","S"},0)),ISNUMBER(MATCH(P204,{"F","E","D","D+","C","C+","B","B+","A","A+","S"},0))),LOOKUP(AVERAGE(_xlfn.SWITCH(M204,"F",0,"E",10,"D",20,"D+",30,"C",40,"C+",50,"B",60,"B+",70,"A",80,"A+",90,"S",100),_xlfn.SWITCH(N204,"F",0,"E",10,"D",20,"D+",30,"C",40,"C+",50,"B",60,"B+",70,"A",80,"A+",90,"S",100),_xlfn.SWITCH(O204,"F",0,"E",10,"D",20,"D+",30,"C",40,"C+",50,"B",60,"B+",70,"A",80,"A+",90,"S",100),_xlfn.SWITCH(P204,"F",0,"E",10,"D",20,"D+",30,"C",40,"C+",50,"B",60,"B+",70,"A",80,"A+",90,"S",100)),{0,15,25,35,45,55,65,75,85,95},{"D","D","D+","C","C+","B","B+","A","A+","S"}),"?")</f>
        <v>?</v>
      </c>
    </row>
    <row r="205" spans="1:17">
      <c r="A205" s="5" t="s">
        <v>1165</v>
      </c>
      <c r="B205" s="5" t="s">
        <v>288</v>
      </c>
      <c r="C205" s="13"/>
      <c r="D205" s="13"/>
      <c r="E205" s="13"/>
      <c r="F205" s="13"/>
      <c r="G205" s="13"/>
      <c r="H205" s="7"/>
      <c r="I205" s="7"/>
      <c r="K205" s="24" t="s">
        <v>777</v>
      </c>
      <c r="L205" s="25" t="s">
        <v>778</v>
      </c>
      <c r="M205" s="19"/>
      <c r="N205" s="19"/>
      <c r="O205" s="19"/>
      <c r="P205" s="19"/>
      <c r="Q205" s="19" t="str">
        <f>IF(AND(ISNUMBER(MATCH(M205,{"F","E","D","D+","C","C+","B","B+","A","A+","S"},0)),ISNUMBER(MATCH(N205,{"F","E","D","D+","C","C+","B","B+","A","A+","S"},0)),ISNUMBER(MATCH(O205,{"F","E","D","D+","C","C+","B","B+","A","A+","S"},0)),ISNUMBER(MATCH(P205,{"F","E","D","D+","C","C+","B","B+","A","A+","S"},0))),LOOKUP(AVERAGE(_xlfn.SWITCH(M205,"F",0,"E",10,"D",20,"D+",30,"C",40,"C+",50,"B",60,"B+",70,"A",80,"A+",90,"S",100),_xlfn.SWITCH(N205,"F",0,"E",10,"D",20,"D+",30,"C",40,"C+",50,"B",60,"B+",70,"A",80,"A+",90,"S",100),_xlfn.SWITCH(O205,"F",0,"E",10,"D",20,"D+",30,"C",40,"C+",50,"B",60,"B+",70,"A",80,"A+",90,"S",100),_xlfn.SWITCH(P205,"F",0,"E",10,"D",20,"D+",30,"C",40,"C+",50,"B",60,"B+",70,"A",80,"A+",90,"S",100)),{0,15,25,35,45,55,65,75,85,95},{"D","D","D+","C","C+","B","B+","A","A+","S"}),"?")</f>
        <v>?</v>
      </c>
    </row>
    <row r="206" spans="1:17">
      <c r="A206" s="5" t="s">
        <v>1169</v>
      </c>
      <c r="B206" s="5" t="s">
        <v>933</v>
      </c>
      <c r="C206" s="13"/>
      <c r="D206" s="13"/>
      <c r="E206" s="13"/>
      <c r="F206" s="13"/>
      <c r="G206" s="13"/>
      <c r="H206" s="7"/>
      <c r="I206" s="7"/>
      <c r="K206" s="24" t="s">
        <v>1170</v>
      </c>
      <c r="L206" s="25" t="s">
        <v>1171</v>
      </c>
      <c r="M206" s="19"/>
      <c r="N206" s="19"/>
      <c r="O206" s="19"/>
      <c r="P206" s="19"/>
      <c r="Q206" s="19" t="str">
        <f>IF(AND(ISNUMBER(MATCH(M206,{"F","E","D","D+","C","C+","B","B+","A","A+","S"},0)),ISNUMBER(MATCH(N206,{"F","E","D","D+","C","C+","B","B+","A","A+","S"},0)),ISNUMBER(MATCH(O206,{"F","E","D","D+","C","C+","B","B+","A","A+","S"},0)),ISNUMBER(MATCH(P206,{"F","E","D","D+","C","C+","B","B+","A","A+","S"},0))),LOOKUP(AVERAGE(_xlfn.SWITCH(M206,"F",0,"E",10,"D",20,"D+",30,"C",40,"C+",50,"B",60,"B+",70,"A",80,"A+",90,"S",100),_xlfn.SWITCH(N206,"F",0,"E",10,"D",20,"D+",30,"C",40,"C+",50,"B",60,"B+",70,"A",80,"A+",90,"S",100),_xlfn.SWITCH(O206,"F",0,"E",10,"D",20,"D+",30,"C",40,"C+",50,"B",60,"B+",70,"A",80,"A+",90,"S",100),_xlfn.SWITCH(P206,"F",0,"E",10,"D",20,"D+",30,"C",40,"C+",50,"B",60,"B+",70,"A",80,"A+",90,"S",100)),{0,15,25,35,45,55,65,75,85,95},{"D","D","D+","C","C+","B","B+","A","A+","S"}),"?")</f>
        <v>?</v>
      </c>
    </row>
    <row r="207" spans="1:17">
      <c r="A207" s="5" t="s">
        <v>1175</v>
      </c>
      <c r="B207" s="5" t="s">
        <v>875</v>
      </c>
      <c r="C207" s="13"/>
      <c r="D207" s="13"/>
      <c r="E207" s="13"/>
      <c r="F207" s="13"/>
      <c r="G207" s="13"/>
      <c r="H207" s="7"/>
      <c r="I207" s="7"/>
      <c r="K207" s="24" t="s">
        <v>1176</v>
      </c>
      <c r="L207" s="25" t="s">
        <v>1177</v>
      </c>
      <c r="M207" s="19"/>
      <c r="N207" s="19"/>
      <c r="O207" s="19"/>
      <c r="P207" s="19"/>
      <c r="Q207" s="19" t="str">
        <f>IF(AND(ISNUMBER(MATCH(M207,{"F","E","D","D+","C","C+","B","B+","A","A+","S"},0)),ISNUMBER(MATCH(N207,{"F","E","D","D+","C","C+","B","B+","A","A+","S"},0)),ISNUMBER(MATCH(O207,{"F","E","D","D+","C","C+","B","B+","A","A+","S"},0)),ISNUMBER(MATCH(P207,{"F","E","D","D+","C","C+","B","B+","A","A+","S"},0))),LOOKUP(AVERAGE(_xlfn.SWITCH(M207,"F",0,"E",10,"D",20,"D+",30,"C",40,"C+",50,"B",60,"B+",70,"A",80,"A+",90,"S",100),_xlfn.SWITCH(N207,"F",0,"E",10,"D",20,"D+",30,"C",40,"C+",50,"B",60,"B+",70,"A",80,"A+",90,"S",100),_xlfn.SWITCH(O207,"F",0,"E",10,"D",20,"D+",30,"C",40,"C+",50,"B",60,"B+",70,"A",80,"A+",90,"S",100),_xlfn.SWITCH(P207,"F",0,"E",10,"D",20,"D+",30,"C",40,"C+",50,"B",60,"B+",70,"A",80,"A+",90,"S",100)),{0,15,25,35,45,55,65,75,85,95},{"D","D","D+","C","C+","B","B+","A","A+","S"}),"?")</f>
        <v>?</v>
      </c>
    </row>
    <row r="208" spans="1:17">
      <c r="A208" s="5" t="s">
        <v>1181</v>
      </c>
      <c r="B208" s="5" t="s">
        <v>1182</v>
      </c>
      <c r="C208" s="13"/>
      <c r="D208" s="13"/>
      <c r="E208" s="13"/>
      <c r="F208" s="13"/>
      <c r="G208" s="13"/>
      <c r="H208" s="7"/>
      <c r="I208" s="7"/>
      <c r="K208" s="24" t="s">
        <v>1183</v>
      </c>
      <c r="L208" s="25" t="s">
        <v>1184</v>
      </c>
      <c r="M208" s="19"/>
      <c r="N208" s="19"/>
      <c r="O208" s="19"/>
      <c r="P208" s="19"/>
      <c r="Q208" s="19" t="str">
        <f>IF(AND(ISNUMBER(MATCH(M208,{"F","E","D","D+","C","C+","B","B+","A","A+","S"},0)),ISNUMBER(MATCH(N208,{"F","E","D","D+","C","C+","B","B+","A","A+","S"},0)),ISNUMBER(MATCH(O208,{"F","E","D","D+","C","C+","B","B+","A","A+","S"},0)),ISNUMBER(MATCH(P208,{"F","E","D","D+","C","C+","B","B+","A","A+","S"},0))),LOOKUP(AVERAGE(_xlfn.SWITCH(M208,"F",0,"E",10,"D",20,"D+",30,"C",40,"C+",50,"B",60,"B+",70,"A",80,"A+",90,"S",100),_xlfn.SWITCH(N208,"F",0,"E",10,"D",20,"D+",30,"C",40,"C+",50,"B",60,"B+",70,"A",80,"A+",90,"S",100),_xlfn.SWITCH(O208,"F",0,"E",10,"D",20,"D+",30,"C",40,"C+",50,"B",60,"B+",70,"A",80,"A+",90,"S",100),_xlfn.SWITCH(P208,"F",0,"E",10,"D",20,"D+",30,"C",40,"C+",50,"B",60,"B+",70,"A",80,"A+",90,"S",100)),{0,15,25,35,45,55,65,75,85,95},{"D","D","D+","C","C+","B","B+","A","A+","S"}),"?")</f>
        <v>?</v>
      </c>
    </row>
    <row r="209" spans="1:17">
      <c r="A209" s="5" t="s">
        <v>1188</v>
      </c>
      <c r="B209" s="5" t="s">
        <v>911</v>
      </c>
      <c r="C209" s="13"/>
      <c r="D209" s="13"/>
      <c r="E209" s="13"/>
      <c r="F209" s="13"/>
      <c r="G209" s="13"/>
      <c r="H209" s="7"/>
      <c r="I209" s="7"/>
      <c r="K209" s="24" t="s">
        <v>739</v>
      </c>
      <c r="L209" s="25" t="s">
        <v>740</v>
      </c>
      <c r="M209" s="19"/>
      <c r="N209" s="19"/>
      <c r="O209" s="19"/>
      <c r="P209" s="19"/>
      <c r="Q209" s="19" t="str">
        <f>IF(AND(ISNUMBER(MATCH(M209,{"F","E","D","D+","C","C+","B","B+","A","A+","S"},0)),ISNUMBER(MATCH(N209,{"F","E","D","D+","C","C+","B","B+","A","A+","S"},0)),ISNUMBER(MATCH(O209,{"F","E","D","D+","C","C+","B","B+","A","A+","S"},0)),ISNUMBER(MATCH(P209,{"F","E","D","D+","C","C+","B","B+","A","A+","S"},0))),LOOKUP(AVERAGE(_xlfn.SWITCH(M209,"F",0,"E",10,"D",20,"D+",30,"C",40,"C+",50,"B",60,"B+",70,"A",80,"A+",90,"S",100),_xlfn.SWITCH(N209,"F",0,"E",10,"D",20,"D+",30,"C",40,"C+",50,"B",60,"B+",70,"A",80,"A+",90,"S",100),_xlfn.SWITCH(O209,"F",0,"E",10,"D",20,"D+",30,"C",40,"C+",50,"B",60,"B+",70,"A",80,"A+",90,"S",100),_xlfn.SWITCH(P209,"F",0,"E",10,"D",20,"D+",30,"C",40,"C+",50,"B",60,"B+",70,"A",80,"A+",90,"S",100)),{0,15,25,35,45,55,65,75,85,95},{"D","D","D+","C","C+","B","B+","A","A+","S"}),"?")</f>
        <v>?</v>
      </c>
    </row>
    <row r="210" spans="1:17">
      <c r="A210" s="5" t="s">
        <v>1192</v>
      </c>
      <c r="B210" s="5" t="s">
        <v>1193</v>
      </c>
      <c r="C210" s="13"/>
      <c r="D210" s="13"/>
      <c r="E210" s="13"/>
      <c r="F210" s="13"/>
      <c r="G210" s="13"/>
      <c r="H210" s="7"/>
      <c r="I210" s="7"/>
      <c r="K210" s="24" t="s">
        <v>720</v>
      </c>
      <c r="L210" s="25" t="s">
        <v>721</v>
      </c>
      <c r="M210" s="19"/>
      <c r="N210" s="19"/>
      <c r="O210" s="19"/>
      <c r="P210" s="19"/>
      <c r="Q210" s="19" t="str">
        <f>IF(AND(ISNUMBER(MATCH(M210,{"F","E","D","D+","C","C+","B","B+","A","A+","S"},0)),ISNUMBER(MATCH(N210,{"F","E","D","D+","C","C+","B","B+","A","A+","S"},0)),ISNUMBER(MATCH(O210,{"F","E","D","D+","C","C+","B","B+","A","A+","S"},0)),ISNUMBER(MATCH(P210,{"F","E","D","D+","C","C+","B","B+","A","A+","S"},0))),LOOKUP(AVERAGE(_xlfn.SWITCH(M210,"F",0,"E",10,"D",20,"D+",30,"C",40,"C+",50,"B",60,"B+",70,"A",80,"A+",90,"S",100),_xlfn.SWITCH(N210,"F",0,"E",10,"D",20,"D+",30,"C",40,"C+",50,"B",60,"B+",70,"A",80,"A+",90,"S",100),_xlfn.SWITCH(O210,"F",0,"E",10,"D",20,"D+",30,"C",40,"C+",50,"B",60,"B+",70,"A",80,"A+",90,"S",100),_xlfn.SWITCH(P210,"F",0,"E",10,"D",20,"D+",30,"C",40,"C+",50,"B",60,"B+",70,"A",80,"A+",90,"S",100)),{0,15,25,35,45,55,65,75,85,95},{"D","D","D+","C","C+","B","B+","A","A+","S"}),"?")</f>
        <v>?</v>
      </c>
    </row>
    <row r="211" spans="1:17">
      <c r="A211" s="5" t="s">
        <v>1197</v>
      </c>
      <c r="B211" s="5" t="s">
        <v>1198</v>
      </c>
      <c r="C211" s="13"/>
      <c r="D211" s="13"/>
      <c r="E211" s="13"/>
      <c r="F211" s="13"/>
      <c r="G211" s="13"/>
      <c r="H211" s="7"/>
      <c r="I211" s="7"/>
      <c r="K211" s="24" t="s">
        <v>563</v>
      </c>
      <c r="L211" s="25" t="s">
        <v>564</v>
      </c>
      <c r="M211" s="19"/>
      <c r="N211" s="19"/>
      <c r="O211" s="19"/>
      <c r="P211" s="19"/>
      <c r="Q211" s="19" t="str">
        <f>IF(AND(ISNUMBER(MATCH(M211,{"F","E","D","D+","C","C+","B","B+","A","A+","S"},0)),ISNUMBER(MATCH(N211,{"F","E","D","D+","C","C+","B","B+","A","A+","S"},0)),ISNUMBER(MATCH(O211,{"F","E","D","D+","C","C+","B","B+","A","A+","S"},0)),ISNUMBER(MATCH(P211,{"F","E","D","D+","C","C+","B","B+","A","A+","S"},0))),LOOKUP(AVERAGE(_xlfn.SWITCH(M211,"F",0,"E",10,"D",20,"D+",30,"C",40,"C+",50,"B",60,"B+",70,"A",80,"A+",90,"S",100),_xlfn.SWITCH(N211,"F",0,"E",10,"D",20,"D+",30,"C",40,"C+",50,"B",60,"B+",70,"A",80,"A+",90,"S",100),_xlfn.SWITCH(O211,"F",0,"E",10,"D",20,"D+",30,"C",40,"C+",50,"B",60,"B+",70,"A",80,"A+",90,"S",100),_xlfn.SWITCH(P211,"F",0,"E",10,"D",20,"D+",30,"C",40,"C+",50,"B",60,"B+",70,"A",80,"A+",90,"S",100)),{0,15,25,35,45,55,65,75,85,95},{"D","D","D+","C","C+","B","B+","A","A+","S"}),"?")</f>
        <v>?</v>
      </c>
    </row>
    <row r="212" spans="1:17">
      <c r="A212" s="5" t="s">
        <v>1202</v>
      </c>
      <c r="B212" s="5" t="s">
        <v>869</v>
      </c>
      <c r="C212" s="13"/>
      <c r="D212" s="13"/>
      <c r="E212" s="13"/>
      <c r="F212" s="13"/>
      <c r="G212" s="13"/>
      <c r="H212" s="7"/>
      <c r="I212" s="7"/>
      <c r="K212" s="24" t="s">
        <v>1203</v>
      </c>
      <c r="L212" s="35" t="s">
        <v>1204</v>
      </c>
      <c r="M212" s="19"/>
      <c r="N212" s="19"/>
      <c r="O212" s="19"/>
      <c r="P212" s="19"/>
      <c r="Q212" s="19" t="str">
        <f>IF(AND(ISNUMBER(MATCH(M212,{"F","E","D","D+","C","C+","B","B+","A","A+","S"},0)),ISNUMBER(MATCH(N212,{"F","E","D","D+","C","C+","B","B+","A","A+","S"},0)),ISNUMBER(MATCH(O212,{"F","E","D","D+","C","C+","B","B+","A","A+","S"},0)),ISNUMBER(MATCH(P212,{"F","E","D","D+","C","C+","B","B+","A","A+","S"},0))),LOOKUP(AVERAGE(_xlfn.SWITCH(M212,"F",0,"E",10,"D",20,"D+",30,"C",40,"C+",50,"B",60,"B+",70,"A",80,"A+",90,"S",100),_xlfn.SWITCH(N212,"F",0,"E",10,"D",20,"D+",30,"C",40,"C+",50,"B",60,"B+",70,"A",80,"A+",90,"S",100),_xlfn.SWITCH(O212,"F",0,"E",10,"D",20,"D+",30,"C",40,"C+",50,"B",60,"B+",70,"A",80,"A+",90,"S",100),_xlfn.SWITCH(P212,"F",0,"E",10,"D",20,"D+",30,"C",40,"C+",50,"B",60,"B+",70,"A",80,"A+",90,"S",100)),{0,15,25,35,45,55,65,75,85,95},{"D","D","D+","C","C+","B","B+","A","A+","S"}),"?")</f>
        <v>?</v>
      </c>
    </row>
    <row r="213" spans="1:17">
      <c r="A213" s="5" t="s">
        <v>1208</v>
      </c>
      <c r="B213" s="5" t="s">
        <v>1012</v>
      </c>
      <c r="C213" s="13"/>
      <c r="D213" s="13"/>
      <c r="E213" s="13"/>
      <c r="F213" s="13"/>
      <c r="G213" s="13"/>
      <c r="H213" s="7"/>
      <c r="I213" s="7"/>
      <c r="K213" s="24" t="s">
        <v>1209</v>
      </c>
      <c r="L213" s="25" t="s">
        <v>1210</v>
      </c>
      <c r="M213" s="19"/>
      <c r="N213" s="19"/>
      <c r="O213" s="19"/>
      <c r="P213" s="19"/>
      <c r="Q213" s="19" t="str">
        <f>IF(AND(ISNUMBER(MATCH(M213,{"F","E","D","D+","C","C+","B","B+","A","A+","S"},0)),ISNUMBER(MATCH(N213,{"F","E","D","D+","C","C+","B","B+","A","A+","S"},0)),ISNUMBER(MATCH(O213,{"F","E","D","D+","C","C+","B","B+","A","A+","S"},0)),ISNUMBER(MATCH(P213,{"F","E","D","D+","C","C+","B","B+","A","A+","S"},0))),LOOKUP(AVERAGE(_xlfn.SWITCH(M213,"F",0,"E",10,"D",20,"D+",30,"C",40,"C+",50,"B",60,"B+",70,"A",80,"A+",90,"S",100),_xlfn.SWITCH(N213,"F",0,"E",10,"D",20,"D+",30,"C",40,"C+",50,"B",60,"B+",70,"A",80,"A+",90,"S",100),_xlfn.SWITCH(O213,"F",0,"E",10,"D",20,"D+",30,"C",40,"C+",50,"B",60,"B+",70,"A",80,"A+",90,"S",100),_xlfn.SWITCH(P213,"F",0,"E",10,"D",20,"D+",30,"C",40,"C+",50,"B",60,"B+",70,"A",80,"A+",90,"S",100)),{0,15,25,35,45,55,65,75,85,95},{"D","D","D+","C","C+","B","B+","A","A+","S"}),"?")</f>
        <v>?</v>
      </c>
    </row>
    <row r="214" spans="1:17">
      <c r="A214" s="5" t="s">
        <v>1214</v>
      </c>
      <c r="B214" s="5" t="s">
        <v>108</v>
      </c>
      <c r="C214" s="13"/>
      <c r="D214" s="13"/>
      <c r="E214" s="13"/>
      <c r="F214" s="13"/>
      <c r="G214" s="13"/>
      <c r="H214" s="7"/>
      <c r="I214" s="7"/>
      <c r="K214" s="24" t="s">
        <v>532</v>
      </c>
      <c r="L214" s="25" t="s">
        <v>533</v>
      </c>
      <c r="M214" s="19"/>
      <c r="N214" s="19"/>
      <c r="O214" s="19"/>
      <c r="P214" s="19"/>
      <c r="Q214" s="19" t="str">
        <f>IF(AND(ISNUMBER(MATCH(M214,{"F","E","D","D+","C","C+","B","B+","A","A+","S"},0)),ISNUMBER(MATCH(N214,{"F","E","D","D+","C","C+","B","B+","A","A+","S"},0)),ISNUMBER(MATCH(O214,{"F","E","D","D+","C","C+","B","B+","A","A+","S"},0)),ISNUMBER(MATCH(P214,{"F","E","D","D+","C","C+","B","B+","A","A+","S"},0))),LOOKUP(AVERAGE(_xlfn.SWITCH(M214,"F",0,"E",10,"D",20,"D+",30,"C",40,"C+",50,"B",60,"B+",70,"A",80,"A+",90,"S",100),_xlfn.SWITCH(N214,"F",0,"E",10,"D",20,"D+",30,"C",40,"C+",50,"B",60,"B+",70,"A",80,"A+",90,"S",100),_xlfn.SWITCH(O214,"F",0,"E",10,"D",20,"D+",30,"C",40,"C+",50,"B",60,"B+",70,"A",80,"A+",90,"S",100),_xlfn.SWITCH(P214,"F",0,"E",10,"D",20,"D+",30,"C",40,"C+",50,"B",60,"B+",70,"A",80,"A+",90,"S",100)),{0,15,25,35,45,55,65,75,85,95},{"D","D","D+","C","C+","B","B+","A","A+","S"}),"?")</f>
        <v>?</v>
      </c>
    </row>
    <row r="215" spans="1:17">
      <c r="A215" s="5" t="s">
        <v>1217</v>
      </c>
      <c r="B215" s="5" t="s">
        <v>1218</v>
      </c>
      <c r="C215" s="13"/>
      <c r="D215" s="13"/>
      <c r="E215" s="13"/>
      <c r="F215" s="13"/>
      <c r="G215" s="13"/>
      <c r="H215" s="7"/>
      <c r="I215" s="7"/>
      <c r="K215" s="24" t="s">
        <v>770</v>
      </c>
      <c r="L215" s="25" t="s">
        <v>1219</v>
      </c>
      <c r="M215" s="19"/>
      <c r="N215" s="19"/>
      <c r="O215" s="19"/>
      <c r="P215" s="19"/>
      <c r="Q215" s="19" t="str">
        <f>IF(AND(ISNUMBER(MATCH(M215,{"F","E","D","D+","C","C+","B","B+","A","A+","S"},0)),ISNUMBER(MATCH(N215,{"F","E","D","D+","C","C+","B","B+","A","A+","S"},0)),ISNUMBER(MATCH(O215,{"F","E","D","D+","C","C+","B","B+","A","A+","S"},0)),ISNUMBER(MATCH(P215,{"F","E","D","D+","C","C+","B","B+","A","A+","S"},0))),LOOKUP(AVERAGE(_xlfn.SWITCH(M215,"F",0,"E",10,"D",20,"D+",30,"C",40,"C+",50,"B",60,"B+",70,"A",80,"A+",90,"S",100),_xlfn.SWITCH(N215,"F",0,"E",10,"D",20,"D+",30,"C",40,"C+",50,"B",60,"B+",70,"A",80,"A+",90,"S",100),_xlfn.SWITCH(O215,"F",0,"E",10,"D",20,"D+",30,"C",40,"C+",50,"B",60,"B+",70,"A",80,"A+",90,"S",100),_xlfn.SWITCH(P215,"F",0,"E",10,"D",20,"D+",30,"C",40,"C+",50,"B",60,"B+",70,"A",80,"A+",90,"S",100)),{0,15,25,35,45,55,65,75,85,95},{"D","D","D+","C","C+","B","B+","A","A+","S"}),"?")</f>
        <v>?</v>
      </c>
    </row>
    <row r="216" spans="1:17">
      <c r="A216" s="5" t="s">
        <v>1223</v>
      </c>
      <c r="B216" s="5" t="s">
        <v>1224</v>
      </c>
      <c r="C216" s="13"/>
      <c r="D216" s="13"/>
      <c r="E216" s="13"/>
      <c r="F216" s="13"/>
      <c r="G216" s="13"/>
      <c r="H216" s="7"/>
      <c r="I216" s="7"/>
      <c r="K216" s="24" t="s">
        <v>1225</v>
      </c>
      <c r="L216" s="25" t="s">
        <v>1226</v>
      </c>
      <c r="M216" s="19"/>
      <c r="N216" s="19"/>
      <c r="O216" s="19"/>
      <c r="P216" s="19"/>
      <c r="Q216" s="19" t="str">
        <f>IF(AND(ISNUMBER(MATCH(M216,{"F","E","D","D+","C","C+","B","B+","A","A+","S"},0)),ISNUMBER(MATCH(N216,{"F","E","D","D+","C","C+","B","B+","A","A+","S"},0)),ISNUMBER(MATCH(O216,{"F","E","D","D+","C","C+","B","B+","A","A+","S"},0)),ISNUMBER(MATCH(P216,{"F","E","D","D+","C","C+","B","B+","A","A+","S"},0))),LOOKUP(AVERAGE(_xlfn.SWITCH(M216,"F",0,"E",10,"D",20,"D+",30,"C",40,"C+",50,"B",60,"B+",70,"A",80,"A+",90,"S",100),_xlfn.SWITCH(N216,"F",0,"E",10,"D",20,"D+",30,"C",40,"C+",50,"B",60,"B+",70,"A",80,"A+",90,"S",100),_xlfn.SWITCH(O216,"F",0,"E",10,"D",20,"D+",30,"C",40,"C+",50,"B",60,"B+",70,"A",80,"A+",90,"S",100),_xlfn.SWITCH(P216,"F",0,"E",10,"D",20,"D+",30,"C",40,"C+",50,"B",60,"B+",70,"A",80,"A+",90,"S",100)),{0,15,25,35,45,55,65,75,85,95},{"D","D","D+","C","C+","B","B+","A","A+","S"}),"?")</f>
        <v>?</v>
      </c>
    </row>
    <row r="217" spans="1:17">
      <c r="A217" s="5" t="s">
        <v>1230</v>
      </c>
      <c r="B217" s="5" t="s">
        <v>1231</v>
      </c>
      <c r="C217" s="13"/>
      <c r="D217" s="13"/>
      <c r="E217" s="13"/>
      <c r="F217" s="13"/>
      <c r="G217" s="13"/>
      <c r="H217" s="7"/>
      <c r="I217" s="7"/>
      <c r="K217" s="24" t="s">
        <v>1232</v>
      </c>
      <c r="L217" s="25" t="s">
        <v>1233</v>
      </c>
      <c r="M217" s="19"/>
      <c r="N217" s="19"/>
      <c r="O217" s="19"/>
      <c r="P217" s="19"/>
      <c r="Q217" s="19" t="str">
        <f>IF(AND(ISNUMBER(MATCH(M217,{"F","E","D","D+","C","C+","B","B+","A","A+","S"},0)),ISNUMBER(MATCH(N217,{"F","E","D","D+","C","C+","B","B+","A","A+","S"},0)),ISNUMBER(MATCH(O217,{"F","E","D","D+","C","C+","B","B+","A","A+","S"},0)),ISNUMBER(MATCH(P217,{"F","E","D","D+","C","C+","B","B+","A","A+","S"},0))),LOOKUP(AVERAGE(_xlfn.SWITCH(M217,"F",0,"E",10,"D",20,"D+",30,"C",40,"C+",50,"B",60,"B+",70,"A",80,"A+",90,"S",100),_xlfn.SWITCH(N217,"F",0,"E",10,"D",20,"D+",30,"C",40,"C+",50,"B",60,"B+",70,"A",80,"A+",90,"S",100),_xlfn.SWITCH(O217,"F",0,"E",10,"D",20,"D+",30,"C",40,"C+",50,"B",60,"B+",70,"A",80,"A+",90,"S",100),_xlfn.SWITCH(P217,"F",0,"E",10,"D",20,"D+",30,"C",40,"C+",50,"B",60,"B+",70,"A",80,"A+",90,"S",100)),{0,15,25,35,45,55,65,75,85,95},{"D","D","D+","C","C+","B","B+","A","A+","S"}),"?")</f>
        <v>?</v>
      </c>
    </row>
    <row r="218" spans="1:17">
      <c r="A218" s="5" t="s">
        <v>1237</v>
      </c>
      <c r="B218" s="5" t="s">
        <v>1238</v>
      </c>
      <c r="C218" s="13"/>
      <c r="D218" s="13"/>
      <c r="E218" s="13"/>
      <c r="F218" s="13"/>
      <c r="G218" s="13"/>
      <c r="H218" s="7"/>
      <c r="I218" s="7"/>
      <c r="K218" s="24" t="s">
        <v>1239</v>
      </c>
      <c r="L218" s="25" t="s">
        <v>1240</v>
      </c>
      <c r="M218" s="19"/>
      <c r="N218" s="19"/>
      <c r="O218" s="19"/>
      <c r="P218" s="19"/>
      <c r="Q218" s="19" t="str">
        <f>IF(AND(ISNUMBER(MATCH(M218,{"F","E","D","D+","C","C+","B","B+","A","A+","S"},0)),ISNUMBER(MATCH(N218,{"F","E","D","D+","C","C+","B","B+","A","A+","S"},0)),ISNUMBER(MATCH(O218,{"F","E","D","D+","C","C+","B","B+","A","A+","S"},0)),ISNUMBER(MATCH(P218,{"F","E","D","D+","C","C+","B","B+","A","A+","S"},0))),LOOKUP(AVERAGE(_xlfn.SWITCH(M218,"F",0,"E",10,"D",20,"D+",30,"C",40,"C+",50,"B",60,"B+",70,"A",80,"A+",90,"S",100),_xlfn.SWITCH(N218,"F",0,"E",10,"D",20,"D+",30,"C",40,"C+",50,"B",60,"B+",70,"A",80,"A+",90,"S",100),_xlfn.SWITCH(O218,"F",0,"E",10,"D",20,"D+",30,"C",40,"C+",50,"B",60,"B+",70,"A",80,"A+",90,"S",100),_xlfn.SWITCH(P218,"F",0,"E",10,"D",20,"D+",30,"C",40,"C+",50,"B",60,"B+",70,"A",80,"A+",90,"S",100)),{0,15,25,35,45,55,65,75,85,95},{"D","D","D+","C","C+","B","B+","A","A+","S"}),"?")</f>
        <v>?</v>
      </c>
    </row>
    <row r="219" spans="1:17">
      <c r="A219" s="5" t="s">
        <v>1241</v>
      </c>
      <c r="B219" s="5" t="s">
        <v>1242</v>
      </c>
      <c r="C219" s="13"/>
      <c r="D219" s="13"/>
      <c r="E219" s="13"/>
      <c r="F219" s="13"/>
      <c r="G219" s="13"/>
      <c r="H219" s="7"/>
      <c r="I219" s="7"/>
      <c r="K219" s="24" t="s">
        <v>1243</v>
      </c>
      <c r="L219" s="25" t="s">
        <v>1244</v>
      </c>
      <c r="M219" s="19"/>
      <c r="N219" s="19"/>
      <c r="O219" s="19"/>
      <c r="P219" s="19"/>
      <c r="Q219" s="19" t="str">
        <f>IF(AND(ISNUMBER(MATCH(M219,{"F","E","D","D+","C","C+","B","B+","A","A+","S"},0)),ISNUMBER(MATCH(N219,{"F","E","D","D+","C","C+","B","B+","A","A+","S"},0)),ISNUMBER(MATCH(O219,{"F","E","D","D+","C","C+","B","B+","A","A+","S"},0)),ISNUMBER(MATCH(P219,{"F","E","D","D+","C","C+","B","B+","A","A+","S"},0))),LOOKUP(AVERAGE(_xlfn.SWITCH(M219,"F",0,"E",10,"D",20,"D+",30,"C",40,"C+",50,"B",60,"B+",70,"A",80,"A+",90,"S",100),_xlfn.SWITCH(N219,"F",0,"E",10,"D",20,"D+",30,"C",40,"C+",50,"B",60,"B+",70,"A",80,"A+",90,"S",100),_xlfn.SWITCH(O219,"F",0,"E",10,"D",20,"D+",30,"C",40,"C+",50,"B",60,"B+",70,"A",80,"A+",90,"S",100),_xlfn.SWITCH(P219,"F",0,"E",10,"D",20,"D+",30,"C",40,"C+",50,"B",60,"B+",70,"A",80,"A+",90,"S",100)),{0,15,25,35,45,55,65,75,85,95},{"D","D","D+","C","C+","B","B+","A","A+","S"}),"?")</f>
        <v>?</v>
      </c>
    </row>
    <row r="220" spans="1:17">
      <c r="A220" s="5" t="s">
        <v>1245</v>
      </c>
      <c r="B220" s="5" t="s">
        <v>1246</v>
      </c>
      <c r="C220" s="13"/>
      <c r="D220" s="13"/>
      <c r="E220" s="13"/>
      <c r="F220" s="13"/>
      <c r="G220" s="13"/>
      <c r="H220" s="7"/>
      <c r="I220" s="7"/>
      <c r="K220" s="24" t="s">
        <v>1247</v>
      </c>
      <c r="L220" s="25" t="s">
        <v>1248</v>
      </c>
      <c r="M220" s="19"/>
      <c r="N220" s="19"/>
      <c r="O220" s="19"/>
      <c r="P220" s="19"/>
      <c r="Q220" s="19" t="str">
        <f>IF(AND(ISNUMBER(MATCH(M220,{"F","E","D","D+","C","C+","B","B+","A","A+","S"},0)),ISNUMBER(MATCH(N220,{"F","E","D","D+","C","C+","B","B+","A","A+","S"},0)),ISNUMBER(MATCH(O220,{"F","E","D","D+","C","C+","B","B+","A","A+","S"},0)),ISNUMBER(MATCH(P220,{"F","E","D","D+","C","C+","B","B+","A","A+","S"},0))),LOOKUP(AVERAGE(_xlfn.SWITCH(M220,"F",0,"E",10,"D",20,"D+",30,"C",40,"C+",50,"B",60,"B+",70,"A",80,"A+",90,"S",100),_xlfn.SWITCH(N220,"F",0,"E",10,"D",20,"D+",30,"C",40,"C+",50,"B",60,"B+",70,"A",80,"A+",90,"S",100),_xlfn.SWITCH(O220,"F",0,"E",10,"D",20,"D+",30,"C",40,"C+",50,"B",60,"B+",70,"A",80,"A+",90,"S",100),_xlfn.SWITCH(P220,"F",0,"E",10,"D",20,"D+",30,"C",40,"C+",50,"B",60,"B+",70,"A",80,"A+",90,"S",100)),{0,15,25,35,45,55,65,75,85,95},{"D","D","D+","C","C+","B","B+","A","A+","S"}),"?")</f>
        <v>?</v>
      </c>
    </row>
    <row r="221" spans="1:17">
      <c r="A221" s="5" t="s">
        <v>1249</v>
      </c>
      <c r="B221" s="5" t="s">
        <v>1250</v>
      </c>
      <c r="C221" s="13"/>
      <c r="D221" s="13"/>
      <c r="E221" s="13"/>
      <c r="F221" s="13"/>
      <c r="G221" s="13"/>
      <c r="H221" s="7"/>
      <c r="I221" s="7"/>
      <c r="K221" s="24" t="s">
        <v>1251</v>
      </c>
      <c r="L221" s="25" t="s">
        <v>1252</v>
      </c>
      <c r="M221" s="19"/>
      <c r="N221" s="19"/>
      <c r="O221" s="19"/>
      <c r="P221" s="19"/>
      <c r="Q221" s="19" t="str">
        <f>IF(AND(ISNUMBER(MATCH(M221,{"F","E","D","D+","C","C+","B","B+","A","A+","S"},0)),ISNUMBER(MATCH(N221,{"F","E","D","D+","C","C+","B","B+","A","A+","S"},0)),ISNUMBER(MATCH(O221,{"F","E","D","D+","C","C+","B","B+","A","A+","S"},0)),ISNUMBER(MATCH(P221,{"F","E","D","D+","C","C+","B","B+","A","A+","S"},0))),LOOKUP(AVERAGE(_xlfn.SWITCH(M221,"F",0,"E",10,"D",20,"D+",30,"C",40,"C+",50,"B",60,"B+",70,"A",80,"A+",90,"S",100),_xlfn.SWITCH(N221,"F",0,"E",10,"D",20,"D+",30,"C",40,"C+",50,"B",60,"B+",70,"A",80,"A+",90,"S",100),_xlfn.SWITCH(O221,"F",0,"E",10,"D",20,"D+",30,"C",40,"C+",50,"B",60,"B+",70,"A",80,"A+",90,"S",100),_xlfn.SWITCH(P221,"F",0,"E",10,"D",20,"D+",30,"C",40,"C+",50,"B",60,"B+",70,"A",80,"A+",90,"S",100)),{0,15,25,35,45,55,65,75,85,95},{"D","D","D+","C","C+","B","B+","A","A+","S"}),"?")</f>
        <v>?</v>
      </c>
    </row>
    <row r="222" spans="1:17" ht="15" customHeight="1">
      <c r="A222" s="536" t="s">
        <v>1253</v>
      </c>
      <c r="B222" s="531"/>
      <c r="C222" s="531"/>
      <c r="D222" s="531"/>
      <c r="E222" s="531"/>
      <c r="F222" s="531"/>
      <c r="G222" s="531"/>
      <c r="H222" s="531"/>
      <c r="I222" s="537"/>
      <c r="K222" s="24" t="s">
        <v>1254</v>
      </c>
      <c r="L222" s="25" t="s">
        <v>659</v>
      </c>
      <c r="M222" s="19"/>
      <c r="N222" s="19"/>
      <c r="O222" s="19"/>
      <c r="P222" s="19"/>
      <c r="Q222" s="19" t="str">
        <f>IF(AND(ISNUMBER(MATCH(M222,{"F","E","D","D+","C","C+","B","B+","A","A+","S"},0)),ISNUMBER(MATCH(N222,{"F","E","D","D+","C","C+","B","B+","A","A+","S"},0)),ISNUMBER(MATCH(O222,{"F","E","D","D+","C","C+","B","B+","A","A+","S"},0)),ISNUMBER(MATCH(P222,{"F","E","D","D+","C","C+","B","B+","A","A+","S"},0))),LOOKUP(AVERAGE(_xlfn.SWITCH(M222,"F",0,"E",10,"D",20,"D+",30,"C",40,"C+",50,"B",60,"B+",70,"A",80,"A+",90,"S",100),_xlfn.SWITCH(N222,"F",0,"E",10,"D",20,"D+",30,"C",40,"C+",50,"B",60,"B+",70,"A",80,"A+",90,"S",100),_xlfn.SWITCH(O222,"F",0,"E",10,"D",20,"D+",30,"C",40,"C+",50,"B",60,"B+",70,"A",80,"A+",90,"S",100),_xlfn.SWITCH(P222,"F",0,"E",10,"D",20,"D+",30,"C",40,"C+",50,"B",60,"B+",70,"A",80,"A+",90,"S",100)),{0,15,25,35,45,55,65,75,85,95},{"D","D","D+","C","C+","B","B+","A","A+","S"}),"?")</f>
        <v>?</v>
      </c>
    </row>
    <row r="223" spans="1:17" ht="16.5" customHeight="1">
      <c r="A223" s="538"/>
      <c r="B223" s="533"/>
      <c r="C223" s="533"/>
      <c r="D223" s="533"/>
      <c r="E223" s="533"/>
      <c r="F223" s="533"/>
      <c r="G223" s="533"/>
      <c r="H223" s="533"/>
      <c r="I223" s="539"/>
      <c r="K223" s="24" t="s">
        <v>1255</v>
      </c>
      <c r="L223" s="25" t="s">
        <v>1256</v>
      </c>
      <c r="M223" s="19"/>
      <c r="N223" s="19"/>
      <c r="O223" s="19"/>
      <c r="P223" s="19"/>
      <c r="Q223" s="19" t="str">
        <f>IF(AND(ISNUMBER(MATCH(M223,{"F","E","D","D+","C","C+","B","B+","A","A+","S"},0)),ISNUMBER(MATCH(N223,{"F","E","D","D+","C","C+","B","B+","A","A+","S"},0)),ISNUMBER(MATCH(O223,{"F","E","D","D+","C","C+","B","B+","A","A+","S"},0)),ISNUMBER(MATCH(P223,{"F","E","D","D+","C","C+","B","B+","A","A+","S"},0))),LOOKUP(AVERAGE(_xlfn.SWITCH(M223,"F",0,"E",10,"D",20,"D+",30,"C",40,"C+",50,"B",60,"B+",70,"A",80,"A+",90,"S",100),_xlfn.SWITCH(N223,"F",0,"E",10,"D",20,"D+",30,"C",40,"C+",50,"B",60,"B+",70,"A",80,"A+",90,"S",100),_xlfn.SWITCH(O223,"F",0,"E",10,"D",20,"D+",30,"C",40,"C+",50,"B",60,"B+",70,"A",80,"A+",90,"S",100),_xlfn.SWITCH(P223,"F",0,"E",10,"D",20,"D+",30,"C",40,"C+",50,"B",60,"B+",70,"A",80,"A+",90,"S",100)),{0,15,25,35,45,55,65,75,85,95},{"D","D","D+","C","C+","B","B+","A","A+","S"}),"?")</f>
        <v>?</v>
      </c>
    </row>
    <row r="224" spans="1:17">
      <c r="A224" s="5" t="s">
        <v>4</v>
      </c>
      <c r="B224" s="6" t="s">
        <v>5</v>
      </c>
      <c r="C224" s="7" t="s">
        <v>6</v>
      </c>
      <c r="D224" s="7" t="s">
        <v>7</v>
      </c>
      <c r="E224" s="7" t="s">
        <v>8</v>
      </c>
      <c r="F224" s="7" t="s">
        <v>9</v>
      </c>
      <c r="G224" s="7" t="s">
        <v>10</v>
      </c>
      <c r="H224" s="7" t="s">
        <v>11</v>
      </c>
      <c r="I224" s="7" t="s">
        <v>12</v>
      </c>
      <c r="K224" s="24" t="s">
        <v>1257</v>
      </c>
      <c r="L224" s="25" t="s">
        <v>1258</v>
      </c>
      <c r="M224" s="19"/>
      <c r="N224" s="19"/>
      <c r="O224" s="19"/>
      <c r="P224" s="19"/>
      <c r="Q224" s="19" t="str">
        <f>IF(AND(ISNUMBER(MATCH(M224,{"F","E","D","D+","C","C+","B","B+","A","A+","S"},0)),ISNUMBER(MATCH(N224,{"F","E","D","D+","C","C+","B","B+","A","A+","S"},0)),ISNUMBER(MATCH(O224,{"F","E","D","D+","C","C+","B","B+","A","A+","S"},0)),ISNUMBER(MATCH(P224,{"F","E","D","D+","C","C+","B","B+","A","A+","S"},0))),LOOKUP(AVERAGE(_xlfn.SWITCH(M224,"F",0,"E",10,"D",20,"D+",30,"C",40,"C+",50,"B",60,"B+",70,"A",80,"A+",90,"S",100),_xlfn.SWITCH(N224,"F",0,"E",10,"D",20,"D+",30,"C",40,"C+",50,"B",60,"B+",70,"A",80,"A+",90,"S",100),_xlfn.SWITCH(O224,"F",0,"E",10,"D",20,"D+",30,"C",40,"C+",50,"B",60,"B+",70,"A",80,"A+",90,"S",100),_xlfn.SWITCH(P224,"F",0,"E",10,"D",20,"D+",30,"C",40,"C+",50,"B",60,"B+",70,"A",80,"A+",90,"S",100)),{0,15,25,35,45,55,65,75,85,95},{"D","D","D+","C","C+","B","B+","A","A+","S"}),"?")</f>
        <v>?</v>
      </c>
    </row>
    <row r="225" spans="1:20">
      <c r="A225" s="5" t="s">
        <v>1259</v>
      </c>
      <c r="B225" s="5" t="s">
        <v>1201</v>
      </c>
      <c r="C225" s="13"/>
      <c r="D225" s="13"/>
      <c r="E225" s="13"/>
      <c r="F225" s="13"/>
      <c r="G225" s="13"/>
      <c r="H225" s="7"/>
      <c r="I225" s="7"/>
      <c r="K225" s="24" t="s">
        <v>1260</v>
      </c>
      <c r="L225" s="25" t="s">
        <v>1261</v>
      </c>
      <c r="M225" s="19"/>
      <c r="N225" s="19"/>
      <c r="O225" s="19"/>
      <c r="P225" s="19"/>
      <c r="Q225" s="19" t="str">
        <f>IF(AND(ISNUMBER(MATCH(M225,{"F","E","D","D+","C","C+","B","B+","A","A+","S"},0)),ISNUMBER(MATCH(N225,{"F","E","D","D+","C","C+","B","B+","A","A+","S"},0)),ISNUMBER(MATCH(O225,{"F","E","D","D+","C","C+","B","B+","A","A+","S"},0)),ISNUMBER(MATCH(P225,{"F","E","D","D+","C","C+","B","B+","A","A+","S"},0))),LOOKUP(AVERAGE(_xlfn.SWITCH(M225,"F",0,"E",10,"D",20,"D+",30,"C",40,"C+",50,"B",60,"B+",70,"A",80,"A+",90,"S",100),_xlfn.SWITCH(N225,"F",0,"E",10,"D",20,"D+",30,"C",40,"C+",50,"B",60,"B+",70,"A",80,"A+",90,"S",100),_xlfn.SWITCH(O225,"F",0,"E",10,"D",20,"D+",30,"C",40,"C+",50,"B",60,"B+",70,"A",80,"A+",90,"S",100),_xlfn.SWITCH(P225,"F",0,"E",10,"D",20,"D+",30,"C",40,"C+",50,"B",60,"B+",70,"A",80,"A+",90,"S",100)),{0,15,25,35,45,55,65,75,85,95},{"D","D","D+","C","C+","B","B+","A","A+","S"}),"?")</f>
        <v>?</v>
      </c>
    </row>
    <row r="226" spans="1:20">
      <c r="A226" s="5" t="s">
        <v>1262</v>
      </c>
      <c r="B226" s="5" t="s">
        <v>1263</v>
      </c>
      <c r="C226" s="13"/>
      <c r="D226" s="13"/>
      <c r="E226" s="13"/>
      <c r="F226" s="13"/>
      <c r="G226" s="13"/>
      <c r="H226" s="7"/>
      <c r="I226" s="7"/>
      <c r="K226" s="24" t="s">
        <v>1264</v>
      </c>
      <c r="L226" s="25" t="s">
        <v>1265</v>
      </c>
      <c r="M226" s="19"/>
      <c r="N226" s="19"/>
      <c r="O226" s="19"/>
      <c r="P226" s="19"/>
      <c r="Q226" s="19" t="str">
        <f>IF(AND(ISNUMBER(MATCH(M226,{"F","E","D","D+","C","C+","B","B+","A","A+","S"},0)),ISNUMBER(MATCH(N226,{"F","E","D","D+","C","C+","B","B+","A","A+","S"},0)),ISNUMBER(MATCH(O226,{"F","E","D","D+","C","C+","B","B+","A","A+","S"},0)),ISNUMBER(MATCH(P226,{"F","E","D","D+","C","C+","B","B+","A","A+","S"},0))),LOOKUP(AVERAGE(_xlfn.SWITCH(M226,"F",0,"E",10,"D",20,"D+",30,"C",40,"C+",50,"B",60,"B+",70,"A",80,"A+",90,"S",100),_xlfn.SWITCH(N226,"F",0,"E",10,"D",20,"D+",30,"C",40,"C+",50,"B",60,"B+",70,"A",80,"A+",90,"S",100),_xlfn.SWITCH(O226,"F",0,"E",10,"D",20,"D+",30,"C",40,"C+",50,"B",60,"B+",70,"A",80,"A+",90,"S",100),_xlfn.SWITCH(P226,"F",0,"E",10,"D",20,"D+",30,"C",40,"C+",50,"B",60,"B+",70,"A",80,"A+",90,"S",100)),{0,15,25,35,45,55,65,75,85,95},{"D","D","D+","C","C+","B","B+","A","A+","S"}),"?")</f>
        <v>?</v>
      </c>
    </row>
    <row r="227" spans="1:20">
      <c r="A227" s="5" t="s">
        <v>1266</v>
      </c>
      <c r="B227" s="23" t="s">
        <v>1267</v>
      </c>
      <c r="C227" s="13"/>
      <c r="D227" s="13"/>
      <c r="E227" s="13"/>
      <c r="F227" s="13"/>
      <c r="G227" s="13"/>
      <c r="H227" s="7"/>
      <c r="I227" s="7"/>
      <c r="K227" s="5" t="s">
        <v>583</v>
      </c>
      <c r="L227" s="12" t="s">
        <v>584</v>
      </c>
      <c r="M227" s="13"/>
      <c r="N227" s="13"/>
      <c r="O227" s="13"/>
      <c r="P227" s="13"/>
      <c r="Q227" s="13" t="str">
        <f>IF(AND(ISNUMBER(MATCH(M227,{"F","E","D","D+","C","C+","B","B+","A","A+","S"},0)),ISNUMBER(MATCH(N227,{"F","E","D","D+","C","C+","B","B+","A","A+","S"},0)),ISNUMBER(MATCH(O227,{"F","E","D","D+","C","C+","B","B+","A","A+","S"},0)),ISNUMBER(MATCH(P227,{"F","E","D","D+","C","C+","B","B+","A","A+","S"},0))),LOOKUP(AVERAGE(_xlfn.SWITCH(M227,"F",0,"E",10,"D",20,"D+",30,"C",40,"C+",50,"B",60,"B+",70,"A",80,"A+",90,"S",100),_xlfn.SWITCH(N227,"F",0,"E",10,"D",20,"D+",30,"C",40,"C+",50,"B",60,"B+",70,"A",80,"A+",90,"S",100),_xlfn.SWITCH(O227,"F",0,"E",10,"D",20,"D+",30,"C",40,"C+",50,"B",60,"B+",70,"A",80,"A+",90,"S",100),_xlfn.SWITCH(P227,"F",0,"E",10,"D",20,"D+",30,"C",40,"C+",50,"B",60,"B+",70,"A",80,"A+",90,"S",100)),{0,15,25,35,45,55,65,75,85,95},{"D","D","D+","C","C+","B","B+","A","A+","S"}),"?")</f>
        <v>?</v>
      </c>
      <c r="T227" s="1"/>
    </row>
    <row r="228" spans="1:20">
      <c r="A228" s="5" t="s">
        <v>1268</v>
      </c>
      <c r="B228" s="5" t="s">
        <v>1269</v>
      </c>
      <c r="C228" s="13"/>
      <c r="D228" s="13"/>
      <c r="E228" s="13"/>
      <c r="F228" s="13"/>
      <c r="G228" s="13"/>
      <c r="H228" s="7"/>
      <c r="I228" s="7"/>
      <c r="K228" s="540" t="s">
        <v>1270</v>
      </c>
      <c r="L228" s="544"/>
      <c r="M228" s="545"/>
      <c r="N228" s="545"/>
      <c r="O228" s="545"/>
      <c r="P228" s="545"/>
      <c r="Q228" s="545" t="str">
        <f>IF(AND(ISNUMBER(MATCH(M228,{"F","E","D","D+","C","C+","B","B+","A","A+","S"},0)),ISNUMBER(MATCH(N229,{"F","E","D","D+","C","C+","B","B+","A","A+","S"},0)),ISNUMBER(MATCH(O231,{"F","E","D","D+","C","C+","B","B+","A","A+","S"},0)),ISNUMBER(MATCH(P232,{"F","E","D","D+","C","C+","B","B+","A","A+","S"},0))),LOOKUP(AVERAGE(_xlfn.SWITCH(M233,"F",0,"E",10,"D",20,"D+",30,"C",40,"C+",50,"B",60,"B+",70,"A",80,"A+",90,"S",100),_xlfn.SWITCH(N234,"F",0,"E",10,"D",20,"D+",30,"C",40,"C+",50,"B",60,"B+",70,"A",80,"A+",90,"S",100),_xlfn.SWITCH(O235,"F",0,"E",10,"D",20,"D+",30,"C",40,"C+",50,"B",60,"B+",70,"A",80,"A+",90,"S",100),_xlfn.SWITCH(P236,"F",0,"E",10,"D",20,"D+",30,"C",40,"C+",50,"B",60,"B+",70,"A",80,"A+",90,"S",100)),{0,15,25,35,45,55,65,75,85,95},{"D","D","D+","C","C+","B","B+","A","A+","S"}),"?")</f>
        <v>?</v>
      </c>
      <c r="R228" s="543"/>
      <c r="S228" s="543"/>
      <c r="T228" s="1"/>
    </row>
    <row r="229" spans="1:20">
      <c r="A229" s="5" t="s">
        <v>1271</v>
      </c>
      <c r="B229" s="5" t="s">
        <v>1272</v>
      </c>
      <c r="C229" s="13"/>
      <c r="D229" s="13"/>
      <c r="E229" s="13"/>
      <c r="F229" s="13"/>
      <c r="G229" s="13"/>
      <c r="H229" s="7"/>
      <c r="I229" s="7"/>
      <c r="K229" s="546"/>
      <c r="L229" s="547"/>
      <c r="M229" s="548"/>
      <c r="N229" s="548"/>
      <c r="O229" s="548"/>
      <c r="P229" s="548"/>
      <c r="Q229" s="548" t="str">
        <f>IF(AND(ISNUMBER(MATCH(M229,{"F","E","D","D+","C","C+","B","B+","A","A+","S"},0)),ISNUMBER(MATCH(N231,{"F","E","D","D+","C","C+","B","B+","A","A+","S"},0)),ISNUMBER(MATCH(O232,{"F","E","D","D+","C","C+","B","B+","A","A+","S"},0)),ISNUMBER(MATCH(P233,{"F","E","D","D+","C","C+","B","B+","A","A+","S"},0))),LOOKUP(AVERAGE(_xlfn.SWITCH(M234,"F",0,"E",10,"D",20,"D+",30,"C",40,"C+",50,"B",60,"B+",70,"A",80,"A+",90,"S",100),_xlfn.SWITCH(N235,"F",0,"E",10,"D",20,"D+",30,"C",40,"C+",50,"B",60,"B+",70,"A",80,"A+",90,"S",100),_xlfn.SWITCH(O236,"F",0,"E",10,"D",20,"D+",30,"C",40,"C+",50,"B",60,"B+",70,"A",80,"A+",90,"S",100),_xlfn.SWITCH(P237,"F",0,"E",10,"D",20,"D+",30,"C",40,"C+",50,"B",60,"B+",70,"A",80,"A+",90,"S",100)),{0,15,25,35,45,55,65,75,85,95},{"D","D","D+","C","C+","B","B+","A","A+","S"}),"?")</f>
        <v>?</v>
      </c>
      <c r="R229" s="543"/>
      <c r="S229" s="543"/>
    </row>
    <row r="230" spans="1:20">
      <c r="A230" s="5" t="s">
        <v>1273</v>
      </c>
      <c r="B230" s="23" t="s">
        <v>1274</v>
      </c>
      <c r="C230" s="13"/>
      <c r="D230" s="13"/>
      <c r="E230" s="13"/>
      <c r="F230" s="13"/>
      <c r="G230" s="13"/>
      <c r="H230" s="7"/>
      <c r="I230" s="7"/>
      <c r="K230" s="5" t="s">
        <v>4</v>
      </c>
      <c r="L230" s="6" t="s">
        <v>5</v>
      </c>
      <c r="M230" s="7" t="s">
        <v>6</v>
      </c>
      <c r="N230" s="7" t="s">
        <v>7</v>
      </c>
      <c r="O230" s="7" t="s">
        <v>8</v>
      </c>
      <c r="P230" s="7" t="s">
        <v>9</v>
      </c>
      <c r="Q230" s="7" t="s">
        <v>10</v>
      </c>
      <c r="R230" s="7" t="s">
        <v>11</v>
      </c>
      <c r="S230" s="7" t="s">
        <v>12</v>
      </c>
    </row>
    <row r="231" spans="1:20">
      <c r="A231" s="5" t="s">
        <v>1275</v>
      </c>
      <c r="B231" s="5" t="s">
        <v>939</v>
      </c>
      <c r="C231" s="13"/>
      <c r="D231" s="13"/>
      <c r="E231" s="13"/>
      <c r="F231" s="13"/>
      <c r="G231" s="13"/>
      <c r="H231" s="7"/>
      <c r="I231" s="7"/>
      <c r="K231" s="24" t="s">
        <v>1276</v>
      </c>
      <c r="L231" s="25" t="s">
        <v>1277</v>
      </c>
      <c r="M231" s="19"/>
      <c r="N231" s="19"/>
      <c r="O231" s="19"/>
      <c r="P231" s="19"/>
      <c r="Q231" s="19" t="str">
        <f>IF(AND(ISNUMBER(MATCH(M231,{"F","E","D","D+","C","C+","B","B+","A","A+","S"},0)),ISNUMBER(MATCH(N232,{"F","E","D","D+","C","C+","B","B+","A","A+","S"},0)),ISNUMBER(MATCH(O233,{"F","E","D","D+","C","C+","B","B+","A","A+","S"},0)),ISNUMBER(MATCH(P234,{"F","E","D","D+","C","C+","B","B+","A","A+","S"},0))),LOOKUP(AVERAGE(_xlfn.SWITCH(M235,"F",0,"E",10,"D",20,"D+",30,"C",40,"C+",50,"B",60,"B+",70,"A",80,"A+",90,"S",100),_xlfn.SWITCH(N236,"F",0,"E",10,"D",20,"D+",30,"C",40,"C+",50,"B",60,"B+",70,"A",80,"A+",90,"S",100),_xlfn.SWITCH(O237,"F",0,"E",10,"D",20,"D+",30,"C",40,"C+",50,"B",60,"B+",70,"A",80,"A+",90,"S",100),_xlfn.SWITCH(P238,"F",0,"E",10,"D",20,"D+",30,"C",40,"C+",50,"B",60,"B+",70,"A",80,"A+",90,"S",100)),{0,15,25,35,45,55,65,75,85,95},{"D","D","D+","C","C+","B","B+","A","A+","S"}),"?")</f>
        <v>?</v>
      </c>
    </row>
    <row r="232" spans="1:20">
      <c r="A232" s="5" t="s">
        <v>1278</v>
      </c>
      <c r="B232" s="5" t="s">
        <v>1279</v>
      </c>
      <c r="C232" s="13"/>
      <c r="D232" s="13"/>
      <c r="E232" s="13"/>
      <c r="F232" s="13"/>
      <c r="G232" s="13"/>
      <c r="H232" s="7"/>
      <c r="I232" s="7"/>
      <c r="K232" s="24" t="s">
        <v>1280</v>
      </c>
      <c r="L232" s="25" t="s">
        <v>1281</v>
      </c>
      <c r="M232" s="19"/>
      <c r="N232" s="19"/>
      <c r="O232" s="19"/>
      <c r="P232" s="19"/>
      <c r="Q232" s="19" t="str">
        <f>IF(AND(ISNUMBER(MATCH(M232,{"F","E","D","D+","C","C+","B","B+","A","A+","S"},0)),ISNUMBER(MATCH(N233,{"F","E","D","D+","C","C+","B","B+","A","A+","S"},0)),ISNUMBER(MATCH(O234,{"F","E","D","D+","C","C+","B","B+","A","A+","S"},0)),ISNUMBER(MATCH(P235,{"F","E","D","D+","C","C+","B","B+","A","A+","S"},0))),LOOKUP(AVERAGE(_xlfn.SWITCH(M236,"F",0,"E",10,"D",20,"D+",30,"C",40,"C+",50,"B",60,"B+",70,"A",80,"A+",90,"S",100),_xlfn.SWITCH(N237,"F",0,"E",10,"D",20,"D+",30,"C",40,"C+",50,"B",60,"B+",70,"A",80,"A+",90,"S",100),_xlfn.SWITCH(O238,"F",0,"E",10,"D",20,"D+",30,"C",40,"C+",50,"B",60,"B+",70,"A",80,"A+",90,"S",100),_xlfn.SWITCH(P239,"F",0,"E",10,"D",20,"D+",30,"C",40,"C+",50,"B",60,"B+",70,"A",80,"A+",90,"S",100)),{0,15,25,35,45,55,65,75,85,95},{"D","D","D+","C","C+","B","B+","A","A+","S"}),"?")</f>
        <v>?</v>
      </c>
    </row>
    <row r="233" spans="1:20">
      <c r="A233" s="5" t="s">
        <v>1282</v>
      </c>
      <c r="B233" s="5" t="s">
        <v>1283</v>
      </c>
      <c r="C233" s="13"/>
      <c r="D233" s="13"/>
      <c r="E233" s="13"/>
      <c r="F233" s="13"/>
      <c r="G233" s="13"/>
      <c r="H233" s="7"/>
      <c r="I233" s="7"/>
      <c r="K233" s="24" t="s">
        <v>893</v>
      </c>
      <c r="L233" s="25" t="s">
        <v>894</v>
      </c>
      <c r="M233" s="19"/>
      <c r="N233" s="19"/>
      <c r="O233" s="19"/>
      <c r="P233" s="19"/>
      <c r="Q233" s="19" t="str">
        <f>IF(AND(ISNUMBER(MATCH(M233,{"F","E","D","D+","C","C+","B","B+","A","A+","S"},0)),ISNUMBER(MATCH(N234,{"F","E","D","D+","C","C+","B","B+","A","A+","S"},0)),ISNUMBER(MATCH(O235,{"F","E","D","D+","C","C+","B","B+","A","A+","S"},0)),ISNUMBER(MATCH(P236,{"F","E","D","D+","C","C+","B","B+","A","A+","S"},0))),LOOKUP(AVERAGE(_xlfn.SWITCH(M237,"F",0,"E",10,"D",20,"D+",30,"C",40,"C+",50,"B",60,"B+",70,"A",80,"A+",90,"S",100),_xlfn.SWITCH(N238,"F",0,"E",10,"D",20,"D+",30,"C",40,"C+",50,"B",60,"B+",70,"A",80,"A+",90,"S",100),_xlfn.SWITCH(O239,"F",0,"E",10,"D",20,"D+",30,"C",40,"C+",50,"B",60,"B+",70,"A",80,"A+",90,"S",100),_xlfn.SWITCH(P240,"F",0,"E",10,"D",20,"D+",30,"C",40,"C+",50,"B",60,"B+",70,"A",80,"A+",90,"S",100)),{0,15,25,35,45,55,65,75,85,95},{"D","D","D+","C","C+","B","B+","A","A+","S"}),"?")</f>
        <v>?</v>
      </c>
    </row>
    <row r="234" spans="1:20">
      <c r="A234" s="5" t="s">
        <v>1284</v>
      </c>
      <c r="B234" s="5" t="s">
        <v>1285</v>
      </c>
      <c r="C234" s="13"/>
      <c r="D234" s="13"/>
      <c r="E234" s="13"/>
      <c r="F234" s="13"/>
      <c r="G234" s="13"/>
      <c r="H234" s="7"/>
      <c r="I234" s="7"/>
      <c r="K234" s="24" t="s">
        <v>1286</v>
      </c>
      <c r="L234" s="25" t="s">
        <v>1287</v>
      </c>
      <c r="M234" s="19"/>
      <c r="N234" s="19"/>
      <c r="O234" s="19"/>
      <c r="P234" s="19"/>
      <c r="Q234" s="19" t="str">
        <f>IF(AND(ISNUMBER(MATCH(M234,{"F","E","D","D+","C","C+","B","B+","A","A+","S"},0)),ISNUMBER(MATCH(N235,{"F","E","D","D+","C","C+","B","B+","A","A+","S"},0)),ISNUMBER(MATCH(O236,{"F","E","D","D+","C","C+","B","B+","A","A+","S"},0)),ISNUMBER(MATCH(P237,{"F","E","D","D+","C","C+","B","B+","A","A+","S"},0))),LOOKUP(AVERAGE(_xlfn.SWITCH(M238,"F",0,"E",10,"D",20,"D+",30,"C",40,"C+",50,"B",60,"B+",70,"A",80,"A+",90,"S",100),_xlfn.SWITCH(N239,"F",0,"E",10,"D",20,"D+",30,"C",40,"C+",50,"B",60,"B+",70,"A",80,"A+",90,"S",100),_xlfn.SWITCH(O240,"F",0,"E",10,"D",20,"D+",30,"C",40,"C+",50,"B",60,"B+",70,"A",80,"A+",90,"S",100),_xlfn.SWITCH(P241,"F",0,"E",10,"D",20,"D+",30,"C",40,"C+",50,"B",60,"B+",70,"A",80,"A+",90,"S",100)),{0,15,25,35,45,55,65,75,85,95},{"D","D","D+","C","C+","B","B+","A","A+","S"}),"?")</f>
        <v>?</v>
      </c>
    </row>
    <row r="235" spans="1:20">
      <c r="A235" s="5" t="s">
        <v>1288</v>
      </c>
      <c r="B235" s="23" t="s">
        <v>1129</v>
      </c>
      <c r="C235" s="13"/>
      <c r="D235" s="13"/>
      <c r="E235" s="13"/>
      <c r="F235" s="13"/>
      <c r="G235" s="13"/>
      <c r="H235" s="7"/>
      <c r="I235" s="7"/>
      <c r="K235" s="24" t="s">
        <v>1289</v>
      </c>
      <c r="L235" s="25" t="s">
        <v>598</v>
      </c>
      <c r="M235" s="19"/>
      <c r="N235" s="19"/>
      <c r="O235" s="19"/>
      <c r="P235" s="19"/>
      <c r="Q235" s="19" t="str">
        <f>IF(AND(ISNUMBER(MATCH(M235,{"F","E","D","D+","C","C+","B","B+","A","A+","S"},0)),ISNUMBER(MATCH(N236,{"F","E","D","D+","C","C+","B","B+","A","A+","S"},0)),ISNUMBER(MATCH(O237,{"F","E","D","D+","C","C+","B","B+","A","A+","S"},0)),ISNUMBER(MATCH(P238,{"F","E","D","D+","C","C+","B","B+","A","A+","S"},0))),LOOKUP(AVERAGE(_xlfn.SWITCH(M239,"F",0,"E",10,"D",20,"D+",30,"C",40,"C+",50,"B",60,"B+",70,"A",80,"A+",90,"S",100),_xlfn.SWITCH(N240,"F",0,"E",10,"D",20,"D+",30,"C",40,"C+",50,"B",60,"B+",70,"A",80,"A+",90,"S",100),_xlfn.SWITCH(O241,"F",0,"E",10,"D",20,"D+",30,"C",40,"C+",50,"B",60,"B+",70,"A",80,"A+",90,"S",100),_xlfn.SWITCH(P242,"F",0,"E",10,"D",20,"D+",30,"C",40,"C+",50,"B",60,"B+",70,"A",80,"A+",90,"S",100)),{0,15,25,35,45,55,65,75,85,95},{"D","D","D+","C","C+","B","B+","A","A+","S"}),"?")</f>
        <v>?</v>
      </c>
    </row>
    <row r="236" spans="1:20">
      <c r="A236" s="5" t="s">
        <v>1290</v>
      </c>
      <c r="B236" s="23" t="s">
        <v>1158</v>
      </c>
      <c r="C236" s="13"/>
      <c r="D236" s="13"/>
      <c r="E236" s="13"/>
      <c r="F236" s="13"/>
      <c r="G236" s="13"/>
      <c r="H236" s="7"/>
      <c r="I236" s="7"/>
      <c r="K236" s="24" t="s">
        <v>955</v>
      </c>
      <c r="L236" s="25" t="s">
        <v>1291</v>
      </c>
      <c r="M236" s="19"/>
      <c r="N236" s="19"/>
      <c r="O236" s="19"/>
      <c r="P236" s="19"/>
      <c r="Q236" s="19" t="str">
        <f>IF(AND(ISNUMBER(MATCH(M236,{"F","E","D","D+","C","C+","B","B+","A","A+","S"},0)),ISNUMBER(MATCH(N237,{"F","E","D","D+","C","C+","B","B+","A","A+","S"},0)),ISNUMBER(MATCH(O238,{"F","E","D","D+","C","C+","B","B+","A","A+","S"},0)),ISNUMBER(MATCH(P239,{"F","E","D","D+","C","C+","B","B+","A","A+","S"},0))),LOOKUP(AVERAGE(_xlfn.SWITCH(M240,"F",0,"E",10,"D",20,"D+",30,"C",40,"C+",50,"B",60,"B+",70,"A",80,"A+",90,"S",100),_xlfn.SWITCH(N241,"F",0,"E",10,"D",20,"D+",30,"C",40,"C+",50,"B",60,"B+",70,"A",80,"A+",90,"S",100),_xlfn.SWITCH(O242,"F",0,"E",10,"D",20,"D+",30,"C",40,"C+",50,"B",60,"B+",70,"A",80,"A+",90,"S",100),_xlfn.SWITCH(P243,"F",0,"E",10,"D",20,"D+",30,"C",40,"C+",50,"B",60,"B+",70,"A",80,"A+",90,"S",100)),{0,15,25,35,45,55,65,75,85,95},{"D","D","D+","C","C+","B","B+","A","A+","S"}),"?")</f>
        <v>?</v>
      </c>
    </row>
    <row r="237" spans="1:20">
      <c r="A237" s="5" t="s">
        <v>1292</v>
      </c>
      <c r="B237" s="23" t="s">
        <v>1293</v>
      </c>
      <c r="C237" s="13"/>
      <c r="D237" s="13"/>
      <c r="E237" s="13"/>
      <c r="F237" s="13"/>
      <c r="G237" s="13"/>
      <c r="H237" s="7"/>
      <c r="I237" s="7"/>
      <c r="K237" s="24" t="s">
        <v>936</v>
      </c>
      <c r="L237" s="25" t="s">
        <v>33</v>
      </c>
      <c r="M237" s="19"/>
      <c r="N237" s="19"/>
      <c r="O237" s="19"/>
      <c r="P237" s="19"/>
      <c r="Q237" s="19" t="str">
        <f>IF(AND(ISNUMBER(MATCH(M237,{"F","E","D","D+","C","C+","B","B+","A","A+","S"},0)),ISNUMBER(MATCH(N238,{"F","E","D","D+","C","C+","B","B+","A","A+","S"},0)),ISNUMBER(MATCH(O239,{"F","E","D","D+","C","C+","B","B+","A","A+","S"},0)),ISNUMBER(MATCH(P240,{"F","E","D","D+","C","C+","B","B+","A","A+","S"},0))),LOOKUP(AVERAGE(_xlfn.SWITCH(M241,"F",0,"E",10,"D",20,"D+",30,"C",40,"C+",50,"B",60,"B+",70,"A",80,"A+",90,"S",100),_xlfn.SWITCH(N242,"F",0,"E",10,"D",20,"D+",30,"C",40,"C+",50,"B",60,"B+",70,"A",80,"A+",90,"S",100),_xlfn.SWITCH(O243,"F",0,"E",10,"D",20,"D+",30,"C",40,"C+",50,"B",60,"B+",70,"A",80,"A+",90,"S",100),_xlfn.SWITCH(P244,"F",0,"E",10,"D",20,"D+",30,"C",40,"C+",50,"B",60,"B+",70,"A",80,"A+",90,"S",100)),{0,15,25,35,45,55,65,75,85,95},{"D","D","D+","C","C+","B","B+","A","A+","S"}),"?")</f>
        <v>?</v>
      </c>
    </row>
    <row r="238" spans="1:20">
      <c r="A238" s="5" t="s">
        <v>1294</v>
      </c>
      <c r="B238" s="23" t="s">
        <v>1295</v>
      </c>
      <c r="C238" s="13"/>
      <c r="D238" s="13"/>
      <c r="E238" s="13"/>
      <c r="F238" s="13"/>
      <c r="G238" s="13"/>
      <c r="H238" s="7"/>
      <c r="I238" s="7"/>
      <c r="K238" s="24" t="s">
        <v>1296</v>
      </c>
      <c r="L238" s="25" t="s">
        <v>501</v>
      </c>
      <c r="M238" s="19"/>
      <c r="N238" s="19"/>
      <c r="O238" s="19"/>
      <c r="P238" s="19"/>
      <c r="Q238" s="19" t="str">
        <f>IF(AND(ISNUMBER(MATCH(M238,{"F","E","D","D+","C","C+","B","B+","A","A+","S"},0)),ISNUMBER(MATCH(N239,{"F","E","D","D+","C","C+","B","B+","A","A+","S"},0)),ISNUMBER(MATCH(O240,{"F","E","D","D+","C","C+","B","B+","A","A+","S"},0)),ISNUMBER(MATCH(P241,{"F","E","D","D+","C","C+","B","B+","A","A+","S"},0))),LOOKUP(AVERAGE(_xlfn.SWITCH(M242,"F",0,"E",10,"D",20,"D+",30,"C",40,"C+",50,"B",60,"B+",70,"A",80,"A+",90,"S",100),_xlfn.SWITCH(N243,"F",0,"E",10,"D",20,"D+",30,"C",40,"C+",50,"B",60,"B+",70,"A",80,"A+",90,"S",100),_xlfn.SWITCH(O244,"F",0,"E",10,"D",20,"D+",30,"C",40,"C+",50,"B",60,"B+",70,"A",80,"A+",90,"S",100),_xlfn.SWITCH(P245,"F",0,"E",10,"D",20,"D+",30,"C",40,"C+",50,"B",60,"B+",70,"A",80,"A+",90,"S",100)),{0,15,25,35,45,55,65,75,85,95},{"D","D","D+","C","C+","B","B+","A","A+","S"}),"?")</f>
        <v>?</v>
      </c>
    </row>
    <row r="239" spans="1:20">
      <c r="A239" s="5" t="s">
        <v>1297</v>
      </c>
      <c r="B239" s="5" t="s">
        <v>1298</v>
      </c>
      <c r="C239" s="13"/>
      <c r="D239" s="13"/>
      <c r="E239" s="13"/>
      <c r="F239" s="13"/>
      <c r="G239" s="13"/>
      <c r="H239" s="7"/>
      <c r="I239" s="7"/>
      <c r="K239" s="24" t="s">
        <v>1299</v>
      </c>
      <c r="L239" s="25" t="s">
        <v>1300</v>
      </c>
      <c r="M239" s="19"/>
      <c r="N239" s="19"/>
      <c r="O239" s="19"/>
      <c r="P239" s="19"/>
      <c r="Q239" s="19" t="str">
        <f>IF(AND(ISNUMBER(MATCH(M239,{"F","E","D","D+","C","C+","B","B+","A","A+","S"},0)),ISNUMBER(MATCH(N240,{"F","E","D","D+","C","C+","B","B+","A","A+","S"},0)),ISNUMBER(MATCH(O241,{"F","E","D","D+","C","C+","B","B+","A","A+","S"},0)),ISNUMBER(MATCH(P242,{"F","E","D","D+","C","C+","B","B+","A","A+","S"},0))),LOOKUP(AVERAGE(_xlfn.SWITCH(M243,"F",0,"E",10,"D",20,"D+",30,"C",40,"C+",50,"B",60,"B+",70,"A",80,"A+",90,"S",100),_xlfn.SWITCH(N244,"F",0,"E",10,"D",20,"D+",30,"C",40,"C+",50,"B",60,"B+",70,"A",80,"A+",90,"S",100),_xlfn.SWITCH(O245,"F",0,"E",10,"D",20,"D+",30,"C",40,"C+",50,"B",60,"B+",70,"A",80,"A+",90,"S",100),_xlfn.SWITCH(P246,"F",0,"E",10,"D",20,"D+",30,"C",40,"C+",50,"B",60,"B+",70,"A",80,"A+",90,"S",100)),{0,15,25,35,45,55,65,75,85,95},{"D","D","D+","C","C+","B","B+","A","A+","S"}),"?")</f>
        <v>?</v>
      </c>
    </row>
    <row r="240" spans="1:20">
      <c r="A240" s="5" t="s">
        <v>1301</v>
      </c>
      <c r="B240" s="5" t="s">
        <v>1302</v>
      </c>
      <c r="C240" s="13"/>
      <c r="D240" s="13"/>
      <c r="E240" s="13"/>
      <c r="F240" s="13"/>
      <c r="G240" s="13"/>
      <c r="H240" s="7"/>
      <c r="I240" s="7"/>
      <c r="K240" s="24" t="s">
        <v>1303</v>
      </c>
      <c r="L240" s="25" t="s">
        <v>1304</v>
      </c>
      <c r="M240" s="19"/>
      <c r="N240" s="19"/>
      <c r="O240" s="19"/>
      <c r="P240" s="19"/>
      <c r="Q240" s="19" t="str">
        <f>IF(AND(ISNUMBER(MATCH(M240,{"F","E","D","D+","C","C+","B","B+","A","A+","S"},0)),ISNUMBER(MATCH(N241,{"F","E","D","D+","C","C+","B","B+","A","A+","S"},0)),ISNUMBER(MATCH(O242,{"F","E","D","D+","C","C+","B","B+","A","A+","S"},0)),ISNUMBER(MATCH(P243,{"F","E","D","D+","C","C+","B","B+","A","A+","S"},0))),LOOKUP(AVERAGE(_xlfn.SWITCH(M244,"F",0,"E",10,"D",20,"D+",30,"C",40,"C+",50,"B",60,"B+",70,"A",80,"A+",90,"S",100),_xlfn.SWITCH(N245,"F",0,"E",10,"D",20,"D+",30,"C",40,"C+",50,"B",60,"B+",70,"A",80,"A+",90,"S",100),_xlfn.SWITCH(O246,"F",0,"E",10,"D",20,"D+",30,"C",40,"C+",50,"B",60,"B+",70,"A",80,"A+",90,"S",100),_xlfn.SWITCH(P247,"F",0,"E",10,"D",20,"D+",30,"C",40,"C+",50,"B",60,"B+",70,"A",80,"A+",90,"S",100)),{0,15,25,35,45,55,65,75,85,95},{"D","D","D+","C","C+","B","B+","A","A+","S"}),"?")</f>
        <v>?</v>
      </c>
    </row>
    <row r="241" spans="1:17">
      <c r="A241" s="5" t="s">
        <v>1305</v>
      </c>
      <c r="B241" s="5" t="s">
        <v>1306</v>
      </c>
      <c r="C241" s="13"/>
      <c r="D241" s="13"/>
      <c r="E241" s="13"/>
      <c r="F241" s="13"/>
      <c r="G241" s="13"/>
      <c r="H241" s="7"/>
      <c r="I241" s="7"/>
      <c r="K241" s="24" t="s">
        <v>948</v>
      </c>
      <c r="L241" s="25" t="s">
        <v>949</v>
      </c>
      <c r="M241" s="19"/>
      <c r="N241" s="19"/>
      <c r="O241" s="19"/>
      <c r="P241" s="19"/>
      <c r="Q241" s="19" t="str">
        <f>IF(AND(ISNUMBER(MATCH(M241,{"F","E","D","D+","C","C+","B","B+","A","A+","S"},0)),ISNUMBER(MATCH(N242,{"F","E","D","D+","C","C+","B","B+","A","A+","S"},0)),ISNUMBER(MATCH(O243,{"F","E","D","D+","C","C+","B","B+","A","A+","S"},0)),ISNUMBER(MATCH(P244,{"F","E","D","D+","C","C+","B","B+","A","A+","S"},0))),LOOKUP(AVERAGE(_xlfn.SWITCH(M245,"F",0,"E",10,"D",20,"D+",30,"C",40,"C+",50,"B",60,"B+",70,"A",80,"A+",90,"S",100),_xlfn.SWITCH(N246,"F",0,"E",10,"D",20,"D+",30,"C",40,"C+",50,"B",60,"B+",70,"A",80,"A+",90,"S",100),_xlfn.SWITCH(O247,"F",0,"E",10,"D",20,"D+",30,"C",40,"C+",50,"B",60,"B+",70,"A",80,"A+",90,"S",100),_xlfn.SWITCH(P248,"F",0,"E",10,"D",20,"D+",30,"C",40,"C+",50,"B",60,"B+",70,"A",80,"A+",90,"S",100)),{0,15,25,35,45,55,65,75,85,95},{"D","D","D+","C","C+","B","B+","A","A+","S"}),"?")</f>
        <v>?</v>
      </c>
    </row>
    <row r="242" spans="1:17">
      <c r="A242" s="5" t="s">
        <v>1307</v>
      </c>
      <c r="B242" s="5" t="s">
        <v>1308</v>
      </c>
      <c r="C242" s="13"/>
      <c r="D242" s="13"/>
      <c r="E242" s="13"/>
      <c r="F242" s="13"/>
      <c r="G242" s="13"/>
      <c r="H242" s="7"/>
      <c r="I242" s="7"/>
      <c r="K242" s="24" t="s">
        <v>1309</v>
      </c>
      <c r="L242" s="25" t="s">
        <v>291</v>
      </c>
      <c r="M242" s="19"/>
      <c r="N242" s="19"/>
      <c r="O242" s="19"/>
      <c r="P242" s="19"/>
      <c r="Q242" s="19" t="str">
        <f>IF(AND(ISNUMBER(MATCH(M242,{"F","E","D","D+","C","C+","B","B+","A","A+","S"},0)),ISNUMBER(MATCH(N243,{"F","E","D","D+","C","C+","B","B+","A","A+","S"},0)),ISNUMBER(MATCH(O244,{"F","E","D","D+","C","C+","B","B+","A","A+","S"},0)),ISNUMBER(MATCH(P245,{"F","E","D","D+","C","C+","B","B+","A","A+","S"},0))),LOOKUP(AVERAGE(_xlfn.SWITCH(M246,"F",0,"E",10,"D",20,"D+",30,"C",40,"C+",50,"B",60,"B+",70,"A",80,"A+",90,"S",100),_xlfn.SWITCH(N247,"F",0,"E",10,"D",20,"D+",30,"C",40,"C+",50,"B",60,"B+",70,"A",80,"A+",90,"S",100),_xlfn.SWITCH(O248,"F",0,"E",10,"D",20,"D+",30,"C",40,"C+",50,"B",60,"B+",70,"A",80,"A+",90,"S",100),_xlfn.SWITCH(P249,"F",0,"E",10,"D",20,"D+",30,"C",40,"C+",50,"B",60,"B+",70,"A",80,"A+",90,"S",100)),{0,15,25,35,45,55,65,75,85,95},{"D","D","D+","C","C+","B","B+","A","A+","S"}),"?")</f>
        <v>?</v>
      </c>
    </row>
    <row r="243" spans="1:17">
      <c r="A243" s="5" t="s">
        <v>1310</v>
      </c>
      <c r="B243" s="5" t="s">
        <v>1085</v>
      </c>
      <c r="C243" s="13"/>
      <c r="D243" s="13"/>
      <c r="E243" s="13"/>
      <c r="F243" s="13"/>
      <c r="G243" s="13"/>
      <c r="H243" s="7"/>
      <c r="I243" s="7"/>
      <c r="K243" s="24" t="s">
        <v>1311</v>
      </c>
      <c r="L243" s="25" t="s">
        <v>1312</v>
      </c>
      <c r="M243" s="19"/>
      <c r="N243" s="19"/>
      <c r="O243" s="19"/>
      <c r="P243" s="19"/>
      <c r="Q243" s="19" t="str">
        <f>IF(AND(ISNUMBER(MATCH(M243,{"F","E","D","D+","C","C+","B","B+","A","A+","S"},0)),ISNUMBER(MATCH(N244,{"F","E","D","D+","C","C+","B","B+","A","A+","S"},0)),ISNUMBER(MATCH(O245,{"F","E","D","D+","C","C+","B","B+","A","A+","S"},0)),ISNUMBER(MATCH(P246,{"F","E","D","D+","C","C+","B","B+","A","A+","S"},0))),LOOKUP(AVERAGE(_xlfn.SWITCH(M247,"F",0,"E",10,"D",20,"D+",30,"C",40,"C+",50,"B",60,"B+",70,"A",80,"A+",90,"S",100),_xlfn.SWITCH(N248,"F",0,"E",10,"D",20,"D+",30,"C",40,"C+",50,"B",60,"B+",70,"A",80,"A+",90,"S",100),_xlfn.SWITCH(O249,"F",0,"E",10,"D",20,"D+",30,"C",40,"C+",50,"B",60,"B+",70,"A",80,"A+",90,"S",100),_xlfn.SWITCH(P250,"F",0,"E",10,"D",20,"D+",30,"C",40,"C+",50,"B",60,"B+",70,"A",80,"A+",90,"S",100)),{0,15,25,35,45,55,65,75,85,95},{"D","D","D+","C","C+","B","B+","A","A+","S"}),"?")</f>
        <v>?</v>
      </c>
    </row>
    <row r="244" spans="1:17">
      <c r="A244" s="5" t="s">
        <v>1313</v>
      </c>
      <c r="B244" s="5" t="s">
        <v>1314</v>
      </c>
      <c r="C244" s="13"/>
      <c r="D244" s="13"/>
      <c r="E244" s="13"/>
      <c r="F244" s="13"/>
      <c r="G244" s="13"/>
      <c r="H244" s="7"/>
      <c r="I244" s="7"/>
      <c r="K244" s="24" t="s">
        <v>1021</v>
      </c>
      <c r="L244" s="25" t="s">
        <v>1022</v>
      </c>
      <c r="M244" s="19"/>
      <c r="N244" s="19"/>
      <c r="O244" s="19"/>
      <c r="P244" s="19"/>
      <c r="Q244" s="19" t="str">
        <f>IF(AND(ISNUMBER(MATCH(M244,{"F","E","D","D+","C","C+","B","B+","A","A+","S"},0)),ISNUMBER(MATCH(N245,{"F","E","D","D+","C","C+","B","B+","A","A+","S"},0)),ISNUMBER(MATCH(O246,{"F","E","D","D+","C","C+","B","B+","A","A+","S"},0)),ISNUMBER(MATCH(P247,{"F","E","D","D+","C","C+","B","B+","A","A+","S"},0))),LOOKUP(AVERAGE(_xlfn.SWITCH(M248,"F",0,"E",10,"D",20,"D+",30,"C",40,"C+",50,"B",60,"B+",70,"A",80,"A+",90,"S",100),_xlfn.SWITCH(N249,"F",0,"E",10,"D",20,"D+",30,"C",40,"C+",50,"B",60,"B+",70,"A",80,"A+",90,"S",100),_xlfn.SWITCH(O250,"F",0,"E",10,"D",20,"D+",30,"C",40,"C+",50,"B",60,"B+",70,"A",80,"A+",90,"S",100),_xlfn.SWITCH(P251,"F",0,"E",10,"D",20,"D+",30,"C",40,"C+",50,"B",60,"B+",70,"A",80,"A+",90,"S",100)),{0,15,25,35,45,55,65,75,85,95},{"D","D","D+","C","C+","B","B+","A","A+","S"}),"?")</f>
        <v>?</v>
      </c>
    </row>
    <row r="245" spans="1:17">
      <c r="A245" s="5" t="s">
        <v>1315</v>
      </c>
      <c r="B245" s="5" t="s">
        <v>1316</v>
      </c>
      <c r="C245" s="13"/>
      <c r="D245" s="13"/>
      <c r="E245" s="13"/>
      <c r="F245" s="13"/>
      <c r="G245" s="13"/>
      <c r="H245" s="7"/>
      <c r="I245" s="7"/>
      <c r="K245" s="24" t="s">
        <v>1317</v>
      </c>
      <c r="L245" s="25" t="s">
        <v>1318</v>
      </c>
      <c r="M245" s="19"/>
      <c r="N245" s="19"/>
      <c r="O245" s="19"/>
      <c r="P245" s="19"/>
      <c r="Q245" s="19" t="str">
        <f>IF(AND(ISNUMBER(MATCH(M245,{"F","E","D","D+","C","C+","B","B+","A","A+","S"},0)),ISNUMBER(MATCH(N246,{"F","E","D","D+","C","C+","B","B+","A","A+","S"},0)),ISNUMBER(MATCH(O247,{"F","E","D","D+","C","C+","B","B+","A","A+","S"},0)),ISNUMBER(MATCH(P248,{"F","E","D","D+","C","C+","B","B+","A","A+","S"},0))),LOOKUP(AVERAGE(_xlfn.SWITCH(M249,"F",0,"E",10,"D",20,"D+",30,"C",40,"C+",50,"B",60,"B+",70,"A",80,"A+",90,"S",100),_xlfn.SWITCH(N250,"F",0,"E",10,"D",20,"D+",30,"C",40,"C+",50,"B",60,"B+",70,"A",80,"A+",90,"S",100),_xlfn.SWITCH(O251,"F",0,"E",10,"D",20,"D+",30,"C",40,"C+",50,"B",60,"B+",70,"A",80,"A+",90,"S",100),_xlfn.SWITCH(P252,"F",0,"E",10,"D",20,"D+",30,"C",40,"C+",50,"B",60,"B+",70,"A",80,"A+",90,"S",100)),{0,15,25,35,45,55,65,75,85,95},{"D","D","D+","C","C+","B","B+","A","A+","S"}),"?")</f>
        <v>?</v>
      </c>
    </row>
    <row r="246" spans="1:17">
      <c r="A246" s="5" t="s">
        <v>1319</v>
      </c>
      <c r="B246" s="5" t="s">
        <v>1320</v>
      </c>
      <c r="C246" s="13"/>
      <c r="D246" s="13"/>
      <c r="E246" s="13"/>
      <c r="F246" s="13"/>
      <c r="G246" s="13"/>
      <c r="H246" s="7"/>
      <c r="I246" s="7"/>
      <c r="K246" s="24" t="s">
        <v>1321</v>
      </c>
      <c r="L246" s="25" t="s">
        <v>1322</v>
      </c>
      <c r="M246" s="19"/>
      <c r="N246" s="19"/>
      <c r="O246" s="19"/>
      <c r="P246" s="19"/>
      <c r="Q246" s="19" t="str">
        <f>IF(AND(ISNUMBER(MATCH(M246,{"F","E","D","D+","C","C+","B","B+","A","A+","S"},0)),ISNUMBER(MATCH(N247,{"F","E","D","D+","C","C+","B","B+","A","A+","S"},0)),ISNUMBER(MATCH(O248,{"F","E","D","D+","C","C+","B","B+","A","A+","S"},0)),ISNUMBER(MATCH(P249,{"F","E","D","D+","C","C+","B","B+","A","A+","S"},0))),LOOKUP(AVERAGE(_xlfn.SWITCH(M250,"F",0,"E",10,"D",20,"D+",30,"C",40,"C+",50,"B",60,"B+",70,"A",80,"A+",90,"S",100),_xlfn.SWITCH(N251,"F",0,"E",10,"D",20,"D+",30,"C",40,"C+",50,"B",60,"B+",70,"A",80,"A+",90,"S",100),_xlfn.SWITCH(O252,"F",0,"E",10,"D",20,"D+",30,"C",40,"C+",50,"B",60,"B+",70,"A",80,"A+",90,"S",100),_xlfn.SWITCH(P253,"F",0,"E",10,"D",20,"D+",30,"C",40,"C+",50,"B",60,"B+",70,"A",80,"A+",90,"S",100)),{0,15,25,35,45,55,65,75,85,95},{"D","D","D+","C","C+","B","B+","A","A+","S"}),"?")</f>
        <v>?</v>
      </c>
    </row>
    <row r="247" spans="1:17">
      <c r="A247" s="5" t="s">
        <v>1323</v>
      </c>
      <c r="B247" s="5" t="s">
        <v>1079</v>
      </c>
      <c r="C247" s="13"/>
      <c r="D247" s="13"/>
      <c r="E247" s="13"/>
      <c r="F247" s="13"/>
      <c r="G247" s="13"/>
      <c r="H247" s="7"/>
      <c r="I247" s="7"/>
      <c r="K247" s="24" t="s">
        <v>1000</v>
      </c>
      <c r="L247" s="25" t="s">
        <v>1001</v>
      </c>
      <c r="M247" s="19"/>
      <c r="N247" s="19"/>
      <c r="O247" s="19"/>
      <c r="P247" s="19"/>
      <c r="Q247" s="19" t="str">
        <f>IF(AND(ISNUMBER(MATCH(M247,{"F","E","D","D+","C","C+","B","B+","A","A+","S"},0)),ISNUMBER(MATCH(N248,{"F","E","D","D+","C","C+","B","B+","A","A+","S"},0)),ISNUMBER(MATCH(O249,{"F","E","D","D+","C","C+","B","B+","A","A+","S"},0)),ISNUMBER(MATCH(P250,{"F","E","D","D+","C","C+","B","B+","A","A+","S"},0))),LOOKUP(AVERAGE(_xlfn.SWITCH(M251,"F",0,"E",10,"D",20,"D+",30,"C",40,"C+",50,"B",60,"B+",70,"A",80,"A+",90,"S",100),_xlfn.SWITCH(N252,"F",0,"E",10,"D",20,"D+",30,"C",40,"C+",50,"B",60,"B+",70,"A",80,"A+",90,"S",100),_xlfn.SWITCH(O253,"F",0,"E",10,"D",20,"D+",30,"C",40,"C+",50,"B",60,"B+",70,"A",80,"A+",90,"S",100),_xlfn.SWITCH(P254,"F",0,"E",10,"D",20,"D+",30,"C",40,"C+",50,"B",60,"B+",70,"A",80,"A+",90,"S",100)),{0,15,25,35,45,55,65,75,85,95},{"D","D","D+","C","C+","B","B+","A","A+","S"}),"?")</f>
        <v>?</v>
      </c>
    </row>
    <row r="248" spans="1:17">
      <c r="A248" s="5" t="s">
        <v>1324</v>
      </c>
      <c r="B248" s="23" t="s">
        <v>1091</v>
      </c>
      <c r="C248" s="13"/>
      <c r="D248" s="13"/>
      <c r="E248" s="13"/>
      <c r="F248" s="13"/>
      <c r="G248" s="13"/>
      <c r="H248" s="7"/>
      <c r="I248" s="7"/>
      <c r="K248" s="24" t="s">
        <v>1325</v>
      </c>
      <c r="L248" s="25" t="s">
        <v>1326</v>
      </c>
      <c r="M248" s="19"/>
      <c r="N248" s="19"/>
      <c r="O248" s="19"/>
      <c r="P248" s="19"/>
      <c r="Q248" s="19" t="str">
        <f>IF(AND(ISNUMBER(MATCH(M248,{"F","E","D","D+","C","C+","B","B+","A","A+","S"},0)),ISNUMBER(MATCH(N249,{"F","E","D","D+","C","C+","B","B+","A","A+","S"},0)),ISNUMBER(MATCH(O250,{"F","E","D","D+","C","C+","B","B+","A","A+","S"},0)),ISNUMBER(MATCH(P251,{"F","E","D","D+","C","C+","B","B+","A","A+","S"},0))),LOOKUP(AVERAGE(_xlfn.SWITCH(M252,"F",0,"E",10,"D",20,"D+",30,"C",40,"C+",50,"B",60,"B+",70,"A",80,"A+",90,"S",100),_xlfn.SWITCH(N253,"F",0,"E",10,"D",20,"D+",30,"C",40,"C+",50,"B",60,"B+",70,"A",80,"A+",90,"S",100),_xlfn.SWITCH(O254,"F",0,"E",10,"D",20,"D+",30,"C",40,"C+",50,"B",60,"B+",70,"A",80,"A+",90,"S",100),_xlfn.SWITCH(P255,"F",0,"E",10,"D",20,"D+",30,"C",40,"C+",50,"B",60,"B+",70,"A",80,"A+",90,"S",100)),{0,15,25,35,45,55,65,75,85,95},{"D","D","D+","C","C+","B","B+","A","A+","S"}),"?")</f>
        <v>?</v>
      </c>
    </row>
    <row r="249" spans="1:17">
      <c r="A249" s="5" t="s">
        <v>1327</v>
      </c>
      <c r="B249" s="5" t="s">
        <v>726</v>
      </c>
      <c r="C249" s="13"/>
      <c r="D249" s="13"/>
      <c r="E249" s="13"/>
      <c r="F249" s="13"/>
      <c r="G249" s="13"/>
      <c r="H249" s="7"/>
      <c r="I249" s="7"/>
      <c r="K249" s="24" t="s">
        <v>1328</v>
      </c>
      <c r="L249" s="25" t="s">
        <v>1329</v>
      </c>
      <c r="M249" s="19"/>
      <c r="N249" s="19"/>
      <c r="O249" s="19"/>
      <c r="P249" s="19"/>
      <c r="Q249" s="19" t="str">
        <f>IF(AND(ISNUMBER(MATCH(M249,{"F","E","D","D+","C","C+","B","B+","A","A+","S"},0)),ISNUMBER(MATCH(N250,{"F","E","D","D+","C","C+","B","B+","A","A+","S"},0)),ISNUMBER(MATCH(O251,{"F","E","D","D+","C","C+","B","B+","A","A+","S"},0)),ISNUMBER(MATCH(P252,{"F","E","D","D+","C","C+","B","B+","A","A+","S"},0))),LOOKUP(AVERAGE(_xlfn.SWITCH(M253,"F",0,"E",10,"D",20,"D+",30,"C",40,"C+",50,"B",60,"B+",70,"A",80,"A+",90,"S",100),_xlfn.SWITCH(N254,"F",0,"E",10,"D",20,"D+",30,"C",40,"C+",50,"B",60,"B+",70,"A",80,"A+",90,"S",100),_xlfn.SWITCH(O255,"F",0,"E",10,"D",20,"D+",30,"C",40,"C+",50,"B",60,"B+",70,"A",80,"A+",90,"S",100),_xlfn.SWITCH(P256,"F",0,"E",10,"D",20,"D+",30,"C",40,"C+",50,"B",60,"B+",70,"A",80,"A+",90,"S",100)),{0,15,25,35,45,55,65,75,85,95},{"D","D","D+","C","C+","B","B+","A","A+","S"}),"?")</f>
        <v>?</v>
      </c>
    </row>
    <row r="250" spans="1:17">
      <c r="A250" s="5" t="s">
        <v>1330</v>
      </c>
      <c r="B250" s="5" t="s">
        <v>1102</v>
      </c>
      <c r="C250" s="13"/>
      <c r="D250" s="13"/>
      <c r="E250" s="13"/>
      <c r="F250" s="13"/>
      <c r="G250" s="13"/>
      <c r="H250" s="7"/>
      <c r="I250" s="7"/>
      <c r="K250" s="24" t="s">
        <v>988</v>
      </c>
      <c r="L250" s="25" t="s">
        <v>989</v>
      </c>
      <c r="M250" s="19"/>
      <c r="N250" s="19"/>
      <c r="O250" s="19"/>
      <c r="P250" s="19"/>
      <c r="Q250" s="19" t="str">
        <f>IF(AND(ISNUMBER(MATCH(M250,{"F","E","D","D+","C","C+","B","B+","A","A+","S"},0)),ISNUMBER(MATCH(N251,{"F","E","D","D+","C","C+","B","B+","A","A+","S"},0)),ISNUMBER(MATCH(O252,{"F","E","D","D+","C","C+","B","B+","A","A+","S"},0)),ISNUMBER(MATCH(P253,{"F","E","D","D+","C","C+","B","B+","A","A+","S"},0))),LOOKUP(AVERAGE(_xlfn.SWITCH(M254,"F",0,"E",10,"D",20,"D+",30,"C",40,"C+",50,"B",60,"B+",70,"A",80,"A+",90,"S",100),_xlfn.SWITCH(N255,"F",0,"E",10,"D",20,"D+",30,"C",40,"C+",50,"B",60,"B+",70,"A",80,"A+",90,"S",100),_xlfn.SWITCH(O256,"F",0,"E",10,"D",20,"D+",30,"C",40,"C+",50,"B",60,"B+",70,"A",80,"A+",90,"S",100),_xlfn.SWITCH(P257,"F",0,"E",10,"D",20,"D+",30,"C",40,"C+",50,"B",60,"B+",70,"A",80,"A+",90,"S",100)),{0,15,25,35,45,55,65,75,85,95},{"D","D","D+","C","C+","B","B+","A","A+","S"}),"?")</f>
        <v>?</v>
      </c>
    </row>
    <row r="251" spans="1:17">
      <c r="A251" s="5" t="s">
        <v>1331</v>
      </c>
      <c r="B251" s="5" t="s">
        <v>1332</v>
      </c>
      <c r="C251" s="13"/>
      <c r="D251" s="13"/>
      <c r="E251" s="13"/>
      <c r="F251" s="13"/>
      <c r="G251" s="13"/>
      <c r="H251" s="7"/>
      <c r="I251" s="7"/>
      <c r="K251" s="24" t="s">
        <v>1333</v>
      </c>
      <c r="L251" s="25" t="s">
        <v>1334</v>
      </c>
      <c r="M251" s="19"/>
      <c r="N251" s="19"/>
      <c r="O251" s="19"/>
      <c r="P251" s="19"/>
      <c r="Q251" s="19" t="str">
        <f>IF(AND(ISNUMBER(MATCH(M251,{"F","E","D","D+","C","C+","B","B+","A","A+","S"},0)),ISNUMBER(MATCH(N252,{"F","E","D","D+","C","C+","B","B+","A","A+","S"},0)),ISNUMBER(MATCH(O253,{"F","E","D","D+","C","C+","B","B+","A","A+","S"},0)),ISNUMBER(MATCH(P254,{"F","E","D","D+","C","C+","B","B+","A","A+","S"},0))),LOOKUP(AVERAGE(_xlfn.SWITCH(M255,"F",0,"E",10,"D",20,"D+",30,"C",40,"C+",50,"B",60,"B+",70,"A",80,"A+",90,"S",100),_xlfn.SWITCH(N256,"F",0,"E",10,"D",20,"D+",30,"C",40,"C+",50,"B",60,"B+",70,"A",80,"A+",90,"S",100),_xlfn.SWITCH(O257,"F",0,"E",10,"D",20,"D+",30,"C",40,"C+",50,"B",60,"B+",70,"A",80,"A+",90,"S",100),_xlfn.SWITCH(P258,"F",0,"E",10,"D",20,"D+",30,"C",40,"C+",50,"B",60,"B+",70,"A",80,"A+",90,"S",100)),{0,15,25,35,45,55,65,75,85,95},{"D","D","D+","C","C+","B","B+","A","A+","S"}),"?")</f>
        <v>?</v>
      </c>
    </row>
    <row r="252" spans="1:17">
      <c r="A252" s="5" t="s">
        <v>1336</v>
      </c>
      <c r="B252" s="5" t="s">
        <v>1168</v>
      </c>
      <c r="C252" s="13"/>
      <c r="D252" s="13"/>
      <c r="E252" s="13"/>
      <c r="F252" s="13"/>
      <c r="G252" s="13"/>
      <c r="H252" s="7"/>
      <c r="I252" s="7"/>
      <c r="K252" s="24" t="s">
        <v>1337</v>
      </c>
      <c r="L252" s="25" t="s">
        <v>1338</v>
      </c>
      <c r="M252" s="19"/>
      <c r="N252" s="19"/>
      <c r="O252" s="19"/>
      <c r="P252" s="19"/>
      <c r="Q252" s="19" t="str">
        <f>IF(AND(ISNUMBER(MATCH(M252,{"F","E","D","D+","C","C+","B","B+","A","A+","S"},0)),ISNUMBER(MATCH(N253,{"F","E","D","D+","C","C+","B","B+","A","A+","S"},0)),ISNUMBER(MATCH(O254,{"F","E","D","D+","C","C+","B","B+","A","A+","S"},0)),ISNUMBER(MATCH(P255,{"F","E","D","D+","C","C+","B","B+","A","A+","S"},0))),LOOKUP(AVERAGE(_xlfn.SWITCH(M256,"F",0,"E",10,"D",20,"D+",30,"C",40,"C+",50,"B",60,"B+",70,"A",80,"A+",90,"S",100),_xlfn.SWITCH(N257,"F",0,"E",10,"D",20,"D+",30,"C",40,"C+",50,"B",60,"B+",70,"A",80,"A+",90,"S",100),_xlfn.SWITCH(O258,"F",0,"E",10,"D",20,"D+",30,"C",40,"C+",50,"B",60,"B+",70,"A",80,"A+",90,"S",100),_xlfn.SWITCH(P259,"F",0,"E",10,"D",20,"D+",30,"C",40,"C+",50,"B",60,"B+",70,"A",80,"A+",90,"S",100)),{0,15,25,35,45,55,65,75,85,95},{"D","D","D+","C","C+","B","B+","A","A+","S"}),"?")</f>
        <v>?</v>
      </c>
    </row>
    <row r="253" spans="1:17">
      <c r="A253" s="5" t="s">
        <v>1339</v>
      </c>
      <c r="B253" s="23" t="s">
        <v>1340</v>
      </c>
      <c r="C253" s="13"/>
      <c r="D253" s="13"/>
      <c r="E253" s="13"/>
      <c r="F253" s="13"/>
      <c r="G253" s="13"/>
      <c r="H253" s="7"/>
      <c r="I253" s="7"/>
      <c r="K253" s="24" t="s">
        <v>1341</v>
      </c>
      <c r="L253" s="25" t="s">
        <v>1342</v>
      </c>
      <c r="M253" s="19"/>
      <c r="N253" s="19"/>
      <c r="O253" s="19"/>
      <c r="P253" s="19"/>
      <c r="Q253" s="19" t="str">
        <f>IF(AND(ISNUMBER(MATCH(M253,{"F","E","D","D+","C","C+","B","B+","A","A+","S"},0)),ISNUMBER(MATCH(N254,{"F","E","D","D+","C","C+","B","B+","A","A+","S"},0)),ISNUMBER(MATCH(O255,{"F","E","D","D+","C","C+","B","B+","A","A+","S"},0)),ISNUMBER(MATCH(P256,{"F","E","D","D+","C","C+","B","B+","A","A+","S"},0))),LOOKUP(AVERAGE(_xlfn.SWITCH(M257,"F",0,"E",10,"D",20,"D+",30,"C",40,"C+",50,"B",60,"B+",70,"A",80,"A+",90,"S",100),_xlfn.SWITCH(N258,"F",0,"E",10,"D",20,"D+",30,"C",40,"C+",50,"B",60,"B+",70,"A",80,"A+",90,"S",100),_xlfn.SWITCH(O259,"F",0,"E",10,"D",20,"D+",30,"C",40,"C+",50,"B",60,"B+",70,"A",80,"A+",90,"S",100),_xlfn.SWITCH(P260,"F",0,"E",10,"D",20,"D+",30,"C",40,"C+",50,"B",60,"B+",70,"A",80,"A+",90,"S",100)),{0,15,25,35,45,55,65,75,85,95},{"D","D","D+","C","C+","B","B+","A","A+","S"}),"?")</f>
        <v>?</v>
      </c>
    </row>
    <row r="254" spans="1:17">
      <c r="A254" s="5" t="s">
        <v>1343</v>
      </c>
      <c r="B254" s="5" t="s">
        <v>1063</v>
      </c>
      <c r="C254" s="13"/>
      <c r="D254" s="13"/>
      <c r="E254" s="13"/>
      <c r="F254" s="13"/>
      <c r="G254" s="13"/>
      <c r="H254" s="7"/>
      <c r="I254" s="7"/>
      <c r="K254" s="24" t="s">
        <v>1344</v>
      </c>
      <c r="L254" s="25" t="s">
        <v>1345</v>
      </c>
      <c r="M254" s="19"/>
      <c r="N254" s="19"/>
      <c r="O254" s="19"/>
      <c r="P254" s="19"/>
      <c r="Q254" s="19" t="str">
        <f>IF(AND(ISNUMBER(MATCH(M254,{"F","E","D","D+","C","C+","B","B+","A","A+","S"},0)),ISNUMBER(MATCH(N255,{"F","E","D","D+","C","C+","B","B+","A","A+","S"},0)),ISNUMBER(MATCH(O256,{"F","E","D","D+","C","C+","B","B+","A","A+","S"},0)),ISNUMBER(MATCH(P257,{"F","E","D","D+","C","C+","B","B+","A","A+","S"},0))),LOOKUP(AVERAGE(_xlfn.SWITCH(M258,"F",0,"E",10,"D",20,"D+",30,"C",40,"C+",50,"B",60,"B+",70,"A",80,"A+",90,"S",100),_xlfn.SWITCH(N259,"F",0,"E",10,"D",20,"D+",30,"C",40,"C+",50,"B",60,"B+",70,"A",80,"A+",90,"S",100),_xlfn.SWITCH(O260,"F",0,"E",10,"D",20,"D+",30,"C",40,"C+",50,"B",60,"B+",70,"A",80,"A+",90,"S",100),_xlfn.SWITCH(P261,"F",0,"E",10,"D",20,"D+",30,"C",40,"C+",50,"B",60,"B+",70,"A",80,"A+",90,"S",100)),{0,15,25,35,45,55,65,75,85,95},{"D","D","D+","C","C+","B","B+","A","A+","S"}),"?")</f>
        <v>?</v>
      </c>
    </row>
    <row r="255" spans="1:17">
      <c r="A255" s="5" t="s">
        <v>1346</v>
      </c>
      <c r="B255" s="5" t="s">
        <v>1347</v>
      </c>
      <c r="C255" s="13"/>
      <c r="D255" s="13"/>
      <c r="E255" s="13"/>
      <c r="F255" s="13"/>
      <c r="G255" s="13"/>
      <c r="H255" s="7"/>
      <c r="I255" s="7"/>
      <c r="K255" s="24" t="s">
        <v>1348</v>
      </c>
      <c r="L255" s="25" t="s">
        <v>1349</v>
      </c>
      <c r="M255" s="19"/>
      <c r="N255" s="19"/>
      <c r="O255" s="19"/>
      <c r="P255" s="19"/>
      <c r="Q255" s="19" t="str">
        <f>IF(AND(ISNUMBER(MATCH(M255,{"F","E","D","D+","C","C+","B","B+","A","A+","S"},0)),ISNUMBER(MATCH(N256,{"F","E","D","D+","C","C+","B","B+","A","A+","S"},0)),ISNUMBER(MATCH(O257,{"F","E","D","D+","C","C+","B","B+","A","A+","S"},0)),ISNUMBER(MATCH(P258,{"F","E","D","D+","C","C+","B","B+","A","A+","S"},0))),LOOKUP(AVERAGE(_xlfn.SWITCH(M259,"F",0,"E",10,"D",20,"D+",30,"C",40,"C+",50,"B",60,"B+",70,"A",80,"A+",90,"S",100),_xlfn.SWITCH(N260,"F",0,"E",10,"D",20,"D+",30,"C",40,"C+",50,"B",60,"B+",70,"A",80,"A+",90,"S",100),_xlfn.SWITCH(O261,"F",0,"E",10,"D",20,"D+",30,"C",40,"C+",50,"B",60,"B+",70,"A",80,"A+",90,"S",100),_xlfn.SWITCH(P262,"F",0,"E",10,"D",20,"D+",30,"C",40,"C+",50,"B",60,"B+",70,"A",80,"A+",90,"S",100)),{0,15,25,35,45,55,65,75,85,95},{"D","D","D+","C","C+","B","B+","A","A+","S"}),"?")</f>
        <v>?</v>
      </c>
    </row>
    <row r="256" spans="1:17">
      <c r="A256" s="5" t="s">
        <v>1350</v>
      </c>
      <c r="B256" s="5" t="s">
        <v>601</v>
      </c>
      <c r="C256" s="13"/>
      <c r="D256" s="13"/>
      <c r="E256" s="13"/>
      <c r="F256" s="13"/>
      <c r="G256" s="13"/>
      <c r="H256" s="7"/>
      <c r="I256" s="7"/>
      <c r="K256" s="24" t="s">
        <v>927</v>
      </c>
      <c r="L256" s="25" t="s">
        <v>928</v>
      </c>
      <c r="M256" s="19"/>
      <c r="N256" s="19"/>
      <c r="O256" s="19"/>
      <c r="P256" s="19"/>
      <c r="Q256" s="19" t="str">
        <f>IF(AND(ISNUMBER(MATCH(M256,{"F","E","D","D+","C","C+","B","B+","A","A+","S"},0)),ISNUMBER(MATCH(N257,{"F","E","D","D+","C","C+","B","B+","A","A+","S"},0)),ISNUMBER(MATCH(O258,{"F","E","D","D+","C","C+","B","B+","A","A+","S"},0)),ISNUMBER(MATCH(P259,{"F","E","D","D+","C","C+","B","B+","A","A+","S"},0))),LOOKUP(AVERAGE(_xlfn.SWITCH(M260,"F",0,"E",10,"D",20,"D+",30,"C",40,"C+",50,"B",60,"B+",70,"A",80,"A+",90,"S",100),_xlfn.SWITCH(N261,"F",0,"E",10,"D",20,"D+",30,"C",40,"C+",50,"B",60,"B+",70,"A",80,"A+",90,"S",100),_xlfn.SWITCH(O262,"F",0,"E",10,"D",20,"D+",30,"C",40,"C+",50,"B",60,"B+",70,"A",80,"A+",90,"S",100),_xlfn.SWITCH(P263,"F",0,"E",10,"D",20,"D+",30,"C",40,"C+",50,"B",60,"B+",70,"A",80,"A+",90,"S",100)),{0,15,25,35,45,55,65,75,85,95},{"D","D","D+","C","C+","B","B+","A","A+","S"}),"?")</f>
        <v>?</v>
      </c>
    </row>
    <row r="257" spans="1:17">
      <c r="A257" s="5" t="s">
        <v>1351</v>
      </c>
      <c r="B257" s="5" t="s">
        <v>1352</v>
      </c>
      <c r="C257" s="13"/>
      <c r="D257" s="13"/>
      <c r="E257" s="13"/>
      <c r="F257" s="13"/>
      <c r="G257" s="13"/>
      <c r="H257" s="7"/>
      <c r="I257" s="7"/>
      <c r="K257" s="24" t="s">
        <v>1353</v>
      </c>
      <c r="L257" s="25" t="s">
        <v>1354</v>
      </c>
      <c r="M257" s="19"/>
      <c r="N257" s="19"/>
      <c r="O257" s="19"/>
      <c r="P257" s="19"/>
      <c r="Q257" s="19" t="str">
        <f>IF(AND(ISNUMBER(MATCH(M257,{"F","E","D","D+","C","C+","B","B+","A","A+","S"},0)),ISNUMBER(MATCH(N258,{"F","E","D","D+","C","C+","B","B+","A","A+","S"},0)),ISNUMBER(MATCH(O259,{"F","E","D","D+","C","C+","B","B+","A","A+","S"},0)),ISNUMBER(MATCH(P260,{"F","E","D","D+","C","C+","B","B+","A","A+","S"},0))),LOOKUP(AVERAGE(_xlfn.SWITCH(M261,"F",0,"E",10,"D",20,"D+",30,"C",40,"C+",50,"B",60,"B+",70,"A",80,"A+",90,"S",100),_xlfn.SWITCH(N262,"F",0,"E",10,"D",20,"D+",30,"C",40,"C+",50,"B",60,"B+",70,"A",80,"A+",90,"S",100),_xlfn.SWITCH(O263,"F",0,"E",10,"D",20,"D+",30,"C",40,"C+",50,"B",60,"B+",70,"A",80,"A+",90,"S",100),_xlfn.SWITCH(P264,"F",0,"E",10,"D",20,"D+",30,"C",40,"C+",50,"B",60,"B+",70,"A",80,"A+",90,"S",100)),{0,15,25,35,45,55,65,75,85,95},{"D","D","D+","C","C+","B","B+","A","A+","S"}),"?")</f>
        <v>?</v>
      </c>
    </row>
    <row r="258" spans="1:17">
      <c r="A258" s="5" t="s">
        <v>1355</v>
      </c>
      <c r="B258" s="5" t="s">
        <v>1356</v>
      </c>
      <c r="C258" s="13"/>
      <c r="D258" s="13"/>
      <c r="E258" s="13"/>
      <c r="F258" s="13"/>
      <c r="G258" s="13"/>
      <c r="H258" s="7"/>
      <c r="I258" s="7"/>
      <c r="K258" s="24" t="s">
        <v>886</v>
      </c>
      <c r="L258" s="25" t="s">
        <v>887</v>
      </c>
      <c r="M258" s="19"/>
      <c r="N258" s="19"/>
      <c r="O258" s="19"/>
      <c r="P258" s="19"/>
      <c r="Q258" s="19" t="str">
        <f>IF(AND(ISNUMBER(MATCH(M258,{"F","E","D","D+","C","C+","B","B+","A","A+","S"},0)),ISNUMBER(MATCH(N259,{"F","E","D","D+","C","C+","B","B+","A","A+","S"},0)),ISNUMBER(MATCH(O260,{"F","E","D","D+","C","C+","B","B+","A","A+","S"},0)),ISNUMBER(MATCH(P261,{"F","E","D","D+","C","C+","B","B+","A","A+","S"},0))),LOOKUP(AVERAGE(_xlfn.SWITCH(M262,"F",0,"E",10,"D",20,"D+",30,"C",40,"C+",50,"B",60,"B+",70,"A",80,"A+",90,"S",100),_xlfn.SWITCH(N263,"F",0,"E",10,"D",20,"D+",30,"C",40,"C+",50,"B",60,"B+",70,"A",80,"A+",90,"S",100),_xlfn.SWITCH(O264,"F",0,"E",10,"D",20,"D+",30,"C",40,"C+",50,"B",60,"B+",70,"A",80,"A+",90,"S",100),_xlfn.SWITCH(P265,"F",0,"E",10,"D",20,"D+",30,"C",40,"C+",50,"B",60,"B+",70,"A",80,"A+",90,"S",100)),{0,15,25,35,45,55,65,75,85,95},{"D","D","D+","C","C+","B","B+","A","A+","S"}),"?")</f>
        <v>?</v>
      </c>
    </row>
    <row r="259" spans="1:17">
      <c r="A259" s="5" t="s">
        <v>1357</v>
      </c>
      <c r="B259" s="5" t="s">
        <v>1358</v>
      </c>
      <c r="C259" s="13"/>
      <c r="D259" s="13"/>
      <c r="E259" s="13"/>
      <c r="F259" s="13"/>
      <c r="G259" s="13"/>
      <c r="H259" s="7"/>
      <c r="I259" s="7"/>
      <c r="K259" s="24" t="s">
        <v>1359</v>
      </c>
      <c r="L259" s="25" t="s">
        <v>1360</v>
      </c>
      <c r="M259" s="19"/>
      <c r="N259" s="19"/>
      <c r="O259" s="19"/>
      <c r="P259" s="19"/>
      <c r="Q259" s="19" t="str">
        <f>IF(AND(ISNUMBER(MATCH(M259,{"F","E","D","D+","C","C+","B","B+","A","A+","S"},0)),ISNUMBER(MATCH(N260,{"F","E","D","D+","C","C+","B","B+","A","A+","S"},0)),ISNUMBER(MATCH(O261,{"F","E","D","D+","C","C+","B","B+","A","A+","S"},0)),ISNUMBER(MATCH(P262,{"F","E","D","D+","C","C+","B","B+","A","A+","S"},0))),LOOKUP(AVERAGE(_xlfn.SWITCH(M263,"F",0,"E",10,"D",20,"D+",30,"C",40,"C+",50,"B",60,"B+",70,"A",80,"A+",90,"S",100),_xlfn.SWITCH(N264,"F",0,"E",10,"D",20,"D+",30,"C",40,"C+",50,"B",60,"B+",70,"A",80,"A+",90,"S",100),_xlfn.SWITCH(O265,"F",0,"E",10,"D",20,"D+",30,"C",40,"C+",50,"B",60,"B+",70,"A",80,"A+",90,"S",100),_xlfn.SWITCH(P266,"F",0,"E",10,"D",20,"D+",30,"C",40,"C+",50,"B",60,"B+",70,"A",80,"A+",90,"S",100)),{0,15,25,35,45,55,65,75,85,95},{"D","D","D+","C","C+","B","B+","A","A+","S"}),"?")</f>
        <v>?</v>
      </c>
    </row>
    <row r="260" spans="1:17">
      <c r="A260" s="5" t="s">
        <v>1361</v>
      </c>
      <c r="B260" s="23" t="s">
        <v>1097</v>
      </c>
      <c r="C260" s="13"/>
      <c r="D260" s="13"/>
      <c r="E260" s="13"/>
      <c r="F260" s="13"/>
      <c r="G260" s="13"/>
      <c r="H260" s="7"/>
      <c r="I260" s="7"/>
      <c r="K260" s="24" t="s">
        <v>1362</v>
      </c>
      <c r="L260" s="25" t="s">
        <v>1363</v>
      </c>
      <c r="M260" s="19"/>
      <c r="N260" s="19"/>
      <c r="O260" s="19"/>
      <c r="P260" s="19"/>
      <c r="Q260" s="19" t="str">
        <f>IF(AND(ISNUMBER(MATCH(M260,{"F","E","D","D+","C","C+","B","B+","A","A+","S"},0)),ISNUMBER(MATCH(N261,{"F","E","D","D+","C","C+","B","B+","A","A+","S"},0)),ISNUMBER(MATCH(O262,{"F","E","D","D+","C","C+","B","B+","A","A+","S"},0)),ISNUMBER(MATCH(P263,{"F","E","D","D+","C","C+","B","B+","A","A+","S"},0))),LOOKUP(AVERAGE(_xlfn.SWITCH(M264,"F",0,"E",10,"D",20,"D+",30,"C",40,"C+",50,"B",60,"B+",70,"A",80,"A+",90,"S",100),_xlfn.SWITCH(N265,"F",0,"E",10,"D",20,"D+",30,"C",40,"C+",50,"B",60,"B+",70,"A",80,"A+",90,"S",100),_xlfn.SWITCH(O266,"F",0,"E",10,"D",20,"D+",30,"C",40,"C+",50,"B",60,"B+",70,"A",80,"A+",90,"S",100),_xlfn.SWITCH(P267,"F",0,"E",10,"D",20,"D+",30,"C",40,"C+",50,"B",60,"B+",70,"A",80,"A+",90,"S",100)),{0,15,25,35,45,55,65,75,85,95},{"D","D","D+","C","C+","B","B+","A","A+","S"}),"?")</f>
        <v>?</v>
      </c>
    </row>
    <row r="261" spans="1:17">
      <c r="A261" s="5" t="s">
        <v>1364</v>
      </c>
      <c r="B261" s="5" t="s">
        <v>1117</v>
      </c>
      <c r="C261" s="13"/>
      <c r="D261" s="13"/>
      <c r="E261" s="13"/>
      <c r="F261" s="13"/>
      <c r="G261" s="13"/>
      <c r="H261" s="7"/>
      <c r="I261" s="7"/>
      <c r="K261" s="24" t="s">
        <v>1365</v>
      </c>
      <c r="L261" s="25" t="s">
        <v>1366</v>
      </c>
      <c r="M261" s="19"/>
      <c r="N261" s="19"/>
      <c r="O261" s="19"/>
      <c r="P261" s="19"/>
      <c r="Q261" s="19" t="str">
        <f>IF(AND(ISNUMBER(MATCH(M261,{"F","E","D","D+","C","C+","B","B+","A","A+","S"},0)),ISNUMBER(MATCH(N262,{"F","E","D","D+","C","C+","B","B+","A","A+","S"},0)),ISNUMBER(MATCH(O263,{"F","E","D","D+","C","C+","B","B+","A","A+","S"},0)),ISNUMBER(MATCH(P264,{"F","E","D","D+","C","C+","B","B+","A","A+","S"},0))),LOOKUP(AVERAGE(_xlfn.SWITCH(M265,"F",0,"E",10,"D",20,"D+",30,"C",40,"C+",50,"B",60,"B+",70,"A",80,"A+",90,"S",100),_xlfn.SWITCH(N266,"F",0,"E",10,"D",20,"D+",30,"C",40,"C+",50,"B",60,"B+",70,"A",80,"A+",90,"S",100),_xlfn.SWITCH(O267,"F",0,"E",10,"D",20,"D+",30,"C",40,"C+",50,"B",60,"B+",70,"A",80,"A+",90,"S",100),_xlfn.SWITCH(P268,"F",0,"E",10,"D",20,"D+",30,"C",40,"C+",50,"B",60,"B+",70,"A",80,"A+",90,"S",100)),{0,15,25,35,45,55,65,75,85,95},{"D","D","D+","C","C+","B","B+","A","A+","S"}),"?")</f>
        <v>?</v>
      </c>
    </row>
    <row r="262" spans="1:17">
      <c r="A262" s="5" t="s">
        <v>1367</v>
      </c>
      <c r="B262" s="5" t="s">
        <v>1368</v>
      </c>
      <c r="C262" s="13"/>
      <c r="D262" s="13"/>
      <c r="E262" s="13"/>
      <c r="F262" s="13"/>
      <c r="G262" s="13"/>
      <c r="H262" s="7"/>
      <c r="I262" s="7"/>
      <c r="K262" s="24" t="s">
        <v>979</v>
      </c>
      <c r="L262" s="25" t="s">
        <v>980</v>
      </c>
      <c r="M262" s="19"/>
      <c r="N262" s="19"/>
      <c r="O262" s="19"/>
      <c r="P262" s="19"/>
      <c r="Q262" s="19" t="str">
        <f>IF(AND(ISNUMBER(MATCH(M262,{"F","E","D","D+","C","C+","B","B+","A","A+","S"},0)),ISNUMBER(MATCH(N263,{"F","E","D","D+","C","C+","B","B+","A","A+","S"},0)),ISNUMBER(MATCH(O264,{"F","E","D","D+","C","C+","B","B+","A","A+","S"},0)),ISNUMBER(MATCH(P265,{"F","E","D","D+","C","C+","B","B+","A","A+","S"},0))),LOOKUP(AVERAGE(_xlfn.SWITCH(M266,"F",0,"E",10,"D",20,"D+",30,"C",40,"C+",50,"B",60,"B+",70,"A",80,"A+",90,"S",100),_xlfn.SWITCH(N267,"F",0,"E",10,"D",20,"D+",30,"C",40,"C+",50,"B",60,"B+",70,"A",80,"A+",90,"S",100),_xlfn.SWITCH(O268,"F",0,"E",10,"D",20,"D+",30,"C",40,"C+",50,"B",60,"B+",70,"A",80,"A+",90,"S",100),_xlfn.SWITCH(P269,"F",0,"E",10,"D",20,"D+",30,"C",40,"C+",50,"B",60,"B+",70,"A",80,"A+",90,"S",100)),{0,15,25,35,45,55,65,75,85,95},{"D","D","D+","C","C+","B","B+","A","A+","S"}),"?")</f>
        <v>?</v>
      </c>
    </row>
    <row r="263" spans="1:17">
      <c r="A263" s="5" t="s">
        <v>1369</v>
      </c>
      <c r="B263" s="5" t="s">
        <v>1370</v>
      </c>
      <c r="C263" s="13"/>
      <c r="D263" s="13"/>
      <c r="E263" s="13"/>
      <c r="F263" s="13"/>
      <c r="G263" s="13"/>
      <c r="H263" s="7"/>
      <c r="I263" s="7"/>
      <c r="K263" s="24" t="s">
        <v>1371</v>
      </c>
      <c r="L263" s="25" t="s">
        <v>1372</v>
      </c>
      <c r="M263" s="19"/>
      <c r="N263" s="19"/>
      <c r="O263" s="19"/>
      <c r="P263" s="19"/>
      <c r="Q263" s="19" t="str">
        <f>IF(AND(ISNUMBER(MATCH(M263,{"F","E","D","D+","C","C+","B","B+","A","A+","S"},0)),ISNUMBER(MATCH(N264,{"F","E","D","D+","C","C+","B","B+","A","A+","S"},0)),ISNUMBER(MATCH(O265,{"F","E","D","D+","C","C+","B","B+","A","A+","S"},0)),ISNUMBER(MATCH(P266,{"F","E","D","D+","C","C+","B","B+","A","A+","S"},0))),LOOKUP(AVERAGE(_xlfn.SWITCH(M267,"F",0,"E",10,"D",20,"D+",30,"C",40,"C+",50,"B",60,"B+",70,"A",80,"A+",90,"S",100),_xlfn.SWITCH(N268,"F",0,"E",10,"D",20,"D+",30,"C",40,"C+",50,"B",60,"B+",70,"A",80,"A+",90,"S",100),_xlfn.SWITCH(O269,"F",0,"E",10,"D",20,"D+",30,"C",40,"C+",50,"B",60,"B+",70,"A",80,"A+",90,"S",100),_xlfn.SWITCH(P270,"F",0,"E",10,"D",20,"D+",30,"C",40,"C+",50,"B",60,"B+",70,"A",80,"A+",90,"S",100)),{0,15,25,35,45,55,65,75,85,95},{"D","D","D+","C","C+","B","B+","A","A+","S"}),"?")</f>
        <v>?</v>
      </c>
    </row>
    <row r="264" spans="1:17">
      <c r="A264" s="5" t="s">
        <v>1373</v>
      </c>
      <c r="B264" s="5" t="s">
        <v>1180</v>
      </c>
      <c r="C264" s="13"/>
      <c r="D264" s="13"/>
      <c r="E264" s="13"/>
      <c r="F264" s="13"/>
      <c r="G264" s="13"/>
      <c r="H264" s="7"/>
      <c r="I264" s="7"/>
      <c r="K264" s="24" t="s">
        <v>1374</v>
      </c>
      <c r="L264" s="25" t="s">
        <v>1375</v>
      </c>
      <c r="M264" s="19"/>
      <c r="N264" s="19"/>
      <c r="O264" s="19"/>
      <c r="P264" s="19"/>
      <c r="Q264" s="19" t="str">
        <f>IF(AND(ISNUMBER(MATCH(M264,{"F","E","D","D+","C","C+","B","B+","A","A+","S"},0)),ISNUMBER(MATCH(N265,{"F","E","D","D+","C","C+","B","B+","A","A+","S"},0)),ISNUMBER(MATCH(O266,{"F","E","D","D+","C","C+","B","B+","A","A+","S"},0)),ISNUMBER(MATCH(P267,{"F","E","D","D+","C","C+","B","B+","A","A+","S"},0))),LOOKUP(AVERAGE(_xlfn.SWITCH(M268,"F",0,"E",10,"D",20,"D+",30,"C",40,"C+",50,"B",60,"B+",70,"A",80,"A+",90,"S",100),_xlfn.SWITCH(N269,"F",0,"E",10,"D",20,"D+",30,"C",40,"C+",50,"B",60,"B+",70,"A",80,"A+",90,"S",100),_xlfn.SWITCH(O270,"F",0,"E",10,"D",20,"D+",30,"C",40,"C+",50,"B",60,"B+",70,"A",80,"A+",90,"S",100),_xlfn.SWITCH(P271,"F",0,"E",10,"D",20,"D+",30,"C",40,"C+",50,"B",60,"B+",70,"A",80,"A+",90,"S",100)),{0,15,25,35,45,55,65,75,85,95},{"D","D","D+","C","C+","B","B+","A","A+","S"}),"?")</f>
        <v>?</v>
      </c>
    </row>
    <row r="265" spans="1:17">
      <c r="A265" s="5" t="s">
        <v>1376</v>
      </c>
      <c r="B265" s="5" t="s">
        <v>1143</v>
      </c>
      <c r="C265" s="13"/>
      <c r="D265" s="13"/>
      <c r="E265" s="13"/>
      <c r="F265" s="13"/>
      <c r="G265" s="13"/>
      <c r="H265" s="7"/>
      <c r="I265" s="7"/>
      <c r="K265" s="24" t="s">
        <v>1377</v>
      </c>
      <c r="L265" s="25" t="s">
        <v>1378</v>
      </c>
      <c r="M265" s="19"/>
      <c r="N265" s="19"/>
      <c r="O265" s="19"/>
      <c r="P265" s="19"/>
      <c r="Q265" s="19" t="str">
        <f>IF(AND(ISNUMBER(MATCH(M265,{"F","E","D","D+","C","C+","B","B+","A","A+","S"},0)),ISNUMBER(MATCH(N266,{"F","E","D","D+","C","C+","B","B+","A","A+","S"},0)),ISNUMBER(MATCH(O267,{"F","E","D","D+","C","C+","B","B+","A","A+","S"},0)),ISNUMBER(MATCH(P268,{"F","E","D","D+","C","C+","B","B+","A","A+","S"},0))),LOOKUP(AVERAGE(_xlfn.SWITCH(M269,"F",0,"E",10,"D",20,"D+",30,"C",40,"C+",50,"B",60,"B+",70,"A",80,"A+",90,"S",100),_xlfn.SWITCH(N270,"F",0,"E",10,"D",20,"D+",30,"C",40,"C+",50,"B",60,"B+",70,"A",80,"A+",90,"S",100),_xlfn.SWITCH(O271,"F",0,"E",10,"D",20,"D+",30,"C",40,"C+",50,"B",60,"B+",70,"A",80,"A+",90,"S",100),_xlfn.SWITCH(P272,"F",0,"E",10,"D",20,"D+",30,"C",40,"C+",50,"B",60,"B+",70,"A",80,"A+",90,"S",100)),{0,15,25,35,45,55,65,75,85,95},{"D","D","D+","C","C+","B","B+","A","A+","S"}),"?")</f>
        <v>?</v>
      </c>
    </row>
    <row r="266" spans="1:17">
      <c r="A266" s="5" t="s">
        <v>1379</v>
      </c>
      <c r="B266" s="5" t="s">
        <v>1380</v>
      </c>
      <c r="C266" s="13"/>
      <c r="D266" s="13"/>
      <c r="E266" s="13"/>
      <c r="F266" s="13"/>
      <c r="G266" s="13"/>
      <c r="H266" s="7"/>
      <c r="I266" s="7"/>
      <c r="K266" s="24" t="s">
        <v>1027</v>
      </c>
      <c r="L266" s="25" t="s">
        <v>1028</v>
      </c>
      <c r="M266" s="19"/>
      <c r="N266" s="19"/>
      <c r="O266" s="19"/>
      <c r="P266" s="19"/>
      <c r="Q266" s="19" t="str">
        <f>IF(AND(ISNUMBER(MATCH(M266,{"F","E","D","D+","C","C+","B","B+","A","A+","S"},0)),ISNUMBER(MATCH(N267,{"F","E","D","D+","C","C+","B","B+","A","A+","S"},0)),ISNUMBER(MATCH(O268,{"F","E","D","D+","C","C+","B","B+","A","A+","S"},0)),ISNUMBER(MATCH(P269,{"F","E","D","D+","C","C+","B","B+","A","A+","S"},0))),LOOKUP(AVERAGE(_xlfn.SWITCH(M270,"F",0,"E",10,"D",20,"D+",30,"C",40,"C+",50,"B",60,"B+",70,"A",80,"A+",90,"S",100),_xlfn.SWITCH(N271,"F",0,"E",10,"D",20,"D+",30,"C",40,"C+",50,"B",60,"B+",70,"A",80,"A+",90,"S",100),_xlfn.SWITCH(O272,"F",0,"E",10,"D",20,"D+",30,"C",40,"C+",50,"B",60,"B+",70,"A",80,"A+",90,"S",100),_xlfn.SWITCH(P273,"F",0,"E",10,"D",20,"D+",30,"C",40,"C+",50,"B",60,"B+",70,"A",80,"A+",90,"S",100)),{0,15,25,35,45,55,65,75,85,95},{"D","D","D+","C","C+","B","B+","A","A+","S"}),"?")</f>
        <v>?</v>
      </c>
    </row>
    <row r="267" spans="1:17">
      <c r="A267" s="5" t="s">
        <v>1381</v>
      </c>
      <c r="B267" s="5" t="s">
        <v>1039</v>
      </c>
      <c r="C267" s="13"/>
      <c r="D267" s="13"/>
      <c r="E267" s="13"/>
      <c r="F267" s="13"/>
      <c r="G267" s="13"/>
      <c r="H267" s="7"/>
      <c r="I267" s="7"/>
      <c r="K267" s="24" t="s">
        <v>962</v>
      </c>
      <c r="L267" s="25" t="s">
        <v>963</v>
      </c>
      <c r="M267" s="19"/>
      <c r="N267" s="19"/>
      <c r="O267" s="19"/>
      <c r="P267" s="19"/>
      <c r="Q267" s="19" t="str">
        <f>IF(AND(ISNUMBER(MATCH(M267,{"F","E","D","D+","C","C+","B","B+","A","A+","S"},0)),ISNUMBER(MATCH(N268,{"F","E","D","D+","C","C+","B","B+","A","A+","S"},0)),ISNUMBER(MATCH(O269,{"F","E","D","D+","C","C+","B","B+","A","A+","S"},0)),ISNUMBER(MATCH(P270,{"F","E","D","D+","C","C+","B","B+","A","A+","S"},0))),LOOKUP(AVERAGE(_xlfn.SWITCH(M271,"F",0,"E",10,"D",20,"D+",30,"C",40,"C+",50,"B",60,"B+",70,"A",80,"A+",90,"S",100),_xlfn.SWITCH(N272,"F",0,"E",10,"D",20,"D+",30,"C",40,"C+",50,"B",60,"B+",70,"A",80,"A+",90,"S",100),_xlfn.SWITCH(O273,"F",0,"E",10,"D",20,"D+",30,"C",40,"C+",50,"B",60,"B+",70,"A",80,"A+",90,"S",100),_xlfn.SWITCH(P274,"F",0,"E",10,"D",20,"D+",30,"C",40,"C+",50,"B",60,"B+",70,"A",80,"A+",90,"S",100)),{0,15,25,35,45,55,65,75,85,95},{"D","D","D+","C","C+","B","B+","A","A+","S"}),"?")</f>
        <v>?</v>
      </c>
    </row>
    <row r="268" spans="1:17">
      <c r="A268" s="5" t="s">
        <v>1382</v>
      </c>
      <c r="B268" s="5" t="s">
        <v>1213</v>
      </c>
      <c r="C268" s="13"/>
      <c r="D268" s="13"/>
      <c r="E268" s="13"/>
      <c r="F268" s="13"/>
      <c r="G268" s="13"/>
      <c r="H268" s="7"/>
      <c r="I268" s="7"/>
      <c r="K268" s="24" t="s">
        <v>994</v>
      </c>
      <c r="L268" s="25" t="s">
        <v>995</v>
      </c>
      <c r="M268" s="19"/>
      <c r="N268" s="19"/>
      <c r="O268" s="19"/>
      <c r="P268" s="19"/>
      <c r="Q268" s="19" t="str">
        <f>IF(AND(ISNUMBER(MATCH(M268,{"F","E","D","D+","C","C+","B","B+","A","A+","S"},0)),ISNUMBER(MATCH(N269,{"F","E","D","D+","C","C+","B","B+","A","A+","S"},0)),ISNUMBER(MATCH(O270,{"F","E","D","D+","C","C+","B","B+","A","A+","S"},0)),ISNUMBER(MATCH(P271,{"F","E","D","D+","C","C+","B","B+","A","A+","S"},0))),LOOKUP(AVERAGE(_xlfn.SWITCH(M272,"F",0,"E",10,"D",20,"D+",30,"C",40,"C+",50,"B",60,"B+",70,"A",80,"A+",90,"S",100),_xlfn.SWITCH(N273,"F",0,"E",10,"D",20,"D+",30,"C",40,"C+",50,"B",60,"B+",70,"A",80,"A+",90,"S",100),_xlfn.SWITCH(O274,"F",0,"E",10,"D",20,"D+",30,"C",40,"C+",50,"B",60,"B+",70,"A",80,"A+",90,"S",100),_xlfn.SWITCH(P275,"F",0,"E",10,"D",20,"D+",30,"C",40,"C+",50,"B",60,"B+",70,"A",80,"A+",90,"S",100)),{0,15,25,35,45,55,65,75,85,95},{"D","D","D+","C","C+","B","B+","A","A+","S"}),"?")</f>
        <v>?</v>
      </c>
    </row>
    <row r="269" spans="1:17">
      <c r="A269" s="5" t="s">
        <v>1383</v>
      </c>
      <c r="B269" s="5" t="s">
        <v>1384</v>
      </c>
      <c r="C269" s="13"/>
      <c r="D269" s="13"/>
      <c r="E269" s="13"/>
      <c r="F269" s="13"/>
      <c r="G269" s="13"/>
      <c r="H269" s="7"/>
      <c r="I269" s="7"/>
      <c r="K269" s="24" t="s">
        <v>1385</v>
      </c>
      <c r="L269" s="25" t="s">
        <v>1386</v>
      </c>
      <c r="M269" s="19"/>
      <c r="N269" s="19"/>
      <c r="O269" s="19"/>
      <c r="P269" s="19"/>
      <c r="Q269" s="19" t="str">
        <f>IF(AND(ISNUMBER(MATCH(M269,{"F","E","D","D+","C","C+","B","B+","A","A+","S"},0)),ISNUMBER(MATCH(N270,{"F","E","D","D+","C","C+","B","B+","A","A+","S"},0)),ISNUMBER(MATCH(O271,{"F","E","D","D+","C","C+","B","B+","A","A+","S"},0)),ISNUMBER(MATCH(P272,{"F","E","D","D+","C","C+","B","B+","A","A+","S"},0))),LOOKUP(AVERAGE(_xlfn.SWITCH(M273,"F",0,"E",10,"D",20,"D+",30,"C",40,"C+",50,"B",60,"B+",70,"A",80,"A+",90,"S",100),_xlfn.SWITCH(N274,"F",0,"E",10,"D",20,"D+",30,"C",40,"C+",50,"B",60,"B+",70,"A",80,"A+",90,"S",100),_xlfn.SWITCH(O275,"F",0,"E",10,"D",20,"D+",30,"C",40,"C+",50,"B",60,"B+",70,"A",80,"A+",90,"S",100),_xlfn.SWITCH(P276,"F",0,"E",10,"D",20,"D+",30,"C",40,"C+",50,"B",60,"B+",70,"A",80,"A+",90,"S",100)),{0,15,25,35,45,55,65,75,85,95},{"D","D","D+","C","C+","B","B+","A","A+","S"}),"?")</f>
        <v>?</v>
      </c>
    </row>
    <row r="270" spans="1:17">
      <c r="A270" s="5"/>
      <c r="B270" s="5"/>
      <c r="C270" s="13"/>
      <c r="D270" s="13"/>
      <c r="E270" s="13"/>
      <c r="F270" s="13"/>
      <c r="G270" s="13"/>
      <c r="H270" s="7"/>
      <c r="I270" s="7"/>
      <c r="K270" s="24" t="s">
        <v>903</v>
      </c>
      <c r="L270" s="25" t="s">
        <v>904</v>
      </c>
      <c r="M270" s="19"/>
      <c r="N270" s="19"/>
      <c r="O270" s="19"/>
      <c r="P270" s="19"/>
      <c r="Q270" s="19" t="str">
        <f>IF(AND(ISNUMBER(MATCH(M270,{"F","E","D","D+","C","C+","B","B+","A","A+","S"},0)),ISNUMBER(MATCH(N270,{"F","E","D","D+","C","C+","B","B+","A","A+","S"},0)),ISNUMBER(MATCH(O270,{"F","E","D","D+","C","C+","B","B+","A","A+","S"},0)),ISNUMBER(MATCH(P270,{"F","E","D","D+","C","C+","B","B+","A","A+","S"},0))),LOOKUP(AVERAGE(_xlfn.SWITCH(M270,"F",0,"E",10,"D",20,"D+",30,"C",40,"C+",50,"B",60,"B+",70,"A",80,"A+",90,"S",100),_xlfn.SWITCH(N270,"F",0,"E",10,"D",20,"D+",30,"C",40,"C+",50,"B",60,"B+",70,"A",80,"A+",90,"S",100),_xlfn.SWITCH(O270,"F",0,"E",10,"D",20,"D+",30,"C",40,"C+",50,"B",60,"B+",70,"A",80,"A+",90,"S",100),_xlfn.SWITCH(P270,"F",0,"E",10,"D",20,"D+",30,"C",40,"C+",50,"B",60,"B+",70,"A",80,"A+",90,"S",100)),{0,15,25,35,45,55,65,75,85,95},{"D","D","D+","C","C+","B","B+","A","A+","S"}),"?")</f>
        <v>?</v>
      </c>
    </row>
    <row r="271" spans="1:17">
      <c r="A271" s="5"/>
      <c r="B271" s="5"/>
      <c r="C271" s="13"/>
      <c r="D271" s="13"/>
      <c r="E271" s="13"/>
      <c r="F271" s="13"/>
      <c r="G271" s="13"/>
      <c r="H271" s="7"/>
      <c r="I271" s="7"/>
      <c r="K271" s="24" t="s">
        <v>1387</v>
      </c>
      <c r="L271" s="25" t="s">
        <v>1388</v>
      </c>
      <c r="M271" s="19"/>
      <c r="N271" s="19"/>
      <c r="O271" s="19"/>
      <c r="P271" s="19"/>
      <c r="Q271" s="19" t="str">
        <f>IF(AND(ISNUMBER(MATCH(M271,{"F","E","D","D+","C","C+","B","B+","A","A+","S"},0)),ISNUMBER(MATCH(N271,{"F","E","D","D+","C","C+","B","B+","A","A+","S"},0)),ISNUMBER(MATCH(O271,{"F","E","D","D+","C","C+","B","B+","A","A+","S"},0)),ISNUMBER(MATCH(P271,{"F","E","D","D+","C","C+","B","B+","A","A+","S"},0))),LOOKUP(AVERAGE(_xlfn.SWITCH(M271,"F",0,"E",10,"D",20,"D+",30,"C",40,"C+",50,"B",60,"B+",70,"A",80,"A+",90,"S",100),_xlfn.SWITCH(N271,"F",0,"E",10,"D",20,"D+",30,"C",40,"C+",50,"B",60,"B+",70,"A",80,"A+",90,"S",100),_xlfn.SWITCH(O271,"F",0,"E",10,"D",20,"D+",30,"C",40,"C+",50,"B",60,"B+",70,"A",80,"A+",90,"S",100),_xlfn.SWITCH(P271,"F",0,"E",10,"D",20,"D+",30,"C",40,"C+",50,"B",60,"B+",70,"A",80,"A+",90,"S",100)),{0,15,25,35,45,55,65,75,85,95},{"D","D","D+","C","C+","B","B+","A","A+","S"}),"?")</f>
        <v>?</v>
      </c>
    </row>
    <row r="272" spans="1:17">
      <c r="A272" s="5"/>
      <c r="B272" s="5"/>
      <c r="C272" s="13"/>
      <c r="D272" s="13"/>
      <c r="E272" s="13"/>
      <c r="F272" s="13"/>
      <c r="G272" s="13"/>
      <c r="H272" s="7"/>
      <c r="I272" s="7"/>
      <c r="K272" s="24" t="s">
        <v>1389</v>
      </c>
      <c r="L272" s="25" t="s">
        <v>1390</v>
      </c>
      <c r="M272" s="19"/>
      <c r="N272" s="19"/>
      <c r="O272" s="19"/>
      <c r="P272" s="19"/>
      <c r="Q272" s="19" t="str">
        <f>IF(AND(ISNUMBER(MATCH(M272,{"F","E","D","D+","C","C+","B","B+","A","A+","S"},0)),ISNUMBER(MATCH(N273,{"F","E","D","D+","C","C+","B","B+","A","A+","S"},0)),ISNUMBER(MATCH(O274,{"F","E","D","D+","C","C+","B","B+","A","A+","S"},0)),ISNUMBER(MATCH(P275,{"F","E","D","D+","C","C+","B","B+","A","A+","S"},0))),LOOKUP(AVERAGE(_xlfn.SWITCH(M276,"F",0,"E",10,"D",20,"D+",30,"C",40,"C+",50,"B",60,"B+",70,"A",80,"A+",90,"S",100),_xlfn.SWITCH(N277,"F",0,"E",10,"D",20,"D+",30,"C",40,"C+",50,"B",60,"B+",70,"A",80,"A+",90,"S",100),_xlfn.SWITCH(O278,"F",0,"E",10,"D",20,"D+",30,"C",40,"C+",50,"B",60,"B+",70,"A",80,"A+",90,"S",100),_xlfn.SWITCH(P280,"F",0,"E",10,"D",20,"D+",30,"C",40,"C+",50,"B",60,"B+",70,"A",80,"A+",90,"S",100)),{0,15,25,35,45,55,65,75,85,95},{"D","D","D+","C","C+","B","B+","A","A+","S"}),"?")</f>
        <v>?</v>
      </c>
    </row>
    <row r="273" spans="1:19">
      <c r="A273" s="5"/>
      <c r="B273" s="5"/>
      <c r="C273" s="13"/>
      <c r="D273" s="13"/>
      <c r="E273" s="13"/>
      <c r="F273" s="13"/>
      <c r="G273" s="13"/>
      <c r="H273" s="7"/>
      <c r="I273" s="7"/>
      <c r="K273" s="24" t="s">
        <v>879</v>
      </c>
      <c r="L273" s="25" t="s">
        <v>880</v>
      </c>
      <c r="M273" s="19"/>
      <c r="N273" s="19"/>
      <c r="O273" s="19"/>
      <c r="P273" s="19"/>
      <c r="Q273" s="19" t="str">
        <f>IF(AND(ISNUMBER(MATCH(M273,{"F","E","D","D+","C","C+","B","B+","A","A+","S"},0)),ISNUMBER(MATCH(N274,{"F","E","D","D+","C","C+","B","B+","A","A+","S"},0)),ISNUMBER(MATCH(O275,{"F","E","D","D+","C","C+","B","B+","A","A+","S"},0)),ISNUMBER(MATCH(P276,{"F","E","D","D+","C","C+","B","B+","A","A+","S"},0))),LOOKUP(AVERAGE(_xlfn.SWITCH(M277,"F",0,"E",10,"D",20,"D+",30,"C",40,"C+",50,"B",60,"B+",70,"A",80,"A+",90,"S",100),_xlfn.SWITCH(N278,"F",0,"E",10,"D",20,"D+",30,"C",40,"C+",50,"B",60,"B+",70,"A",80,"A+",90,"S",100),_xlfn.SWITCH(O280,"F",0,"E",10,"D",20,"D+",30,"C",40,"C+",50,"B",60,"B+",70,"A",80,"A+",90,"S",100),_xlfn.SWITCH(P281,"F",0,"E",10,"D",20,"D+",30,"C",40,"C+",50,"B",60,"B+",70,"A",80,"A+",90,"S",100)),{0,15,25,35,45,55,65,75,85,95},{"D","D","D+","C","C+","B","B+","A","A+","S"}),"?")</f>
        <v>?</v>
      </c>
    </row>
    <row r="274" spans="1:19">
      <c r="A274" s="5"/>
      <c r="B274" s="5"/>
      <c r="C274" s="13"/>
      <c r="D274" s="13"/>
      <c r="E274" s="13"/>
      <c r="F274" s="13"/>
      <c r="G274" s="13"/>
      <c r="H274" s="7"/>
      <c r="I274" s="7"/>
      <c r="K274" s="24" t="s">
        <v>1391</v>
      </c>
      <c r="L274" s="25" t="s">
        <v>1392</v>
      </c>
      <c r="M274" s="19"/>
      <c r="N274" s="19"/>
      <c r="O274" s="19"/>
      <c r="P274" s="19"/>
      <c r="Q274" s="19" t="str">
        <f>IF(AND(ISNUMBER(MATCH(M274,{"F","E","D","D+","C","C+","B","B+","A","A+","S"},0)),ISNUMBER(MATCH(N275,{"F","E","D","D+","C","C+","B","B+","A","A+","S"},0)),ISNUMBER(MATCH(O276,{"F","E","D","D+","C","C+","B","B+","A","A+","S"},0)),ISNUMBER(MATCH(P277,{"F","E","D","D+","C","C+","B","B+","A","A+","S"},0))),LOOKUP(AVERAGE(_xlfn.SWITCH(M278,"F",0,"E",10,"D",20,"D+",30,"C",40,"C+",50,"B",60,"B+",70,"A",80,"A+",90,"S",100),_xlfn.SWITCH(N280,"F",0,"E",10,"D",20,"D+",30,"C",40,"C+",50,"B",60,"B+",70,"A",80,"A+",90,"S",100),_xlfn.SWITCH(O281,"F",0,"E",10,"D",20,"D+",30,"C",40,"C+",50,"B",60,"B+",70,"A",80,"A+",90,"S",100),_xlfn.SWITCH(P282,"F",0,"E",10,"D",20,"D+",30,"C",40,"C+",50,"B",60,"B+",70,"A",80,"A+",90,"S",100)),{0,15,25,35,45,55,65,75,85,95},{"D","D","D+","C","C+","B","B+","A","A+","S"}),"?")</f>
        <v>?</v>
      </c>
    </row>
    <row r="275" spans="1:19">
      <c r="A275" s="5"/>
      <c r="B275" s="5"/>
      <c r="C275" s="13"/>
      <c r="D275" s="13"/>
      <c r="E275" s="13"/>
      <c r="F275" s="13"/>
      <c r="G275" s="13"/>
      <c r="H275" s="7"/>
      <c r="I275" s="7"/>
      <c r="K275" s="41" t="s">
        <v>1393</v>
      </c>
      <c r="L275" s="25" t="s">
        <v>215</v>
      </c>
      <c r="M275" s="19"/>
      <c r="N275" s="19"/>
      <c r="O275" s="19"/>
      <c r="P275" s="19"/>
      <c r="Q275" s="19" t="str">
        <f>IF(AND(ISNUMBER(MATCH(M275,{"F","E","D","D+","C","C+","B","B+","A","A+","S"},0)),ISNUMBER(MATCH(N276,{"F","E","D","D+","C","C+","B","B+","A","A+","S"},0)),ISNUMBER(MATCH(O277,{"F","E","D","D+","C","C+","B","B+","A","A+","S"},0)),ISNUMBER(MATCH(P278,{"F","E","D","D+","C","C+","B","B+","A","A+","S"},0))),LOOKUP(AVERAGE(_xlfn.SWITCH(M280,"F",0,"E",10,"D",20,"D+",30,"C",40,"C+",50,"B",60,"B+",70,"A",80,"A+",90,"S",100),_xlfn.SWITCH(N281,"F",0,"E",10,"D",20,"D+",30,"C",40,"C+",50,"B",60,"B+",70,"A",80,"A+",90,"S",100),_xlfn.SWITCH(O282,"F",0,"E",10,"D",20,"D+",30,"C",40,"C+",50,"B",60,"B+",70,"A",80,"A+",90,"S",100),_xlfn.SWITCH(P283,"F",0,"E",10,"D",20,"D+",30,"C",40,"C+",50,"B",60,"B+",70,"A",80,"A+",90,"S",100)),{0,15,25,35,45,55,65,75,85,95},{"D","D","D+","C","C+","B","B+","A","A+","S"}),"?")</f>
        <v>?</v>
      </c>
    </row>
    <row r="276" spans="1:19">
      <c r="A276" s="5"/>
      <c r="B276" s="5"/>
      <c r="C276" s="13"/>
      <c r="D276" s="13"/>
      <c r="E276" s="13"/>
      <c r="F276" s="13"/>
      <c r="G276" s="13"/>
      <c r="H276" s="7"/>
      <c r="I276" s="7"/>
      <c r="K276" s="41" t="s">
        <v>1007</v>
      </c>
      <c r="L276" s="25" t="s">
        <v>1008</v>
      </c>
      <c r="M276" s="19"/>
      <c r="N276" s="19"/>
      <c r="O276" s="19"/>
      <c r="P276" s="19"/>
      <c r="Q276" s="19" t="str">
        <f>IF(AND(ISNUMBER(MATCH(M276,{"F","E","D","D+","C","C+","B","B+","A","A+","S"},0)),ISNUMBER(MATCH(N277,{"F","E","D","D+","C","C+","B","B+","A","A+","S"},0)),ISNUMBER(MATCH(O278,{"F","E","D","D+","C","C+","B","B+","A","A+","S"},0)),ISNUMBER(MATCH(P280,{"F","E","D","D+","C","C+","B","B+","A","A+","S"},0))),LOOKUP(AVERAGE(_xlfn.SWITCH(M281,"F",0,"E",10,"D",20,"D+",30,"C",40,"C+",50,"B",60,"B+",70,"A",80,"A+",90,"S",100),_xlfn.SWITCH(N282,"F",0,"E",10,"D",20,"D+",30,"C",40,"C+",50,"B",60,"B+",70,"A",80,"A+",90,"S",100),_xlfn.SWITCH(O283,"F",0,"E",10,"D",20,"D+",30,"C",40,"C+",50,"B",60,"B+",70,"A",80,"A+",90,"S",100),_xlfn.SWITCH(P284,"F",0,"E",10,"D",20,"D+",30,"C",40,"C+",50,"B",60,"B+",70,"A",80,"A+",90,"S",100)),{0,15,25,35,45,55,65,75,85,95},{"D","D","D+","C","C+","B","B+","A","A+","S"}),"?")</f>
        <v>?</v>
      </c>
    </row>
    <row r="277" spans="1:19">
      <c r="A277" s="5"/>
      <c r="B277" s="5"/>
      <c r="C277" s="13"/>
      <c r="D277" s="13"/>
      <c r="E277" s="13"/>
      <c r="F277" s="13"/>
      <c r="G277" s="13"/>
      <c r="H277" s="7"/>
      <c r="I277" s="7"/>
      <c r="K277" s="549" t="s">
        <v>1394</v>
      </c>
      <c r="L277" s="547"/>
      <c r="M277" s="548"/>
      <c r="N277" s="548"/>
      <c r="O277" s="548"/>
      <c r="P277" s="548"/>
      <c r="Q277" s="548" t="str">
        <f>IF(AND(ISNUMBER(MATCH(M277,{"F","E","D","D+","C","C+","B","B+","A","A+","S"},0)),ISNUMBER(MATCH(N278,{"F","E","D","D+","C","C+","B","B+","A","A+","S"},0)),ISNUMBER(MATCH(O280,{"F","E","D","D+","C","C+","B","B+","A","A+","S"},0)),ISNUMBER(MATCH(P281,{"F","E","D","D+","C","C+","B","B+","A","A+","S"},0))),LOOKUP(AVERAGE(_xlfn.SWITCH(M282,"F",0,"E",10,"D",20,"D+",30,"C",40,"C+",50,"B",60,"B+",70,"A",80,"A+",90,"S",100),_xlfn.SWITCH(N283,"F",0,"E",10,"D",20,"D+",30,"C",40,"C+",50,"B",60,"B+",70,"A",80,"A+",90,"S",100),_xlfn.SWITCH(O284,"F",0,"E",10,"D",20,"D+",30,"C",40,"C+",50,"B",60,"B+",70,"A",80,"A+",90,"S",100),_xlfn.SWITCH(P285,"F",0,"E",10,"D",20,"D+",30,"C",40,"C+",50,"B",60,"B+",70,"A",80,"A+",90,"S",100)),{0,15,25,35,45,55,65,75,85,95},{"D","D","D+","C","C+","B","B+","A","A+","S"}),"?")</f>
        <v>?</v>
      </c>
      <c r="R277" s="543"/>
      <c r="S277" s="543"/>
    </row>
    <row r="278" spans="1:19">
      <c r="A278" s="5"/>
      <c r="B278" s="5"/>
      <c r="C278" s="13"/>
      <c r="D278" s="13"/>
      <c r="E278" s="13"/>
      <c r="F278" s="13"/>
      <c r="G278" s="13"/>
      <c r="H278" s="7"/>
      <c r="I278" s="7"/>
      <c r="K278" s="548"/>
      <c r="L278" s="547"/>
      <c r="M278" s="548"/>
      <c r="N278" s="548"/>
      <c r="O278" s="548"/>
      <c r="P278" s="548"/>
      <c r="Q278" s="548" t="str">
        <f>IF(AND(ISNUMBER(MATCH(M278,{"F","E","D","D+","C","C+","B","B+","A","A+","S"},0)),ISNUMBER(MATCH(N280,{"F","E","D","D+","C","C+","B","B+","A","A+","S"},0)),ISNUMBER(MATCH(O281,{"F","E","D","D+","C","C+","B","B+","A","A+","S"},0)),ISNUMBER(MATCH(P282,{"F","E","D","D+","C","C+","B","B+","A","A+","S"},0))),LOOKUP(AVERAGE(_xlfn.SWITCH(M283,"F",0,"E",10,"D",20,"D+",30,"C",40,"C+",50,"B",60,"B+",70,"A",80,"A+",90,"S",100),_xlfn.SWITCH(N284,"F",0,"E",10,"D",20,"D+",30,"C",40,"C+",50,"B",60,"B+",70,"A",80,"A+",90,"S",100),_xlfn.SWITCH(O285,"F",0,"E",10,"D",20,"D+",30,"C",40,"C+",50,"B",60,"B+",70,"A",80,"A+",90,"S",100),_xlfn.SWITCH(P286,"F",0,"E",10,"D",20,"D+",30,"C",40,"C+",50,"B",60,"B+",70,"A",80,"A+",90,"S",100)),{0,15,25,35,45,55,65,75,85,95},{"D","D","D+","C","C+","B","B+","A","A+","S"}),"?")</f>
        <v>?</v>
      </c>
      <c r="R278" s="543"/>
      <c r="S278" s="543"/>
    </row>
    <row r="279" spans="1:19">
      <c r="A279" s="5"/>
      <c r="B279" s="5"/>
      <c r="C279" s="13"/>
      <c r="D279" s="13"/>
      <c r="E279" s="13"/>
      <c r="F279" s="13"/>
      <c r="G279" s="13"/>
      <c r="H279" s="7"/>
      <c r="I279" s="7"/>
      <c r="K279" s="5" t="s">
        <v>4</v>
      </c>
      <c r="L279" s="6" t="s">
        <v>5</v>
      </c>
      <c r="M279" s="7" t="s">
        <v>6</v>
      </c>
      <c r="N279" s="7" t="s">
        <v>7</v>
      </c>
      <c r="O279" s="7" t="s">
        <v>8</v>
      </c>
      <c r="P279" s="7" t="s">
        <v>9</v>
      </c>
      <c r="Q279" s="7" t="s">
        <v>10</v>
      </c>
      <c r="R279" s="7" t="s">
        <v>11</v>
      </c>
      <c r="S279" s="7" t="s">
        <v>12</v>
      </c>
    </row>
    <row r="280" spans="1:19">
      <c r="A280" s="5"/>
      <c r="B280" s="5"/>
      <c r="C280" s="13"/>
      <c r="D280" s="13"/>
      <c r="E280" s="13"/>
      <c r="F280" s="13"/>
      <c r="G280" s="13"/>
      <c r="H280" s="7"/>
      <c r="I280" s="7"/>
      <c r="K280" s="24" t="s">
        <v>1395</v>
      </c>
      <c r="L280" s="25" t="s">
        <v>1396</v>
      </c>
      <c r="M280" s="19"/>
      <c r="N280" s="19"/>
      <c r="O280" s="19"/>
      <c r="P280" s="19"/>
      <c r="Q280" s="19" t="str">
        <f>IF(AND(ISNUMBER(MATCH(M280,{"F","E","D","D+","C","C+","B","B+","A","A+","S"},0)),ISNUMBER(MATCH(N281,{"F","E","D","D+","C","C+","B","B+","A","A+","S"},0)),ISNUMBER(MATCH(O282,{"F","E","D","D+","C","C+","B","B+","A","A+","S"},0)),ISNUMBER(MATCH(P283,{"F","E","D","D+","C","C+","B","B+","A","A+","S"},0))),LOOKUP(AVERAGE(_xlfn.SWITCH(M284,"F",0,"E",10,"D",20,"D+",30,"C",40,"C+",50,"B",60,"B+",70,"A",80,"A+",90,"S",100),_xlfn.SWITCH(N285,"F",0,"E",10,"D",20,"D+",30,"C",40,"C+",50,"B",60,"B+",70,"A",80,"A+",90,"S",100),_xlfn.SWITCH(O286,"F",0,"E",10,"D",20,"D+",30,"C",40,"C+",50,"B",60,"B+",70,"A",80,"A+",90,"S",100),_xlfn.SWITCH(P287,"F",0,"E",10,"D",20,"D+",30,"C",40,"C+",50,"B",60,"B+",70,"A",80,"A+",90,"S",100)),{0,15,25,35,45,55,65,75,85,95},{"D","D","D+","C","C+","B","B+","A","A+","S"}),"?")</f>
        <v>?</v>
      </c>
    </row>
    <row r="281" spans="1:19">
      <c r="A281" s="5"/>
      <c r="B281" s="5"/>
      <c r="C281" s="13"/>
      <c r="D281" s="13"/>
      <c r="E281" s="13"/>
      <c r="F281" s="13"/>
      <c r="G281" s="13"/>
      <c r="H281" s="7"/>
      <c r="I281" s="7"/>
      <c r="K281" s="24" t="s">
        <v>1221</v>
      </c>
      <c r="L281" s="25" t="s">
        <v>1222</v>
      </c>
      <c r="M281" s="19"/>
      <c r="N281" s="19"/>
      <c r="O281" s="19"/>
      <c r="P281" s="19"/>
      <c r="Q281" s="19" t="str">
        <f>IF(AND(ISNUMBER(MATCH(M281,{"F","E","D","D+","C","C+","B","B+","A","A+","S"},0)),ISNUMBER(MATCH(N282,{"F","E","D","D+","C","C+","B","B+","A","A+","S"},0)),ISNUMBER(MATCH(O283,{"F","E","D","D+","C","C+","B","B+","A","A+","S"},0)),ISNUMBER(MATCH(P284,{"F","E","D","D+","C","C+","B","B+","A","A+","S"},0))),LOOKUP(AVERAGE(_xlfn.SWITCH(M285,"F",0,"E",10,"D",20,"D+",30,"C",40,"C+",50,"B",60,"B+",70,"A",80,"A+",90,"S",100),_xlfn.SWITCH(N286,"F",0,"E",10,"D",20,"D+",30,"C",40,"C+",50,"B",60,"B+",70,"A",80,"A+",90,"S",100),_xlfn.SWITCH(O287,"F",0,"E",10,"D",20,"D+",30,"C",40,"C+",50,"B",60,"B+",70,"A",80,"A+",90,"S",100),_xlfn.SWITCH(P288,"F",0,"E",10,"D",20,"D+",30,"C",40,"C+",50,"B",60,"B+",70,"A",80,"A+",90,"S",100)),{0,15,25,35,45,55,65,75,85,95},{"D","D","D+","C","C+","B","B+","A","A+","S"}),"?")</f>
        <v>?</v>
      </c>
    </row>
    <row r="282" spans="1:19">
      <c r="A282" s="5"/>
      <c r="B282" s="5"/>
      <c r="C282" s="13"/>
      <c r="D282" s="13"/>
      <c r="E282" s="13"/>
      <c r="F282" s="13"/>
      <c r="G282" s="13"/>
      <c r="H282" s="7"/>
      <c r="I282" s="7"/>
      <c r="K282" s="24" t="s">
        <v>1235</v>
      </c>
      <c r="L282" s="25" t="s">
        <v>1236</v>
      </c>
      <c r="M282" s="19"/>
      <c r="N282" s="19"/>
      <c r="O282" s="19"/>
      <c r="P282" s="19"/>
      <c r="Q282" s="19" t="str">
        <f>IF(AND(ISNUMBER(MATCH(M282,{"F","E","D","D+","C","C+","B","B+","A","A+","S"},0)),ISNUMBER(MATCH(N283,{"F","E","D","D+","C","C+","B","B+","A","A+","S"},0)),ISNUMBER(MATCH(O284,{"F","E","D","D+","C","C+","B","B+","A","A+","S"},0)),ISNUMBER(MATCH(P285,{"F","E","D","D+","C","C+","B","B+","A","A+","S"},0))),LOOKUP(AVERAGE(_xlfn.SWITCH(M286,"F",0,"E",10,"D",20,"D+",30,"C",40,"C+",50,"B",60,"B+",70,"A",80,"A+",90,"S",100),_xlfn.SWITCH(N287,"F",0,"E",10,"D",20,"D+",30,"C",40,"C+",50,"B",60,"B+",70,"A",80,"A+",90,"S",100),_xlfn.SWITCH(O288,"F",0,"E",10,"D",20,"D+",30,"C",40,"C+",50,"B",60,"B+",70,"A",80,"A+",90,"S",100),_xlfn.SWITCH(P289,"F",0,"E",10,"D",20,"D+",30,"C",40,"C+",50,"B",60,"B+",70,"A",80,"A+",90,"S",100)),{0,15,25,35,45,55,65,75,85,95},{"D","D","D+","C","C+","B","B+","A","A+","S"}),"?")</f>
        <v>?</v>
      </c>
    </row>
    <row r="283" spans="1:19">
      <c r="A283" s="5"/>
      <c r="B283" s="5"/>
      <c r="C283" s="13"/>
      <c r="D283" s="13"/>
      <c r="E283" s="13"/>
      <c r="F283" s="13"/>
      <c r="G283" s="13"/>
      <c r="H283" s="7"/>
      <c r="I283" s="7"/>
      <c r="K283" s="24" t="s">
        <v>1397</v>
      </c>
      <c r="L283" s="25" t="s">
        <v>1398</v>
      </c>
      <c r="M283" s="19"/>
      <c r="N283" s="19"/>
      <c r="O283" s="19"/>
      <c r="P283" s="19"/>
      <c r="Q283" s="19" t="str">
        <f>IF(AND(ISNUMBER(MATCH(M283,{"F","E","D","D+","C","C+","B","B+","A","A+","S"},0)),ISNUMBER(MATCH(N284,{"F","E","D","D+","C","C+","B","B+","A","A+","S"},0)),ISNUMBER(MATCH(O285,{"F","E","D","D+","C","C+","B","B+","A","A+","S"},0)),ISNUMBER(MATCH(P286,{"F","E","D","D+","C","C+","B","B+","A","A+","S"},0))),LOOKUP(AVERAGE(_xlfn.SWITCH(M287,"F",0,"E",10,"D",20,"D+",30,"C",40,"C+",50,"B",60,"B+",70,"A",80,"A+",90,"S",100),_xlfn.SWITCH(N288,"F",0,"E",10,"D",20,"D+",30,"C",40,"C+",50,"B",60,"B+",70,"A",80,"A+",90,"S",100),_xlfn.SWITCH(O289,"F",0,"E",10,"D",20,"D+",30,"C",40,"C+",50,"B",60,"B+",70,"A",80,"A+",90,"S",100),_xlfn.SWITCH(P290,"F",0,"E",10,"D",20,"D+",30,"C",40,"C+",50,"B",60,"B+",70,"A",80,"A+",90,"S",100)),{0,15,25,35,45,55,65,75,85,95},{"D","D","D+","C","C+","B","B+","A","A+","S"}),"?")</f>
        <v>?</v>
      </c>
    </row>
    <row r="284" spans="1:19">
      <c r="A284" s="5"/>
      <c r="B284" s="5"/>
      <c r="C284" s="13"/>
      <c r="D284" s="13"/>
      <c r="E284" s="13"/>
      <c r="F284" s="13"/>
      <c r="G284" s="13"/>
      <c r="H284" s="7"/>
      <c r="I284" s="7"/>
      <c r="K284" s="24" t="s">
        <v>1106</v>
      </c>
      <c r="L284" s="25" t="s">
        <v>1107</v>
      </c>
      <c r="M284" s="19"/>
      <c r="N284" s="19"/>
      <c r="O284" s="19"/>
      <c r="P284" s="19"/>
      <c r="Q284" s="19" t="str">
        <f>IF(AND(ISNUMBER(MATCH(M284,{"F","E","D","D+","C","C+","B","B+","A","A+","S"},0)),ISNUMBER(MATCH(N285,{"F","E","D","D+","C","C+","B","B+","A","A+","S"},0)),ISNUMBER(MATCH(O286,{"F","E","D","D+","C","C+","B","B+","A","A+","S"},0)),ISNUMBER(MATCH(P287,{"F","E","D","D+","C","C+","B","B+","A","A+","S"},0))),LOOKUP(AVERAGE(_xlfn.SWITCH(M288,"F",0,"E",10,"D",20,"D+",30,"C",40,"C+",50,"B",60,"B+",70,"A",80,"A+",90,"S",100),_xlfn.SWITCH(N289,"F",0,"E",10,"D",20,"D+",30,"C",40,"C+",50,"B",60,"B+",70,"A",80,"A+",90,"S",100),_xlfn.SWITCH(O290,"F",0,"E",10,"D",20,"D+",30,"C",40,"C+",50,"B",60,"B+",70,"A",80,"A+",90,"S",100),_xlfn.SWITCH(P291,"F",0,"E",10,"D",20,"D+",30,"C",40,"C+",50,"B",60,"B+",70,"A",80,"A+",90,"S",100)),{0,15,25,35,45,55,65,75,85,95},{"D","D","D+","C","C+","B","B+","A","A+","S"}),"?")</f>
        <v>?</v>
      </c>
    </row>
    <row r="285" spans="1:19">
      <c r="A285" s="5"/>
      <c r="B285" s="5"/>
      <c r="C285" s="13"/>
      <c r="D285" s="13"/>
      <c r="E285" s="13"/>
      <c r="F285" s="13"/>
      <c r="G285" s="13"/>
      <c r="H285" s="7"/>
      <c r="I285" s="7"/>
      <c r="K285" s="24" t="s">
        <v>1399</v>
      </c>
      <c r="L285" s="25" t="s">
        <v>1400</v>
      </c>
      <c r="M285" s="19"/>
      <c r="N285" s="19"/>
      <c r="O285" s="19"/>
      <c r="P285" s="19"/>
      <c r="Q285" s="19" t="str">
        <f>IF(AND(ISNUMBER(MATCH(M285,{"F","E","D","D+","C","C+","B","B+","A","A+","S"},0)),ISNUMBER(MATCH(N286,{"F","E","D","D+","C","C+","B","B+","A","A+","S"},0)),ISNUMBER(MATCH(O287,{"F","E","D","D+","C","C+","B","B+","A","A+","S"},0)),ISNUMBER(MATCH(P288,{"F","E","D","D+","C","C+","B","B+","A","A+","S"},0))),LOOKUP(AVERAGE(_xlfn.SWITCH(M289,"F",0,"E",10,"D",20,"D+",30,"C",40,"C+",50,"B",60,"B+",70,"A",80,"A+",90,"S",100),_xlfn.SWITCH(N290,"F",0,"E",10,"D",20,"D+",30,"C",40,"C+",50,"B",60,"B+",70,"A",80,"A+",90,"S",100),_xlfn.SWITCH(O291,"F",0,"E",10,"D",20,"D+",30,"C",40,"C+",50,"B",60,"B+",70,"A",80,"A+",90,"S",100),_xlfn.SWITCH(P292,"F",0,"E",10,"D",20,"D+",30,"C",40,"C+",50,"B",60,"B+",70,"A",80,"A+",90,"S",100)),{0,15,25,35,45,55,65,75,85,95},{"D","D","D+","C","C+","B","B+","A","A+","S"}),"?")</f>
        <v>?</v>
      </c>
    </row>
    <row r="286" spans="1:19">
      <c r="A286" s="5"/>
      <c r="B286" s="5"/>
      <c r="C286" s="13"/>
      <c r="D286" s="13"/>
      <c r="E286" s="13"/>
      <c r="F286" s="13"/>
      <c r="G286" s="13"/>
      <c r="H286" s="7"/>
      <c r="I286" s="7"/>
      <c r="K286" s="24" t="s">
        <v>1135</v>
      </c>
      <c r="L286" s="25" t="s">
        <v>1136</v>
      </c>
      <c r="M286" s="19"/>
      <c r="N286" s="19"/>
      <c r="O286" s="19"/>
      <c r="P286" s="19"/>
      <c r="Q286" s="19" t="str">
        <f>IF(AND(ISNUMBER(MATCH(M286,{"F","E","D","D+","C","C+","B","B+","A","A+","S"},0)),ISNUMBER(MATCH(N287,{"F","E","D","D+","C","C+","B","B+","A","A+","S"},0)),ISNUMBER(MATCH(O288,{"F","E","D","D+","C","C+","B","B+","A","A+","S"},0)),ISNUMBER(MATCH(P289,{"F","E","D","D+","C","C+","B","B+","A","A+","S"},0))),LOOKUP(AVERAGE(_xlfn.SWITCH(M290,"F",0,"E",10,"D",20,"D+",30,"C",40,"C+",50,"B",60,"B+",70,"A",80,"A+",90,"S",100),_xlfn.SWITCH(N291,"F",0,"E",10,"D",20,"D+",30,"C",40,"C+",50,"B",60,"B+",70,"A",80,"A+",90,"S",100),_xlfn.SWITCH(O292,"F",0,"E",10,"D",20,"D+",30,"C",40,"C+",50,"B",60,"B+",70,"A",80,"A+",90,"S",100),_xlfn.SWITCH(P293,"F",0,"E",10,"D",20,"D+",30,"C",40,"C+",50,"B",60,"B+",70,"A",80,"A+",90,"S",100)),{0,15,25,35,45,55,65,75,85,95},{"D","D","D+","C","C+","B","B+","A","A+","S"}),"?")</f>
        <v>?</v>
      </c>
    </row>
    <row r="287" spans="1:19">
      <c r="A287" s="5"/>
      <c r="B287" s="5"/>
      <c r="C287" s="13"/>
      <c r="D287" s="13"/>
      <c r="E287" s="13"/>
      <c r="F287" s="13"/>
      <c r="G287" s="13"/>
      <c r="H287" s="7"/>
      <c r="I287" s="7"/>
      <c r="K287" s="24" t="s">
        <v>1401</v>
      </c>
      <c r="L287" s="25" t="s">
        <v>1402</v>
      </c>
      <c r="M287" s="19"/>
      <c r="N287" s="19"/>
      <c r="O287" s="19"/>
      <c r="P287" s="19"/>
      <c r="Q287" s="19" t="str">
        <f>IF(AND(ISNUMBER(MATCH(M287,{"F","E","D","D+","C","C+","B","B+","A","A+","S"},0)),ISNUMBER(MATCH(N288,{"F","E","D","D+","C","C+","B","B+","A","A+","S"},0)),ISNUMBER(MATCH(O289,{"F","E","D","D+","C","C+","B","B+","A","A+","S"},0)),ISNUMBER(MATCH(P290,{"F","E","D","D+","C","C+","B","B+","A","A+","S"},0))),LOOKUP(AVERAGE(_xlfn.SWITCH(M291,"F",0,"E",10,"D",20,"D+",30,"C",40,"C+",50,"B",60,"B+",70,"A",80,"A+",90,"S",100),_xlfn.SWITCH(N292,"F",0,"E",10,"D",20,"D+",30,"C",40,"C+",50,"B",60,"B+",70,"A",80,"A+",90,"S",100),_xlfn.SWITCH(O293,"F",0,"E",10,"D",20,"D+",30,"C",40,"C+",50,"B",60,"B+",70,"A",80,"A+",90,"S",100),_xlfn.SWITCH(P294,"F",0,"E",10,"D",20,"D+",30,"C",40,"C+",50,"B",60,"B+",70,"A",80,"A+",90,"S",100)),{0,15,25,35,45,55,65,75,85,95},{"D","D","D+","C","C+","B","B+","A","A+","S"}),"?")</f>
        <v>?</v>
      </c>
    </row>
    <row r="288" spans="1:19">
      <c r="A288" s="5"/>
      <c r="B288" s="5"/>
      <c r="C288" s="13"/>
      <c r="D288" s="13"/>
      <c r="E288" s="13"/>
      <c r="F288" s="13"/>
      <c r="G288" s="13"/>
      <c r="H288" s="7"/>
      <c r="I288" s="7"/>
      <c r="K288" s="24" t="s">
        <v>1403</v>
      </c>
      <c r="L288" s="25" t="s">
        <v>1404</v>
      </c>
      <c r="M288" s="19"/>
      <c r="N288" s="19"/>
      <c r="O288" s="19"/>
      <c r="P288" s="19"/>
      <c r="Q288" s="19" t="str">
        <f>IF(AND(ISNUMBER(MATCH(M288,{"F","E","D","D+","C","C+","B","B+","A","A+","S"},0)),ISNUMBER(MATCH(N289,{"F","E","D","D+","C","C+","B","B+","A","A+","S"},0)),ISNUMBER(MATCH(O290,{"F","E","D","D+","C","C+","B","B+","A","A+","S"},0)),ISNUMBER(MATCH(P291,{"F","E","D","D+","C","C+","B","B+","A","A+","S"},0))),LOOKUP(AVERAGE(_xlfn.SWITCH(M292,"F",0,"E",10,"D",20,"D+",30,"C",40,"C+",50,"B",60,"B+",70,"A",80,"A+",90,"S",100),_xlfn.SWITCH(N293,"F",0,"E",10,"D",20,"D+",30,"C",40,"C+",50,"B",60,"B+",70,"A",80,"A+",90,"S",100),_xlfn.SWITCH(O294,"F",0,"E",10,"D",20,"D+",30,"C",40,"C+",50,"B",60,"B+",70,"A",80,"A+",90,"S",100),_xlfn.SWITCH(P295,"F",0,"E",10,"D",20,"D+",30,"C",40,"C+",50,"B",60,"B+",70,"A",80,"A+",90,"S",100)),{0,15,25,35,45,55,65,75,85,95},{"D","D","D+","C","C+","B","B+","A","A+","S"}),"?")</f>
        <v>?</v>
      </c>
    </row>
    <row r="289" spans="1:17">
      <c r="A289" s="5"/>
      <c r="B289" s="5"/>
      <c r="C289" s="13"/>
      <c r="D289" s="13"/>
      <c r="E289" s="13"/>
      <c r="F289" s="13"/>
      <c r="G289" s="13"/>
      <c r="H289" s="7"/>
      <c r="I289" s="7"/>
      <c r="K289" s="24" t="s">
        <v>1405</v>
      </c>
      <c r="L289" s="25" t="s">
        <v>1406</v>
      </c>
      <c r="M289" s="19"/>
      <c r="N289" s="19"/>
      <c r="O289" s="19"/>
      <c r="P289" s="19"/>
      <c r="Q289" s="19" t="str">
        <f>IF(AND(ISNUMBER(MATCH(M289,{"F","E","D","D+","C","C+","B","B+","A","A+","S"},0)),ISNUMBER(MATCH(N290,{"F","E","D","D+","C","C+","B","B+","A","A+","S"},0)),ISNUMBER(MATCH(O291,{"F","E","D","D+","C","C+","B","B+","A","A+","S"},0)),ISNUMBER(MATCH(P292,{"F","E","D","D+","C","C+","B","B+","A","A+","S"},0))),LOOKUP(AVERAGE(_xlfn.SWITCH(M293,"F",0,"E",10,"D",20,"D+",30,"C",40,"C+",50,"B",60,"B+",70,"A",80,"A+",90,"S",100),_xlfn.SWITCH(N294,"F",0,"E",10,"D",20,"D+",30,"C",40,"C+",50,"B",60,"B+",70,"A",80,"A+",90,"S",100),_xlfn.SWITCH(O295,"F",0,"E",10,"D",20,"D+",30,"C",40,"C+",50,"B",60,"B+",70,"A",80,"A+",90,"S",100),_xlfn.SWITCH(P296,"F",0,"E",10,"D",20,"D+",30,"C",40,"C+",50,"B",60,"B+",70,"A",80,"A+",90,"S",100)),{0,15,25,35,45,55,65,75,85,95},{"D","D","D+","C","C+","B","B+","A","A+","S"}),"?")</f>
        <v>?</v>
      </c>
    </row>
    <row r="290" spans="1:17">
      <c r="A290" s="5"/>
      <c r="B290" s="5"/>
      <c r="C290" s="13"/>
      <c r="D290" s="13"/>
      <c r="E290" s="13"/>
      <c r="F290" s="13"/>
      <c r="G290" s="13"/>
      <c r="H290" s="7"/>
      <c r="I290" s="7"/>
      <c r="K290" s="24" t="s">
        <v>1407</v>
      </c>
      <c r="L290" s="25" t="s">
        <v>1408</v>
      </c>
      <c r="M290" s="19"/>
      <c r="N290" s="19"/>
      <c r="O290" s="19"/>
      <c r="P290" s="19"/>
      <c r="Q290" s="19" t="str">
        <f>IF(AND(ISNUMBER(MATCH(M290,{"F","E","D","D+","C","C+","B","B+","A","A+","S"},0)),ISNUMBER(MATCH(N291,{"F","E","D","D+","C","C+","B","B+","A","A+","S"},0)),ISNUMBER(MATCH(O292,{"F","E","D","D+","C","C+","B","B+","A","A+","S"},0)),ISNUMBER(MATCH(P293,{"F","E","D","D+","C","C+","B","B+","A","A+","S"},0))),LOOKUP(AVERAGE(_xlfn.SWITCH(M294,"F",0,"E",10,"D",20,"D+",30,"C",40,"C+",50,"B",60,"B+",70,"A",80,"A+",90,"S",100),_xlfn.SWITCH(N295,"F",0,"E",10,"D",20,"D+",30,"C",40,"C+",50,"B",60,"B+",70,"A",80,"A+",90,"S",100),_xlfn.SWITCH(O296,"F",0,"E",10,"D",20,"D+",30,"C",40,"C+",50,"B",60,"B+",70,"A",80,"A+",90,"S",100),_xlfn.SWITCH(P297,"F",0,"E",10,"D",20,"D+",30,"C",40,"C+",50,"B",60,"B+",70,"A",80,"A+",90,"S",100)),{0,15,25,35,45,55,65,75,85,95},{"D","D","D+","C","C+","B","B+","A","A+","S"}),"?")</f>
        <v>?</v>
      </c>
    </row>
    <row r="291" spans="1:17">
      <c r="A291" s="5"/>
      <c r="B291" s="5"/>
      <c r="C291" s="13"/>
      <c r="D291" s="13"/>
      <c r="E291" s="13"/>
      <c r="F291" s="13"/>
      <c r="G291" s="13"/>
      <c r="H291" s="7"/>
      <c r="I291" s="7"/>
      <c r="K291" s="24" t="s">
        <v>1153</v>
      </c>
      <c r="L291" s="25" t="s">
        <v>1154</v>
      </c>
      <c r="M291" s="19"/>
      <c r="N291" s="19"/>
      <c r="O291" s="19"/>
      <c r="P291" s="19"/>
      <c r="Q291" s="19" t="str">
        <f>IF(AND(ISNUMBER(MATCH(M291,{"F","E","D","D+","C","C+","B","B+","A","A+","S"},0)),ISNUMBER(MATCH(N292,{"F","E","D","D+","C","C+","B","B+","A","A+","S"},0)),ISNUMBER(MATCH(O293,{"F","E","D","D+","C","C+","B","B+","A","A+","S"},0)),ISNUMBER(MATCH(P294,{"F","E","D","D+","C","C+","B","B+","A","A+","S"},0))),LOOKUP(AVERAGE(_xlfn.SWITCH(M295,"F",0,"E",10,"D",20,"D+",30,"C",40,"C+",50,"B",60,"B+",70,"A",80,"A+",90,"S",100),_xlfn.SWITCH(N296,"F",0,"E",10,"D",20,"D+",30,"C",40,"C+",50,"B",60,"B+",70,"A",80,"A+",90,"S",100),_xlfn.SWITCH(O297,"F",0,"E",10,"D",20,"D+",30,"C",40,"C+",50,"B",60,"B+",70,"A",80,"A+",90,"S",100),_xlfn.SWITCH(P298,"F",0,"E",10,"D",20,"D+",30,"C",40,"C+",50,"B",60,"B+",70,"A",80,"A+",90,"S",100)),{0,15,25,35,45,55,65,75,85,95},{"D","D","D+","C","C+","B","B+","A","A+","S"}),"?")</f>
        <v>?</v>
      </c>
    </row>
    <row r="292" spans="1:17">
      <c r="A292" s="5"/>
      <c r="B292" s="5"/>
      <c r="C292" s="13"/>
      <c r="D292" s="13"/>
      <c r="E292" s="13"/>
      <c r="F292" s="13"/>
      <c r="G292" s="13"/>
      <c r="H292" s="7"/>
      <c r="I292" s="7"/>
      <c r="K292" s="24" t="s">
        <v>1409</v>
      </c>
      <c r="L292" s="25">
        <v>7</v>
      </c>
      <c r="M292" s="19"/>
      <c r="N292" s="19"/>
      <c r="O292" s="19"/>
      <c r="P292" s="19"/>
      <c r="Q292" s="19" t="str">
        <f>IF(AND(ISNUMBER(MATCH(M292,{"F","E","D","D+","C","C+","B","B+","A","A+","S"},0)),ISNUMBER(MATCH(N293,{"F","E","D","D+","C","C+","B","B+","A","A+","S"},0)),ISNUMBER(MATCH(O294,{"F","E","D","D+","C","C+","B","B+","A","A+","S"},0)),ISNUMBER(MATCH(P295,{"F","E","D","D+","C","C+","B","B+","A","A+","S"},0))),LOOKUP(AVERAGE(_xlfn.SWITCH(M296,"F",0,"E",10,"D",20,"D+",30,"C",40,"C+",50,"B",60,"B+",70,"A",80,"A+",90,"S",100),_xlfn.SWITCH(N297,"F",0,"E",10,"D",20,"D+",30,"C",40,"C+",50,"B",60,"B+",70,"A",80,"A+",90,"S",100),_xlfn.SWITCH(O298,"F",0,"E",10,"D",20,"D+",30,"C",40,"C+",50,"B",60,"B+",70,"A",80,"A+",90,"S",100),_xlfn.SWITCH(P299,"F",0,"E",10,"D",20,"D+",30,"C",40,"C+",50,"B",60,"B+",70,"A",80,"A+",90,"S",100)),{0,15,25,35,45,55,65,75,85,95},{"D","D","D+","C","C+","B","B+","A","A+","S"}),"?")</f>
        <v>?</v>
      </c>
    </row>
    <row r="293" spans="1:17">
      <c r="A293" s="5"/>
      <c r="B293" s="5"/>
      <c r="C293" s="13"/>
      <c r="D293" s="13"/>
      <c r="E293" s="13"/>
      <c r="F293" s="13"/>
      <c r="G293" s="13"/>
      <c r="H293" s="7"/>
      <c r="I293" s="7"/>
      <c r="K293" s="24" t="s">
        <v>1186</v>
      </c>
      <c r="L293" s="25" t="s">
        <v>1187</v>
      </c>
      <c r="M293" s="19"/>
      <c r="N293" s="19"/>
      <c r="O293" s="19"/>
      <c r="P293" s="19"/>
      <c r="Q293" s="19" t="str">
        <f>IF(AND(ISNUMBER(MATCH(M293,{"F","E","D","D+","C","C+","B","B+","A","A+","S"},0)),ISNUMBER(MATCH(N294,{"F","E","D","D+","C","C+","B","B+","A","A+","S"},0)),ISNUMBER(MATCH(O295,{"F","E","D","D+","C","C+","B","B+","A","A+","S"},0)),ISNUMBER(MATCH(P296,{"F","E","D","D+","C","C+","B","B+","A","A+","S"},0))),LOOKUP(AVERAGE(_xlfn.SWITCH(M297,"F",0,"E",10,"D",20,"D+",30,"C",40,"C+",50,"B",60,"B+",70,"A",80,"A+",90,"S",100),_xlfn.SWITCH(N298,"F",0,"E",10,"D",20,"D+",30,"C",40,"C+",50,"B",60,"B+",70,"A",80,"A+",90,"S",100),_xlfn.SWITCH(O299,"F",0,"E",10,"D",20,"D+",30,"C",40,"C+",50,"B",60,"B+",70,"A",80,"A+",90,"S",100),_xlfn.SWITCH(P300,"F",0,"E",10,"D",20,"D+",30,"C",40,"C+",50,"B",60,"B+",70,"A",80,"A+",90,"S",100)),{0,15,25,35,45,55,65,75,85,95},{"D","D","D+","C","C+","B","B+","A","A+","S"}),"?")</f>
        <v>?</v>
      </c>
    </row>
    <row r="294" spans="1:17">
      <c r="A294" s="5"/>
      <c r="B294" s="5"/>
      <c r="C294" s="13"/>
      <c r="D294" s="13"/>
      <c r="E294" s="13"/>
      <c r="F294" s="13"/>
      <c r="G294" s="13"/>
      <c r="H294" s="7"/>
      <c r="I294" s="7"/>
      <c r="K294" s="24" t="s">
        <v>1044</v>
      </c>
      <c r="L294" s="25" t="s">
        <v>1410</v>
      </c>
      <c r="M294" s="19"/>
      <c r="N294" s="19"/>
      <c r="O294" s="19"/>
      <c r="P294" s="19"/>
      <c r="Q294" s="19" t="str">
        <f>IF(AND(ISNUMBER(MATCH(M294,{"F","E","D","D+","C","C+","B","B+","A","A+","S"},0)),ISNUMBER(MATCH(N295,{"F","E","D","D+","C","C+","B","B+","A","A+","S"},0)),ISNUMBER(MATCH(O296,{"F","E","D","D+","C","C+","B","B+","A","A+","S"},0)),ISNUMBER(MATCH(P297,{"F","E","D","D+","C","C+","B","B+","A","A+","S"},0))),LOOKUP(AVERAGE(_xlfn.SWITCH(M298,"F",0,"E",10,"D",20,"D+",30,"C",40,"C+",50,"B",60,"B+",70,"A",80,"A+",90,"S",100),_xlfn.SWITCH(N299,"F",0,"E",10,"D",20,"D+",30,"C",40,"C+",50,"B",60,"B+",70,"A",80,"A+",90,"S",100),_xlfn.SWITCH(O300,"F",0,"E",10,"D",20,"D+",30,"C",40,"C+",50,"B",60,"B+",70,"A",80,"A+",90,"S",100),_xlfn.SWITCH(P301,"F",0,"E",10,"D",20,"D+",30,"C",40,"C+",50,"B",60,"B+",70,"A",80,"A+",90,"S",100)),{0,15,25,35,45,55,65,75,85,95},{"D","D","D+","C","C+","B","B+","A","A+","S"}),"?")</f>
        <v>?</v>
      </c>
    </row>
    <row r="295" spans="1:17">
      <c r="A295" s="5"/>
      <c r="B295" s="5"/>
      <c r="C295" s="13"/>
      <c r="D295" s="13"/>
      <c r="E295" s="13"/>
      <c r="F295" s="13"/>
      <c r="G295" s="13"/>
      <c r="H295" s="7"/>
      <c r="I295" s="7"/>
      <c r="K295" s="24" t="s">
        <v>1411</v>
      </c>
      <c r="L295" s="25" t="s">
        <v>1412</v>
      </c>
      <c r="M295" s="19"/>
      <c r="N295" s="19"/>
      <c r="O295" s="19"/>
      <c r="P295" s="19"/>
      <c r="Q295" s="19" t="str">
        <f>IF(AND(ISNUMBER(MATCH(M295,{"F","E","D","D+","C","C+","B","B+","A","A+","S"},0)),ISNUMBER(MATCH(N296,{"F","E","D","D+","C","C+","B","B+","A","A+","S"},0)),ISNUMBER(MATCH(O297,{"F","E","D","D+","C","C+","B","B+","A","A+","S"},0)),ISNUMBER(MATCH(P298,{"F","E","D","D+","C","C+","B","B+","A","A+","S"},0))),LOOKUP(AVERAGE(_xlfn.SWITCH(M299,"F",0,"E",10,"D",20,"D+",30,"C",40,"C+",50,"B",60,"B+",70,"A",80,"A+",90,"S",100),_xlfn.SWITCH(N300,"F",0,"E",10,"D",20,"D+",30,"C",40,"C+",50,"B",60,"B+",70,"A",80,"A+",90,"S",100),_xlfn.SWITCH(O301,"F",0,"E",10,"D",20,"D+",30,"C",40,"C+",50,"B",60,"B+",70,"A",80,"A+",90,"S",100),_xlfn.SWITCH(P302,"F",0,"E",10,"D",20,"D+",30,"C",40,"C+",50,"B",60,"B+",70,"A",80,"A+",90,"S",100)),{0,15,25,35,45,55,65,75,85,95},{"D","D","D+","C","C+","B","B+","A","A+","S"}),"?")</f>
        <v>?</v>
      </c>
    </row>
    <row r="296" spans="1:17">
      <c r="A296" s="5"/>
      <c r="B296" s="5"/>
      <c r="C296" s="13"/>
      <c r="D296" s="13"/>
      <c r="E296" s="13"/>
      <c r="F296" s="13"/>
      <c r="G296" s="13"/>
      <c r="H296" s="7"/>
      <c r="I296" s="7"/>
      <c r="K296" s="24" t="s">
        <v>1173</v>
      </c>
      <c r="L296" s="25" t="s">
        <v>1174</v>
      </c>
      <c r="M296" s="19"/>
      <c r="N296" s="19"/>
      <c r="O296" s="19"/>
      <c r="P296" s="19"/>
      <c r="Q296" s="19" t="str">
        <f>IF(AND(ISNUMBER(MATCH(M296,{"F","E","D","D+","C","C+","B","B+","A","A+","S"},0)),ISNUMBER(MATCH(N297,{"F","E","D","D+","C","C+","B","B+","A","A+","S"},0)),ISNUMBER(MATCH(O298,{"F","E","D","D+","C","C+","B","B+","A","A+","S"},0)),ISNUMBER(MATCH(P299,{"F","E","D","D+","C","C+","B","B+","A","A+","S"},0))),LOOKUP(AVERAGE(_xlfn.SWITCH(M300,"F",0,"E",10,"D",20,"D+",30,"C",40,"C+",50,"B",60,"B+",70,"A",80,"A+",90,"S",100),_xlfn.SWITCH(N301,"F",0,"E",10,"D",20,"D+",30,"C",40,"C+",50,"B",60,"B+",70,"A",80,"A+",90,"S",100),_xlfn.SWITCH(O302,"F",0,"E",10,"D",20,"D+",30,"C",40,"C+",50,"B",60,"B+",70,"A",80,"A+",90,"S",100),_xlfn.SWITCH(P303,"F",0,"E",10,"D",20,"D+",30,"C",40,"C+",50,"B",60,"B+",70,"A",80,"A+",90,"S",100)),{0,15,25,35,45,55,65,75,85,95},{"D","D","D+","C","C+","B","B+","A","A+","S"}),"?")</f>
        <v>?</v>
      </c>
    </row>
    <row r="297" spans="1:17">
      <c r="A297" s="5"/>
      <c r="B297" s="5"/>
      <c r="C297" s="13"/>
      <c r="D297" s="13"/>
      <c r="E297" s="13"/>
      <c r="F297" s="13"/>
      <c r="G297" s="13"/>
      <c r="H297" s="7"/>
      <c r="I297" s="7"/>
      <c r="K297" s="24" t="s">
        <v>1413</v>
      </c>
      <c r="L297" s="25" t="s">
        <v>1414</v>
      </c>
      <c r="M297" s="19"/>
      <c r="N297" s="19"/>
      <c r="O297" s="19"/>
      <c r="P297" s="19"/>
      <c r="Q297" s="19" t="str">
        <f>IF(AND(ISNUMBER(MATCH(M297,{"F","E","D","D+","C","C+","B","B+","A","A+","S"},0)),ISNUMBER(MATCH(N298,{"F","E","D","D+","C","C+","B","B+","A","A+","S"},0)),ISNUMBER(MATCH(O299,{"F","E","D","D+","C","C+","B","B+","A","A+","S"},0)),ISNUMBER(MATCH(P300,{"F","E","D","D+","C","C+","B","B+","A","A+","S"},0))),LOOKUP(AVERAGE(_xlfn.SWITCH(M301,"F",0,"E",10,"D",20,"D+",30,"C",40,"C+",50,"B",60,"B+",70,"A",80,"A+",90,"S",100),_xlfn.SWITCH(N302,"F",0,"E",10,"D",20,"D+",30,"C",40,"C+",50,"B",60,"B+",70,"A",80,"A+",90,"S",100),_xlfn.SWITCH(O303,"F",0,"E",10,"D",20,"D+",30,"C",40,"C+",50,"B",60,"B+",70,"A",80,"A+",90,"S",100),_xlfn.SWITCH(P304,"F",0,"E",10,"D",20,"D+",30,"C",40,"C+",50,"B",60,"B+",70,"A",80,"A+",90,"S",100)),{0,15,25,35,45,55,65,75,85,95},{"D","D","D+","C","C+","B","B+","A","A+","S"}),"?")</f>
        <v>?</v>
      </c>
    </row>
    <row r="298" spans="1:17">
      <c r="A298" s="5"/>
      <c r="B298" s="5"/>
      <c r="C298" s="13"/>
      <c r="D298" s="13"/>
      <c r="E298" s="13"/>
      <c r="F298" s="13"/>
      <c r="G298" s="13"/>
      <c r="H298" s="7"/>
      <c r="I298" s="7"/>
      <c r="K298" s="24" t="s">
        <v>1415</v>
      </c>
      <c r="L298" s="25" t="s">
        <v>1416</v>
      </c>
      <c r="M298" s="19"/>
      <c r="N298" s="19"/>
      <c r="O298" s="19"/>
      <c r="P298" s="19"/>
      <c r="Q298" s="19" t="str">
        <f>IF(AND(ISNUMBER(MATCH(M298,{"F","E","D","D+","C","C+","B","B+","A","A+","S"},0)),ISNUMBER(MATCH(N299,{"F","E","D","D+","C","C+","B","B+","A","A+","S"},0)),ISNUMBER(MATCH(O300,{"F","E","D","D+","C","C+","B","B+","A","A+","S"},0)),ISNUMBER(MATCH(P301,{"F","E","D","D+","C","C+","B","B+","A","A+","S"},0))),LOOKUP(AVERAGE(_xlfn.SWITCH(M302,"F",0,"E",10,"D",20,"D+",30,"C",40,"C+",50,"B",60,"B+",70,"A",80,"A+",90,"S",100),_xlfn.SWITCH(N303,"F",0,"E",10,"D",20,"D+",30,"C",40,"C+",50,"B",60,"B+",70,"A",80,"A+",90,"S",100),_xlfn.SWITCH(O304,"F",0,"E",10,"D",20,"D+",30,"C",40,"C+",50,"B",60,"B+",70,"A",80,"A+",90,"S",100),_xlfn.SWITCH(P305,"F",0,"E",10,"D",20,"D+",30,"C",40,"C+",50,"B",60,"B+",70,"A",80,"A+",90,"S",100)),{0,15,25,35,45,55,65,75,85,95},{"D","D","D+","C","C+","B","B+","A","A+","S"}),"?")</f>
        <v>?</v>
      </c>
    </row>
    <row r="299" spans="1:17">
      <c r="A299" s="5"/>
      <c r="B299" s="5"/>
      <c r="C299" s="13"/>
      <c r="D299" s="13"/>
      <c r="E299" s="13"/>
      <c r="F299" s="13"/>
      <c r="G299" s="13"/>
      <c r="H299" s="7"/>
      <c r="I299" s="7"/>
      <c r="K299" s="24" t="s">
        <v>1068</v>
      </c>
      <c r="L299" s="25" t="s">
        <v>726</v>
      </c>
      <c r="M299" s="19"/>
      <c r="N299" s="19"/>
      <c r="O299" s="19"/>
      <c r="P299" s="19"/>
      <c r="Q299" s="19" t="str">
        <f>IF(AND(ISNUMBER(MATCH(M299,{"F","E","D","D+","C","C+","B","B+","A","A+","S"},0)),ISNUMBER(MATCH(N300,{"F","E","D","D+","C","C+","B","B+","A","A+","S"},0)),ISNUMBER(MATCH(O301,{"F","E","D","D+","C","C+","B","B+","A","A+","S"},0)),ISNUMBER(MATCH(P302,{"F","E","D","D+","C","C+","B","B+","A","A+","S"},0))),LOOKUP(AVERAGE(_xlfn.SWITCH(M303,"F",0,"E",10,"D",20,"D+",30,"C",40,"C+",50,"B",60,"B+",70,"A",80,"A+",90,"S",100),_xlfn.SWITCH(N304,"F",0,"E",10,"D",20,"D+",30,"C",40,"C+",50,"B",60,"B+",70,"A",80,"A+",90,"S",100),_xlfn.SWITCH(O305,"F",0,"E",10,"D",20,"D+",30,"C",40,"C+",50,"B",60,"B+",70,"A",80,"A+",90,"S",100),_xlfn.SWITCH(P306,"F",0,"E",10,"D",20,"D+",30,"C",40,"C+",50,"B",60,"B+",70,"A",80,"A+",90,"S",100)),{0,15,25,35,45,55,65,75,85,95},{"D","D","D+","C","C+","B","B+","A","A+","S"}),"?")</f>
        <v>?</v>
      </c>
    </row>
    <row r="300" spans="1:17">
      <c r="A300" s="5"/>
      <c r="B300" s="5"/>
      <c r="C300" s="13"/>
      <c r="D300" s="13"/>
      <c r="E300" s="13"/>
      <c r="F300" s="13"/>
      <c r="G300" s="13"/>
      <c r="H300" s="7"/>
      <c r="I300" s="7"/>
      <c r="K300" s="24" t="s">
        <v>1417</v>
      </c>
      <c r="L300" s="25" t="s">
        <v>1418</v>
      </c>
      <c r="M300" s="19"/>
      <c r="N300" s="19"/>
      <c r="O300" s="19"/>
      <c r="P300" s="19"/>
      <c r="Q300" s="19" t="str">
        <f>IF(AND(ISNUMBER(MATCH(M300,{"F","E","D","D+","C","C+","B","B+","A","A+","S"},0)),ISNUMBER(MATCH(N301,{"F","E","D","D+","C","C+","B","B+","A","A+","S"},0)),ISNUMBER(MATCH(O302,{"F","E","D","D+","C","C+","B","B+","A","A+","S"},0)),ISNUMBER(MATCH(P303,{"F","E","D","D+","C","C+","B","B+","A","A+","S"},0))),LOOKUP(AVERAGE(_xlfn.SWITCH(M304,"F",0,"E",10,"D",20,"D+",30,"C",40,"C+",50,"B",60,"B+",70,"A",80,"A+",90,"S",100),_xlfn.SWITCH(N305,"F",0,"E",10,"D",20,"D+",30,"C",40,"C+",50,"B",60,"B+",70,"A",80,"A+",90,"S",100),_xlfn.SWITCH(O306,"F",0,"E",10,"D",20,"D+",30,"C",40,"C+",50,"B",60,"B+",70,"A",80,"A+",90,"S",100),_xlfn.SWITCH(P307,"F",0,"E",10,"D",20,"D+",30,"C",40,"C+",50,"B",60,"B+",70,"A",80,"A+",90,"S",100)),{0,15,25,35,45,55,65,75,85,95},{"D","D","D+","C","C+","B","B+","A","A+","S"}),"?")</f>
        <v>?</v>
      </c>
    </row>
    <row r="301" spans="1:17">
      <c r="A301" s="5"/>
      <c r="B301" s="5"/>
      <c r="C301" s="13"/>
      <c r="D301" s="13"/>
      <c r="E301" s="13"/>
      <c r="F301" s="13"/>
      <c r="G301" s="13"/>
      <c r="H301" s="7"/>
      <c r="I301" s="7"/>
      <c r="K301" s="24" t="s">
        <v>1419</v>
      </c>
      <c r="L301" s="25" t="s">
        <v>1420</v>
      </c>
      <c r="M301" s="19"/>
      <c r="N301" s="19"/>
      <c r="O301" s="19"/>
      <c r="P301" s="19"/>
      <c r="Q301" s="19" t="str">
        <f>IF(AND(ISNUMBER(MATCH(M301,{"F","E","D","D+","C","C+","B","B+","A","A+","S"},0)),ISNUMBER(MATCH(N302,{"F","E","D","D+","C","C+","B","B+","A","A+","S"},0)),ISNUMBER(MATCH(O303,{"F","E","D","D+","C","C+","B","B+","A","A+","S"},0)),ISNUMBER(MATCH(P304,{"F","E","D","D+","C","C+","B","B+","A","A+","S"},0))),LOOKUP(AVERAGE(_xlfn.SWITCH(M305,"F",0,"E",10,"D",20,"D+",30,"C",40,"C+",50,"B",60,"B+",70,"A",80,"A+",90,"S",100),_xlfn.SWITCH(N306,"F",0,"E",10,"D",20,"D+",30,"C",40,"C+",50,"B",60,"B+",70,"A",80,"A+",90,"S",100),_xlfn.SWITCH(O307,"F",0,"E",10,"D",20,"D+",30,"C",40,"C+",50,"B",60,"B+",70,"A",80,"A+",90,"S",100),_xlfn.SWITCH(P308,"F",0,"E",10,"D",20,"D+",30,"C",40,"C+",50,"B",60,"B+",70,"A",80,"A+",90,"S",100)),{0,15,25,35,45,55,65,75,85,95},{"D","D","D+","C","C+","B","B+","A","A+","S"}),"?")</f>
        <v>?</v>
      </c>
    </row>
    <row r="302" spans="1:17">
      <c r="A302" s="5"/>
      <c r="B302" s="5"/>
      <c r="C302" s="13"/>
      <c r="D302" s="13"/>
      <c r="E302" s="13"/>
      <c r="F302" s="13"/>
      <c r="G302" s="13"/>
      <c r="H302" s="7"/>
      <c r="I302" s="7"/>
      <c r="K302" s="24" t="s">
        <v>1421</v>
      </c>
      <c r="L302" s="25" t="s">
        <v>1422</v>
      </c>
      <c r="M302" s="19"/>
      <c r="N302" s="19"/>
      <c r="O302" s="19"/>
      <c r="P302" s="19"/>
      <c r="Q302" s="19" t="str">
        <f>IF(AND(ISNUMBER(MATCH(M302,{"F","E","D","D+","C","C+","B","B+","A","A+","S"},0)),ISNUMBER(MATCH(N303,{"F","E","D","D+","C","C+","B","B+","A","A+","S"},0)),ISNUMBER(MATCH(O304,{"F","E","D","D+","C","C+","B","B+","A","A+","S"},0)),ISNUMBER(MATCH(P305,{"F","E","D","D+","C","C+","B","B+","A","A+","S"},0))),LOOKUP(AVERAGE(_xlfn.SWITCH(M306,"F",0,"E",10,"D",20,"D+",30,"C",40,"C+",50,"B",60,"B+",70,"A",80,"A+",90,"S",100),_xlfn.SWITCH(N307,"F",0,"E",10,"D",20,"D+",30,"C",40,"C+",50,"B",60,"B+",70,"A",80,"A+",90,"S",100),_xlfn.SWITCH(O308,"F",0,"E",10,"D",20,"D+",30,"C",40,"C+",50,"B",60,"B+",70,"A",80,"A+",90,"S",100),_xlfn.SWITCH(P309,"F",0,"E",10,"D",20,"D+",30,"C",40,"C+",50,"B",60,"B+",70,"A",80,"A+",90,"S",100)),{0,15,25,35,45,55,65,75,85,95},{"D","D","D+","C","C+","B","B+","A","A+","S"}),"?")</f>
        <v>?</v>
      </c>
    </row>
    <row r="303" spans="1:17">
      <c r="A303" s="5"/>
      <c r="B303" s="5"/>
      <c r="C303" s="13"/>
      <c r="D303" s="13"/>
      <c r="E303" s="13"/>
      <c r="F303" s="13"/>
      <c r="G303" s="13"/>
      <c r="H303" s="7"/>
      <c r="I303" s="7"/>
      <c r="K303" s="24" t="s">
        <v>1051</v>
      </c>
      <c r="L303" s="25" t="s">
        <v>1052</v>
      </c>
      <c r="M303" s="19"/>
      <c r="N303" s="19"/>
      <c r="O303" s="19"/>
      <c r="P303" s="19"/>
      <c r="Q303" s="19" t="str">
        <f>IF(AND(ISNUMBER(MATCH(M303,{"F","E","D","D+","C","C+","B","B+","A","A+","S"},0)),ISNUMBER(MATCH(N304,{"F","E","D","D+","C","C+","B","B+","A","A+","S"},0)),ISNUMBER(MATCH(O305,{"F","E","D","D+","C","C+","B","B+","A","A+","S"},0)),ISNUMBER(MATCH(P306,{"F","E","D","D+","C","C+","B","B+","A","A+","S"},0))),LOOKUP(AVERAGE(_xlfn.SWITCH(M307,"F",0,"E",10,"D",20,"D+",30,"C",40,"C+",50,"B",60,"B+",70,"A",80,"A+",90,"S",100),_xlfn.SWITCH(N308,"F",0,"E",10,"D",20,"D+",30,"C",40,"C+",50,"B",60,"B+",70,"A",80,"A+",90,"S",100),_xlfn.SWITCH(O309,"F",0,"E",10,"D",20,"D+",30,"C",40,"C+",50,"B",60,"B+",70,"A",80,"A+",90,"S",100),_xlfn.SWITCH(P310,"F",0,"E",10,"D",20,"D+",30,"C",40,"C+",50,"B",60,"B+",70,"A",80,"A+",90,"S",100)),{0,15,25,35,45,55,65,75,85,95},{"D","D","D+","C","C+","B","B+","A","A+","S"}),"?")</f>
        <v>?</v>
      </c>
    </row>
    <row r="304" spans="1:17">
      <c r="A304" s="5"/>
      <c r="B304" s="5"/>
      <c r="C304" s="13"/>
      <c r="D304" s="13"/>
      <c r="E304" s="13"/>
      <c r="F304" s="13"/>
      <c r="G304" s="13"/>
      <c r="H304" s="7"/>
      <c r="I304" s="7"/>
      <c r="K304" s="24" t="s">
        <v>1062</v>
      </c>
      <c r="L304" s="25" t="s">
        <v>1063</v>
      </c>
      <c r="M304" s="19"/>
      <c r="N304" s="19"/>
      <c r="O304" s="19"/>
      <c r="P304" s="19"/>
      <c r="Q304" s="19" t="str">
        <f>IF(AND(ISNUMBER(MATCH(M304,{"F","E","D","D+","C","C+","B","B+","A","A+","S"},0)),ISNUMBER(MATCH(N305,{"F","E","D","D+","C","C+","B","B+","A","A+","S"},0)),ISNUMBER(MATCH(O306,{"F","E","D","D+","C","C+","B","B+","A","A+","S"},0)),ISNUMBER(MATCH(P307,{"F","E","D","D+","C","C+","B","B+","A","A+","S"},0))),LOOKUP(AVERAGE(_xlfn.SWITCH(M308,"F",0,"E",10,"D",20,"D+",30,"C",40,"C+",50,"B",60,"B+",70,"A",80,"A+",90,"S",100),_xlfn.SWITCH(N309,"F",0,"E",10,"D",20,"D+",30,"C",40,"C+",50,"B",60,"B+",70,"A",80,"A+",90,"S",100),_xlfn.SWITCH(O310,"F",0,"E",10,"D",20,"D+",30,"C",40,"C+",50,"B",60,"B+",70,"A",80,"A+",90,"S",100),_xlfn.SWITCH(P311,"F",0,"E",10,"D",20,"D+",30,"C",40,"C+",50,"B",60,"B+",70,"A",80,"A+",90,"S",100)),{0,15,25,35,45,55,65,75,85,95},{"D","D","D+","C","C+","B","B+","A","A+","S"}),"?")</f>
        <v>?</v>
      </c>
    </row>
    <row r="305" spans="1:17">
      <c r="A305" s="5"/>
      <c r="B305" s="5"/>
      <c r="C305" s="13"/>
      <c r="D305" s="13"/>
      <c r="E305" s="13"/>
      <c r="F305" s="13"/>
      <c r="G305" s="13"/>
      <c r="H305" s="7"/>
      <c r="I305" s="7"/>
      <c r="K305" s="24" t="s">
        <v>1423</v>
      </c>
      <c r="L305" s="25" t="s">
        <v>1424</v>
      </c>
      <c r="M305" s="19"/>
      <c r="N305" s="19"/>
      <c r="O305" s="19"/>
      <c r="P305" s="19"/>
      <c r="Q305" s="19" t="str">
        <f>IF(AND(ISNUMBER(MATCH(M305,{"F","E","D","D+","C","C+","B","B+","A","A+","S"},0)),ISNUMBER(MATCH(N306,{"F","E","D","D+","C","C+","B","B+","A","A+","S"},0)),ISNUMBER(MATCH(O307,{"F","E","D","D+","C","C+","B","B+","A","A+","S"},0)),ISNUMBER(MATCH(P308,{"F","E","D","D+","C","C+","B","B+","A","A+","S"},0))),LOOKUP(AVERAGE(_xlfn.SWITCH(M309,"F",0,"E",10,"D",20,"D+",30,"C",40,"C+",50,"B",60,"B+",70,"A",80,"A+",90,"S",100),_xlfn.SWITCH(N310,"F",0,"E",10,"D",20,"D+",30,"C",40,"C+",50,"B",60,"B+",70,"A",80,"A+",90,"S",100),_xlfn.SWITCH(O311,"F",0,"E",10,"D",20,"D+",30,"C",40,"C+",50,"B",60,"B+",70,"A",80,"A+",90,"S",100),_xlfn.SWITCH(P312,"F",0,"E",10,"D",20,"D+",30,"C",40,"C+",50,"B",60,"B+",70,"A",80,"A+",90,"S",100)),{0,15,25,35,45,55,65,75,85,95},{"D","D","D+","C","C+","B","B+","A","A+","S"}),"?")</f>
        <v>?</v>
      </c>
    </row>
    <row r="306" spans="1:17">
      <c r="A306" s="5"/>
      <c r="B306" s="5"/>
      <c r="C306" s="13"/>
      <c r="D306" s="13"/>
      <c r="E306" s="13"/>
      <c r="F306" s="13"/>
      <c r="G306" s="13"/>
      <c r="H306" s="7"/>
      <c r="I306" s="7"/>
      <c r="K306" s="24" t="s">
        <v>1425</v>
      </c>
      <c r="L306" s="25" t="s">
        <v>1426</v>
      </c>
      <c r="M306" s="19"/>
      <c r="N306" s="19"/>
      <c r="O306" s="19"/>
      <c r="P306" s="19"/>
      <c r="Q306" s="19" t="str">
        <f>IF(AND(ISNUMBER(MATCH(M306,{"F","E","D","D+","C","C+","B","B+","A","A+","S"},0)),ISNUMBER(MATCH(N307,{"F","E","D","D+","C","C+","B","B+","A","A+","S"},0)),ISNUMBER(MATCH(O308,{"F","E","D","D+","C","C+","B","B+","A","A+","S"},0)),ISNUMBER(MATCH(P309,{"F","E","D","D+","C","C+","B","B+","A","A+","S"},0))),LOOKUP(AVERAGE(_xlfn.SWITCH(M310,"F",0,"E",10,"D",20,"D+",30,"C",40,"C+",50,"B",60,"B+",70,"A",80,"A+",90,"S",100),_xlfn.SWITCH(N311,"F",0,"E",10,"D",20,"D+",30,"C",40,"C+",50,"B",60,"B+",70,"A",80,"A+",90,"S",100),_xlfn.SWITCH(O312,"F",0,"E",10,"D",20,"D+",30,"C",40,"C+",50,"B",60,"B+",70,"A",80,"A+",90,"S",100),_xlfn.SWITCH(P313,"F",0,"E",10,"D",20,"D+",30,"C",40,"C+",50,"B",60,"B+",70,"A",80,"A+",90,"S",100)),{0,15,25,35,45,55,65,75,85,95},{"D","D","D+","C","C+","B","B+","A","A+","S"}),"?")</f>
        <v>?</v>
      </c>
    </row>
    <row r="307" spans="1:17">
      <c r="A307" s="5"/>
      <c r="B307" s="5"/>
      <c r="C307" s="13"/>
      <c r="D307" s="13"/>
      <c r="E307" s="13"/>
      <c r="F307" s="13"/>
      <c r="G307" s="13"/>
      <c r="H307" s="7"/>
      <c r="I307" s="7"/>
      <c r="K307" s="24" t="s">
        <v>1195</v>
      </c>
      <c r="L307" s="25" t="s">
        <v>1196</v>
      </c>
      <c r="M307" s="19"/>
      <c r="N307" s="19"/>
      <c r="O307" s="19"/>
      <c r="P307" s="19"/>
      <c r="Q307" s="19" t="str">
        <f>IF(AND(ISNUMBER(MATCH(M307,{"F","E","D","D+","C","C+","B","B+","A","A+","S"},0)),ISNUMBER(MATCH(N308,{"F","E","D","D+","C","C+","B","B+","A","A+","S"},0)),ISNUMBER(MATCH(O309,{"F","E","D","D+","C","C+","B","B+","A","A+","S"},0)),ISNUMBER(MATCH(P310,{"F","E","D","D+","C","C+","B","B+","A","A+","S"},0))),LOOKUP(AVERAGE(_xlfn.SWITCH(M311,"F",0,"E",10,"D",20,"D+",30,"C",40,"C+",50,"B",60,"B+",70,"A",80,"A+",90,"S",100),_xlfn.SWITCH(N312,"F",0,"E",10,"D",20,"D+",30,"C",40,"C+",50,"B",60,"B+",70,"A",80,"A+",90,"S",100),_xlfn.SWITCH(O313,"F",0,"E",10,"D",20,"D+",30,"C",40,"C+",50,"B",60,"B+",70,"A",80,"A+",90,"S",100),_xlfn.SWITCH(P314,"F",0,"E",10,"D",20,"D+",30,"C",40,"C+",50,"B",60,"B+",70,"A",80,"A+",90,"S",100)),{0,15,25,35,45,55,65,75,85,95},{"D","D","D+","C","C+","B","B+","A","A+","S"}),"?")</f>
        <v>?</v>
      </c>
    </row>
    <row r="308" spans="1:17">
      <c r="A308" s="5"/>
      <c r="B308" s="5"/>
      <c r="C308" s="13"/>
      <c r="D308" s="13"/>
      <c r="E308" s="13"/>
      <c r="F308" s="13"/>
      <c r="G308" s="13"/>
      <c r="H308" s="7"/>
      <c r="I308" s="7"/>
      <c r="K308" s="24" t="s">
        <v>1427</v>
      </c>
      <c r="L308" s="25" t="s">
        <v>1428</v>
      </c>
      <c r="M308" s="19"/>
      <c r="N308" s="19"/>
      <c r="O308" s="19"/>
      <c r="P308" s="19"/>
      <c r="Q308" s="19" t="str">
        <f>IF(AND(ISNUMBER(MATCH(M308,{"F","E","D","D+","C","C+","B","B+","A","A+","S"},0)),ISNUMBER(MATCH(N309,{"F","E","D","D+","C","C+","B","B+","A","A+","S"},0)),ISNUMBER(MATCH(O310,{"F","E","D","D+","C","C+","B","B+","A","A+","S"},0)),ISNUMBER(MATCH(P311,{"F","E","D","D+","C","C+","B","B+","A","A+","S"},0))),LOOKUP(AVERAGE(_xlfn.SWITCH(M312,"F",0,"E",10,"D",20,"D+",30,"C",40,"C+",50,"B",60,"B+",70,"A",80,"A+",90,"S",100),_xlfn.SWITCH(N313,"F",0,"E",10,"D",20,"D+",30,"C",40,"C+",50,"B",60,"B+",70,"A",80,"A+",90,"S",100),_xlfn.SWITCH(O314,"F",0,"E",10,"D",20,"D+",30,"C",40,"C+",50,"B",60,"B+",70,"A",80,"A+",90,"S",100),_xlfn.SWITCH(P315,"F",0,"E",10,"D",20,"D+",30,"C",40,"C+",50,"B",60,"B+",70,"A",80,"A+",90,"S",100)),{0,15,25,35,45,55,65,75,85,95},{"D","D","D+","C","C+","B","B+","A","A+","S"}),"?")</f>
        <v>?</v>
      </c>
    </row>
    <row r="309" spans="1:17">
      <c r="A309" s="5"/>
      <c r="B309" s="5"/>
      <c r="C309" s="13"/>
      <c r="D309" s="13"/>
      <c r="E309" s="13"/>
      <c r="F309" s="13"/>
      <c r="G309" s="13"/>
      <c r="H309" s="7"/>
      <c r="I309" s="7"/>
      <c r="K309" s="24" t="s">
        <v>1073</v>
      </c>
      <c r="L309" s="25" t="s">
        <v>1074</v>
      </c>
      <c r="M309" s="19"/>
      <c r="N309" s="19"/>
      <c r="O309" s="19"/>
      <c r="P309" s="19"/>
      <c r="Q309" s="19" t="str">
        <f>IF(AND(ISNUMBER(MATCH(M309,{"F","E","D","D+","C","C+","B","B+","A","A+","S"},0)),ISNUMBER(MATCH(N310,{"F","E","D","D+","C","C+","B","B+","A","A+","S"},0)),ISNUMBER(MATCH(O311,{"F","E","D","D+","C","C+","B","B+","A","A+","S"},0)),ISNUMBER(MATCH(P312,{"F","E","D","D+","C","C+","B","B+","A","A+","S"},0))),LOOKUP(AVERAGE(_xlfn.SWITCH(M313,"F",0,"E",10,"D",20,"D+",30,"C",40,"C+",50,"B",60,"B+",70,"A",80,"A+",90,"S",100),_xlfn.SWITCH(N314,"F",0,"E",10,"D",20,"D+",30,"C",40,"C+",50,"B",60,"B+",70,"A",80,"A+",90,"S",100),_xlfn.SWITCH(O315,"F",0,"E",10,"D",20,"D+",30,"C",40,"C+",50,"B",60,"B+",70,"A",80,"A+",90,"S",100),_xlfn.SWITCH(P316,"F",0,"E",10,"D",20,"D+",30,"C",40,"C+",50,"B",60,"B+",70,"A",80,"A+",90,"S",100)),{0,15,25,35,45,55,65,75,85,95},{"D","D","D+","C","C+","B","B+","A","A+","S"}),"?")</f>
        <v>?</v>
      </c>
    </row>
    <row r="310" spans="1:17">
      <c r="A310" s="5"/>
      <c r="B310" s="5"/>
      <c r="C310" s="13"/>
      <c r="D310" s="13"/>
      <c r="E310" s="13"/>
      <c r="F310" s="13"/>
      <c r="G310" s="13"/>
      <c r="H310" s="7"/>
      <c r="I310" s="7"/>
      <c r="K310" s="24" t="s">
        <v>1429</v>
      </c>
      <c r="L310" s="25" t="s">
        <v>1430</v>
      </c>
      <c r="M310" s="19"/>
      <c r="N310" s="19"/>
      <c r="O310" s="19"/>
      <c r="P310" s="19"/>
      <c r="Q310" s="19" t="str">
        <f>IF(AND(ISNUMBER(MATCH(M310,{"F","E","D","D+","C","C+","B","B+","A","A+","S"},0)),ISNUMBER(MATCH(N311,{"F","E","D","D+","C","C+","B","B+","A","A+","S"},0)),ISNUMBER(MATCH(O312,{"F","E","D","D+","C","C+","B","B+","A","A+","S"},0)),ISNUMBER(MATCH(P313,{"F","E","D","D+","C","C+","B","B+","A","A+","S"},0))),LOOKUP(AVERAGE(_xlfn.SWITCH(M314,"F",0,"E",10,"D",20,"D+",30,"C",40,"C+",50,"B",60,"B+",70,"A",80,"A+",90,"S",100),_xlfn.SWITCH(N315,"F",0,"E",10,"D",20,"D+",30,"C",40,"C+",50,"B",60,"B+",70,"A",80,"A+",90,"S",100),_xlfn.SWITCH(O316,"F",0,"E",10,"D",20,"D+",30,"C",40,"C+",50,"B",60,"B+",70,"A",80,"A+",90,"S",100),_xlfn.SWITCH(P317,"F",0,"E",10,"D",20,"D+",30,"C",40,"C+",50,"B",60,"B+",70,"A",80,"A+",90,"S",100)),{0,15,25,35,45,55,65,75,85,95},{"D","D","D+","C","C+","B","B+","A","A+","S"}),"?")</f>
        <v>?</v>
      </c>
    </row>
    <row r="311" spans="1:17">
      <c r="A311" s="5"/>
      <c r="B311" s="5"/>
      <c r="C311" s="13"/>
      <c r="D311" s="13"/>
      <c r="E311" s="13"/>
      <c r="F311" s="13"/>
      <c r="G311" s="13"/>
      <c r="H311" s="7"/>
      <c r="I311" s="7"/>
      <c r="K311" s="24" t="s">
        <v>1190</v>
      </c>
      <c r="L311" s="25" t="s">
        <v>1191</v>
      </c>
      <c r="M311" s="19"/>
      <c r="N311" s="19"/>
      <c r="O311" s="19"/>
      <c r="P311" s="19"/>
      <c r="Q311" s="19" t="str">
        <f>IF(AND(ISNUMBER(MATCH(M311,{"F","E","D","D+","C","C+","B","B+","A","A+","S"},0)),ISNUMBER(MATCH(N312,{"F","E","D","D+","C","C+","B","B+","A","A+","S"},0)),ISNUMBER(MATCH(O313,{"F","E","D","D+","C","C+","B","B+","A","A+","S"},0)),ISNUMBER(MATCH(P314,{"F","E","D","D+","C","C+","B","B+","A","A+","S"},0))),LOOKUP(AVERAGE(_xlfn.SWITCH(M315,"F",0,"E",10,"D",20,"D+",30,"C",40,"C+",50,"B",60,"B+",70,"A",80,"A+",90,"S",100),_xlfn.SWITCH(N316,"F",0,"E",10,"D",20,"D+",30,"C",40,"C+",50,"B",60,"B+",70,"A",80,"A+",90,"S",100),_xlfn.SWITCH(O317,"F",0,"E",10,"D",20,"D+",30,"C",40,"C+",50,"B",60,"B+",70,"A",80,"A+",90,"S",100),_xlfn.SWITCH(P318,"F",0,"E",10,"D",20,"D+",30,"C",40,"C+",50,"B",60,"B+",70,"A",80,"A+",90,"S",100)),{0,15,25,35,45,55,65,75,85,95},{"D","D","D+","C","C+","B","B+","A","A+","S"}),"?")</f>
        <v>?</v>
      </c>
    </row>
    <row r="312" spans="1:17">
      <c r="A312" s="5"/>
      <c r="B312" s="5"/>
      <c r="C312" s="13"/>
      <c r="D312" s="13"/>
      <c r="E312" s="13"/>
      <c r="F312" s="13"/>
      <c r="G312" s="13"/>
      <c r="H312" s="7"/>
      <c r="I312" s="7"/>
      <c r="K312" s="24" t="s">
        <v>1147</v>
      </c>
      <c r="L312" s="25" t="s">
        <v>1148</v>
      </c>
      <c r="M312" s="19"/>
      <c r="N312" s="19"/>
      <c r="O312" s="19"/>
      <c r="P312" s="19"/>
      <c r="Q312" s="19" t="str">
        <f>IF(AND(ISNUMBER(MATCH(M312,{"F","E","D","D+","C","C+","B","B+","A","A+","S"},0)),ISNUMBER(MATCH(N313,{"F","E","D","D+","C","C+","B","B+","A","A+","S"},0)),ISNUMBER(MATCH(O314,{"F","E","D","D+","C","C+","B","B+","A","A+","S"},0)),ISNUMBER(MATCH(P315,{"F","E","D","D+","C","C+","B","B+","A","A+","S"},0))),LOOKUP(AVERAGE(_xlfn.SWITCH(M316,"F",0,"E",10,"D",20,"D+",30,"C",40,"C+",50,"B",60,"B+",70,"A",80,"A+",90,"S",100),_xlfn.SWITCH(N317,"F",0,"E",10,"D",20,"D+",30,"C",40,"C+",50,"B",60,"B+",70,"A",80,"A+",90,"S",100),_xlfn.SWITCH(O318,"F",0,"E",10,"D",20,"D+",30,"C",40,"C+",50,"B",60,"B+",70,"A",80,"A+",90,"S",100),_xlfn.SWITCH(P319,"F",0,"E",10,"D",20,"D+",30,"C",40,"C+",50,"B",60,"B+",70,"A",80,"A+",90,"S",100)),{0,15,25,35,45,55,65,75,85,95},{"D","D","D+","C","C+","B","B+","A","A+","S"}),"?")</f>
        <v>?</v>
      </c>
    </row>
    <row r="313" spans="1:17">
      <c r="A313" s="5"/>
      <c r="B313" s="5"/>
      <c r="C313" s="13"/>
      <c r="D313" s="13"/>
      <c r="E313" s="13"/>
      <c r="F313" s="13"/>
      <c r="G313" s="13"/>
      <c r="H313" s="7"/>
      <c r="I313" s="7"/>
      <c r="K313" s="24" t="s">
        <v>1121</v>
      </c>
      <c r="L313" s="25" t="s">
        <v>1122</v>
      </c>
      <c r="M313" s="19"/>
      <c r="N313" s="19"/>
      <c r="O313" s="19"/>
      <c r="P313" s="19"/>
      <c r="Q313" s="19" t="str">
        <f>IF(AND(ISNUMBER(MATCH(M313,{"F","E","D","D+","C","C+","B","B+","A","A+","S"},0)),ISNUMBER(MATCH(N314,{"F","E","D","D+","C","C+","B","B+","A","A+","S"},0)),ISNUMBER(MATCH(O315,{"F","E","D","D+","C","C+","B","B+","A","A+","S"},0)),ISNUMBER(MATCH(P316,{"F","E","D","D+","C","C+","B","B+","A","A+","S"},0))),LOOKUP(AVERAGE(_xlfn.SWITCH(M317,"F",0,"E",10,"D",20,"D+",30,"C",40,"C+",50,"B",60,"B+",70,"A",80,"A+",90,"S",100),_xlfn.SWITCH(N318,"F",0,"E",10,"D",20,"D+",30,"C",40,"C+",50,"B",60,"B+",70,"A",80,"A+",90,"S",100),_xlfn.SWITCH(O319,"F",0,"E",10,"D",20,"D+",30,"C",40,"C+",50,"B",60,"B+",70,"A",80,"A+",90,"S",100),_xlfn.SWITCH(P320,"F",0,"E",10,"D",20,"D+",30,"C",40,"C+",50,"B",60,"B+",70,"A",80,"A+",90,"S",100)),{0,15,25,35,45,55,65,75,85,95},{"D","D","D+","C","C+","B","B+","A","A+","S"}),"?")</f>
        <v>?</v>
      </c>
    </row>
    <row r="314" spans="1:17">
      <c r="A314" s="5"/>
      <c r="B314" s="5"/>
      <c r="C314" s="13"/>
      <c r="D314" s="13"/>
      <c r="E314" s="13"/>
      <c r="F314" s="13"/>
      <c r="G314" s="13"/>
      <c r="H314" s="7"/>
      <c r="I314" s="7"/>
      <c r="K314" s="24" t="s">
        <v>1431</v>
      </c>
      <c r="L314" s="25" t="s">
        <v>1432</v>
      </c>
      <c r="M314" s="19"/>
      <c r="N314" s="19"/>
      <c r="O314" s="19"/>
      <c r="P314" s="19"/>
      <c r="Q314" s="19" t="str">
        <f>IF(AND(ISNUMBER(MATCH(M314,{"F","E","D","D+","C","C+","B","B+","A","A+","S"},0)),ISNUMBER(MATCH(N315,{"F","E","D","D+","C","C+","B","B+","A","A+","S"},0)),ISNUMBER(MATCH(O316,{"F","E","D","D+","C","C+","B","B+","A","A+","S"},0)),ISNUMBER(MATCH(P317,{"F","E","D","D+","C","C+","B","B+","A","A+","S"},0))),LOOKUP(AVERAGE(_xlfn.SWITCH(M318,"F",0,"E",10,"D",20,"D+",30,"C",40,"C+",50,"B",60,"B+",70,"A",80,"A+",90,"S",100),_xlfn.SWITCH(N319,"F",0,"E",10,"D",20,"D+",30,"C",40,"C+",50,"B",60,"B+",70,"A",80,"A+",90,"S",100),_xlfn.SWITCH(O320,"F",0,"E",10,"D",20,"D+",30,"C",40,"C+",50,"B",60,"B+",70,"A",80,"A+",90,"S",100),_xlfn.SWITCH(P321,"F",0,"E",10,"D",20,"D+",30,"C",40,"C+",50,"B",60,"B+",70,"A",80,"A+",90,"S",100)),{0,15,25,35,45,55,65,75,85,95},{"D","D","D+","C","C+","B","B+","A","A+","S"}),"?")</f>
        <v>?</v>
      </c>
    </row>
    <row r="315" spans="1:17">
      <c r="A315" s="5"/>
      <c r="B315" s="5"/>
      <c r="C315" s="13"/>
      <c r="D315" s="13"/>
      <c r="E315" s="13"/>
      <c r="F315" s="13"/>
      <c r="G315" s="13"/>
      <c r="H315" s="7"/>
      <c r="I315" s="7"/>
      <c r="K315" s="24" t="s">
        <v>1433</v>
      </c>
      <c r="L315" s="25" t="s">
        <v>1434</v>
      </c>
      <c r="M315" s="19"/>
      <c r="N315" s="19"/>
      <c r="O315" s="19"/>
      <c r="P315" s="19"/>
      <c r="Q315" s="19" t="str">
        <f>IF(AND(ISNUMBER(MATCH(M315,{"F","E","D","D+","C","C+","B","B+","A","A+","S"},0)),ISNUMBER(MATCH(N316,{"F","E","D","D+","C","C+","B","B+","A","A+","S"},0)),ISNUMBER(MATCH(O317,{"F","E","D","D+","C","C+","B","B+","A","A+","S"},0)),ISNUMBER(MATCH(P318,{"F","E","D","D+","C","C+","B","B+","A","A+","S"},0))),LOOKUP(AVERAGE(_xlfn.SWITCH(M319,"F",0,"E",10,"D",20,"D+",30,"C",40,"C+",50,"B",60,"B+",70,"A",80,"A+",90,"S",100),_xlfn.SWITCH(N320,"F",0,"E",10,"D",20,"D+",30,"C",40,"C+",50,"B",60,"B+",70,"A",80,"A+",90,"S",100),_xlfn.SWITCH(O321,"F",0,"E",10,"D",20,"D+",30,"C",40,"C+",50,"B",60,"B+",70,"A",80,"A+",90,"S",100),_xlfn.SWITCH(P322,"F",0,"E",10,"D",20,"D+",30,"C",40,"C+",50,"B",60,"B+",70,"A",80,"A+",90,"S",100)),{0,15,25,35,45,55,65,75,85,95},{"D","D","D+","C","C+","B","B+","A","A+","S"}),"?")</f>
        <v>?</v>
      </c>
    </row>
    <row r="316" spans="1:17">
      <c r="A316" s="5"/>
      <c r="B316" s="5"/>
      <c r="C316" s="13"/>
      <c r="D316" s="13"/>
      <c r="E316" s="13"/>
      <c r="F316" s="13"/>
      <c r="G316" s="13"/>
      <c r="H316" s="7"/>
      <c r="I316" s="7"/>
      <c r="K316" s="24" t="s">
        <v>1435</v>
      </c>
      <c r="L316" s="25" t="s">
        <v>1436</v>
      </c>
      <c r="M316" s="19"/>
      <c r="N316" s="19"/>
      <c r="O316" s="19"/>
      <c r="P316" s="19"/>
      <c r="Q316" s="19" t="str">
        <f>IF(AND(ISNUMBER(MATCH(M316,{"F","E","D","D+","C","C+","B","B+","A","A+","S"},0)),ISNUMBER(MATCH(N317,{"F","E","D","D+","C","C+","B","B+","A","A+","S"},0)),ISNUMBER(MATCH(O318,{"F","E","D","D+","C","C+","B","B+","A","A+","S"},0)),ISNUMBER(MATCH(P319,{"F","E","D","D+","C","C+","B","B+","A","A+","S"},0))),LOOKUP(AVERAGE(_xlfn.SWITCH(M320,"F",0,"E",10,"D",20,"D+",30,"C",40,"C+",50,"B",60,"B+",70,"A",80,"A+",90,"S",100),_xlfn.SWITCH(N321,"F",0,"E",10,"D",20,"D+",30,"C",40,"C+",50,"B",60,"B+",70,"A",80,"A+",90,"S",100),_xlfn.SWITCH(O322,"F",0,"E",10,"D",20,"D+",30,"C",40,"C+",50,"B",60,"B+",70,"A",80,"A+",90,"S",100),_xlfn.SWITCH(P323,"F",0,"E",10,"D",20,"D+",30,"C",40,"C+",50,"B",60,"B+",70,"A",80,"A+",90,"S",100)),{0,15,25,35,45,55,65,75,85,95},{"D","D","D+","C","C+","B","B+","A","A+","S"}),"?")</f>
        <v>?</v>
      </c>
    </row>
    <row r="317" spans="1:17">
      <c r="A317" s="5"/>
      <c r="B317" s="5"/>
      <c r="C317" s="13"/>
      <c r="D317" s="13"/>
      <c r="E317" s="13"/>
      <c r="F317" s="13"/>
      <c r="G317" s="13"/>
      <c r="H317" s="7"/>
      <c r="I317" s="7"/>
      <c r="K317" s="24" t="s">
        <v>1437</v>
      </c>
      <c r="L317" s="25" t="s">
        <v>1438</v>
      </c>
      <c r="M317" s="19"/>
      <c r="N317" s="19"/>
      <c r="O317" s="19"/>
      <c r="P317" s="19"/>
      <c r="Q317" s="19" t="str">
        <f>IF(AND(ISNUMBER(MATCH(M317,{"F","E","D","D+","C","C+","B","B+","A","A+","S"},0)),ISNUMBER(MATCH(N317,{"F","E","D","D+","C","C+","B","B+","A","A+","S"},0)),ISNUMBER(MATCH(O317,{"F","E","D","D+","C","C+","B","B+","A","A+","S"},0)),ISNUMBER(MATCH(P317,{"F","E","D","D+","C","C+","B","B+","A","A+","S"},0))),LOOKUP(AVERAGE(_xlfn.SWITCH(M317,"F",0,"E",10,"D",20,"D+",30,"C",40,"C+",50,"B",60,"B+",70,"A",80,"A+",90,"S",100),_xlfn.SWITCH(N317,"F",0,"E",10,"D",20,"D+",30,"C",40,"C+",50,"B",60,"B+",70,"A",80,"A+",90,"S",100),_xlfn.SWITCH(O317,"F",0,"E",10,"D",20,"D+",30,"C",40,"C+",50,"B",60,"B+",70,"A",80,"A+",90,"S",100),_xlfn.SWITCH(P317,"F",0,"E",10,"D",20,"D+",30,"C",40,"C+",50,"B",60,"B+",70,"A",80,"A+",90,"S",100)),{0,15,25,35,45,55,65,75,85,95},{"D","D","D+","C","C+","B","B+","A","A+","S"}),"?")</f>
        <v>?</v>
      </c>
    </row>
    <row r="318" spans="1:17">
      <c r="A318" s="5"/>
      <c r="B318" s="5"/>
      <c r="C318" s="13"/>
      <c r="D318" s="13"/>
      <c r="E318" s="13"/>
      <c r="F318" s="13"/>
      <c r="G318" s="13"/>
      <c r="H318" s="7"/>
      <c r="I318" s="7"/>
      <c r="K318" s="24" t="s">
        <v>1206</v>
      </c>
      <c r="L318" s="25" t="s">
        <v>1207</v>
      </c>
      <c r="M318" s="19"/>
      <c r="N318" s="19"/>
      <c r="O318" s="19"/>
      <c r="P318" s="19"/>
      <c r="Q318" s="19" t="str">
        <f>IF(AND(ISNUMBER(MATCH(M318,{"F","E","D","D+","C","C+","B","B+","A","A+","S"},0)),ISNUMBER(MATCH(N318,{"F","E","D","D+","C","C+","B","B+","A","A+","S"},0)),ISNUMBER(MATCH(O318,{"F","E","D","D+","C","C+","B","B+","A","A+","S"},0)),ISNUMBER(MATCH(P318,{"F","E","D","D+","C","C+","B","B+","A","A+","S"},0))),LOOKUP(AVERAGE(_xlfn.SWITCH(M318,"F",0,"E",10,"D",20,"D+",30,"C",40,"C+",50,"B",60,"B+",70,"A",80,"A+",90,"S",100),_xlfn.SWITCH(N318,"F",0,"E",10,"D",20,"D+",30,"C",40,"C+",50,"B",60,"B+",70,"A",80,"A+",90,"S",100),_xlfn.SWITCH(O318,"F",0,"E",10,"D",20,"D+",30,"C",40,"C+",50,"B",60,"B+",70,"A",80,"A+",90,"S",100),_xlfn.SWITCH(P318,"F",0,"E",10,"D",20,"D+",30,"C",40,"C+",50,"B",60,"B+",70,"A",80,"A+",90,"S",100)),{0,15,25,35,45,55,65,75,85,95},{"D","D","D+","C","C+","B","B+","A","A+","S"}),"?")</f>
        <v>?</v>
      </c>
    </row>
    <row r="319" spans="1:17">
      <c r="A319" s="5"/>
      <c r="B319" s="5"/>
      <c r="C319" s="13"/>
      <c r="D319" s="13"/>
      <c r="E319" s="13"/>
      <c r="F319" s="13"/>
      <c r="G319" s="13"/>
      <c r="H319" s="7"/>
      <c r="I319" s="7"/>
      <c r="K319" s="24" t="s">
        <v>1439</v>
      </c>
      <c r="L319" s="25" t="s">
        <v>1440</v>
      </c>
      <c r="M319" s="19"/>
      <c r="N319" s="19"/>
      <c r="O319" s="19"/>
      <c r="P319" s="19"/>
      <c r="Q319" s="19" t="str">
        <f>IF(AND(ISNUMBER(MATCH(M319,{"F","E","D","D+","C","C+","B","B+","A","A+","S"},0)),ISNUMBER(MATCH(N319,{"F","E","D","D+","C","C+","B","B+","A","A+","S"},0)),ISNUMBER(MATCH(O319,{"F","E","D","D+","C","C+","B","B+","A","A+","S"},0)),ISNUMBER(MATCH(P319,{"F","E","D","D+","C","C+","B","B+","A","A+","S"},0))),LOOKUP(AVERAGE(_xlfn.SWITCH(M319,"F",0,"E",10,"D",20,"D+",30,"C",40,"C+",50,"B",60,"B+",70,"A",80,"A+",90,"S",100),_xlfn.SWITCH(N319,"F",0,"E",10,"D",20,"D+",30,"C",40,"C+",50,"B",60,"B+",70,"A",80,"A+",90,"S",100),_xlfn.SWITCH(O319,"F",0,"E",10,"D",20,"D+",30,"C",40,"C+",50,"B",60,"B+",70,"A",80,"A+",90,"S",100),_xlfn.SWITCH(P319,"F",0,"E",10,"D",20,"D+",30,"C",40,"C+",50,"B",60,"B+",70,"A",80,"A+",90,"S",100)),{0,15,25,35,45,55,65,75,85,95},{"D","D","D+","C","C+","B","B+","A","A+","S"}),"?")</f>
        <v>?</v>
      </c>
    </row>
    <row r="320" spans="1:17">
      <c r="A320" s="5"/>
      <c r="B320" s="5"/>
      <c r="C320" s="13"/>
      <c r="D320" s="13"/>
      <c r="E320" s="13"/>
      <c r="F320" s="13"/>
      <c r="G320" s="13"/>
      <c r="H320" s="7"/>
      <c r="I320" s="7"/>
      <c r="K320" s="24" t="s">
        <v>1228</v>
      </c>
      <c r="L320" s="42" t="s">
        <v>1229</v>
      </c>
      <c r="M320" s="19"/>
      <c r="N320" s="19"/>
      <c r="O320" s="19"/>
      <c r="P320" s="19"/>
      <c r="Q320" s="19" t="str">
        <f>IF(AND(ISNUMBER(MATCH(M320,{"F","E","D","D+","C","C+","B","B+","A","A+","S"},0)),ISNUMBER(MATCH(N320,{"F","E","D","D+","C","C+","B","B+","A","A+","S"},0)),ISNUMBER(MATCH(O320,{"F","E","D","D+","C","C+","B","B+","A","A+","S"},0)),ISNUMBER(MATCH(P320,{"F","E","D","D+","C","C+","B","B+","A","A+","S"},0))),LOOKUP(AVERAGE(_xlfn.SWITCH(M320,"F",0,"E",10,"D",20,"D+",30,"C",40,"C+",50,"B",60,"B+",70,"A",80,"A+",90,"S",100),_xlfn.SWITCH(N320,"F",0,"E",10,"D",20,"D+",30,"C",40,"C+",50,"B",60,"B+",70,"A",80,"A+",90,"S",100),_xlfn.SWITCH(O320,"F",0,"E",10,"D",20,"D+",30,"C",40,"C+",50,"B",60,"B+",70,"A",80,"A+",90,"S",100),_xlfn.SWITCH(P320,"F",0,"E",10,"D",20,"D+",30,"C",40,"C+",50,"B",60,"B+",70,"A",80,"A+",90,"S",100)),{0,15,25,35,45,55,65,75,85,95},{"D","D","D+","C","C+","B","B+","A","A+","S"}),"?")</f>
        <v>?</v>
      </c>
    </row>
    <row r="321" spans="1:17">
      <c r="A321" s="24"/>
      <c r="B321" s="24"/>
      <c r="C321" s="19"/>
      <c r="D321" s="19"/>
      <c r="E321" s="19"/>
      <c r="F321" s="19"/>
      <c r="G321" s="19"/>
      <c r="H321" s="11"/>
      <c r="I321" s="11"/>
      <c r="K321" s="24" t="s">
        <v>1441</v>
      </c>
      <c r="L321" s="25" t="s">
        <v>1442</v>
      </c>
      <c r="M321" s="19"/>
      <c r="N321" s="19"/>
      <c r="O321" s="19"/>
      <c r="P321" s="19"/>
      <c r="Q321" s="19" t="str">
        <f>IF(AND(ISNUMBER(MATCH(M321,{"F","E","D","D+","C","C+","B","B+","A","A+","S"},0)),ISNUMBER(MATCH(N321,{"F","E","D","D+","C","C+","B","B+","A","A+","S"},0)),ISNUMBER(MATCH(O321,{"F","E","D","D+","C","C+","B","B+","A","A+","S"},0)),ISNUMBER(MATCH(P321,{"F","E","D","D+","C","C+","B","B+","A","A+","S"},0))),LOOKUP(AVERAGE(_xlfn.SWITCH(M321,"F",0,"E",10,"D",20,"D+",30,"C",40,"C+",50,"B",60,"B+",70,"A",80,"A+",90,"S",100),_xlfn.SWITCH(N321,"F",0,"E",10,"D",20,"D+",30,"C",40,"C+",50,"B",60,"B+",70,"A",80,"A+",90,"S",100),_xlfn.SWITCH(O321,"F",0,"E",10,"D",20,"D+",30,"C",40,"C+",50,"B",60,"B+",70,"A",80,"A+",90,"S",100),_xlfn.SWITCH(P321,"F",0,"E",10,"D",20,"D+",30,"C",40,"C+",50,"B",60,"B+",70,"A",80,"A+",90,"S",100)),{0,15,25,35,45,55,65,75,85,95},{"D","D","D+","C","C+","B","B+","A","A+","S"}),"?")</f>
        <v>?</v>
      </c>
    </row>
    <row r="322" spans="1:17">
      <c r="A322" s="24"/>
      <c r="B322" s="24"/>
      <c r="C322" s="19"/>
      <c r="D322" s="19"/>
      <c r="E322" s="19"/>
      <c r="F322" s="19"/>
      <c r="G322" s="19"/>
      <c r="H322" s="11"/>
      <c r="I322" s="11"/>
      <c r="K322" s="24" t="s">
        <v>1163</v>
      </c>
      <c r="L322" s="43" t="s">
        <v>1164</v>
      </c>
      <c r="M322" s="19"/>
      <c r="N322" s="19"/>
      <c r="O322" s="19"/>
      <c r="P322" s="19"/>
      <c r="Q322" s="19" t="str">
        <f>IF(AND(ISNUMBER(MATCH(M322,{"F","E","D","D+","C","C+","B","B+","A","A+","S"},0)),ISNUMBER(MATCH(N322,{"F","E","D","D+","C","C+","B","B+","A","A+","S"},0)),ISNUMBER(MATCH(O322,{"F","E","D","D+","C","C+","B","B+","A","A+","S"},0)),ISNUMBER(MATCH(P322,{"F","E","D","D+","C","C+","B","B+","A","A+","S"},0))),LOOKUP(AVERAGE(_xlfn.SWITCH(M322,"F",0,"E",10,"D",20,"D+",30,"C",40,"C+",50,"B",60,"B+",70,"A",80,"A+",90,"S",100),_xlfn.SWITCH(N322,"F",0,"E",10,"D",20,"D+",30,"C",40,"C+",50,"B",60,"B+",70,"A",80,"A+",90,"S",100),_xlfn.SWITCH(O322,"F",0,"E",10,"D",20,"D+",30,"C",40,"C+",50,"B",60,"B+",70,"A",80,"A+",90,"S",100),_xlfn.SWITCH(P322,"F",0,"E",10,"D",20,"D+",30,"C",40,"C+",50,"B",60,"B+",70,"A",80,"A+",90,"S",100)),{0,15,25,35,45,55,65,75,85,95},{"D","D","D+","C","C+","B","B+","A","A+","S"}),"?")</f>
        <v>?</v>
      </c>
    </row>
    <row r="323" spans="1:17">
      <c r="A323" s="24"/>
      <c r="B323" s="24"/>
      <c r="C323" s="19"/>
      <c r="D323" s="19"/>
      <c r="E323" s="19"/>
      <c r="F323" s="19"/>
      <c r="G323" s="19"/>
      <c r="H323" s="11"/>
      <c r="I323" s="11"/>
      <c r="K323" s="24" t="s">
        <v>1443</v>
      </c>
      <c r="L323" s="43" t="s">
        <v>1444</v>
      </c>
      <c r="M323" s="19"/>
      <c r="N323" s="19"/>
      <c r="O323" s="19"/>
      <c r="P323" s="19"/>
      <c r="Q323" s="19" t="str">
        <f>IF(AND(ISNUMBER(MATCH(M323,{"F","E","D","D+","C","C+","B","B+","A","A+","S"},0)),ISNUMBER(MATCH(N323,{"F","E","D","D+","C","C+","B","B+","A","A+","S"},0)),ISNUMBER(MATCH(O323,{"F","E","D","D+","C","C+","B","B+","A","A+","S"},0)),ISNUMBER(MATCH(P323,{"F","E","D","D+","C","C+","B","B+","A","A+","S"},0))),LOOKUP(AVERAGE(_xlfn.SWITCH(M323,"F",0,"E",10,"D",20,"D+",30,"C",40,"C+",50,"B",60,"B+",70,"A",80,"A+",90,"S",100),_xlfn.SWITCH(N323,"F",0,"E",10,"D",20,"D+",30,"C",40,"C+",50,"B",60,"B+",70,"A",80,"A+",90,"S",100),_xlfn.SWITCH(O323,"F",0,"E",10,"D",20,"D+",30,"C",40,"C+",50,"B",60,"B+",70,"A",80,"A+",90,"S",100),_xlfn.SWITCH(P323,"F",0,"E",10,"D",20,"D+",30,"C",40,"C+",50,"B",60,"B+",70,"A",80,"A+",90,"S",100)),{0,15,25,35,45,55,65,75,85,95},{"D","D","D+","C","C+","B","B+","A","A+","S"}),"?")</f>
        <v>?</v>
      </c>
    </row>
  </sheetData>
  <mergeCells count="10">
    <mergeCell ref="A1:I1"/>
    <mergeCell ref="K1:S1"/>
    <mergeCell ref="A106:I107"/>
    <mergeCell ref="A180:I181"/>
    <mergeCell ref="A222:I223"/>
    <mergeCell ref="K2:S2"/>
    <mergeCell ref="K135:S136"/>
    <mergeCell ref="K228:S229"/>
    <mergeCell ref="K277:S278"/>
    <mergeCell ref="A2:I2"/>
  </mergeCells>
  <phoneticPr fontId="89" type="noConversion"/>
  <dataValidations count="1">
    <dataValidation type="list" allowBlank="1" showInputMessage="1" showErrorMessage="1" sqref="M280:Q323 M231:Q276 M138:Q227 M4:Q134 C4:G105 C225:G320 C183:G221 C109:G179" xr:uid="{00000000-0002-0000-0A00-000000000000}">
      <formula1>"S,A+,A,B+,B,C+,C,D+,D,?,"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186.SC"/>
  <dimension ref="A1:X53"/>
  <sheetViews>
    <sheetView workbookViewId="0">
      <pane ySplit="2" topLeftCell="A3" activePane="bottomLeft" state="frozen"/>
      <selection pane="bottomLeft"/>
    </sheetView>
  </sheetViews>
  <sheetFormatPr baseColWidth="10" defaultColWidth="13.7109375" defaultRowHeight="18" customHeight="1"/>
  <cols>
    <col min="2" max="2" width="17.7109375" style="157" customWidth="1"/>
    <col min="3" max="3" width="6.85546875" customWidth="1"/>
    <col min="4" max="6" width="6.7109375" customWidth="1"/>
    <col min="7" max="7" width="7.140625" style="125" customWidth="1"/>
    <col min="8" max="8" width="49.28515625" customWidth="1"/>
    <col min="9" max="9" width="45.85546875" customWidth="1"/>
    <col min="10" max="10" width="4.5703125" style="161" customWidth="1"/>
    <col min="12" max="12" width="30.28515625" style="157" customWidth="1"/>
    <col min="14" max="14" width="7.42578125" customWidth="1"/>
    <col min="15" max="15" width="6.5703125" customWidth="1"/>
    <col min="16" max="16" width="6.28515625" customWidth="1"/>
    <col min="17" max="17" width="5.7109375" customWidth="1"/>
    <col min="18" max="18" width="5.5703125" customWidth="1"/>
    <col min="19" max="19" width="48.28515625" customWidth="1"/>
  </cols>
  <sheetData>
    <row r="1" spans="1:24" ht="24" customHeight="1">
      <c r="A1" s="3" t="s">
        <v>1270</v>
      </c>
      <c r="B1" s="587" t="s">
        <v>2177</v>
      </c>
      <c r="C1" s="518"/>
      <c r="D1" s="518"/>
      <c r="E1" s="518"/>
      <c r="F1" s="518"/>
      <c r="G1" s="518"/>
      <c r="H1" s="524"/>
      <c r="I1" s="137"/>
      <c r="K1" s="3" t="s">
        <v>1034</v>
      </c>
      <c r="L1" s="138"/>
      <c r="M1" s="3"/>
      <c r="N1" s="138"/>
      <c r="O1" s="138"/>
      <c r="P1" s="138"/>
      <c r="Q1" s="138"/>
      <c r="R1" s="138"/>
      <c r="S1" s="3"/>
      <c r="T1" s="138"/>
      <c r="U1" s="139"/>
      <c r="V1" s="139"/>
      <c r="W1" s="139"/>
      <c r="X1" s="139"/>
    </row>
    <row r="2" spans="1:24" ht="24" customHeight="1">
      <c r="A2" s="24" t="s">
        <v>4</v>
      </c>
      <c r="B2" s="140" t="s">
        <v>5</v>
      </c>
      <c r="C2" s="11" t="s">
        <v>2178</v>
      </c>
      <c r="D2" s="11" t="s">
        <v>2179</v>
      </c>
      <c r="E2" s="11" t="s">
        <v>2180</v>
      </c>
      <c r="F2" s="11" t="s">
        <v>2181</v>
      </c>
      <c r="G2" s="11" t="s">
        <v>10</v>
      </c>
      <c r="H2" s="11" t="s">
        <v>11</v>
      </c>
      <c r="I2" s="11" t="s">
        <v>12</v>
      </c>
      <c r="K2" s="24" t="s">
        <v>4</v>
      </c>
      <c r="L2" s="140" t="s">
        <v>5</v>
      </c>
      <c r="M2" s="94"/>
      <c r="N2" s="11" t="s">
        <v>2178</v>
      </c>
      <c r="O2" s="11" t="s">
        <v>2179</v>
      </c>
      <c r="P2" s="11" t="s">
        <v>2180</v>
      </c>
      <c r="Q2" s="11" t="s">
        <v>2181</v>
      </c>
      <c r="R2" s="11" t="s">
        <v>10</v>
      </c>
      <c r="S2" s="11" t="s">
        <v>11</v>
      </c>
      <c r="T2" s="11" t="s">
        <v>12</v>
      </c>
    </row>
    <row r="3" spans="1:24" ht="24" customHeight="1">
      <c r="A3" s="24" t="s">
        <v>1276</v>
      </c>
      <c r="B3" s="141" t="s">
        <v>2182</v>
      </c>
      <c r="C3" s="19" t="s">
        <v>18</v>
      </c>
      <c r="D3" s="19" t="s">
        <v>18</v>
      </c>
      <c r="E3" s="19" t="s">
        <v>18</v>
      </c>
      <c r="F3" s="19" t="s">
        <v>1567</v>
      </c>
      <c r="G3" s="19" t="s">
        <v>18</v>
      </c>
      <c r="H3" t="s">
        <v>2183</v>
      </c>
      <c r="K3" s="24" t="s">
        <v>1040</v>
      </c>
      <c r="L3" s="142" t="s">
        <v>1041</v>
      </c>
      <c r="M3" s="24"/>
      <c r="N3" s="19" t="s">
        <v>1574</v>
      </c>
      <c r="O3" s="19" t="s">
        <v>1661</v>
      </c>
      <c r="P3" s="19" t="s">
        <v>1661</v>
      </c>
      <c r="Q3" s="19" t="s">
        <v>1574</v>
      </c>
      <c r="R3" s="19" t="s">
        <v>1661</v>
      </c>
      <c r="S3" s="44" t="s">
        <v>2184</v>
      </c>
      <c r="T3" s="11"/>
      <c r="U3" t="s">
        <v>2185</v>
      </c>
    </row>
    <row r="4" spans="1:24" ht="24" customHeight="1">
      <c r="A4" s="24" t="s">
        <v>1280</v>
      </c>
      <c r="B4" s="143" t="s">
        <v>1281</v>
      </c>
      <c r="C4" s="19" t="s">
        <v>1567</v>
      </c>
      <c r="D4" s="19" t="s">
        <v>18</v>
      </c>
      <c r="E4" s="19" t="s">
        <v>18</v>
      </c>
      <c r="F4" s="19" t="s">
        <v>1567</v>
      </c>
      <c r="G4" s="19" t="s">
        <v>18</v>
      </c>
      <c r="H4" t="s">
        <v>2186</v>
      </c>
      <c r="K4" s="24" t="s">
        <v>1046</v>
      </c>
      <c r="L4" s="144" t="s">
        <v>1047</v>
      </c>
      <c r="M4" s="41" t="s">
        <v>2187</v>
      </c>
      <c r="N4" s="19" t="s">
        <v>1661</v>
      </c>
      <c r="O4" s="19" t="s">
        <v>1661</v>
      </c>
      <c r="P4" s="19" t="s">
        <v>16</v>
      </c>
      <c r="Q4" s="19" t="s">
        <v>1574</v>
      </c>
      <c r="R4" s="19" t="s">
        <v>1661</v>
      </c>
      <c r="S4" s="44" t="s">
        <v>2188</v>
      </c>
      <c r="T4" s="11"/>
      <c r="U4" t="s">
        <v>2189</v>
      </c>
      <c r="V4" t="s">
        <v>2189</v>
      </c>
      <c r="W4" t="s">
        <v>2189</v>
      </c>
      <c r="X4" t="s">
        <v>2189</v>
      </c>
    </row>
    <row r="5" spans="1:24" ht="24" customHeight="1">
      <c r="A5" s="24" t="s">
        <v>893</v>
      </c>
      <c r="B5" s="145" t="s">
        <v>894</v>
      </c>
      <c r="C5" s="19" t="s">
        <v>28</v>
      </c>
      <c r="D5" s="19" t="s">
        <v>21</v>
      </c>
      <c r="E5" s="19" t="s">
        <v>21</v>
      </c>
      <c r="F5" s="19" t="s">
        <v>28</v>
      </c>
      <c r="G5" s="19" t="s">
        <v>28</v>
      </c>
      <c r="H5" t="s">
        <v>2190</v>
      </c>
      <c r="K5" s="24" t="s">
        <v>1053</v>
      </c>
      <c r="L5" s="146" t="s">
        <v>975</v>
      </c>
      <c r="M5" s="147" t="s">
        <v>2191</v>
      </c>
      <c r="N5" s="19" t="s">
        <v>28</v>
      </c>
      <c r="O5" s="19" t="s">
        <v>17</v>
      </c>
      <c r="P5" s="19" t="s">
        <v>17</v>
      </c>
      <c r="Q5" s="19" t="s">
        <v>17</v>
      </c>
      <c r="R5" s="19" t="s">
        <v>17</v>
      </c>
      <c r="S5" s="44" t="s">
        <v>2192</v>
      </c>
      <c r="T5" s="11"/>
      <c r="U5" t="s">
        <v>2193</v>
      </c>
    </row>
    <row r="6" spans="1:24" ht="24" customHeight="1">
      <c r="A6" s="24" t="s">
        <v>1286</v>
      </c>
      <c r="B6" s="141" t="s">
        <v>1287</v>
      </c>
      <c r="C6" s="19" t="s">
        <v>1562</v>
      </c>
      <c r="D6" s="19" t="s">
        <v>1562</v>
      </c>
      <c r="E6" s="19" t="s">
        <v>1562</v>
      </c>
      <c r="F6" s="19" t="s">
        <v>18</v>
      </c>
      <c r="G6" s="19" t="s">
        <v>1562</v>
      </c>
      <c r="H6" t="s">
        <v>2194</v>
      </c>
      <c r="K6" s="24" t="s">
        <v>1059</v>
      </c>
      <c r="L6" s="144" t="s">
        <v>1060</v>
      </c>
      <c r="M6" s="147" t="s">
        <v>2195</v>
      </c>
      <c r="N6" s="19" t="s">
        <v>1574</v>
      </c>
      <c r="O6" s="19" t="s">
        <v>1574</v>
      </c>
      <c r="P6" s="19" t="s">
        <v>1574</v>
      </c>
      <c r="Q6" s="19" t="s">
        <v>1562</v>
      </c>
      <c r="R6" s="19" t="s">
        <v>1574</v>
      </c>
      <c r="S6" s="44" t="s">
        <v>2196</v>
      </c>
      <c r="T6" s="11"/>
    </row>
    <row r="7" spans="1:24" ht="24" customHeight="1">
      <c r="A7" s="24" t="s">
        <v>1289</v>
      </c>
      <c r="B7" s="141" t="s">
        <v>598</v>
      </c>
      <c r="C7" s="19" t="s">
        <v>1574</v>
      </c>
      <c r="D7" s="19" t="s">
        <v>1574</v>
      </c>
      <c r="E7" s="19" t="s">
        <v>1574</v>
      </c>
      <c r="F7" s="19" t="s">
        <v>1562</v>
      </c>
      <c r="G7" s="19" t="s">
        <v>1574</v>
      </c>
      <c r="H7" t="s">
        <v>2197</v>
      </c>
      <c r="K7" s="24" t="s">
        <v>1064</v>
      </c>
      <c r="L7" s="148" t="s">
        <v>1017</v>
      </c>
      <c r="M7" s="147" t="s">
        <v>2191</v>
      </c>
      <c r="N7" s="19" t="s">
        <v>1567</v>
      </c>
      <c r="O7" s="19" t="s">
        <v>18</v>
      </c>
      <c r="P7" s="19" t="s">
        <v>18</v>
      </c>
      <c r="Q7" s="19" t="s">
        <v>1567</v>
      </c>
      <c r="R7" s="19" t="s">
        <v>1567</v>
      </c>
      <c r="S7" s="44" t="s">
        <v>2198</v>
      </c>
      <c r="T7" s="11"/>
    </row>
    <row r="8" spans="1:24" ht="24" customHeight="1">
      <c r="A8" s="24" t="s">
        <v>955</v>
      </c>
      <c r="B8" s="145" t="s">
        <v>1291</v>
      </c>
      <c r="C8" s="19" t="s">
        <v>21</v>
      </c>
      <c r="D8" s="19" t="s">
        <v>1567</v>
      </c>
      <c r="E8" s="19" t="s">
        <v>21</v>
      </c>
      <c r="F8" s="19" t="s">
        <v>28</v>
      </c>
      <c r="G8" s="19" t="s">
        <v>21</v>
      </c>
      <c r="H8" t="s">
        <v>2199</v>
      </c>
      <c r="K8" s="24" t="s">
        <v>1069</v>
      </c>
      <c r="L8" s="149" t="s">
        <v>1017</v>
      </c>
      <c r="M8" s="150" t="s">
        <v>2200</v>
      </c>
      <c r="N8" s="19" t="s">
        <v>1562</v>
      </c>
      <c r="O8" s="19" t="s">
        <v>1562</v>
      </c>
      <c r="P8" s="19" t="s">
        <v>18</v>
      </c>
      <c r="Q8" s="19" t="s">
        <v>18</v>
      </c>
      <c r="R8" s="19" t="s">
        <v>1562</v>
      </c>
      <c r="S8" s="44" t="s">
        <v>2201</v>
      </c>
      <c r="T8" s="11"/>
    </row>
    <row r="9" spans="1:24" ht="24" customHeight="1">
      <c r="A9" s="24" t="s">
        <v>936</v>
      </c>
      <c r="B9" s="151" t="s">
        <v>33</v>
      </c>
      <c r="C9" s="19" t="s">
        <v>17</v>
      </c>
      <c r="D9" s="19" t="s">
        <v>28</v>
      </c>
      <c r="E9" s="19" t="s">
        <v>28</v>
      </c>
      <c r="F9" s="19" t="s">
        <v>17</v>
      </c>
      <c r="G9" s="19" t="s">
        <v>17</v>
      </c>
      <c r="H9" t="s">
        <v>2202</v>
      </c>
      <c r="I9" t="s">
        <v>2203</v>
      </c>
      <c r="K9" s="24" t="s">
        <v>1075</v>
      </c>
      <c r="L9" s="144" t="s">
        <v>1076</v>
      </c>
      <c r="M9" s="147"/>
      <c r="N9" s="19" t="s">
        <v>1574</v>
      </c>
      <c r="O9" s="19" t="s">
        <v>1574</v>
      </c>
      <c r="P9" s="19" t="s">
        <v>1562</v>
      </c>
      <c r="Q9" s="19" t="s">
        <v>1562</v>
      </c>
      <c r="R9" s="19" t="s">
        <v>1574</v>
      </c>
      <c r="S9" s="44" t="s">
        <v>2204</v>
      </c>
      <c r="T9" s="11"/>
    </row>
    <row r="10" spans="1:24" ht="24" customHeight="1">
      <c r="A10" s="24" t="s">
        <v>1296</v>
      </c>
      <c r="B10" s="141" t="s">
        <v>501</v>
      </c>
      <c r="C10" s="19" t="s">
        <v>1562</v>
      </c>
      <c r="D10" s="19" t="s">
        <v>1562</v>
      </c>
      <c r="E10" s="19" t="s">
        <v>1562</v>
      </c>
      <c r="F10" s="19" t="s">
        <v>18</v>
      </c>
      <c r="G10" s="19" t="s">
        <v>1562</v>
      </c>
      <c r="H10" t="s">
        <v>2205</v>
      </c>
      <c r="K10" s="24" t="s">
        <v>1080</v>
      </c>
      <c r="L10" s="152" t="s">
        <v>923</v>
      </c>
      <c r="M10" s="147" t="s">
        <v>2200</v>
      </c>
      <c r="N10" s="19" t="s">
        <v>1567</v>
      </c>
      <c r="O10" s="19" t="s">
        <v>1567</v>
      </c>
      <c r="P10" s="19" t="s">
        <v>21</v>
      </c>
      <c r="Q10" s="19" t="s">
        <v>21</v>
      </c>
      <c r="R10" s="19" t="s">
        <v>21</v>
      </c>
      <c r="S10" s="44" t="s">
        <v>2206</v>
      </c>
      <c r="T10" s="11"/>
    </row>
    <row r="11" spans="1:24" ht="24" customHeight="1">
      <c r="A11" s="24" t="s">
        <v>1299</v>
      </c>
      <c r="B11" s="141" t="s">
        <v>1300</v>
      </c>
      <c r="C11" s="19" t="s">
        <v>1562</v>
      </c>
      <c r="D11" s="19" t="s">
        <v>1661</v>
      </c>
      <c r="E11" s="19" t="s">
        <v>1574</v>
      </c>
      <c r="F11" s="19" t="s">
        <v>1562</v>
      </c>
      <c r="G11" s="19" t="s">
        <v>1574</v>
      </c>
      <c r="H11" t="s">
        <v>2207</v>
      </c>
      <c r="K11" s="24" t="s">
        <v>1086</v>
      </c>
      <c r="L11" s="144" t="s">
        <v>918</v>
      </c>
      <c r="M11" s="147" t="s">
        <v>2208</v>
      </c>
      <c r="N11" s="19" t="s">
        <v>18</v>
      </c>
      <c r="O11" s="19" t="s">
        <v>18</v>
      </c>
      <c r="P11" s="19" t="s">
        <v>1567</v>
      </c>
      <c r="Q11" s="19" t="s">
        <v>18</v>
      </c>
      <c r="R11" s="19" t="s">
        <v>18</v>
      </c>
      <c r="S11" s="44" t="s">
        <v>2209</v>
      </c>
      <c r="T11" s="11"/>
    </row>
    <row r="12" spans="1:24" ht="24" customHeight="1">
      <c r="A12" s="24" t="s">
        <v>1303</v>
      </c>
      <c r="B12" s="143" t="s">
        <v>1304</v>
      </c>
      <c r="C12" s="19" t="s">
        <v>1562</v>
      </c>
      <c r="D12" s="19" t="s">
        <v>18</v>
      </c>
      <c r="E12" s="19" t="s">
        <v>18</v>
      </c>
      <c r="F12" s="19" t="s">
        <v>1567</v>
      </c>
      <c r="G12" s="19" t="s">
        <v>18</v>
      </c>
      <c r="H12" t="s">
        <v>2210</v>
      </c>
      <c r="K12" s="24" t="s">
        <v>1092</v>
      </c>
      <c r="L12" s="152" t="s">
        <v>151</v>
      </c>
      <c r="M12" s="153"/>
      <c r="N12" s="19" t="s">
        <v>21</v>
      </c>
      <c r="O12" s="19" t="s">
        <v>21</v>
      </c>
      <c r="P12" s="19" t="s">
        <v>21</v>
      </c>
      <c r="Q12" s="19" t="s">
        <v>21</v>
      </c>
      <c r="R12" s="19" t="s">
        <v>21</v>
      </c>
      <c r="S12" s="44" t="s">
        <v>2211</v>
      </c>
      <c r="T12" s="11"/>
    </row>
    <row r="13" spans="1:24" ht="24" customHeight="1">
      <c r="A13" s="24" t="s">
        <v>948</v>
      </c>
      <c r="B13" s="154" t="s">
        <v>949</v>
      </c>
      <c r="C13" s="19" t="s">
        <v>1567</v>
      </c>
      <c r="D13" s="19" t="s">
        <v>18</v>
      </c>
      <c r="E13" s="19" t="s">
        <v>18</v>
      </c>
      <c r="F13" s="19" t="s">
        <v>1567</v>
      </c>
      <c r="G13" s="19" t="s">
        <v>1567</v>
      </c>
      <c r="H13" t="s">
        <v>2212</v>
      </c>
      <c r="K13" s="24" t="s">
        <v>1098</v>
      </c>
      <c r="L13" s="142" t="s">
        <v>1099</v>
      </c>
      <c r="M13" s="147"/>
      <c r="N13" s="19" t="s">
        <v>1567</v>
      </c>
      <c r="O13" s="19" t="s">
        <v>18</v>
      </c>
      <c r="P13" s="19" t="s">
        <v>18</v>
      </c>
      <c r="Q13" s="19" t="s">
        <v>1567</v>
      </c>
      <c r="R13" s="19" t="s">
        <v>18</v>
      </c>
      <c r="S13" s="44" t="s">
        <v>2213</v>
      </c>
      <c r="T13" s="11"/>
    </row>
    <row r="14" spans="1:24" ht="24" customHeight="1">
      <c r="A14" s="24" t="s">
        <v>1309</v>
      </c>
      <c r="B14" s="141" t="s">
        <v>291</v>
      </c>
      <c r="C14" s="19" t="s">
        <v>18</v>
      </c>
      <c r="D14" s="19" t="s">
        <v>1562</v>
      </c>
      <c r="E14" s="19" t="s">
        <v>1562</v>
      </c>
      <c r="F14" s="19" t="s">
        <v>18</v>
      </c>
      <c r="G14" s="19" t="s">
        <v>18</v>
      </c>
      <c r="H14" t="s">
        <v>2214</v>
      </c>
      <c r="K14" s="24" t="s">
        <v>1103</v>
      </c>
      <c r="L14" s="144" t="s">
        <v>1104</v>
      </c>
      <c r="M14" s="147"/>
      <c r="N14" s="19" t="s">
        <v>1574</v>
      </c>
      <c r="O14" s="19" t="s">
        <v>1562</v>
      </c>
      <c r="P14" s="19" t="s">
        <v>1574</v>
      </c>
      <c r="Q14" s="19" t="s">
        <v>1562</v>
      </c>
      <c r="R14" s="19" t="s">
        <v>1574</v>
      </c>
      <c r="S14" s="44" t="s">
        <v>2215</v>
      </c>
      <c r="T14" s="11"/>
    </row>
    <row r="15" spans="1:24" ht="24" customHeight="1">
      <c r="A15" s="24" t="s">
        <v>1311</v>
      </c>
      <c r="B15" s="155" t="s">
        <v>1312</v>
      </c>
      <c r="C15" s="19" t="s">
        <v>1567</v>
      </c>
      <c r="D15" s="19" t="s">
        <v>1567</v>
      </c>
      <c r="E15" s="19" t="s">
        <v>1567</v>
      </c>
      <c r="F15" s="19" t="s">
        <v>1567</v>
      </c>
      <c r="G15" s="19" t="s">
        <v>1567</v>
      </c>
      <c r="H15" t="s">
        <v>2216</v>
      </c>
      <c r="K15" s="24" t="s">
        <v>1108</v>
      </c>
      <c r="L15" s="152" t="s">
        <v>970</v>
      </c>
      <c r="M15" s="147" t="s">
        <v>2191</v>
      </c>
      <c r="N15" s="19" t="s">
        <v>1567</v>
      </c>
      <c r="O15" s="19" t="s">
        <v>1567</v>
      </c>
      <c r="P15" s="19" t="s">
        <v>18</v>
      </c>
      <c r="Q15" s="19" t="s">
        <v>1567</v>
      </c>
      <c r="R15" s="19" t="s">
        <v>1567</v>
      </c>
      <c r="S15" s="44" t="s">
        <v>2217</v>
      </c>
      <c r="T15" s="11"/>
    </row>
    <row r="16" spans="1:24" ht="24" customHeight="1">
      <c r="A16" s="24" t="s">
        <v>1021</v>
      </c>
      <c r="B16" s="151" t="s">
        <v>1022</v>
      </c>
      <c r="C16" s="19" t="s">
        <v>28</v>
      </c>
      <c r="D16" s="19" t="s">
        <v>28</v>
      </c>
      <c r="E16" s="19" t="s">
        <v>28</v>
      </c>
      <c r="F16" s="19" t="s">
        <v>17</v>
      </c>
      <c r="G16" s="19" t="s">
        <v>17</v>
      </c>
      <c r="H16" t="s">
        <v>2218</v>
      </c>
      <c r="K16" s="24" t="s">
        <v>1111</v>
      </c>
      <c r="L16" s="142" t="s">
        <v>1112</v>
      </c>
      <c r="M16" s="147" t="s">
        <v>2219</v>
      </c>
      <c r="N16" s="19" t="s">
        <v>18</v>
      </c>
      <c r="O16" s="19" t="s">
        <v>18</v>
      </c>
      <c r="P16" s="19" t="s">
        <v>18</v>
      </c>
      <c r="Q16" s="19" t="s">
        <v>1567</v>
      </c>
      <c r="R16" s="19" t="s">
        <v>18</v>
      </c>
      <c r="S16" s="44" t="s">
        <v>2220</v>
      </c>
      <c r="T16" s="11"/>
    </row>
    <row r="17" spans="1:20" ht="24" customHeight="1">
      <c r="A17" s="24" t="s">
        <v>1317</v>
      </c>
      <c r="B17" s="141" t="s">
        <v>2221</v>
      </c>
      <c r="C17" s="19" t="s">
        <v>18</v>
      </c>
      <c r="D17" s="19" t="s">
        <v>1567</v>
      </c>
      <c r="E17" s="19" t="s">
        <v>18</v>
      </c>
      <c r="F17" s="19" t="s">
        <v>1567</v>
      </c>
      <c r="G17" s="19" t="s">
        <v>18</v>
      </c>
      <c r="H17" t="s">
        <v>2222</v>
      </c>
      <c r="K17" s="24" t="s">
        <v>1118</v>
      </c>
      <c r="L17" s="142" t="s">
        <v>1119</v>
      </c>
      <c r="M17" s="24" t="s">
        <v>2028</v>
      </c>
      <c r="N17" s="19" t="s">
        <v>1574</v>
      </c>
      <c r="O17" s="19" t="s">
        <v>1661</v>
      </c>
      <c r="P17" s="19" t="s">
        <v>1661</v>
      </c>
      <c r="Q17" s="19" t="s">
        <v>1661</v>
      </c>
      <c r="R17" s="19" t="s">
        <v>1661</v>
      </c>
      <c r="S17" s="44" t="s">
        <v>2223</v>
      </c>
      <c r="T17" s="11"/>
    </row>
    <row r="18" spans="1:20" ht="24" customHeight="1">
      <c r="A18" s="24" t="s">
        <v>1321</v>
      </c>
      <c r="B18" s="141" t="s">
        <v>1322</v>
      </c>
      <c r="C18" s="19" t="s">
        <v>1574</v>
      </c>
      <c r="D18" s="19" t="s">
        <v>1574</v>
      </c>
      <c r="E18" s="19" t="s">
        <v>1574</v>
      </c>
      <c r="F18" s="19" t="s">
        <v>1562</v>
      </c>
      <c r="G18" s="19" t="s">
        <v>1574</v>
      </c>
      <c r="H18" t="s">
        <v>2224</v>
      </c>
      <c r="K18" s="24" t="s">
        <v>1123</v>
      </c>
      <c r="L18" s="142" t="s">
        <v>1124</v>
      </c>
      <c r="M18" s="24" t="s">
        <v>2219</v>
      </c>
      <c r="N18" s="19" t="s">
        <v>1562</v>
      </c>
      <c r="O18" s="19" t="s">
        <v>1574</v>
      </c>
      <c r="P18" s="19" t="s">
        <v>1562</v>
      </c>
      <c r="Q18" s="19" t="s">
        <v>1562</v>
      </c>
      <c r="R18" s="19" t="s">
        <v>1562</v>
      </c>
      <c r="S18" s="44" t="s">
        <v>2225</v>
      </c>
      <c r="T18" s="11"/>
    </row>
    <row r="19" spans="1:20" ht="24" customHeight="1">
      <c r="A19" s="24" t="s">
        <v>1000</v>
      </c>
      <c r="B19" s="143" t="s">
        <v>1001</v>
      </c>
      <c r="C19" s="19" t="s">
        <v>18</v>
      </c>
      <c r="D19" s="19" t="s">
        <v>18</v>
      </c>
      <c r="E19" s="19" t="s">
        <v>1567</v>
      </c>
      <c r="F19" s="19" t="s">
        <v>1567</v>
      </c>
      <c r="G19" s="19" t="s">
        <v>1567</v>
      </c>
      <c r="H19" t="s">
        <v>2226</v>
      </c>
      <c r="K19" s="24" t="s">
        <v>1130</v>
      </c>
      <c r="L19" s="142" t="s">
        <v>1131</v>
      </c>
      <c r="M19" s="24" t="s">
        <v>2227</v>
      </c>
      <c r="N19" s="19" t="s">
        <v>1567</v>
      </c>
      <c r="O19" s="19" t="s">
        <v>1562</v>
      </c>
      <c r="P19" s="19" t="s">
        <v>1562</v>
      </c>
      <c r="Q19" s="19" t="s">
        <v>18</v>
      </c>
      <c r="R19" s="19" t="s">
        <v>1562</v>
      </c>
      <c r="S19" s="44" t="s">
        <v>2228</v>
      </c>
      <c r="T19" s="11"/>
    </row>
    <row r="20" spans="1:20" ht="24" customHeight="1">
      <c r="A20" s="24" t="s">
        <v>1325</v>
      </c>
      <c r="B20" s="141" t="s">
        <v>1326</v>
      </c>
      <c r="C20" s="19" t="s">
        <v>1661</v>
      </c>
      <c r="D20" s="19" t="s">
        <v>1661</v>
      </c>
      <c r="E20" s="19" t="s">
        <v>1574</v>
      </c>
      <c r="F20" s="19" t="s">
        <v>1562</v>
      </c>
      <c r="G20" s="19" t="s">
        <v>1574</v>
      </c>
      <c r="H20" t="s">
        <v>2229</v>
      </c>
      <c r="K20" s="24" t="s">
        <v>1137</v>
      </c>
      <c r="L20" s="142" t="s">
        <v>1138</v>
      </c>
      <c r="M20" s="41" t="s">
        <v>2230</v>
      </c>
      <c r="N20" s="19" t="s">
        <v>1562</v>
      </c>
      <c r="O20" s="19" t="s">
        <v>1574</v>
      </c>
      <c r="P20" s="19" t="s">
        <v>1574</v>
      </c>
      <c r="Q20" s="19" t="s">
        <v>1562</v>
      </c>
      <c r="R20" s="19" t="s">
        <v>1574</v>
      </c>
      <c r="S20" s="44" t="s">
        <v>2231</v>
      </c>
      <c r="T20" s="11"/>
    </row>
    <row r="21" spans="1:20" ht="24" customHeight="1">
      <c r="A21" s="24" t="s">
        <v>1328</v>
      </c>
      <c r="B21" s="143" t="s">
        <v>1329</v>
      </c>
      <c r="C21" s="19" t="s">
        <v>18</v>
      </c>
      <c r="D21" s="19" t="s">
        <v>18</v>
      </c>
      <c r="E21" s="19" t="s">
        <v>1567</v>
      </c>
      <c r="F21" s="19" t="s">
        <v>1567</v>
      </c>
      <c r="G21" s="19" t="s">
        <v>1567</v>
      </c>
      <c r="H21" t="s">
        <v>2232</v>
      </c>
      <c r="K21" s="24" t="s">
        <v>1144</v>
      </c>
      <c r="L21" s="144" t="s">
        <v>1145</v>
      </c>
      <c r="M21" s="147" t="s">
        <v>2191</v>
      </c>
      <c r="N21" s="19" t="s">
        <v>1574</v>
      </c>
      <c r="O21" s="19" t="s">
        <v>1574</v>
      </c>
      <c r="P21" s="19" t="s">
        <v>1562</v>
      </c>
      <c r="Q21" s="19" t="s">
        <v>18</v>
      </c>
      <c r="R21" s="19" t="s">
        <v>1562</v>
      </c>
      <c r="S21" s="44" t="s">
        <v>2233</v>
      </c>
      <c r="T21" s="11"/>
    </row>
    <row r="22" spans="1:20" ht="24" customHeight="1">
      <c r="A22" s="24" t="s">
        <v>988</v>
      </c>
      <c r="B22" s="151" t="s">
        <v>989</v>
      </c>
      <c r="C22" s="19" t="s">
        <v>28</v>
      </c>
      <c r="D22" s="19" t="s">
        <v>17</v>
      </c>
      <c r="E22" s="19" t="s">
        <v>28</v>
      </c>
      <c r="F22" s="19" t="s">
        <v>17</v>
      </c>
      <c r="G22" s="19" t="s">
        <v>17</v>
      </c>
      <c r="H22" t="s">
        <v>2234</v>
      </c>
      <c r="K22" s="24" t="s">
        <v>1149</v>
      </c>
      <c r="L22" s="152" t="s">
        <v>918</v>
      </c>
      <c r="M22" s="147" t="s">
        <v>2235</v>
      </c>
      <c r="N22" s="19" t="s">
        <v>1567</v>
      </c>
      <c r="O22" s="19" t="s">
        <v>18</v>
      </c>
      <c r="P22" s="19" t="s">
        <v>18</v>
      </c>
      <c r="Q22" s="19" t="s">
        <v>1567</v>
      </c>
      <c r="R22" s="19" t="s">
        <v>1567</v>
      </c>
      <c r="S22" s="44" t="s">
        <v>2236</v>
      </c>
      <c r="T22" s="11"/>
    </row>
    <row r="23" spans="1:20" ht="24" customHeight="1">
      <c r="A23" s="24" t="s">
        <v>1333</v>
      </c>
      <c r="B23" s="141" t="s">
        <v>1334</v>
      </c>
      <c r="C23" s="19" t="s">
        <v>1562</v>
      </c>
      <c r="D23" s="19" t="s">
        <v>1562</v>
      </c>
      <c r="E23" s="19" t="s">
        <v>1562</v>
      </c>
      <c r="F23" s="19" t="s">
        <v>18</v>
      </c>
      <c r="G23" s="19" t="s">
        <v>1562</v>
      </c>
      <c r="H23" t="s">
        <v>2237</v>
      </c>
      <c r="K23" s="24" t="s">
        <v>1155</v>
      </c>
      <c r="L23" s="152" t="s">
        <v>942</v>
      </c>
      <c r="M23" s="147" t="s">
        <v>2208</v>
      </c>
      <c r="N23" s="19" t="s">
        <v>21</v>
      </c>
      <c r="O23" s="19" t="s">
        <v>21</v>
      </c>
      <c r="P23" s="19" t="s">
        <v>21</v>
      </c>
      <c r="Q23" s="19" t="s">
        <v>21</v>
      </c>
      <c r="R23" s="19" t="s">
        <v>28</v>
      </c>
      <c r="S23" s="44" t="s">
        <v>2238</v>
      </c>
      <c r="T23" s="11"/>
    </row>
    <row r="24" spans="1:20" ht="24" customHeight="1">
      <c r="A24" s="24" t="s">
        <v>1337</v>
      </c>
      <c r="B24" s="145" t="s">
        <v>1338</v>
      </c>
      <c r="C24" s="19" t="s">
        <v>1567</v>
      </c>
      <c r="D24" s="19" t="s">
        <v>18</v>
      </c>
      <c r="E24" s="19" t="s">
        <v>1567</v>
      </c>
      <c r="F24" s="19" t="s">
        <v>21</v>
      </c>
      <c r="G24" s="19" t="s">
        <v>1567</v>
      </c>
      <c r="H24" t="s">
        <v>2239</v>
      </c>
      <c r="K24" s="24" t="s">
        <v>1159</v>
      </c>
      <c r="L24" s="152" t="s">
        <v>159</v>
      </c>
      <c r="M24" s="147" t="s">
        <v>2240</v>
      </c>
      <c r="N24" s="19" t="s">
        <v>21</v>
      </c>
      <c r="O24" s="19" t="s">
        <v>21</v>
      </c>
      <c r="P24" s="19" t="s">
        <v>21</v>
      </c>
      <c r="Q24" s="19" t="s">
        <v>28</v>
      </c>
      <c r="R24" s="19" t="s">
        <v>28</v>
      </c>
      <c r="S24" s="44" t="s">
        <v>2241</v>
      </c>
      <c r="T24" s="11"/>
    </row>
    <row r="25" spans="1:20" ht="24" customHeight="1">
      <c r="A25" s="24" t="s">
        <v>1341</v>
      </c>
      <c r="B25" s="155" t="s">
        <v>1342</v>
      </c>
      <c r="C25" s="19" t="s">
        <v>18</v>
      </c>
      <c r="D25" s="19" t="s">
        <v>18</v>
      </c>
      <c r="E25" s="19" t="s">
        <v>1567</v>
      </c>
      <c r="F25" s="19" t="s">
        <v>1567</v>
      </c>
      <c r="G25" s="19" t="s">
        <v>1567</v>
      </c>
      <c r="H25" t="s">
        <v>2242</v>
      </c>
      <c r="K25" s="24" t="s">
        <v>1165</v>
      </c>
      <c r="L25" s="144" t="s">
        <v>288</v>
      </c>
      <c r="M25" s="147" t="s">
        <v>2235</v>
      </c>
      <c r="N25" s="19" t="s">
        <v>1562</v>
      </c>
      <c r="O25" s="19" t="s">
        <v>18</v>
      </c>
      <c r="P25" s="19" t="s">
        <v>18</v>
      </c>
      <c r="Q25" s="19" t="s">
        <v>1567</v>
      </c>
      <c r="R25" s="19" t="s">
        <v>18</v>
      </c>
      <c r="S25" s="44" t="s">
        <v>2243</v>
      </c>
      <c r="T25" s="11"/>
    </row>
    <row r="26" spans="1:20" ht="24" customHeight="1">
      <c r="A26" s="24" t="s">
        <v>1344</v>
      </c>
      <c r="B26" s="141" t="s">
        <v>1345</v>
      </c>
      <c r="C26" s="19" t="s">
        <v>18</v>
      </c>
      <c r="D26" s="19" t="s">
        <v>1562</v>
      </c>
      <c r="E26" s="19" t="s">
        <v>1562</v>
      </c>
      <c r="F26" s="19" t="s">
        <v>18</v>
      </c>
      <c r="G26" s="19" t="s">
        <v>18</v>
      </c>
      <c r="H26" t="s">
        <v>2244</v>
      </c>
      <c r="K26" s="24" t="s">
        <v>1169</v>
      </c>
      <c r="L26" s="152" t="s">
        <v>933</v>
      </c>
      <c r="M26" s="147" t="s">
        <v>2191</v>
      </c>
      <c r="N26" s="19" t="s">
        <v>21</v>
      </c>
      <c r="O26" s="19" t="s">
        <v>1567</v>
      </c>
      <c r="P26" s="19" t="s">
        <v>1567</v>
      </c>
      <c r="Q26" s="19" t="s">
        <v>1567</v>
      </c>
      <c r="R26" s="19" t="s">
        <v>1567</v>
      </c>
      <c r="S26" s="44" t="s">
        <v>2198</v>
      </c>
      <c r="T26" s="11"/>
    </row>
    <row r="27" spans="1:20" ht="24" customHeight="1">
      <c r="A27" s="24" t="s">
        <v>1348</v>
      </c>
      <c r="B27" s="141" t="s">
        <v>1349</v>
      </c>
      <c r="C27" s="19" t="s">
        <v>18</v>
      </c>
      <c r="D27" s="19" t="s">
        <v>18</v>
      </c>
      <c r="E27" s="19" t="s">
        <v>18</v>
      </c>
      <c r="F27" s="19" t="s">
        <v>1567</v>
      </c>
      <c r="G27" s="19" t="s">
        <v>18</v>
      </c>
      <c r="H27" t="s">
        <v>2245</v>
      </c>
      <c r="K27" s="24" t="s">
        <v>1175</v>
      </c>
      <c r="L27" s="152" t="s">
        <v>875</v>
      </c>
      <c r="M27" s="147" t="s">
        <v>2235</v>
      </c>
      <c r="N27" s="19" t="s">
        <v>21</v>
      </c>
      <c r="O27" s="19" t="s">
        <v>21</v>
      </c>
      <c r="P27" s="19" t="s">
        <v>1567</v>
      </c>
      <c r="Q27" s="19" t="s">
        <v>21</v>
      </c>
      <c r="R27" s="19" t="s">
        <v>21</v>
      </c>
      <c r="S27" s="44" t="s">
        <v>2246</v>
      </c>
      <c r="T27" s="11"/>
    </row>
    <row r="28" spans="1:20" ht="24" customHeight="1">
      <c r="A28" s="24" t="s">
        <v>927</v>
      </c>
      <c r="B28" s="143" t="s">
        <v>928</v>
      </c>
      <c r="C28" s="19" t="s">
        <v>18</v>
      </c>
      <c r="D28" s="19" t="s">
        <v>1567</v>
      </c>
      <c r="E28" s="19" t="s">
        <v>1567</v>
      </c>
      <c r="F28" s="19" t="s">
        <v>1567</v>
      </c>
      <c r="G28" s="19" t="s">
        <v>1567</v>
      </c>
      <c r="H28" t="s">
        <v>2247</v>
      </c>
      <c r="K28" s="24" t="s">
        <v>1181</v>
      </c>
      <c r="L28" s="144" t="s">
        <v>1182</v>
      </c>
      <c r="M28" s="147" t="s">
        <v>2230</v>
      </c>
      <c r="N28" s="19" t="s">
        <v>18</v>
      </c>
      <c r="O28" s="19" t="s">
        <v>1574</v>
      </c>
      <c r="P28" s="19" t="s">
        <v>22</v>
      </c>
      <c r="Q28" s="19" t="s">
        <v>17</v>
      </c>
      <c r="R28" s="19" t="s">
        <v>22</v>
      </c>
      <c r="S28" s="44" t="s">
        <v>2248</v>
      </c>
      <c r="T28" s="11"/>
    </row>
    <row r="29" spans="1:20" ht="24" customHeight="1">
      <c r="A29" s="24" t="s">
        <v>1353</v>
      </c>
      <c r="B29" s="141" t="s">
        <v>1354</v>
      </c>
      <c r="C29" s="19" t="s">
        <v>1661</v>
      </c>
      <c r="D29" s="19" t="s">
        <v>1574</v>
      </c>
      <c r="E29" s="19" t="s">
        <v>1574</v>
      </c>
      <c r="F29" s="19" t="s">
        <v>1562</v>
      </c>
      <c r="G29" s="19" t="s">
        <v>1574</v>
      </c>
      <c r="H29" t="s">
        <v>2249</v>
      </c>
      <c r="K29" s="24" t="s">
        <v>1188</v>
      </c>
      <c r="L29" s="152" t="s">
        <v>911</v>
      </c>
      <c r="M29" s="147" t="s">
        <v>2250</v>
      </c>
      <c r="N29" s="19" t="s">
        <v>21</v>
      </c>
      <c r="O29" s="19" t="s">
        <v>21</v>
      </c>
      <c r="P29" s="19" t="s">
        <v>21</v>
      </c>
      <c r="Q29" s="19" t="s">
        <v>28</v>
      </c>
      <c r="R29" s="19" t="s">
        <v>28</v>
      </c>
      <c r="S29" s="44" t="s">
        <v>2251</v>
      </c>
      <c r="T29" s="11"/>
    </row>
    <row r="30" spans="1:20" ht="24" customHeight="1">
      <c r="A30" s="24" t="s">
        <v>886</v>
      </c>
      <c r="B30" s="145" t="s">
        <v>887</v>
      </c>
      <c r="C30" s="19" t="s">
        <v>21</v>
      </c>
      <c r="D30" s="19" t="s">
        <v>1567</v>
      </c>
      <c r="E30" s="19" t="s">
        <v>1567</v>
      </c>
      <c r="F30" s="19" t="s">
        <v>21</v>
      </c>
      <c r="G30" s="19" t="s">
        <v>1567</v>
      </c>
      <c r="H30" t="s">
        <v>2252</v>
      </c>
      <c r="K30" s="24" t="s">
        <v>1192</v>
      </c>
      <c r="L30" s="142" t="s">
        <v>1193</v>
      </c>
      <c r="M30" s="147" t="s">
        <v>2253</v>
      </c>
      <c r="N30" s="19" t="s">
        <v>1661</v>
      </c>
      <c r="O30" s="19" t="s">
        <v>1661</v>
      </c>
      <c r="P30" s="19" t="s">
        <v>16</v>
      </c>
      <c r="Q30" s="19" t="s">
        <v>1574</v>
      </c>
      <c r="R30" s="19" t="s">
        <v>1661</v>
      </c>
      <c r="S30" s="44" t="s">
        <v>2254</v>
      </c>
      <c r="T30" s="11"/>
    </row>
    <row r="31" spans="1:20" ht="24" customHeight="1">
      <c r="A31" s="24" t="s">
        <v>1359</v>
      </c>
      <c r="B31" s="143" t="s">
        <v>1360</v>
      </c>
      <c r="C31" s="19" t="s">
        <v>1567</v>
      </c>
      <c r="D31" s="19" t="s">
        <v>18</v>
      </c>
      <c r="E31" s="19" t="s">
        <v>18</v>
      </c>
      <c r="F31" s="19" t="s">
        <v>1567</v>
      </c>
      <c r="G31" s="19" t="s">
        <v>1567</v>
      </c>
      <c r="H31" t="s">
        <v>2255</v>
      </c>
      <c r="K31" s="24" t="s">
        <v>1197</v>
      </c>
      <c r="L31" s="144" t="s">
        <v>1198</v>
      </c>
      <c r="M31" s="147" t="s">
        <v>2195</v>
      </c>
      <c r="N31" s="19" t="s">
        <v>1562</v>
      </c>
      <c r="O31" s="19" t="s">
        <v>1574</v>
      </c>
      <c r="P31" s="19" t="s">
        <v>1562</v>
      </c>
      <c r="Q31" s="19" t="s">
        <v>18</v>
      </c>
      <c r="R31" s="19" t="s">
        <v>1562</v>
      </c>
      <c r="S31" s="44" t="s">
        <v>2256</v>
      </c>
      <c r="T31" s="11"/>
    </row>
    <row r="32" spans="1:20" ht="24" customHeight="1">
      <c r="A32" s="24" t="s">
        <v>1362</v>
      </c>
      <c r="B32" s="143" t="s">
        <v>1363</v>
      </c>
      <c r="C32" s="19" t="s">
        <v>1574</v>
      </c>
      <c r="D32" s="19" t="s">
        <v>1574</v>
      </c>
      <c r="E32" s="19" t="s">
        <v>1574</v>
      </c>
      <c r="F32" s="19" t="s">
        <v>1562</v>
      </c>
      <c r="G32" s="19" t="s">
        <v>1574</v>
      </c>
      <c r="H32" t="s">
        <v>2257</v>
      </c>
      <c r="K32" s="24" t="s">
        <v>1202</v>
      </c>
      <c r="L32" s="152" t="s">
        <v>869</v>
      </c>
      <c r="M32" s="147" t="s">
        <v>2258</v>
      </c>
      <c r="N32" s="19" t="s">
        <v>18</v>
      </c>
      <c r="O32" s="19" t="s">
        <v>18</v>
      </c>
      <c r="P32" s="19" t="s">
        <v>1567</v>
      </c>
      <c r="Q32" s="19" t="s">
        <v>21</v>
      </c>
      <c r="R32" s="19" t="s">
        <v>1567</v>
      </c>
      <c r="S32" s="44" t="s">
        <v>2259</v>
      </c>
      <c r="T32" s="11"/>
    </row>
    <row r="33" spans="1:20" ht="24" customHeight="1">
      <c r="A33" s="24" t="s">
        <v>1365</v>
      </c>
      <c r="B33" s="141" t="s">
        <v>1366</v>
      </c>
      <c r="C33" s="19" t="s">
        <v>1574</v>
      </c>
      <c r="D33" s="19" t="s">
        <v>1574</v>
      </c>
      <c r="E33" s="19" t="s">
        <v>1574</v>
      </c>
      <c r="F33" s="19" t="s">
        <v>1562</v>
      </c>
      <c r="G33" s="19" t="s">
        <v>1574</v>
      </c>
      <c r="H33" t="s">
        <v>2260</v>
      </c>
      <c r="K33" s="24" t="s">
        <v>1208</v>
      </c>
      <c r="L33" s="146" t="s">
        <v>1012</v>
      </c>
      <c r="M33" s="147" t="s">
        <v>2261</v>
      </c>
      <c r="N33" s="19" t="s">
        <v>17</v>
      </c>
      <c r="O33" s="19" t="s">
        <v>17</v>
      </c>
      <c r="P33" s="19" t="s">
        <v>17</v>
      </c>
      <c r="Q33" s="19" t="s">
        <v>17</v>
      </c>
      <c r="R33" s="19" t="s">
        <v>17</v>
      </c>
      <c r="S33" s="44" t="s">
        <v>2262</v>
      </c>
      <c r="T33" s="11"/>
    </row>
    <row r="34" spans="1:20" ht="24" customHeight="1">
      <c r="A34" s="24" t="s">
        <v>979</v>
      </c>
      <c r="B34" s="141" t="s">
        <v>980</v>
      </c>
      <c r="C34" s="19" t="s">
        <v>18</v>
      </c>
      <c r="D34" s="19" t="s">
        <v>1562</v>
      </c>
      <c r="E34" s="19" t="s">
        <v>18</v>
      </c>
      <c r="F34" s="19" t="s">
        <v>1567</v>
      </c>
      <c r="G34" s="19" t="s">
        <v>18</v>
      </c>
      <c r="H34" t="s">
        <v>2263</v>
      </c>
      <c r="K34" s="24" t="s">
        <v>1217</v>
      </c>
      <c r="L34" s="142" t="s">
        <v>1218</v>
      </c>
      <c r="M34" s="147" t="s">
        <v>2258</v>
      </c>
      <c r="N34" s="19" t="s">
        <v>1562</v>
      </c>
      <c r="O34" s="19" t="s">
        <v>1574</v>
      </c>
      <c r="P34" s="19" t="s">
        <v>18</v>
      </c>
      <c r="Q34" s="19" t="s">
        <v>18</v>
      </c>
      <c r="R34" s="19" t="s">
        <v>1562</v>
      </c>
      <c r="S34" s="44" t="s">
        <v>2264</v>
      </c>
      <c r="T34" s="11"/>
    </row>
    <row r="35" spans="1:20" ht="24" customHeight="1">
      <c r="A35" s="24" t="s">
        <v>1371</v>
      </c>
      <c r="B35" s="141" t="s">
        <v>1372</v>
      </c>
      <c r="C35" s="19" t="s">
        <v>1562</v>
      </c>
      <c r="D35" s="19" t="s">
        <v>1562</v>
      </c>
      <c r="E35" s="19" t="s">
        <v>1562</v>
      </c>
      <c r="F35" s="19" t="s">
        <v>1562</v>
      </c>
      <c r="G35" s="19" t="s">
        <v>1562</v>
      </c>
      <c r="H35" t="s">
        <v>2265</v>
      </c>
      <c r="K35" s="24" t="s">
        <v>1223</v>
      </c>
      <c r="L35" s="144" t="s">
        <v>1224</v>
      </c>
      <c r="M35" s="147" t="s">
        <v>2266</v>
      </c>
      <c r="N35" s="19" t="s">
        <v>1661</v>
      </c>
      <c r="O35" s="19" t="s">
        <v>1661</v>
      </c>
      <c r="P35" s="19" t="s">
        <v>1574</v>
      </c>
      <c r="Q35" s="19" t="s">
        <v>1574</v>
      </c>
      <c r="R35" s="19" t="s">
        <v>1574</v>
      </c>
      <c r="S35" s="44" t="s">
        <v>2267</v>
      </c>
      <c r="T35" s="11"/>
    </row>
    <row r="36" spans="1:20" ht="24" customHeight="1">
      <c r="A36" s="24" t="s">
        <v>1374</v>
      </c>
      <c r="B36" s="141" t="s">
        <v>1375</v>
      </c>
      <c r="C36" s="19" t="s">
        <v>1574</v>
      </c>
      <c r="D36" s="19" t="s">
        <v>1574</v>
      </c>
      <c r="E36" s="19" t="s">
        <v>1574</v>
      </c>
      <c r="F36" s="19" t="s">
        <v>1562</v>
      </c>
      <c r="G36" s="19" t="s">
        <v>1562</v>
      </c>
      <c r="H36" t="s">
        <v>2268</v>
      </c>
      <c r="K36" s="24" t="s">
        <v>1230</v>
      </c>
      <c r="L36" s="152" t="s">
        <v>1231</v>
      </c>
      <c r="M36" s="147" t="s">
        <v>2230</v>
      </c>
      <c r="N36" s="19" t="s">
        <v>18</v>
      </c>
      <c r="O36" s="19" t="s">
        <v>1567</v>
      </c>
      <c r="P36" s="19" t="s">
        <v>21</v>
      </c>
      <c r="Q36" s="19" t="s">
        <v>21</v>
      </c>
      <c r="R36" s="19" t="s">
        <v>21</v>
      </c>
      <c r="S36" s="44" t="s">
        <v>2269</v>
      </c>
      <c r="T36" s="11"/>
    </row>
    <row r="37" spans="1:20" ht="24" customHeight="1">
      <c r="A37" s="24" t="s">
        <v>1377</v>
      </c>
      <c r="B37" s="141" t="s">
        <v>1378</v>
      </c>
      <c r="C37" s="19" t="s">
        <v>1574</v>
      </c>
      <c r="D37" s="19" t="s">
        <v>1574</v>
      </c>
      <c r="E37" s="19" t="s">
        <v>1574</v>
      </c>
      <c r="F37" s="19" t="s">
        <v>18</v>
      </c>
      <c r="G37" s="19" t="s">
        <v>1562</v>
      </c>
      <c r="H37" t="s">
        <v>2270</v>
      </c>
      <c r="K37" s="24" t="s">
        <v>1237</v>
      </c>
      <c r="L37" s="142" t="s">
        <v>1238</v>
      </c>
      <c r="M37" s="147" t="s">
        <v>2258</v>
      </c>
      <c r="N37" s="19" t="s">
        <v>1562</v>
      </c>
      <c r="O37" s="19" t="s">
        <v>1562</v>
      </c>
      <c r="P37" s="19" t="s">
        <v>18</v>
      </c>
      <c r="Q37" s="19" t="s">
        <v>18</v>
      </c>
      <c r="R37" s="19" t="s">
        <v>1562</v>
      </c>
      <c r="S37" s="44" t="s">
        <v>2271</v>
      </c>
      <c r="T37" s="11"/>
    </row>
    <row r="38" spans="1:20" ht="24" customHeight="1">
      <c r="A38" s="24" t="s">
        <v>1027</v>
      </c>
      <c r="B38" s="145" t="s">
        <v>1028</v>
      </c>
      <c r="C38" s="19" t="s">
        <v>21</v>
      </c>
      <c r="D38" s="19" t="s">
        <v>1567</v>
      </c>
      <c r="E38" s="19" t="s">
        <v>1567</v>
      </c>
      <c r="F38" s="19" t="s">
        <v>21</v>
      </c>
      <c r="G38" s="19" t="s">
        <v>21</v>
      </c>
      <c r="H38" t="s">
        <v>2272</v>
      </c>
      <c r="K38" s="24" t="s">
        <v>1241</v>
      </c>
      <c r="L38" s="144" t="s">
        <v>1242</v>
      </c>
      <c r="M38" s="147" t="s">
        <v>2200</v>
      </c>
      <c r="N38" s="19" t="s">
        <v>1562</v>
      </c>
      <c r="O38" s="19" t="s">
        <v>1562</v>
      </c>
      <c r="P38" s="19" t="s">
        <v>1562</v>
      </c>
      <c r="Q38" s="19" t="s">
        <v>18</v>
      </c>
      <c r="R38" s="19" t="s">
        <v>1562</v>
      </c>
      <c r="S38" s="44" t="s">
        <v>2273</v>
      </c>
      <c r="T38" s="11"/>
    </row>
    <row r="39" spans="1:20" ht="24" customHeight="1">
      <c r="A39" s="24" t="s">
        <v>962</v>
      </c>
      <c r="B39" s="145" t="s">
        <v>963</v>
      </c>
      <c r="C39" s="19" t="s">
        <v>1567</v>
      </c>
      <c r="D39" s="19" t="s">
        <v>1567</v>
      </c>
      <c r="E39" s="19" t="s">
        <v>21</v>
      </c>
      <c r="F39" s="19" t="s">
        <v>21</v>
      </c>
      <c r="G39" s="19" t="s">
        <v>21</v>
      </c>
      <c r="H39" t="s">
        <v>2274</v>
      </c>
      <c r="K39" s="24" t="s">
        <v>1245</v>
      </c>
      <c r="L39" s="156" t="s">
        <v>1246</v>
      </c>
      <c r="M39" s="147" t="s">
        <v>2200</v>
      </c>
      <c r="N39" s="19" t="s">
        <v>1562</v>
      </c>
      <c r="O39" s="19" t="s">
        <v>18</v>
      </c>
      <c r="P39" s="19" t="s">
        <v>1567</v>
      </c>
      <c r="Q39" s="19" t="s">
        <v>21</v>
      </c>
      <c r="R39" s="19" t="s">
        <v>1567</v>
      </c>
      <c r="S39" s="44" t="s">
        <v>2275</v>
      </c>
      <c r="T39" s="11"/>
    </row>
    <row r="40" spans="1:20" ht="22.5" customHeight="1">
      <c r="A40" s="24" t="s">
        <v>994</v>
      </c>
      <c r="B40" s="145" t="s">
        <v>2276</v>
      </c>
      <c r="C40" s="19" t="s">
        <v>28</v>
      </c>
      <c r="D40" s="19" t="s">
        <v>21</v>
      </c>
      <c r="E40" s="19" t="s">
        <v>21</v>
      </c>
      <c r="F40" s="19" t="s">
        <v>28</v>
      </c>
      <c r="G40" s="19" t="s">
        <v>28</v>
      </c>
      <c r="H40" t="s">
        <v>2277</v>
      </c>
      <c r="K40" s="24" t="s">
        <v>1249</v>
      </c>
      <c r="L40" s="142" t="s">
        <v>1250</v>
      </c>
      <c r="M40" s="147" t="s">
        <v>2258</v>
      </c>
      <c r="N40" s="19" t="s">
        <v>18</v>
      </c>
      <c r="O40" s="19" t="s">
        <v>1562</v>
      </c>
      <c r="P40" s="19" t="s">
        <v>1562</v>
      </c>
      <c r="Q40" s="19" t="s">
        <v>18</v>
      </c>
      <c r="R40" s="19" t="s">
        <v>18</v>
      </c>
      <c r="S40" s="44" t="s">
        <v>2278</v>
      </c>
      <c r="T40" s="11"/>
    </row>
    <row r="41" spans="1:20" ht="22.5" customHeight="1">
      <c r="A41" s="24" t="s">
        <v>1385</v>
      </c>
      <c r="B41" s="145" t="s">
        <v>1386</v>
      </c>
      <c r="C41" s="19" t="s">
        <v>1567</v>
      </c>
      <c r="D41" s="19" t="s">
        <v>1567</v>
      </c>
      <c r="E41" s="19" t="s">
        <v>1567</v>
      </c>
      <c r="F41" s="19" t="s">
        <v>21</v>
      </c>
      <c r="G41" s="19" t="s">
        <v>21</v>
      </c>
      <c r="H41" t="s">
        <v>2279</v>
      </c>
      <c r="S41" s="157"/>
    </row>
    <row r="42" spans="1:20" ht="22.5" customHeight="1">
      <c r="A42" s="24" t="s">
        <v>903</v>
      </c>
      <c r="B42" s="155" t="s">
        <v>904</v>
      </c>
      <c r="C42" s="19" t="s">
        <v>1567</v>
      </c>
      <c r="D42" s="19" t="s">
        <v>18</v>
      </c>
      <c r="E42" s="19" t="s">
        <v>18</v>
      </c>
      <c r="F42" s="19" t="s">
        <v>1567</v>
      </c>
      <c r="G42" s="19" t="s">
        <v>1567</v>
      </c>
      <c r="H42" t="s">
        <v>2280</v>
      </c>
      <c r="S42" s="157"/>
    </row>
    <row r="43" spans="1:20" ht="22.5" customHeight="1">
      <c r="A43" s="24" t="s">
        <v>1387</v>
      </c>
      <c r="B43" s="143" t="s">
        <v>1388</v>
      </c>
      <c r="C43" s="19" t="s">
        <v>18</v>
      </c>
      <c r="D43" s="19" t="s">
        <v>18</v>
      </c>
      <c r="E43" s="19" t="s">
        <v>18</v>
      </c>
      <c r="F43" s="19" t="s">
        <v>1567</v>
      </c>
      <c r="G43" s="19" t="s">
        <v>18</v>
      </c>
      <c r="H43" t="s">
        <v>2281</v>
      </c>
      <c r="S43" s="157"/>
    </row>
    <row r="44" spans="1:20" ht="22.5" customHeight="1">
      <c r="A44" s="24" t="s">
        <v>1389</v>
      </c>
      <c r="B44" s="141" t="s">
        <v>2282</v>
      </c>
      <c r="C44" s="19" t="s">
        <v>16</v>
      </c>
      <c r="D44" s="19" t="s">
        <v>1661</v>
      </c>
      <c r="E44" s="19" t="s">
        <v>1661</v>
      </c>
      <c r="F44" s="19" t="s">
        <v>1574</v>
      </c>
      <c r="G44" s="19" t="s">
        <v>1661</v>
      </c>
      <c r="H44" t="s">
        <v>2283</v>
      </c>
      <c r="S44" s="157"/>
    </row>
    <row r="45" spans="1:20" ht="22.5" customHeight="1">
      <c r="A45" s="24" t="s">
        <v>879</v>
      </c>
      <c r="B45" s="155" t="s">
        <v>880</v>
      </c>
      <c r="C45" s="19" t="s">
        <v>1567</v>
      </c>
      <c r="D45" s="19" t="s">
        <v>18</v>
      </c>
      <c r="E45" s="19" t="s">
        <v>1567</v>
      </c>
      <c r="F45" s="19" t="s">
        <v>18</v>
      </c>
      <c r="G45" s="19" t="s">
        <v>1567</v>
      </c>
      <c r="H45" t="s">
        <v>2284</v>
      </c>
      <c r="S45" s="157"/>
    </row>
    <row r="46" spans="1:20" ht="22.5" customHeight="1">
      <c r="A46" s="24" t="s">
        <v>1391</v>
      </c>
      <c r="B46" s="145" t="s">
        <v>1392</v>
      </c>
      <c r="C46" s="19" t="s">
        <v>18</v>
      </c>
      <c r="D46" s="19" t="s">
        <v>18</v>
      </c>
      <c r="E46" s="19" t="s">
        <v>1567</v>
      </c>
      <c r="F46" s="19" t="s">
        <v>1567</v>
      </c>
      <c r="G46" s="19" t="s">
        <v>1567</v>
      </c>
      <c r="H46" t="s">
        <v>2285</v>
      </c>
      <c r="S46" s="157"/>
    </row>
    <row r="47" spans="1:20" ht="42.75" customHeight="1">
      <c r="A47" s="24" t="s">
        <v>1393</v>
      </c>
      <c r="B47" s="141" t="s">
        <v>215</v>
      </c>
      <c r="C47" s="19" t="s">
        <v>1562</v>
      </c>
      <c r="D47" s="19" t="s">
        <v>1574</v>
      </c>
      <c r="E47" s="19" t="s">
        <v>1574</v>
      </c>
      <c r="F47" s="19" t="s">
        <v>1562</v>
      </c>
      <c r="G47" s="19" t="s">
        <v>1562</v>
      </c>
      <c r="S47" s="157"/>
    </row>
    <row r="48" spans="1:20" ht="22.5" customHeight="1">
      <c r="A48" s="24" t="s">
        <v>1007</v>
      </c>
      <c r="B48" s="141" t="s">
        <v>1008</v>
      </c>
      <c r="C48" s="19" t="s">
        <v>1574</v>
      </c>
      <c r="D48" s="19" t="s">
        <v>1661</v>
      </c>
      <c r="E48" s="19" t="s">
        <v>1661</v>
      </c>
      <c r="F48" s="19" t="s">
        <v>1574</v>
      </c>
      <c r="G48" s="19" t="s">
        <v>1574</v>
      </c>
      <c r="H48" t="s">
        <v>2287</v>
      </c>
      <c r="S48" s="157"/>
    </row>
    <row r="49" spans="3:19" ht="18" customHeight="1">
      <c r="S49" s="157"/>
    </row>
    <row r="50" spans="3:19" ht="18" customHeight="1">
      <c r="G50" s="125" t="s">
        <v>2286</v>
      </c>
      <c r="S50" s="157"/>
    </row>
    <row r="51" spans="3:19" ht="18" customHeight="1">
      <c r="S51" s="157"/>
    </row>
    <row r="53" spans="3:19" ht="18" customHeight="1">
      <c r="C53" t="s">
        <v>2286</v>
      </c>
    </row>
  </sheetData>
  <mergeCells count="1">
    <mergeCell ref="B1:H1"/>
  </mergeCells>
  <phoneticPr fontId="89" type="noConversion"/>
  <dataValidations count="1">
    <dataValidation type="list" allowBlank="1" showInputMessage="1" showErrorMessage="1" sqref="N3:R40 M12 C3:G48" xr:uid="{00000000-0002-0000-0B00-000000000000}">
      <formula1>"S,A+,A,B+,B,C+,C,D+,D,?,"</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Ehu.SC"/>
  <dimension ref="A1:AA88"/>
  <sheetViews>
    <sheetView workbookViewId="0">
      <pane ySplit="2" topLeftCell="A3" activePane="bottomLeft" state="frozen"/>
      <selection pane="bottomLeft"/>
    </sheetView>
  </sheetViews>
  <sheetFormatPr baseColWidth="10" defaultColWidth="13.7109375" defaultRowHeight="18" customHeight="1"/>
  <cols>
    <col min="2" max="2" width="28.42578125" customWidth="1"/>
    <col min="3" max="3" width="15.28515625" customWidth="1"/>
    <col min="4" max="8" width="6.7109375" customWidth="1"/>
    <col min="9" max="9" width="76.85546875" customWidth="1"/>
    <col min="10" max="10" width="36.7109375" style="11" customWidth="1"/>
    <col min="16" max="16" width="4.5703125" style="161" customWidth="1"/>
  </cols>
  <sheetData>
    <row r="1" spans="1:27" ht="24" customHeight="1">
      <c r="A1" s="540" t="s">
        <v>1270</v>
      </c>
      <c r="B1" s="518"/>
      <c r="C1" s="518"/>
      <c r="D1" s="518"/>
      <c r="E1" s="518"/>
      <c r="F1" s="518"/>
      <c r="G1" s="518"/>
      <c r="H1" s="518"/>
      <c r="I1" s="524"/>
      <c r="J1" s="138"/>
      <c r="K1" s="158"/>
      <c r="L1" s="158"/>
      <c r="M1" s="158"/>
      <c r="N1" s="158"/>
      <c r="O1" s="158"/>
    </row>
    <row r="2" spans="1:27" ht="24" customHeight="1">
      <c r="A2" s="24" t="s">
        <v>4</v>
      </c>
      <c r="B2" s="94" t="s">
        <v>5</v>
      </c>
      <c r="C2" s="94" t="s">
        <v>2288</v>
      </c>
      <c r="D2" s="11" t="s">
        <v>2178</v>
      </c>
      <c r="E2" s="11" t="s">
        <v>2179</v>
      </c>
      <c r="F2" s="11" t="s">
        <v>2180</v>
      </c>
      <c r="G2" s="11" t="s">
        <v>2181</v>
      </c>
      <c r="H2" s="11" t="s">
        <v>10</v>
      </c>
      <c r="I2" s="11" t="s">
        <v>11</v>
      </c>
      <c r="J2" s="11" t="s">
        <v>12</v>
      </c>
    </row>
    <row r="3" spans="1:27" ht="46.5" customHeight="1">
      <c r="A3" s="565" t="s">
        <v>2289</v>
      </c>
      <c r="B3" s="518"/>
      <c r="C3" s="518"/>
      <c r="D3" s="518"/>
      <c r="E3" s="518"/>
      <c r="F3" s="518"/>
      <c r="G3" s="518"/>
      <c r="H3" s="518"/>
      <c r="I3" s="524"/>
      <c r="J3" s="159"/>
      <c r="K3" s="159"/>
      <c r="L3" s="159"/>
      <c r="M3" s="159"/>
      <c r="N3" s="159"/>
      <c r="O3" s="159"/>
      <c r="P3" s="159"/>
      <c r="Q3" s="159"/>
      <c r="R3" s="159"/>
      <c r="S3" s="159"/>
      <c r="T3" s="159"/>
      <c r="U3" s="159"/>
      <c r="V3" s="159"/>
      <c r="W3" s="159"/>
      <c r="X3" s="159"/>
      <c r="Y3" s="159"/>
      <c r="Z3" s="159"/>
      <c r="AA3" s="159"/>
    </row>
    <row r="4" spans="1:27" ht="24" customHeight="1">
      <c r="A4" s="24" t="s">
        <v>1276</v>
      </c>
      <c r="B4" s="147" t="s">
        <v>1277</v>
      </c>
      <c r="C4" s="160"/>
      <c r="D4" s="147" t="s">
        <v>1562</v>
      </c>
      <c r="E4" s="24" t="s">
        <v>1562</v>
      </c>
      <c r="F4" s="147" t="s">
        <v>1562</v>
      </c>
      <c r="G4" s="24" t="s">
        <v>18</v>
      </c>
      <c r="H4" s="19" t="str">
        <f>IF(AND(ISNUMBER(MATCH(D4,{"F","E","D","D+","C","C+","B","B+","A","A+","S"},0)),ISNUMBER(MATCH(E4,{"F","E","D","D+","C","C+","B","B+","A","A+","S"},0)),ISNUMBER(MATCH(F4,{"F","E","D","D+","C","C+","B","B+","A","A+","S"},0)),ISNUMBER(MATCH(G4,{"F","E","D","D+","C","C+","B","B+","A","A+","S"},0))),LOOKUP(AVERAGE(_xlfn.SWITCH(D4,"F",0,"E",10,"D",20,"D+",30,"C",40,"C+",50,"B",60,"B+",70,"A",80,"A+",90,"S",100),_xlfn.SWITCH(E4,"F",0,"E",10,"D",20,"D+",30,"C",40,"C+",50,"B",60,"B+",70,"A",80,"A+",90,"S",100),_xlfn.SWITCH(F4,"F",0,"E",10,"D",20,"D+",30,"C",40,"C+",50,"B",60,"B+",70,"A",80,"A+",90,"S",100),_xlfn.SWITCH(G4,"F",0,"E",10,"D",20,"D+",30,"C",40,"C+",50,"B",60,"B+",70,"A",80,"A+",90,"S",100)),{0,15,25,35,45,55,65,75,85,95},{"D","D","D+","C","C+","B","B+","A","A+","S"}),"?")</f>
        <v>C+</v>
      </c>
      <c r="I4" s="24" t="s">
        <v>2290</v>
      </c>
    </row>
    <row r="5" spans="1:27" ht="38.25" customHeight="1">
      <c r="A5" s="24" t="s">
        <v>1280</v>
      </c>
      <c r="B5" s="147" t="s">
        <v>1281</v>
      </c>
      <c r="C5" s="147" t="s">
        <v>2195</v>
      </c>
      <c r="D5" s="147" t="s">
        <v>1562</v>
      </c>
      <c r="E5" s="24" t="s">
        <v>18</v>
      </c>
      <c r="F5" s="147" t="s">
        <v>1562</v>
      </c>
      <c r="G5" s="24" t="s">
        <v>18</v>
      </c>
      <c r="H5" s="19" t="str">
        <f>IF(AND(ISNUMBER(MATCH(D5,{"F","E","D","D+","C","C+","B","B+","A","A+","S"},0)),ISNUMBER(MATCH(E5,{"F","E","D","D+","C","C+","B","B+","A","A+","S"},0)),ISNUMBER(MATCH(F5,{"F","E","D","D+","C","C+","B","B+","A","A+","S"},0)),ISNUMBER(MATCH(G5,{"F","E","D","D+","C","C+","B","B+","A","A+","S"},0))),LOOKUP(AVERAGE(_xlfn.SWITCH(D5,"F",0,"E",10,"D",20,"D+",30,"C",40,"C+",50,"B",60,"B+",70,"A",80,"A+",90,"S",100),_xlfn.SWITCH(E5,"F",0,"E",10,"D",20,"D+",30,"C",40,"C+",50,"B",60,"B+",70,"A",80,"A+",90,"S",100),_xlfn.SWITCH(F5,"F",0,"E",10,"D",20,"D+",30,"C",40,"C+",50,"B",60,"B+",70,"A",80,"A+",90,"S",100),_xlfn.SWITCH(G5,"F",0,"E",10,"D",20,"D+",30,"C",40,"C+",50,"B",60,"B+",70,"A",80,"A+",90,"S",100)),{0,15,25,35,45,55,65,75,85,95},{"D","D","D+","C","C+","B","B+","A","A+","S"}),"?")</f>
        <v>B</v>
      </c>
      <c r="I5" s="94" t="s">
        <v>2291</v>
      </c>
    </row>
    <row r="6" spans="1:27" ht="33" customHeight="1">
      <c r="A6" s="24" t="s">
        <v>893</v>
      </c>
      <c r="B6" s="147" t="s">
        <v>894</v>
      </c>
      <c r="C6" s="147" t="s">
        <v>2292</v>
      </c>
      <c r="D6" s="147" t="s">
        <v>21</v>
      </c>
      <c r="E6" s="24" t="s">
        <v>1567</v>
      </c>
      <c r="F6" s="147" t="s">
        <v>1567</v>
      </c>
      <c r="G6" s="24" t="s">
        <v>21</v>
      </c>
      <c r="H6" s="19" t="str">
        <f>IF(AND(ISNUMBER(MATCH(D6,{"F","E","D","D+","C","C+","B","B+","A","A+","S"},0)),ISNUMBER(MATCH(E6,{"F","E","D","D+","C","C+","B","B+","A","A+","S"},0)),ISNUMBER(MATCH(F6,{"F","E","D","D+","C","C+","B","B+","A","A+","S"},0)),ISNUMBER(MATCH(G6,{"F","E","D","D+","C","C+","B","B+","A","A+","S"},0))),LOOKUP(AVERAGE(_xlfn.SWITCH(D6,"F",0,"E",10,"D",20,"D+",30,"C",40,"C+",50,"B",60,"B+",70,"A",80,"A+",90,"S",100),_xlfn.SWITCH(E6,"F",0,"E",10,"D",20,"D+",30,"C",40,"C+",50,"B",60,"B+",70,"A",80,"A+",90,"S",100),_xlfn.SWITCH(F6,"F",0,"E",10,"D",20,"D+",30,"C",40,"C+",50,"B",60,"B+",70,"A",80,"A+",90,"S",100),_xlfn.SWITCH(G6,"F",0,"E",10,"D",20,"D+",30,"C",40,"C+",50,"B",60,"B+",70,"A",80,"A+",90,"S",100)),{0,15,25,35,45,55,65,75,85,95},{"D","D","D+","C","C+","B","B+","A","A+","S"}),"?")</f>
        <v>A</v>
      </c>
      <c r="I6" s="94" t="s">
        <v>2293</v>
      </c>
    </row>
    <row r="7" spans="1:27" ht="24" customHeight="1">
      <c r="A7" s="24" t="s">
        <v>1286</v>
      </c>
      <c r="B7" s="147" t="s">
        <v>1287</v>
      </c>
      <c r="C7" s="147" t="s">
        <v>2294</v>
      </c>
      <c r="D7" s="147" t="s">
        <v>1562</v>
      </c>
      <c r="E7" s="24" t="s">
        <v>1562</v>
      </c>
      <c r="F7" s="147" t="s">
        <v>1562</v>
      </c>
      <c r="G7" s="24" t="s">
        <v>18</v>
      </c>
      <c r="H7" s="19" t="str">
        <f>IF(AND(ISNUMBER(MATCH(D7,{"F","E","D","D+","C","C+","B","B+","A","A+","S"},0)),ISNUMBER(MATCH(E7,{"F","E","D","D+","C","C+","B","B+","A","A+","S"},0)),ISNUMBER(MATCH(F7,{"F","E","D","D+","C","C+","B","B+","A","A+","S"},0)),ISNUMBER(MATCH(G7,{"F","E","D","D+","C","C+","B","B+","A","A+","S"},0))),LOOKUP(AVERAGE(_xlfn.SWITCH(D7,"F",0,"E",10,"D",20,"D+",30,"C",40,"C+",50,"B",60,"B+",70,"A",80,"A+",90,"S",100),_xlfn.SWITCH(E7,"F",0,"E",10,"D",20,"D+",30,"C",40,"C+",50,"B",60,"B+",70,"A",80,"A+",90,"S",100),_xlfn.SWITCH(F7,"F",0,"E",10,"D",20,"D+",30,"C",40,"C+",50,"B",60,"B+",70,"A",80,"A+",90,"S",100),_xlfn.SWITCH(G7,"F",0,"E",10,"D",20,"D+",30,"C",40,"C+",50,"B",60,"B+",70,"A",80,"A+",90,"S",100)),{0,15,25,35,45,55,65,75,85,95},{"D","D","D+","C","C+","B","B+","A","A+","S"}),"?")</f>
        <v>C+</v>
      </c>
      <c r="I7" s="24" t="s">
        <v>2295</v>
      </c>
    </row>
    <row r="8" spans="1:27" ht="24" customHeight="1">
      <c r="A8" s="24" t="s">
        <v>1289</v>
      </c>
      <c r="B8" s="147" t="s">
        <v>598</v>
      </c>
      <c r="C8" s="150"/>
      <c r="D8" s="147" t="s">
        <v>1574</v>
      </c>
      <c r="E8" s="24" t="s">
        <v>1574</v>
      </c>
      <c r="F8" s="147" t="s">
        <v>1661</v>
      </c>
      <c r="G8" s="24" t="s">
        <v>1661</v>
      </c>
      <c r="H8" s="19" t="str">
        <f>IF(AND(ISNUMBER(MATCH(D8,{"F","E","D","D+","C","C+","B","B+","A","A+","S"},0)),ISNUMBER(MATCH(E8,{"F","E","D","D+","C","C+","B","B+","A","A+","S"},0)),ISNUMBER(MATCH(F8,{"F","E","D","D+","C","C+","B","B+","A","A+","S"},0)),ISNUMBER(MATCH(G8,{"F","E","D","D+","C","C+","B","B+","A","A+","S"},0))),LOOKUP(AVERAGE(_xlfn.SWITCH(D8,"F",0,"E",10,"D",20,"D+",30,"C",40,"C+",50,"B",60,"B+",70,"A",80,"A+",90,"S",100),_xlfn.SWITCH(E8,"F",0,"E",10,"D",20,"D+",30,"C",40,"C+",50,"B",60,"B+",70,"A",80,"A+",90,"S",100),_xlfn.SWITCH(F8,"F",0,"E",10,"D",20,"D+",30,"C",40,"C+",50,"B",60,"B+",70,"A",80,"A+",90,"S",100),_xlfn.SWITCH(G8,"F",0,"E",10,"D",20,"D+",30,"C",40,"C+",50,"B",60,"B+",70,"A",80,"A+",90,"S",100)),{0,15,25,35,45,55,65,75,85,95},{"D","D","D+","C","C+","B","B+","A","A+","S"}),"?")</f>
        <v>C</v>
      </c>
      <c r="I8" s="24" t="s">
        <v>2296</v>
      </c>
    </row>
    <row r="9" spans="1:27" ht="36" customHeight="1">
      <c r="A9" s="24" t="s">
        <v>955</v>
      </c>
      <c r="B9" s="147" t="s">
        <v>1291</v>
      </c>
      <c r="C9" s="147" t="s">
        <v>2200</v>
      </c>
      <c r="D9" s="147" t="s">
        <v>1567</v>
      </c>
      <c r="E9" s="24" t="s">
        <v>1567</v>
      </c>
      <c r="F9" s="147" t="s">
        <v>1567</v>
      </c>
      <c r="G9" s="24" t="s">
        <v>21</v>
      </c>
      <c r="H9" s="19" t="str">
        <f>IF(AND(ISNUMBER(MATCH(D9,{"F","E","D","D+","C","C+","B","B+","A","A+","S"},0)),ISNUMBER(MATCH(E9,{"F","E","D","D+","C","C+","B","B+","A","A+","S"},0)),ISNUMBER(MATCH(F9,{"F","E","D","D+","C","C+","B","B+","A","A+","S"},0)),ISNUMBER(MATCH(G9,{"F","E","D","D+","C","C+","B","B+","A","A+","S"},0))),LOOKUP(AVERAGE(_xlfn.SWITCH(D9,"F",0,"E",10,"D",20,"D+",30,"C",40,"C+",50,"B",60,"B+",70,"A",80,"A+",90,"S",100),_xlfn.SWITCH(E9,"F",0,"E",10,"D",20,"D+",30,"C",40,"C+",50,"B",60,"B+",70,"A",80,"A+",90,"S",100),_xlfn.SWITCH(F9,"F",0,"E",10,"D",20,"D+",30,"C",40,"C+",50,"B",60,"B+",70,"A",80,"A+",90,"S",100),_xlfn.SWITCH(G9,"F",0,"E",10,"D",20,"D+",30,"C",40,"C+",50,"B",60,"B+",70,"A",80,"A+",90,"S",100)),{0,15,25,35,45,55,65,75,85,95},{"D","D","D+","C","C+","B","B+","A","A+","S"}),"?")</f>
        <v>B+</v>
      </c>
      <c r="I9" s="94" t="s">
        <v>2297</v>
      </c>
    </row>
    <row r="10" spans="1:27" ht="24" customHeight="1">
      <c r="A10" s="24" t="s">
        <v>936</v>
      </c>
      <c r="B10" s="147" t="s">
        <v>33</v>
      </c>
      <c r="C10" s="147" t="s">
        <v>2235</v>
      </c>
      <c r="D10" s="147" t="s">
        <v>21</v>
      </c>
      <c r="E10" s="24" t="s">
        <v>21</v>
      </c>
      <c r="F10" s="147" t="s">
        <v>21</v>
      </c>
      <c r="G10" s="24" t="s">
        <v>28</v>
      </c>
      <c r="H10" s="19" t="str">
        <f>IF(AND(ISNUMBER(MATCH(D10,{"F","E","D","D+","C","C+","B","B+","A","A+","S"},0)),ISNUMBER(MATCH(E10,{"F","E","D","D+","C","C+","B","B+","A","A+","S"},0)),ISNUMBER(MATCH(F10,{"F","E","D","D+","C","C+","B","B+","A","A+","S"},0)),ISNUMBER(MATCH(G10,{"F","E","D","D+","C","C+","B","B+","A","A+","S"},0))),LOOKUP(AVERAGE(_xlfn.SWITCH(D10,"F",0,"E",10,"D",20,"D+",30,"C",40,"C+",50,"B",60,"B+",70,"A",80,"A+",90,"S",100),_xlfn.SWITCH(E10,"F",0,"E",10,"D",20,"D+",30,"C",40,"C+",50,"B",60,"B+",70,"A",80,"A+",90,"S",100),_xlfn.SWITCH(F10,"F",0,"E",10,"D",20,"D+",30,"C",40,"C+",50,"B",60,"B+",70,"A",80,"A+",90,"S",100),_xlfn.SWITCH(G10,"F",0,"E",10,"D",20,"D+",30,"C",40,"C+",50,"B",60,"B+",70,"A",80,"A+",90,"S",100)),{0,15,25,35,45,55,65,75,85,95},{"D","D","D+","C","C+","B","B+","A","A+","S"}),"?")</f>
        <v>A</v>
      </c>
      <c r="I10" s="24" t="s">
        <v>2298</v>
      </c>
    </row>
    <row r="11" spans="1:27" ht="24" customHeight="1">
      <c r="A11" s="24" t="s">
        <v>1296</v>
      </c>
      <c r="B11" s="147" t="s">
        <v>501</v>
      </c>
      <c r="C11" s="147" t="s">
        <v>2299</v>
      </c>
      <c r="D11" s="147" t="s">
        <v>1562</v>
      </c>
      <c r="E11" s="24" t="s">
        <v>18</v>
      </c>
      <c r="F11" s="147" t="s">
        <v>1562</v>
      </c>
      <c r="G11" s="24" t="s">
        <v>18</v>
      </c>
      <c r="H11" s="19" t="str">
        <f>IF(AND(ISNUMBER(MATCH(D11,{"F","E","D","D+","C","C+","B","B+","A","A+","S"},0)),ISNUMBER(MATCH(E11,{"F","E","D","D+","C","C+","B","B+","A","A+","S"},0)),ISNUMBER(MATCH(F11,{"F","E","D","D+","C","C+","B","B+","A","A+","S"},0)),ISNUMBER(MATCH(G11,{"F","E","D","D+","C","C+","B","B+","A","A+","S"},0))),LOOKUP(AVERAGE(_xlfn.SWITCH(D11,"F",0,"E",10,"D",20,"D+",30,"C",40,"C+",50,"B",60,"B+",70,"A",80,"A+",90,"S",100),_xlfn.SWITCH(E11,"F",0,"E",10,"D",20,"D+",30,"C",40,"C+",50,"B",60,"B+",70,"A",80,"A+",90,"S",100),_xlfn.SWITCH(F11,"F",0,"E",10,"D",20,"D+",30,"C",40,"C+",50,"B",60,"B+",70,"A",80,"A+",90,"S",100),_xlfn.SWITCH(G11,"F",0,"E",10,"D",20,"D+",30,"C",40,"C+",50,"B",60,"B+",70,"A",80,"A+",90,"S",100)),{0,15,25,35,45,55,65,75,85,95},{"D","D","D+","C","C+","B","B+","A","A+","S"}),"?")</f>
        <v>B</v>
      </c>
      <c r="I11" s="24" t="s">
        <v>2300</v>
      </c>
    </row>
    <row r="12" spans="1:27" ht="24" customHeight="1">
      <c r="A12" s="24" t="s">
        <v>1299</v>
      </c>
      <c r="B12" s="147" t="s">
        <v>1300</v>
      </c>
      <c r="C12" s="147" t="s">
        <v>2195</v>
      </c>
      <c r="D12" s="147" t="s">
        <v>1661</v>
      </c>
      <c r="E12" s="24" t="s">
        <v>1661</v>
      </c>
      <c r="F12" s="147" t="s">
        <v>1574</v>
      </c>
      <c r="G12" s="24" t="s">
        <v>1574</v>
      </c>
      <c r="H12" s="19" t="str">
        <f>IF(AND(ISNUMBER(MATCH(D12,{"F","E","D","D+","C","C+","B","B+","A","A+","S"},0)),ISNUMBER(MATCH(E12,{"F","E","D","D+","C","C+","B","B+","A","A+","S"},0)),ISNUMBER(MATCH(F12,{"F","E","D","D+","C","C+","B","B+","A","A+","S"},0)),ISNUMBER(MATCH(G12,{"F","E","D","D+","C","C+","B","B+","A","A+","S"},0))),LOOKUP(AVERAGE(_xlfn.SWITCH(D12,"F",0,"E",10,"D",20,"D+",30,"C",40,"C+",50,"B",60,"B+",70,"A",80,"A+",90,"S",100),_xlfn.SWITCH(E12,"F",0,"E",10,"D",20,"D+",30,"C",40,"C+",50,"B",60,"B+",70,"A",80,"A+",90,"S",100),_xlfn.SWITCH(F12,"F",0,"E",10,"D",20,"D+",30,"C",40,"C+",50,"B",60,"B+",70,"A",80,"A+",90,"S",100),_xlfn.SWITCH(G12,"F",0,"E",10,"D",20,"D+",30,"C",40,"C+",50,"B",60,"B+",70,"A",80,"A+",90,"S",100)),{0,15,25,35,45,55,65,75,85,95},{"D","D","D+","C","C+","B","B+","A","A+","S"}),"?")</f>
        <v>C</v>
      </c>
      <c r="I12" s="24" t="s">
        <v>2301</v>
      </c>
    </row>
    <row r="13" spans="1:27" ht="24" customHeight="1">
      <c r="A13" s="24" t="s">
        <v>1303</v>
      </c>
      <c r="B13" s="147" t="s">
        <v>1304</v>
      </c>
      <c r="C13" s="147" t="s">
        <v>2191</v>
      </c>
      <c r="D13" s="147" t="s">
        <v>1562</v>
      </c>
      <c r="E13" s="24" t="s">
        <v>1562</v>
      </c>
      <c r="F13" s="147" t="s">
        <v>1562</v>
      </c>
      <c r="G13" s="24" t="s">
        <v>18</v>
      </c>
      <c r="H13" s="19" t="str">
        <f>IF(AND(ISNUMBER(MATCH(D13,{"F","E","D","D+","C","C+","B","B+","A","A+","S"},0)),ISNUMBER(MATCH(E13,{"F","E","D","D+","C","C+","B","B+","A","A+","S"},0)),ISNUMBER(MATCH(F13,{"F","E","D","D+","C","C+","B","B+","A","A+","S"},0)),ISNUMBER(MATCH(G13,{"F","E","D","D+","C","C+","B","B+","A","A+","S"},0))),LOOKUP(AVERAGE(_xlfn.SWITCH(D13,"F",0,"E",10,"D",20,"D+",30,"C",40,"C+",50,"B",60,"B+",70,"A",80,"A+",90,"S",100),_xlfn.SWITCH(E13,"F",0,"E",10,"D",20,"D+",30,"C",40,"C+",50,"B",60,"B+",70,"A",80,"A+",90,"S",100),_xlfn.SWITCH(F13,"F",0,"E",10,"D",20,"D+",30,"C",40,"C+",50,"B",60,"B+",70,"A",80,"A+",90,"S",100),_xlfn.SWITCH(G13,"F",0,"E",10,"D",20,"D+",30,"C",40,"C+",50,"B",60,"B+",70,"A",80,"A+",90,"S",100)),{0,15,25,35,45,55,65,75,85,95},{"D","D","D+","C","C+","B","B+","A","A+","S"}),"?")</f>
        <v>C+</v>
      </c>
      <c r="I13" s="24" t="s">
        <v>2302</v>
      </c>
    </row>
    <row r="14" spans="1:27" ht="24" customHeight="1">
      <c r="A14" s="24" t="s">
        <v>948</v>
      </c>
      <c r="B14" s="147" t="s">
        <v>949</v>
      </c>
      <c r="C14" s="147" t="s">
        <v>2303</v>
      </c>
      <c r="D14" s="147" t="s">
        <v>1567</v>
      </c>
      <c r="E14" s="24" t="s">
        <v>18</v>
      </c>
      <c r="F14" s="147" t="s">
        <v>18</v>
      </c>
      <c r="G14" s="24" t="s">
        <v>1567</v>
      </c>
      <c r="H14" s="19" t="str">
        <f>IF(AND(ISNUMBER(MATCH(D14,{"F","E","D","D+","C","C+","B","B+","A","A+","S"},0)),ISNUMBER(MATCH(E14,{"F","E","D","D+","C","C+","B","B+","A","A+","S"},0)),ISNUMBER(MATCH(F14,{"F","E","D","D+","C","C+","B","B+","A","A+","S"},0)),ISNUMBER(MATCH(G14,{"F","E","D","D+","C","C+","B","B+","A","A+","S"},0))),LOOKUP(AVERAGE(_xlfn.SWITCH(D14,"F",0,"E",10,"D",20,"D+",30,"C",40,"C+",50,"B",60,"B+",70,"A",80,"A+",90,"S",100),_xlfn.SWITCH(E14,"F",0,"E",10,"D",20,"D+",30,"C",40,"C+",50,"B",60,"B+",70,"A",80,"A+",90,"S",100),_xlfn.SWITCH(F14,"F",0,"E",10,"D",20,"D+",30,"C",40,"C+",50,"B",60,"B+",70,"A",80,"A+",90,"S",100),_xlfn.SWITCH(G14,"F",0,"E",10,"D",20,"D+",30,"C",40,"C+",50,"B",60,"B+",70,"A",80,"A+",90,"S",100)),{0,15,25,35,45,55,65,75,85,95},{"D","D","D+","C","C+","B","B+","A","A+","S"}),"?")</f>
        <v>B+</v>
      </c>
      <c r="I14" s="24" t="s">
        <v>2304</v>
      </c>
    </row>
    <row r="15" spans="1:27" ht="24" customHeight="1">
      <c r="A15" s="24" t="s">
        <v>1309</v>
      </c>
      <c r="B15" s="147" t="s">
        <v>291</v>
      </c>
      <c r="C15" s="147"/>
      <c r="D15" s="147" t="s">
        <v>18</v>
      </c>
      <c r="E15" s="24" t="s">
        <v>18</v>
      </c>
      <c r="F15" s="147" t="s">
        <v>18</v>
      </c>
      <c r="G15" s="24" t="s">
        <v>1567</v>
      </c>
      <c r="H15" s="19" t="str">
        <f>IF(AND(ISNUMBER(MATCH(D15,{"F","E","D","D+","C","C+","B","B+","A","A+","S"},0)),ISNUMBER(MATCH(E15,{"F","E","D","D+","C","C+","B","B+","A","A+","S"},0)),ISNUMBER(MATCH(F15,{"F","E","D","D+","C","C+","B","B+","A","A+","S"},0)),ISNUMBER(MATCH(G15,{"F","E","D","D+","C","C+","B","B+","A","A+","S"},0))),LOOKUP(AVERAGE(_xlfn.SWITCH(D15,"F",0,"E",10,"D",20,"D+",30,"C",40,"C+",50,"B",60,"B+",70,"A",80,"A+",90,"S",100),_xlfn.SWITCH(E15,"F",0,"E",10,"D",20,"D+",30,"C",40,"C+",50,"B",60,"B+",70,"A",80,"A+",90,"S",100),_xlfn.SWITCH(F15,"F",0,"E",10,"D",20,"D+",30,"C",40,"C+",50,"B",60,"B+",70,"A",80,"A+",90,"S",100),_xlfn.SWITCH(G15,"F",0,"E",10,"D",20,"D+",30,"C",40,"C+",50,"B",60,"B+",70,"A",80,"A+",90,"S",100)),{0,15,25,35,45,55,65,75,85,95},{"D","D","D+","C","C+","B","B+","A","A+","S"}),"?")</f>
        <v>B</v>
      </c>
      <c r="I15" s="24" t="s">
        <v>2305</v>
      </c>
    </row>
    <row r="16" spans="1:27" ht="24" customHeight="1">
      <c r="A16" s="24" t="s">
        <v>1311</v>
      </c>
      <c r="B16" s="147" t="s">
        <v>1312</v>
      </c>
      <c r="C16" s="147" t="s">
        <v>2306</v>
      </c>
      <c r="D16" s="147" t="s">
        <v>18</v>
      </c>
      <c r="E16" s="24" t="s">
        <v>1562</v>
      </c>
      <c r="F16" s="147" t="s">
        <v>18</v>
      </c>
      <c r="G16" s="24" t="s">
        <v>18</v>
      </c>
      <c r="H16" s="19" t="str">
        <f>IF(AND(ISNUMBER(MATCH(D16,{"F","E","D","D+","C","C+","B","B+","A","A+","S"},0)),ISNUMBER(MATCH(E16,{"F","E","D","D+","C","C+","B","B+","A","A+","S"},0)),ISNUMBER(MATCH(F16,{"F","E","D","D+","C","C+","B","B+","A","A+","S"},0)),ISNUMBER(MATCH(G16,{"F","E","D","D+","C","C+","B","B+","A","A+","S"},0))),LOOKUP(AVERAGE(_xlfn.SWITCH(D16,"F",0,"E",10,"D",20,"D+",30,"C",40,"C+",50,"B",60,"B+",70,"A",80,"A+",90,"S",100),_xlfn.SWITCH(E16,"F",0,"E",10,"D",20,"D+",30,"C",40,"C+",50,"B",60,"B+",70,"A",80,"A+",90,"S",100),_xlfn.SWITCH(F16,"F",0,"E",10,"D",20,"D+",30,"C",40,"C+",50,"B",60,"B+",70,"A",80,"A+",90,"S",100),_xlfn.SWITCH(G16,"F",0,"E",10,"D",20,"D+",30,"C",40,"C+",50,"B",60,"B+",70,"A",80,"A+",90,"S",100)),{0,15,25,35,45,55,65,75,85,95},{"D","D","D+","C","C+","B","B+","A","A+","S"}),"?")</f>
        <v>B</v>
      </c>
      <c r="I16" s="24" t="s">
        <v>2307</v>
      </c>
    </row>
    <row r="17" spans="1:9" ht="24" customHeight="1">
      <c r="A17" s="24" t="s">
        <v>1021</v>
      </c>
      <c r="B17" s="147" t="s">
        <v>1022</v>
      </c>
      <c r="C17" s="147" t="s">
        <v>2191</v>
      </c>
      <c r="D17" s="147" t="s">
        <v>28</v>
      </c>
      <c r="E17" s="24" t="s">
        <v>28</v>
      </c>
      <c r="F17" s="147" t="s">
        <v>21</v>
      </c>
      <c r="G17" s="24" t="s">
        <v>28</v>
      </c>
      <c r="H17" s="19" t="str">
        <f>IF(AND(ISNUMBER(MATCH(D17,{"F","E","D","D+","C","C+","B","B+","A","A+","S"},0)),ISNUMBER(MATCH(E17,{"F","E","D","D+","C","C+","B","B+","A","A+","S"},0)),ISNUMBER(MATCH(F17,{"F","E","D","D+","C","C+","B","B+","A","A+","S"},0)),ISNUMBER(MATCH(G17,{"F","E","D","D+","C","C+","B","B+","A","A+","S"},0))),LOOKUP(AVERAGE(_xlfn.SWITCH(D17,"F",0,"E",10,"D",20,"D+",30,"C",40,"C+",50,"B",60,"B+",70,"A",80,"A+",90,"S",100),_xlfn.SWITCH(E17,"F",0,"E",10,"D",20,"D+",30,"C",40,"C+",50,"B",60,"B+",70,"A",80,"A+",90,"S",100),_xlfn.SWITCH(F17,"F",0,"E",10,"D",20,"D+",30,"C",40,"C+",50,"B",60,"B+",70,"A",80,"A+",90,"S",100),_xlfn.SWITCH(G17,"F",0,"E",10,"D",20,"D+",30,"C",40,"C+",50,"B",60,"B+",70,"A",80,"A+",90,"S",100)),{0,15,25,35,45,55,65,75,85,95},{"D","D","D+","C","C+","B","B+","A","A+","S"}),"?")</f>
        <v>A+</v>
      </c>
      <c r="I17" s="24" t="s">
        <v>2308</v>
      </c>
    </row>
    <row r="18" spans="1:9" ht="24" customHeight="1">
      <c r="A18" s="24" t="s">
        <v>1317</v>
      </c>
      <c r="B18" s="147" t="s">
        <v>1318</v>
      </c>
      <c r="C18" s="147" t="s">
        <v>2191</v>
      </c>
      <c r="D18" s="147" t="s">
        <v>1567</v>
      </c>
      <c r="E18" s="24" t="s">
        <v>18</v>
      </c>
      <c r="F18" s="147" t="s">
        <v>18</v>
      </c>
      <c r="G18" s="24" t="s">
        <v>1567</v>
      </c>
      <c r="H18" s="19" t="str">
        <f>IF(AND(ISNUMBER(MATCH(D18,{"F","E","D","D+","C","C+","B","B+","A","A+","S"},0)),ISNUMBER(MATCH(E18,{"F","E","D","D+","C","C+","B","B+","A","A+","S"},0)),ISNUMBER(MATCH(F18,{"F","E","D","D+","C","C+","B","B+","A","A+","S"},0)),ISNUMBER(MATCH(G18,{"F","E","D","D+","C","C+","B","B+","A","A+","S"},0))),LOOKUP(AVERAGE(_xlfn.SWITCH(D18,"F",0,"E",10,"D",20,"D+",30,"C",40,"C+",50,"B",60,"B+",70,"A",80,"A+",90,"S",100),_xlfn.SWITCH(E18,"F",0,"E",10,"D",20,"D+",30,"C",40,"C+",50,"B",60,"B+",70,"A",80,"A+",90,"S",100),_xlfn.SWITCH(F18,"F",0,"E",10,"D",20,"D+",30,"C",40,"C+",50,"B",60,"B+",70,"A",80,"A+",90,"S",100),_xlfn.SWITCH(G18,"F",0,"E",10,"D",20,"D+",30,"C",40,"C+",50,"B",60,"B+",70,"A",80,"A+",90,"S",100)),{0,15,25,35,45,55,65,75,85,95},{"D","D","D+","C","C+","B","B+","A","A+","S"}),"?")</f>
        <v>B+</v>
      </c>
      <c r="I18" s="24" t="s">
        <v>2309</v>
      </c>
    </row>
    <row r="19" spans="1:9" ht="24" customHeight="1">
      <c r="A19" s="24" t="s">
        <v>1321</v>
      </c>
      <c r="B19" s="147" t="s">
        <v>1322</v>
      </c>
      <c r="C19" s="147"/>
      <c r="D19" s="147" t="s">
        <v>1661</v>
      </c>
      <c r="E19" s="24" t="s">
        <v>1574</v>
      </c>
      <c r="F19" s="147" t="s">
        <v>1574</v>
      </c>
      <c r="G19" s="24" t="s">
        <v>1574</v>
      </c>
      <c r="H19" s="19" t="str">
        <f>IF(AND(ISNUMBER(MATCH(D19,{"F","E","D","D+","C","C+","B","B+","A","A+","S"},0)),ISNUMBER(MATCH(E19,{"F","E","D","D+","C","C+","B","B+","A","A+","S"},0)),ISNUMBER(MATCH(F19,{"F","E","D","D+","C","C+","B","B+","A","A+","S"},0)),ISNUMBER(MATCH(G19,{"F","E","D","D+","C","C+","B","B+","A","A+","S"},0))),LOOKUP(AVERAGE(_xlfn.SWITCH(D19,"F",0,"E",10,"D",20,"D+",30,"C",40,"C+",50,"B",60,"B+",70,"A",80,"A+",90,"S",100),_xlfn.SWITCH(E19,"F",0,"E",10,"D",20,"D+",30,"C",40,"C+",50,"B",60,"B+",70,"A",80,"A+",90,"S",100),_xlfn.SWITCH(F19,"F",0,"E",10,"D",20,"D+",30,"C",40,"C+",50,"B",60,"B+",70,"A",80,"A+",90,"S",100),_xlfn.SWITCH(G19,"F",0,"E",10,"D",20,"D+",30,"C",40,"C+",50,"B",60,"B+",70,"A",80,"A+",90,"S",100)),{0,15,25,35,45,55,65,75,85,95},{"D","D","D+","C","C+","B","B+","A","A+","S"}),"?")</f>
        <v>C</v>
      </c>
      <c r="I19" s="24" t="s">
        <v>2310</v>
      </c>
    </row>
    <row r="20" spans="1:9" ht="24" customHeight="1">
      <c r="A20" s="24" t="s">
        <v>1000</v>
      </c>
      <c r="B20" s="147" t="s">
        <v>1001</v>
      </c>
      <c r="C20" s="150" t="s">
        <v>2191</v>
      </c>
      <c r="D20" s="147" t="s">
        <v>18</v>
      </c>
      <c r="E20" s="24" t="s">
        <v>1567</v>
      </c>
      <c r="F20" s="147" t="s">
        <v>1567</v>
      </c>
      <c r="G20" s="24" t="s">
        <v>1567</v>
      </c>
      <c r="H20" s="19" t="str">
        <f>IF(AND(ISNUMBER(MATCH(D20,{"F","E","D","D+","C","C+","B","B+","A","A+","S"},0)),ISNUMBER(MATCH(E20,{"F","E","D","D+","C","C+","B","B+","A","A+","S"},0)),ISNUMBER(MATCH(F20,{"F","E","D","D+","C","C+","B","B+","A","A+","S"},0)),ISNUMBER(MATCH(G20,{"F","E","D","D+","C","C+","B","B+","A","A+","S"},0))),LOOKUP(AVERAGE(_xlfn.SWITCH(D20,"F",0,"E",10,"D",20,"D+",30,"C",40,"C+",50,"B",60,"B+",70,"A",80,"A+",90,"S",100),_xlfn.SWITCH(E20,"F",0,"E",10,"D",20,"D+",30,"C",40,"C+",50,"B",60,"B+",70,"A",80,"A+",90,"S",100),_xlfn.SWITCH(F20,"F",0,"E",10,"D",20,"D+",30,"C",40,"C+",50,"B",60,"B+",70,"A",80,"A+",90,"S",100),_xlfn.SWITCH(G20,"F",0,"E",10,"D",20,"D+",30,"C",40,"C+",50,"B",60,"B+",70,"A",80,"A+",90,"S",100)),{0,15,25,35,45,55,65,75,85,95},{"D","D","D+","C","C+","B","B+","A","A+","S"}),"?")</f>
        <v>B+</v>
      </c>
      <c r="I20" s="24" t="s">
        <v>2311</v>
      </c>
    </row>
    <row r="21" spans="1:9" ht="24" customHeight="1">
      <c r="A21" s="24" t="s">
        <v>1325</v>
      </c>
      <c r="B21" s="147" t="s">
        <v>1326</v>
      </c>
      <c r="C21" s="147" t="s">
        <v>2258</v>
      </c>
      <c r="D21" s="147" t="s">
        <v>1661</v>
      </c>
      <c r="E21" s="24" t="s">
        <v>1661</v>
      </c>
      <c r="F21" s="147" t="s">
        <v>1661</v>
      </c>
      <c r="G21" s="24" t="s">
        <v>1574</v>
      </c>
      <c r="H21" s="19" t="str">
        <f>IF(AND(ISNUMBER(MATCH(D21,{"F","E","D","D+","C","C+","B","B+","A","A+","S"},0)),ISNUMBER(MATCH(E21,{"F","E","D","D+","C","C+","B","B+","A","A+","S"},0)),ISNUMBER(MATCH(F21,{"F","E","D","D+","C","C+","B","B+","A","A+","S"},0)),ISNUMBER(MATCH(G21,{"F","E","D","D+","C","C+","B","B+","A","A+","S"},0))),LOOKUP(AVERAGE(_xlfn.SWITCH(D21,"F",0,"E",10,"D",20,"D+",30,"C",40,"C+",50,"B",60,"B+",70,"A",80,"A+",90,"S",100),_xlfn.SWITCH(E21,"F",0,"E",10,"D",20,"D+",30,"C",40,"C+",50,"B",60,"B+",70,"A",80,"A+",90,"S",100),_xlfn.SWITCH(F21,"F",0,"E",10,"D",20,"D+",30,"C",40,"C+",50,"B",60,"B+",70,"A",80,"A+",90,"S",100),_xlfn.SWITCH(G21,"F",0,"E",10,"D",20,"D+",30,"C",40,"C+",50,"B",60,"B+",70,"A",80,"A+",90,"S",100)),{0,15,25,35,45,55,65,75,85,95},{"D","D","D+","C","C+","B","B+","A","A+","S"}),"?")</f>
        <v>D+</v>
      </c>
      <c r="I21" s="24" t="s">
        <v>2312</v>
      </c>
    </row>
    <row r="22" spans="1:9" ht="24" customHeight="1">
      <c r="A22" s="24" t="s">
        <v>1328</v>
      </c>
      <c r="B22" s="147" t="s">
        <v>1329</v>
      </c>
      <c r="C22" s="147" t="s">
        <v>2303</v>
      </c>
      <c r="D22" s="147" t="s">
        <v>1567</v>
      </c>
      <c r="E22" s="24" t="s">
        <v>1567</v>
      </c>
      <c r="F22" s="147" t="s">
        <v>1567</v>
      </c>
      <c r="G22" s="24" t="s">
        <v>18</v>
      </c>
      <c r="H22" s="19" t="str">
        <f>IF(AND(ISNUMBER(MATCH(D22,{"F","E","D","D+","C","C+","B","B+","A","A+","S"},0)),ISNUMBER(MATCH(E22,{"F","E","D","D+","C","C+","B","B+","A","A+","S"},0)),ISNUMBER(MATCH(F22,{"F","E","D","D+","C","C+","B","B+","A","A+","S"},0)),ISNUMBER(MATCH(G22,{"F","E","D","D+","C","C+","B","B+","A","A+","S"},0))),LOOKUP(AVERAGE(_xlfn.SWITCH(D22,"F",0,"E",10,"D",20,"D+",30,"C",40,"C+",50,"B",60,"B+",70,"A",80,"A+",90,"S",100),_xlfn.SWITCH(E22,"F",0,"E",10,"D",20,"D+",30,"C",40,"C+",50,"B",60,"B+",70,"A",80,"A+",90,"S",100),_xlfn.SWITCH(F22,"F",0,"E",10,"D",20,"D+",30,"C",40,"C+",50,"B",60,"B+",70,"A",80,"A+",90,"S",100),_xlfn.SWITCH(G22,"F",0,"E",10,"D",20,"D+",30,"C",40,"C+",50,"B",60,"B+",70,"A",80,"A+",90,"S",100)),{0,15,25,35,45,55,65,75,85,95},{"D","D","D+","C","C+","B","B+","A","A+","S"}),"?")</f>
        <v>B+</v>
      </c>
      <c r="I22" s="24" t="s">
        <v>2313</v>
      </c>
    </row>
    <row r="23" spans="1:9" ht="24" customHeight="1">
      <c r="A23" s="24" t="s">
        <v>988</v>
      </c>
      <c r="B23" s="147" t="s">
        <v>989</v>
      </c>
      <c r="C23" s="147"/>
      <c r="D23" s="147" t="s">
        <v>28</v>
      </c>
      <c r="E23" s="24" t="s">
        <v>28</v>
      </c>
      <c r="F23" s="147" t="s">
        <v>21</v>
      </c>
      <c r="G23" s="24" t="s">
        <v>28</v>
      </c>
      <c r="H23" s="19" t="str">
        <f>IF(AND(ISNUMBER(MATCH(D23,{"F","E","D","D+","C","C+","B","B+","A","A+","S"},0)),ISNUMBER(MATCH(E23,{"F","E","D","D+","C","C+","B","B+","A","A+","S"},0)),ISNUMBER(MATCH(F23,{"F","E","D","D+","C","C+","B","B+","A","A+","S"},0)),ISNUMBER(MATCH(G23,{"F","E","D","D+","C","C+","B","B+","A","A+","S"},0))),LOOKUP(AVERAGE(_xlfn.SWITCH(D23,"F",0,"E",10,"D",20,"D+",30,"C",40,"C+",50,"B",60,"B+",70,"A",80,"A+",90,"S",100),_xlfn.SWITCH(E23,"F",0,"E",10,"D",20,"D+",30,"C",40,"C+",50,"B",60,"B+",70,"A",80,"A+",90,"S",100),_xlfn.SWITCH(F23,"F",0,"E",10,"D",20,"D+",30,"C",40,"C+",50,"B",60,"B+",70,"A",80,"A+",90,"S",100),_xlfn.SWITCH(G23,"F",0,"E",10,"D",20,"D+",30,"C",40,"C+",50,"B",60,"B+",70,"A",80,"A+",90,"S",100)),{0,15,25,35,45,55,65,75,85,95},{"D","D","D+","C","C+","B","B+","A","A+","S"}),"?")</f>
        <v>A+</v>
      </c>
      <c r="I23" s="24" t="s">
        <v>2314</v>
      </c>
    </row>
    <row r="24" spans="1:9" ht="24" customHeight="1">
      <c r="A24" s="24" t="s">
        <v>1333</v>
      </c>
      <c r="B24" s="147" t="s">
        <v>1334</v>
      </c>
      <c r="C24" s="147"/>
      <c r="D24" s="147" t="s">
        <v>18</v>
      </c>
      <c r="E24" s="24" t="s">
        <v>18</v>
      </c>
      <c r="F24" s="147" t="s">
        <v>18</v>
      </c>
      <c r="G24" s="24" t="s">
        <v>18</v>
      </c>
      <c r="H24" s="19" t="str">
        <f>IF(AND(ISNUMBER(MATCH(D24,{"F","E","D","D+","C","C+","B","B+","A","A+","S"},0)),ISNUMBER(MATCH(E24,{"F","E","D","D+","C","C+","B","B+","A","A+","S"},0)),ISNUMBER(MATCH(F24,{"F","E","D","D+","C","C+","B","B+","A","A+","S"},0)),ISNUMBER(MATCH(G24,{"F","E","D","D+","C","C+","B","B+","A","A+","S"},0))),LOOKUP(AVERAGE(_xlfn.SWITCH(D24,"F",0,"E",10,"D",20,"D+",30,"C",40,"C+",50,"B",60,"B+",70,"A",80,"A+",90,"S",100),_xlfn.SWITCH(E24,"F",0,"E",10,"D",20,"D+",30,"C",40,"C+",50,"B",60,"B+",70,"A",80,"A+",90,"S",100),_xlfn.SWITCH(F24,"F",0,"E",10,"D",20,"D+",30,"C",40,"C+",50,"B",60,"B+",70,"A",80,"A+",90,"S",100),_xlfn.SWITCH(G24,"F",0,"E",10,"D",20,"D+",30,"C",40,"C+",50,"B",60,"B+",70,"A",80,"A+",90,"S",100)),{0,15,25,35,45,55,65,75,85,95},{"D","D","D+","C","C+","B","B+","A","A+","S"}),"?")</f>
        <v>B</v>
      </c>
      <c r="I24" s="24" t="s">
        <v>2315</v>
      </c>
    </row>
    <row r="25" spans="1:9" ht="24" customHeight="1">
      <c r="A25" s="24" t="s">
        <v>1337</v>
      </c>
      <c r="B25" s="147" t="s">
        <v>1338</v>
      </c>
      <c r="C25" s="147" t="s">
        <v>2235</v>
      </c>
      <c r="D25" s="147" t="s">
        <v>1567</v>
      </c>
      <c r="E25" s="24" t="s">
        <v>1562</v>
      </c>
      <c r="F25" s="147" t="s">
        <v>1562</v>
      </c>
      <c r="G25" s="24" t="s">
        <v>1567</v>
      </c>
      <c r="H25" s="19" t="str">
        <f>IF(AND(ISNUMBER(MATCH(D25,{"F","E","D","D+","C","C+","B","B+","A","A+","S"},0)),ISNUMBER(MATCH(E25,{"F","E","D","D+","C","C+","B","B+","A","A+","S"},0)),ISNUMBER(MATCH(F25,{"F","E","D","D+","C","C+","B","B+","A","A+","S"},0)),ISNUMBER(MATCH(G25,{"F","E","D","D+","C","C+","B","B+","A","A+","S"},0))),LOOKUP(AVERAGE(_xlfn.SWITCH(D25,"F",0,"E",10,"D",20,"D+",30,"C",40,"C+",50,"B",60,"B+",70,"A",80,"A+",90,"S",100),_xlfn.SWITCH(E25,"F",0,"E",10,"D",20,"D+",30,"C",40,"C+",50,"B",60,"B+",70,"A",80,"A+",90,"S",100),_xlfn.SWITCH(F25,"F",0,"E",10,"D",20,"D+",30,"C",40,"C+",50,"B",60,"B+",70,"A",80,"A+",90,"S",100),_xlfn.SWITCH(G25,"F",0,"E",10,"D",20,"D+",30,"C",40,"C+",50,"B",60,"B+",70,"A",80,"A+",90,"S",100)),{0,15,25,35,45,55,65,75,85,95},{"D","D","D+","C","C+","B","B+","A","A+","S"}),"?")</f>
        <v>B</v>
      </c>
      <c r="I25" s="24" t="s">
        <v>2316</v>
      </c>
    </row>
    <row r="26" spans="1:9" ht="36.75" customHeight="1">
      <c r="A26" s="24" t="s">
        <v>1341</v>
      </c>
      <c r="B26" s="147" t="s">
        <v>1342</v>
      </c>
      <c r="C26" s="147" t="s">
        <v>2258</v>
      </c>
      <c r="D26" s="147" t="s">
        <v>1562</v>
      </c>
      <c r="E26" s="24" t="s">
        <v>1562</v>
      </c>
      <c r="F26" s="147" t="s">
        <v>18</v>
      </c>
      <c r="G26" s="24" t="s">
        <v>1567</v>
      </c>
      <c r="H26" s="19" t="str">
        <f>IF(AND(ISNUMBER(MATCH(D26,{"F","E","D","D+","C","C+","B","B+","A","A+","S"},0)),ISNUMBER(MATCH(E26,{"F","E","D","D+","C","C+","B","B+","A","A+","S"},0)),ISNUMBER(MATCH(F26,{"F","E","D","D+","C","C+","B","B+","A","A+","S"},0)),ISNUMBER(MATCH(G26,{"F","E","D","D+","C","C+","B","B+","A","A+","S"},0))),LOOKUP(AVERAGE(_xlfn.SWITCH(D26,"F",0,"E",10,"D",20,"D+",30,"C",40,"C+",50,"B",60,"B+",70,"A",80,"A+",90,"S",100),_xlfn.SWITCH(E26,"F",0,"E",10,"D",20,"D+",30,"C",40,"C+",50,"B",60,"B+",70,"A",80,"A+",90,"S",100),_xlfn.SWITCH(F26,"F",0,"E",10,"D",20,"D+",30,"C",40,"C+",50,"B",60,"B+",70,"A",80,"A+",90,"S",100),_xlfn.SWITCH(G26,"F",0,"E",10,"D",20,"D+",30,"C",40,"C+",50,"B",60,"B+",70,"A",80,"A+",90,"S",100)),{0,15,25,35,45,55,65,75,85,95},{"D","D","D+","C","C+","B","B+","A","A+","S"}),"?")</f>
        <v>B</v>
      </c>
      <c r="I26" s="94" t="s">
        <v>2317</v>
      </c>
    </row>
    <row r="27" spans="1:9" ht="31.5" customHeight="1">
      <c r="A27" s="24" t="s">
        <v>1344</v>
      </c>
      <c r="B27" s="147" t="s">
        <v>1345</v>
      </c>
      <c r="C27" s="147" t="s">
        <v>2219</v>
      </c>
      <c r="D27" s="147" t="s">
        <v>1562</v>
      </c>
      <c r="E27" s="24" t="s">
        <v>1562</v>
      </c>
      <c r="F27" s="147" t="s">
        <v>1562</v>
      </c>
      <c r="G27" s="24" t="s">
        <v>18</v>
      </c>
      <c r="H27" s="19" t="str">
        <f>IF(AND(ISNUMBER(MATCH(D27,{"F","E","D","D+","C","C+","B","B+","A","A+","S"},0)),ISNUMBER(MATCH(E27,{"F","E","D","D+","C","C+","B","B+","A","A+","S"},0)),ISNUMBER(MATCH(F27,{"F","E","D","D+","C","C+","B","B+","A","A+","S"},0)),ISNUMBER(MATCH(G27,{"F","E","D","D+","C","C+","B","B+","A","A+","S"},0))),LOOKUP(AVERAGE(_xlfn.SWITCH(D27,"F",0,"E",10,"D",20,"D+",30,"C",40,"C+",50,"B",60,"B+",70,"A",80,"A+",90,"S",100),_xlfn.SWITCH(E27,"F",0,"E",10,"D",20,"D+",30,"C",40,"C+",50,"B",60,"B+",70,"A",80,"A+",90,"S",100),_xlfn.SWITCH(F27,"F",0,"E",10,"D",20,"D+",30,"C",40,"C+",50,"B",60,"B+",70,"A",80,"A+",90,"S",100),_xlfn.SWITCH(G27,"F",0,"E",10,"D",20,"D+",30,"C",40,"C+",50,"B",60,"B+",70,"A",80,"A+",90,"S",100)),{0,15,25,35,45,55,65,75,85,95},{"D","D","D+","C","C+","B","B+","A","A+","S"}),"?")</f>
        <v>C+</v>
      </c>
      <c r="I27" s="94" t="s">
        <v>2318</v>
      </c>
    </row>
    <row r="28" spans="1:9" ht="24" customHeight="1">
      <c r="A28" s="24" t="s">
        <v>1348</v>
      </c>
      <c r="B28" s="147" t="s">
        <v>1349</v>
      </c>
      <c r="C28" s="147" t="s">
        <v>2303</v>
      </c>
      <c r="D28" s="147" t="s">
        <v>1567</v>
      </c>
      <c r="E28" s="24" t="s">
        <v>18</v>
      </c>
      <c r="F28" s="147" t="s">
        <v>18</v>
      </c>
      <c r="G28" s="24" t="s">
        <v>18</v>
      </c>
      <c r="H28" s="19" t="str">
        <f>IF(AND(ISNUMBER(MATCH(D28,{"F","E","D","D+","C","C+","B","B+","A","A+","S"},0)),ISNUMBER(MATCH(E28,{"F","E","D","D+","C","C+","B","B+","A","A+","S"},0)),ISNUMBER(MATCH(F28,{"F","E","D","D+","C","C+","B","B+","A","A+","S"},0)),ISNUMBER(MATCH(G28,{"F","E","D","D+","C","C+","B","B+","A","A+","S"},0))),LOOKUP(AVERAGE(_xlfn.SWITCH(D28,"F",0,"E",10,"D",20,"D+",30,"C",40,"C+",50,"B",60,"B+",70,"A",80,"A+",90,"S",100),_xlfn.SWITCH(E28,"F",0,"E",10,"D",20,"D+",30,"C",40,"C+",50,"B",60,"B+",70,"A",80,"A+",90,"S",100),_xlfn.SWITCH(F28,"F",0,"E",10,"D",20,"D+",30,"C",40,"C+",50,"B",60,"B+",70,"A",80,"A+",90,"S",100),_xlfn.SWITCH(G28,"F",0,"E",10,"D",20,"D+",30,"C",40,"C+",50,"B",60,"B+",70,"A",80,"A+",90,"S",100)),{0,15,25,35,45,55,65,75,85,95},{"D","D","D+","C","C+","B","B+","A","A+","S"}),"?")</f>
        <v>B</v>
      </c>
      <c r="I28" s="24" t="s">
        <v>2319</v>
      </c>
    </row>
    <row r="29" spans="1:9" ht="24" customHeight="1">
      <c r="A29" s="24" t="s">
        <v>927</v>
      </c>
      <c r="B29" s="147" t="s">
        <v>928</v>
      </c>
      <c r="C29" s="147" t="s">
        <v>2250</v>
      </c>
      <c r="D29" s="147" t="s">
        <v>18</v>
      </c>
      <c r="E29" s="24" t="s">
        <v>1567</v>
      </c>
      <c r="F29" s="147" t="s">
        <v>1567</v>
      </c>
      <c r="G29" s="24" t="s">
        <v>1567</v>
      </c>
      <c r="H29" s="19" t="str">
        <f>IF(AND(ISNUMBER(MATCH(D29,{"F","E","D","D+","C","C+","B","B+","A","A+","S"},0)),ISNUMBER(MATCH(E29,{"F","E","D","D+","C","C+","B","B+","A","A+","S"},0)),ISNUMBER(MATCH(F29,{"F","E","D","D+","C","C+","B","B+","A","A+","S"},0)),ISNUMBER(MATCH(G29,{"F","E","D","D+","C","C+","B","B+","A","A+","S"},0))),LOOKUP(AVERAGE(_xlfn.SWITCH(D29,"F",0,"E",10,"D",20,"D+",30,"C",40,"C+",50,"B",60,"B+",70,"A",80,"A+",90,"S",100),_xlfn.SWITCH(E29,"F",0,"E",10,"D",20,"D+",30,"C",40,"C+",50,"B",60,"B+",70,"A",80,"A+",90,"S",100),_xlfn.SWITCH(F29,"F",0,"E",10,"D",20,"D+",30,"C",40,"C+",50,"B",60,"B+",70,"A",80,"A+",90,"S",100),_xlfn.SWITCH(G29,"F",0,"E",10,"D",20,"D+",30,"C",40,"C+",50,"B",60,"B+",70,"A",80,"A+",90,"S",100)),{0,15,25,35,45,55,65,75,85,95},{"D","D","D+","C","C+","B","B+","A","A+","S"}),"?")</f>
        <v>B+</v>
      </c>
      <c r="I29" s="24" t="s">
        <v>2320</v>
      </c>
    </row>
    <row r="30" spans="1:9" ht="24" customHeight="1">
      <c r="A30" s="24" t="s">
        <v>1353</v>
      </c>
      <c r="B30" s="147" t="s">
        <v>1354</v>
      </c>
      <c r="C30" s="147" t="s">
        <v>2261</v>
      </c>
      <c r="D30" s="147" t="s">
        <v>1574</v>
      </c>
      <c r="E30" s="24" t="s">
        <v>1574</v>
      </c>
      <c r="F30" s="147" t="s">
        <v>1574</v>
      </c>
      <c r="G30" s="24" t="s">
        <v>1562</v>
      </c>
      <c r="H30" s="19" t="str">
        <f>IF(AND(ISNUMBER(MATCH(D30,{"F","E","D","D+","C","C+","B","B+","A","A+","S"},0)),ISNUMBER(MATCH(E30,{"F","E","D","D+","C","C+","B","B+","A","A+","S"},0)),ISNUMBER(MATCH(F30,{"F","E","D","D+","C","C+","B","B+","A","A+","S"},0)),ISNUMBER(MATCH(G30,{"F","E","D","D+","C","C+","B","B+","A","A+","S"},0))),LOOKUP(AVERAGE(_xlfn.SWITCH(D30,"F",0,"E",10,"D",20,"D+",30,"C",40,"C+",50,"B",60,"B+",70,"A",80,"A+",90,"S",100),_xlfn.SWITCH(E30,"F",0,"E",10,"D",20,"D+",30,"C",40,"C+",50,"B",60,"B+",70,"A",80,"A+",90,"S",100),_xlfn.SWITCH(F30,"F",0,"E",10,"D",20,"D+",30,"C",40,"C+",50,"B",60,"B+",70,"A",80,"A+",90,"S",100),_xlfn.SWITCH(G30,"F",0,"E",10,"D",20,"D+",30,"C",40,"C+",50,"B",60,"B+",70,"A",80,"A+",90,"S",100)),{0,15,25,35,45,55,65,75,85,95},{"D","D","D+","C","C+","B","B+","A","A+","S"}),"?")</f>
        <v>C</v>
      </c>
      <c r="I30" s="24" t="s">
        <v>2321</v>
      </c>
    </row>
    <row r="31" spans="1:9" ht="24" customHeight="1">
      <c r="A31" s="24" t="s">
        <v>886</v>
      </c>
      <c r="B31" s="147" t="s">
        <v>887</v>
      </c>
      <c r="C31" s="147" t="s">
        <v>2191</v>
      </c>
      <c r="D31" s="147" t="s">
        <v>21</v>
      </c>
      <c r="E31" s="24" t="s">
        <v>18</v>
      </c>
      <c r="F31" s="147" t="s">
        <v>1567</v>
      </c>
      <c r="G31" s="24" t="s">
        <v>1567</v>
      </c>
      <c r="H31" s="19" t="str">
        <f>IF(AND(ISNUMBER(MATCH(D31,{"F","E","D","D+","C","C+","B","B+","A","A+","S"},0)),ISNUMBER(MATCH(E31,{"F","E","D","D+","C","C+","B","B+","A","A+","S"},0)),ISNUMBER(MATCH(F31,{"F","E","D","D+","C","C+","B","B+","A","A+","S"},0)),ISNUMBER(MATCH(G31,{"F","E","D","D+","C","C+","B","B+","A","A+","S"},0))),LOOKUP(AVERAGE(_xlfn.SWITCH(D31,"F",0,"E",10,"D",20,"D+",30,"C",40,"C+",50,"B",60,"B+",70,"A",80,"A+",90,"S",100),_xlfn.SWITCH(E31,"F",0,"E",10,"D",20,"D+",30,"C",40,"C+",50,"B",60,"B+",70,"A",80,"A+",90,"S",100),_xlfn.SWITCH(F31,"F",0,"E",10,"D",20,"D+",30,"C",40,"C+",50,"B",60,"B+",70,"A",80,"A+",90,"S",100),_xlfn.SWITCH(G31,"F",0,"E",10,"D",20,"D+",30,"C",40,"C+",50,"B",60,"B+",70,"A",80,"A+",90,"S",100)),{0,15,25,35,45,55,65,75,85,95},{"D","D","D+","C","C+","B","B+","A","A+","S"}),"?")</f>
        <v>B+</v>
      </c>
      <c r="I31" s="24" t="s">
        <v>2322</v>
      </c>
    </row>
    <row r="32" spans="1:9" ht="24" customHeight="1">
      <c r="A32" s="24" t="s">
        <v>1359</v>
      </c>
      <c r="B32" s="147" t="s">
        <v>1360</v>
      </c>
      <c r="C32" s="150"/>
      <c r="D32" s="147" t="s">
        <v>1567</v>
      </c>
      <c r="E32" s="24" t="s">
        <v>18</v>
      </c>
      <c r="F32" s="147" t="s">
        <v>18</v>
      </c>
      <c r="G32" s="24" t="s">
        <v>1567</v>
      </c>
      <c r="H32" s="19" t="str">
        <f>IF(AND(ISNUMBER(MATCH(D32,{"F","E","D","D+","C","C+","B","B+","A","A+","S"},0)),ISNUMBER(MATCH(E32,{"F","E","D","D+","C","C+","B","B+","A","A+","S"},0)),ISNUMBER(MATCH(F32,{"F","E","D","D+","C","C+","B","B+","A","A+","S"},0)),ISNUMBER(MATCH(G32,{"F","E","D","D+","C","C+","B","B+","A","A+","S"},0))),LOOKUP(AVERAGE(_xlfn.SWITCH(D32,"F",0,"E",10,"D",20,"D+",30,"C",40,"C+",50,"B",60,"B+",70,"A",80,"A+",90,"S",100),_xlfn.SWITCH(E32,"F",0,"E",10,"D",20,"D+",30,"C",40,"C+",50,"B",60,"B+",70,"A",80,"A+",90,"S",100),_xlfn.SWITCH(F32,"F",0,"E",10,"D",20,"D+",30,"C",40,"C+",50,"B",60,"B+",70,"A",80,"A+",90,"S",100),_xlfn.SWITCH(G32,"F",0,"E",10,"D",20,"D+",30,"C",40,"C+",50,"B",60,"B+",70,"A",80,"A+",90,"S",100)),{0,15,25,35,45,55,65,75,85,95},{"D","D","D+","C","C+","B","B+","A","A+","S"}),"?")</f>
        <v>B+</v>
      </c>
      <c r="I32" s="24" t="s">
        <v>2323</v>
      </c>
    </row>
    <row r="33" spans="1:10" ht="36.75" customHeight="1">
      <c r="A33" s="24" t="s">
        <v>1362</v>
      </c>
      <c r="B33" s="147" t="s">
        <v>1363</v>
      </c>
      <c r="C33" s="147" t="s">
        <v>2292</v>
      </c>
      <c r="D33" s="147" t="s">
        <v>1574</v>
      </c>
      <c r="E33" s="24" t="s">
        <v>1574</v>
      </c>
      <c r="F33" s="147" t="s">
        <v>1574</v>
      </c>
      <c r="G33" s="24" t="s">
        <v>1574</v>
      </c>
      <c r="H33" s="19" t="str">
        <f>IF(AND(ISNUMBER(MATCH(D33,{"F","E","D","D+","C","C+","B","B+","A","A+","S"},0)),ISNUMBER(MATCH(E33,{"F","E","D","D+","C","C+","B","B+","A","A+","S"},0)),ISNUMBER(MATCH(F33,{"F","E","D","D+","C","C+","B","B+","A","A+","S"},0)),ISNUMBER(MATCH(G33,{"F","E","D","D+","C","C+","B","B+","A","A+","S"},0))),LOOKUP(AVERAGE(_xlfn.SWITCH(D33,"F",0,"E",10,"D",20,"D+",30,"C",40,"C+",50,"B",60,"B+",70,"A",80,"A+",90,"S",100),_xlfn.SWITCH(E33,"F",0,"E",10,"D",20,"D+",30,"C",40,"C+",50,"B",60,"B+",70,"A",80,"A+",90,"S",100),_xlfn.SWITCH(F33,"F",0,"E",10,"D",20,"D+",30,"C",40,"C+",50,"B",60,"B+",70,"A",80,"A+",90,"S",100),_xlfn.SWITCH(G33,"F",0,"E",10,"D",20,"D+",30,"C",40,"C+",50,"B",60,"B+",70,"A",80,"A+",90,"S",100)),{0,15,25,35,45,55,65,75,85,95},{"D","D","D+","C","C+","B","B+","A","A+","S"}),"?")</f>
        <v>C</v>
      </c>
      <c r="I33" s="94" t="s">
        <v>2324</v>
      </c>
    </row>
    <row r="34" spans="1:10" ht="24" customHeight="1">
      <c r="A34" s="24" t="s">
        <v>1365</v>
      </c>
      <c r="B34" s="147" t="s">
        <v>1366</v>
      </c>
      <c r="C34" s="147" t="s">
        <v>2303</v>
      </c>
      <c r="D34" s="147" t="s">
        <v>1661</v>
      </c>
      <c r="E34" s="24" t="s">
        <v>1661</v>
      </c>
      <c r="F34" s="147" t="s">
        <v>1661</v>
      </c>
      <c r="G34" s="24" t="s">
        <v>16</v>
      </c>
      <c r="H34" s="19" t="str">
        <f>IF(AND(ISNUMBER(MATCH(D34,{"F","E","D","D+","C","C+","B","B+","A","A+","S"},0)),ISNUMBER(MATCH(E34,{"F","E","D","D+","C","C+","B","B+","A","A+","S"},0)),ISNUMBER(MATCH(F34,{"F","E","D","D+","C","C+","B","B+","A","A+","S"},0)),ISNUMBER(MATCH(G34,{"F","E","D","D+","C","C+","B","B+","A","A+","S"},0))),LOOKUP(AVERAGE(_xlfn.SWITCH(D34,"F",0,"E",10,"D",20,"D+",30,"C",40,"C+",50,"B",60,"B+",70,"A",80,"A+",90,"S",100),_xlfn.SWITCH(E34,"F",0,"E",10,"D",20,"D+",30,"C",40,"C+",50,"B",60,"B+",70,"A",80,"A+",90,"S",100),_xlfn.SWITCH(F34,"F",0,"E",10,"D",20,"D+",30,"C",40,"C+",50,"B",60,"B+",70,"A",80,"A+",90,"S",100),_xlfn.SWITCH(G34,"F",0,"E",10,"D",20,"D+",30,"C",40,"C+",50,"B",60,"B+",70,"A",80,"A+",90,"S",100)),{0,15,25,35,45,55,65,75,85,95},{"D","D","D+","C","C+","B","B+","A","A+","S"}),"?")</f>
        <v>D+</v>
      </c>
      <c r="I34" s="24" t="s">
        <v>2325</v>
      </c>
    </row>
    <row r="35" spans="1:10" ht="24" customHeight="1">
      <c r="A35" s="24" t="s">
        <v>979</v>
      </c>
      <c r="B35" s="147" t="s">
        <v>980</v>
      </c>
      <c r="C35" s="147" t="s">
        <v>2303</v>
      </c>
      <c r="D35" s="147" t="s">
        <v>18</v>
      </c>
      <c r="E35" s="24" t="s">
        <v>1562</v>
      </c>
      <c r="F35" s="147" t="s">
        <v>1567</v>
      </c>
      <c r="G35" s="24" t="s">
        <v>1567</v>
      </c>
      <c r="H35" s="19" t="str">
        <f>IF(AND(ISNUMBER(MATCH(D35,{"F","E","D","D+","C","C+","B","B+","A","A+","S"},0)),ISNUMBER(MATCH(E35,{"F","E","D","D+","C","C+","B","B+","A","A+","S"},0)),ISNUMBER(MATCH(F35,{"F","E","D","D+","C","C+","B","B+","A","A+","S"},0)),ISNUMBER(MATCH(G35,{"F","E","D","D+","C","C+","B","B+","A","A+","S"},0))),LOOKUP(AVERAGE(_xlfn.SWITCH(D35,"F",0,"E",10,"D",20,"D+",30,"C",40,"C+",50,"B",60,"B+",70,"A",80,"A+",90,"S",100),_xlfn.SWITCH(E35,"F",0,"E",10,"D",20,"D+",30,"C",40,"C+",50,"B",60,"B+",70,"A",80,"A+",90,"S",100),_xlfn.SWITCH(F35,"F",0,"E",10,"D",20,"D+",30,"C",40,"C+",50,"B",60,"B+",70,"A",80,"A+",90,"S",100),_xlfn.SWITCH(G35,"F",0,"E",10,"D",20,"D+",30,"C",40,"C+",50,"B",60,"B+",70,"A",80,"A+",90,"S",100)),{0,15,25,35,45,55,65,75,85,95},{"D","D","D+","C","C+","B","B+","A","A+","S"}),"?")</f>
        <v>B</v>
      </c>
      <c r="I35" s="24" t="s">
        <v>2326</v>
      </c>
    </row>
    <row r="36" spans="1:10" ht="24" customHeight="1">
      <c r="A36" s="24" t="s">
        <v>1371</v>
      </c>
      <c r="B36" s="147" t="s">
        <v>1372</v>
      </c>
      <c r="C36" s="147"/>
      <c r="D36" s="147" t="s">
        <v>1562</v>
      </c>
      <c r="E36" s="24" t="s">
        <v>1574</v>
      </c>
      <c r="F36" s="147" t="s">
        <v>1574</v>
      </c>
      <c r="G36" s="24" t="s">
        <v>1562</v>
      </c>
      <c r="H36" s="19" t="str">
        <f>IF(AND(ISNUMBER(MATCH(D36,{"F","E","D","D+","C","C+","B","B+","A","A+","S"},0)),ISNUMBER(MATCH(E36,{"F","E","D","D+","C","C+","B","B+","A","A+","S"},0)),ISNUMBER(MATCH(F36,{"F","E","D","D+","C","C+","B","B+","A","A+","S"},0)),ISNUMBER(MATCH(G36,{"F","E","D","D+","C","C+","B","B+","A","A+","S"},0))),LOOKUP(AVERAGE(_xlfn.SWITCH(D36,"F",0,"E",10,"D",20,"D+",30,"C",40,"C+",50,"B",60,"B+",70,"A",80,"A+",90,"S",100),_xlfn.SWITCH(E36,"F",0,"E",10,"D",20,"D+",30,"C",40,"C+",50,"B",60,"B+",70,"A",80,"A+",90,"S",100),_xlfn.SWITCH(F36,"F",0,"E",10,"D",20,"D+",30,"C",40,"C+",50,"B",60,"B+",70,"A",80,"A+",90,"S",100),_xlfn.SWITCH(G36,"F",0,"E",10,"D",20,"D+",30,"C",40,"C+",50,"B",60,"B+",70,"A",80,"A+",90,"S",100)),{0,15,25,35,45,55,65,75,85,95},{"D","D","D+","C","C+","B","B+","A","A+","S"}),"?")</f>
        <v>C+</v>
      </c>
      <c r="I36" s="24" t="s">
        <v>2327</v>
      </c>
    </row>
    <row r="37" spans="1:10" ht="24" customHeight="1">
      <c r="A37" s="24" t="s">
        <v>1374</v>
      </c>
      <c r="B37" s="147" t="s">
        <v>1375</v>
      </c>
      <c r="C37" s="147" t="s">
        <v>2328</v>
      </c>
      <c r="D37" s="147" t="s">
        <v>1574</v>
      </c>
      <c r="E37" s="24" t="s">
        <v>1574</v>
      </c>
      <c r="F37" s="147" t="s">
        <v>1574</v>
      </c>
      <c r="G37" s="24" t="s">
        <v>1562</v>
      </c>
      <c r="H37" s="19" t="str">
        <f>IF(AND(ISNUMBER(MATCH(D37,{"F","E","D","D+","C","C+","B","B+","A","A+","S"},0)),ISNUMBER(MATCH(E37,{"F","E","D","D+","C","C+","B","B+","A","A+","S"},0)),ISNUMBER(MATCH(F37,{"F","E","D","D+","C","C+","B","B+","A","A+","S"},0)),ISNUMBER(MATCH(G37,{"F","E","D","D+","C","C+","B","B+","A","A+","S"},0))),LOOKUP(AVERAGE(_xlfn.SWITCH(D37,"F",0,"E",10,"D",20,"D+",30,"C",40,"C+",50,"B",60,"B+",70,"A",80,"A+",90,"S",100),_xlfn.SWITCH(E37,"F",0,"E",10,"D",20,"D+",30,"C",40,"C+",50,"B",60,"B+",70,"A",80,"A+",90,"S",100),_xlfn.SWITCH(F37,"F",0,"E",10,"D",20,"D+",30,"C",40,"C+",50,"B",60,"B+",70,"A",80,"A+",90,"S",100),_xlfn.SWITCH(G37,"F",0,"E",10,"D",20,"D+",30,"C",40,"C+",50,"B",60,"B+",70,"A",80,"A+",90,"S",100)),{0,15,25,35,45,55,65,75,85,95},{"D","D","D+","C","C+","B","B+","A","A+","S"}),"?")</f>
        <v>C</v>
      </c>
      <c r="I37" s="24" t="s">
        <v>2329</v>
      </c>
    </row>
    <row r="38" spans="1:10" ht="24" customHeight="1">
      <c r="A38" s="24" t="s">
        <v>1377</v>
      </c>
      <c r="B38" s="147" t="s">
        <v>1378</v>
      </c>
      <c r="C38" s="147" t="s">
        <v>2191</v>
      </c>
      <c r="D38" s="147" t="s">
        <v>1562</v>
      </c>
      <c r="E38" s="24" t="s">
        <v>1562</v>
      </c>
      <c r="F38" s="147" t="s">
        <v>1562</v>
      </c>
      <c r="G38" s="24" t="s">
        <v>18</v>
      </c>
      <c r="H38" s="19" t="str">
        <f>IF(AND(ISNUMBER(MATCH(D38,{"F","E","D","D+","C","C+","B","B+","A","A+","S"},0)),ISNUMBER(MATCH(E38,{"F","E","D","D+","C","C+","B","B+","A","A+","S"},0)),ISNUMBER(MATCH(F38,{"F","E","D","D+","C","C+","B","B+","A","A+","S"},0)),ISNUMBER(MATCH(G38,{"F","E","D","D+","C","C+","B","B+","A","A+","S"},0))),LOOKUP(AVERAGE(_xlfn.SWITCH(D38,"F",0,"E",10,"D",20,"D+",30,"C",40,"C+",50,"B",60,"B+",70,"A",80,"A+",90,"S",100),_xlfn.SWITCH(E38,"F",0,"E",10,"D",20,"D+",30,"C",40,"C+",50,"B",60,"B+",70,"A",80,"A+",90,"S",100),_xlfn.SWITCH(F38,"F",0,"E",10,"D",20,"D+",30,"C",40,"C+",50,"B",60,"B+",70,"A",80,"A+",90,"S",100),_xlfn.SWITCH(G38,"F",0,"E",10,"D",20,"D+",30,"C",40,"C+",50,"B",60,"B+",70,"A",80,"A+",90,"S",100)),{0,15,25,35,45,55,65,75,85,95},{"D","D","D+","C","C+","B","B+","A","A+","S"}),"?")</f>
        <v>C+</v>
      </c>
      <c r="I38" s="24" t="s">
        <v>2330</v>
      </c>
    </row>
    <row r="39" spans="1:10" ht="24" customHeight="1">
      <c r="A39" s="24" t="s">
        <v>1027</v>
      </c>
      <c r="B39" s="147" t="s">
        <v>1028</v>
      </c>
      <c r="C39" s="147" t="s">
        <v>2191</v>
      </c>
      <c r="D39" s="147" t="s">
        <v>1567</v>
      </c>
      <c r="E39" s="24" t="s">
        <v>18</v>
      </c>
      <c r="F39" s="147" t="s">
        <v>1567</v>
      </c>
      <c r="G39" s="24" t="s">
        <v>18</v>
      </c>
      <c r="H39" s="19" t="str">
        <f>IF(AND(ISNUMBER(MATCH(D39,{"F","E","D","D+","C","C+","B","B+","A","A+","S"},0)),ISNUMBER(MATCH(E39,{"F","E","D","D+","C","C+","B","B+","A","A+","S"},0)),ISNUMBER(MATCH(F39,{"F","E","D","D+","C","C+","B","B+","A","A+","S"},0)),ISNUMBER(MATCH(G39,{"F","E","D","D+","C","C+","B","B+","A","A+","S"},0))),LOOKUP(AVERAGE(_xlfn.SWITCH(D39,"F",0,"E",10,"D",20,"D+",30,"C",40,"C+",50,"B",60,"B+",70,"A",80,"A+",90,"S",100),_xlfn.SWITCH(E39,"F",0,"E",10,"D",20,"D+",30,"C",40,"C+",50,"B",60,"B+",70,"A",80,"A+",90,"S",100),_xlfn.SWITCH(F39,"F",0,"E",10,"D",20,"D+",30,"C",40,"C+",50,"B",60,"B+",70,"A",80,"A+",90,"S",100),_xlfn.SWITCH(G39,"F",0,"E",10,"D",20,"D+",30,"C",40,"C+",50,"B",60,"B+",70,"A",80,"A+",90,"S",100)),{0,15,25,35,45,55,65,75,85,95},{"D","D","D+","C","C+","B","B+","A","A+","S"}),"?")</f>
        <v>B+</v>
      </c>
      <c r="I39" s="24" t="s">
        <v>2331</v>
      </c>
    </row>
    <row r="40" spans="1:10" ht="24" customHeight="1">
      <c r="A40" s="24" t="s">
        <v>962</v>
      </c>
      <c r="B40" s="147" t="s">
        <v>963</v>
      </c>
      <c r="C40" s="147" t="s">
        <v>2303</v>
      </c>
      <c r="D40" s="147" t="s">
        <v>21</v>
      </c>
      <c r="E40" s="24" t="s">
        <v>21</v>
      </c>
      <c r="F40" s="147" t="s">
        <v>21</v>
      </c>
      <c r="G40" s="24" t="s">
        <v>21</v>
      </c>
      <c r="H40" s="19" t="str">
        <f>IF(AND(ISNUMBER(MATCH(D40,{"F","E","D","D+","C","C+","B","B+","A","A+","S"},0)),ISNUMBER(MATCH(E40,{"F","E","D","D+","C","C+","B","B+","A","A+","S"},0)),ISNUMBER(MATCH(F40,{"F","E","D","D+","C","C+","B","B+","A","A+","S"},0)),ISNUMBER(MATCH(G40,{"F","E","D","D+","C","C+","B","B+","A","A+","S"},0))),LOOKUP(AVERAGE(_xlfn.SWITCH(D40,"F",0,"E",10,"D",20,"D+",30,"C",40,"C+",50,"B",60,"B+",70,"A",80,"A+",90,"S",100),_xlfn.SWITCH(E40,"F",0,"E",10,"D",20,"D+",30,"C",40,"C+",50,"B",60,"B+",70,"A",80,"A+",90,"S",100),_xlfn.SWITCH(F40,"F",0,"E",10,"D",20,"D+",30,"C",40,"C+",50,"B",60,"B+",70,"A",80,"A+",90,"S",100),_xlfn.SWITCH(G40,"F",0,"E",10,"D",20,"D+",30,"C",40,"C+",50,"B",60,"B+",70,"A",80,"A+",90,"S",100)),{0,15,25,35,45,55,65,75,85,95},{"D","D","D+","C","C+","B","B+","A","A+","S"}),"?")</f>
        <v>A</v>
      </c>
      <c r="I40" s="24" t="s">
        <v>2332</v>
      </c>
    </row>
    <row r="41" spans="1:10" ht="36.75" customHeight="1">
      <c r="A41" s="24" t="s">
        <v>994</v>
      </c>
      <c r="B41" s="147" t="s">
        <v>995</v>
      </c>
      <c r="C41" s="147" t="s">
        <v>2191</v>
      </c>
      <c r="D41" s="147" t="s">
        <v>28</v>
      </c>
      <c r="E41" s="24" t="s">
        <v>28</v>
      </c>
      <c r="F41" s="147" t="s">
        <v>21</v>
      </c>
      <c r="G41" s="24" t="s">
        <v>28</v>
      </c>
      <c r="H41" s="19" t="str">
        <f>IF(AND(ISNUMBER(MATCH(D41,{"F","E","D","D+","C","C+","B","B+","A","A+","S"},0)),ISNUMBER(MATCH(E41,{"F","E","D","D+","C","C+","B","B+","A","A+","S"},0)),ISNUMBER(MATCH(F41,{"F","E","D","D+","C","C+","B","B+","A","A+","S"},0)),ISNUMBER(MATCH(G41,{"F","E","D","D+","C","C+","B","B+","A","A+","S"},0))),LOOKUP(AVERAGE(_xlfn.SWITCH(D41,"F",0,"E",10,"D",20,"D+",30,"C",40,"C+",50,"B",60,"B+",70,"A",80,"A+",90,"S",100),_xlfn.SWITCH(E41,"F",0,"E",10,"D",20,"D+",30,"C",40,"C+",50,"B",60,"B+",70,"A",80,"A+",90,"S",100),_xlfn.SWITCH(F41,"F",0,"E",10,"D",20,"D+",30,"C",40,"C+",50,"B",60,"B+",70,"A",80,"A+",90,"S",100),_xlfn.SWITCH(G41,"F",0,"E",10,"D",20,"D+",30,"C",40,"C+",50,"B",60,"B+",70,"A",80,"A+",90,"S",100)),{0,15,25,35,45,55,65,75,85,95},{"D","D","D+","C","C+","B","B+","A","A+","S"}),"?")</f>
        <v>A+</v>
      </c>
      <c r="I41" s="94" t="s">
        <v>2333</v>
      </c>
    </row>
    <row r="42" spans="1:10" ht="38.25" customHeight="1">
      <c r="A42" s="24" t="s">
        <v>1385</v>
      </c>
      <c r="B42" s="147" t="s">
        <v>1386</v>
      </c>
      <c r="C42" s="147" t="s">
        <v>2334</v>
      </c>
      <c r="D42" s="147" t="s">
        <v>1562</v>
      </c>
      <c r="E42" s="24" t="s">
        <v>1562</v>
      </c>
      <c r="F42" s="147" t="s">
        <v>1567</v>
      </c>
      <c r="G42" s="24" t="s">
        <v>1567</v>
      </c>
      <c r="H42" s="19" t="str">
        <f>IF(AND(ISNUMBER(MATCH(D42,{"F","E","D","D+","C","C+","B","B+","A","A+","S"},0)),ISNUMBER(MATCH(E42,{"F","E","D","D+","C","C+","B","B+","A","A+","S"},0)),ISNUMBER(MATCH(F42,{"F","E","D","D+","C","C+","B","B+","A","A+","S"},0)),ISNUMBER(MATCH(G42,{"F","E","D","D+","C","C+","B","B+","A","A+","S"},0))),LOOKUP(AVERAGE(_xlfn.SWITCH(D42,"F",0,"E",10,"D",20,"D+",30,"C",40,"C+",50,"B",60,"B+",70,"A",80,"A+",90,"S",100),_xlfn.SWITCH(E42,"F",0,"E",10,"D",20,"D+",30,"C",40,"C+",50,"B",60,"B+",70,"A",80,"A+",90,"S",100),_xlfn.SWITCH(F42,"F",0,"E",10,"D",20,"D+",30,"C",40,"C+",50,"B",60,"B+",70,"A",80,"A+",90,"S",100),_xlfn.SWITCH(G42,"F",0,"E",10,"D",20,"D+",30,"C",40,"C+",50,"B",60,"B+",70,"A",80,"A+",90,"S",100)),{0,15,25,35,45,55,65,75,85,95},{"D","D","D+","C","C+","B","B+","A","A+","S"}),"?")</f>
        <v>B</v>
      </c>
      <c r="I42" s="94" t="s">
        <v>2335</v>
      </c>
      <c r="J42" s="24"/>
    </row>
    <row r="43" spans="1:10" ht="22.5" customHeight="1">
      <c r="A43" s="41" t="s">
        <v>903</v>
      </c>
      <c r="B43" s="147" t="s">
        <v>904</v>
      </c>
      <c r="C43" s="162" t="s">
        <v>2303</v>
      </c>
      <c r="D43" s="147" t="s">
        <v>18</v>
      </c>
      <c r="E43" s="24" t="s">
        <v>18</v>
      </c>
      <c r="F43" s="147" t="s">
        <v>18</v>
      </c>
      <c r="G43" s="24" t="s">
        <v>1567</v>
      </c>
      <c r="H43" s="19" t="str">
        <f>IF(AND(ISNUMBER(MATCH(D43,{"F","E","D","D+","C","C+","B","B+","A","A+","S"},0)),ISNUMBER(MATCH(E43,{"F","E","D","D+","C","C+","B","B+","A","A+","S"},0)),ISNUMBER(MATCH(F43,{"F","E","D","D+","C","C+","B","B+","A","A+","S"},0)),ISNUMBER(MATCH(G43,{"F","E","D","D+","C","C+","B","B+","A","A+","S"},0))),LOOKUP(AVERAGE(_xlfn.SWITCH(D43,"F",0,"E",10,"D",20,"D+",30,"C",40,"C+",50,"B",60,"B+",70,"A",80,"A+",90,"S",100),_xlfn.SWITCH(E43,"F",0,"E",10,"D",20,"D+",30,"C",40,"C+",50,"B",60,"B+",70,"A",80,"A+",90,"S",100),_xlfn.SWITCH(F43,"F",0,"E",10,"D",20,"D+",30,"C",40,"C+",50,"B",60,"B+",70,"A",80,"A+",90,"S",100),_xlfn.SWITCH(G43,"F",0,"E",10,"D",20,"D+",30,"C",40,"C+",50,"B",60,"B+",70,"A",80,"A+",90,"S",100)),{0,15,25,35,45,55,65,75,85,95},{"D","D","D+","C","C+","B","B+","A","A+","S"}),"?")</f>
        <v>B</v>
      </c>
      <c r="I43" s="41" t="s">
        <v>2336</v>
      </c>
      <c r="J43" s="163"/>
    </row>
    <row r="44" spans="1:10" ht="24" customHeight="1">
      <c r="A44" s="24" t="s">
        <v>1387</v>
      </c>
      <c r="B44" s="164" t="s">
        <v>1388</v>
      </c>
      <c r="C44" s="160" t="s">
        <v>2306</v>
      </c>
      <c r="D44" s="147" t="s">
        <v>21</v>
      </c>
      <c r="E44" s="24" t="s">
        <v>1567</v>
      </c>
      <c r="F44" s="147" t="s">
        <v>18</v>
      </c>
      <c r="G44" s="24" t="s">
        <v>1567</v>
      </c>
      <c r="H44" s="153" t="str">
        <f>IF(AND(ISNUMBER(MATCH(D44,{"F","E","D","D+","C","C+","B","B+","A","A+","S"},0)),ISNUMBER(MATCH(E44,{"F","E","D","D+","C","C+","B","B+","A","A+","S"},0)),ISNUMBER(MATCH(F44,{"F","E","D","D+","C","C+","B","B+","A","A+","S"},0)),ISNUMBER(MATCH(G44,{"F","E","D","D+","C","C+","B","B+","A","A+","S"},0))),LOOKUP(AVERAGE(_xlfn.SWITCH(D44,"F",0,"E",10,"D",20,"D+",30,"C",40,"C+",50,"B",60,"B+",70,"A",80,"A+",90,"S",100),_xlfn.SWITCH(E44,"F",0,"E",10,"D",20,"D+",30,"C",40,"C+",50,"B",60,"B+",70,"A",80,"A+",90,"S",100),_xlfn.SWITCH(F44,"F",0,"E",10,"D",20,"D+",30,"C",40,"C+",50,"B",60,"B+",70,"A",80,"A+",90,"S",100),_xlfn.SWITCH(G44,"F",0,"E",10,"D",20,"D+",30,"C",40,"C+",50,"B",60,"B+",70,"A",80,"A+",90,"S",100)),{0,15,25,35,45,55,65,75,85,95},{"D","D","D+","C","C+","B","B+","A","A+","S"}),"?")</f>
        <v>B+</v>
      </c>
      <c r="I44" s="24" t="s">
        <v>2337</v>
      </c>
      <c r="J44" s="41"/>
    </row>
    <row r="45" spans="1:10" ht="27.75" customHeight="1">
      <c r="A45" s="24" t="s">
        <v>1389</v>
      </c>
      <c r="B45" s="164" t="s">
        <v>2282</v>
      </c>
      <c r="C45" s="160" t="s">
        <v>2195</v>
      </c>
      <c r="D45" s="147" t="s">
        <v>1661</v>
      </c>
      <c r="E45" s="24" t="s">
        <v>1661</v>
      </c>
      <c r="F45" s="147" t="s">
        <v>16</v>
      </c>
      <c r="G45" s="24" t="s">
        <v>1661</v>
      </c>
      <c r="H45" s="153" t="str">
        <f>IF(AND(ISNUMBER(MATCH(D45,{"F","E","D","D+","C","C+","B","B+","A","A+","S"},0)),ISNUMBER(MATCH(E45,{"F","E","D","D+","C","C+","B","B+","A","A+","S"},0)),ISNUMBER(MATCH(F45,{"F","E","D","D+","C","C+","B","B+","A","A+","S"},0)),ISNUMBER(MATCH(G45,{"F","E","D","D+","C","C+","B","B+","A","A+","S"},0))),LOOKUP(AVERAGE(_xlfn.SWITCH(D45,"F",0,"E",10,"D",20,"D+",30,"C",40,"C+",50,"B",60,"B+",70,"A",80,"A+",90,"S",100),_xlfn.SWITCH(E45,"F",0,"E",10,"D",20,"D+",30,"C",40,"C+",50,"B",60,"B+",70,"A",80,"A+",90,"S",100),_xlfn.SWITCH(F45,"F",0,"E",10,"D",20,"D+",30,"C",40,"C+",50,"B",60,"B+",70,"A",80,"A+",90,"S",100),_xlfn.SWITCH(G45,"F",0,"E",10,"D",20,"D+",30,"C",40,"C+",50,"B",60,"B+",70,"A",80,"A+",90,"S",100)),{0,15,25,35,45,55,65,75,85,95},{"D","D","D+","C","C+","B","B+","A","A+","S"}),"?")</f>
        <v>D+</v>
      </c>
      <c r="I45" s="24" t="s">
        <v>2338</v>
      </c>
      <c r="J45" s="41"/>
    </row>
    <row r="46" spans="1:10" ht="34.5" customHeight="1">
      <c r="A46" s="24" t="s">
        <v>879</v>
      </c>
      <c r="B46" s="164" t="s">
        <v>880</v>
      </c>
      <c r="C46" s="160"/>
      <c r="D46" s="147" t="s">
        <v>18</v>
      </c>
      <c r="E46" s="24" t="s">
        <v>1567</v>
      </c>
      <c r="F46" s="147" t="s">
        <v>1567</v>
      </c>
      <c r="G46" s="24" t="s">
        <v>18</v>
      </c>
      <c r="H46" s="153" t="str">
        <f>IF(AND(ISNUMBER(MATCH(D46,{"F","E","D","D+","C","C+","B","B+","A","A+","S"},0)),ISNUMBER(MATCH(E46,{"F","E","D","D+","C","C+","B","B+","A","A+","S"},0)),ISNUMBER(MATCH(F46,{"F","E","D","D+","C","C+","B","B+","A","A+","S"},0)),ISNUMBER(MATCH(G46,{"F","E","D","D+","C","C+","B","B+","A","A+","S"},0))),LOOKUP(AVERAGE(_xlfn.SWITCH(D46,"F",0,"E",10,"D",20,"D+",30,"C",40,"C+",50,"B",60,"B+",70,"A",80,"A+",90,"S",100),_xlfn.SWITCH(E46,"F",0,"E",10,"D",20,"D+",30,"C",40,"C+",50,"B",60,"B+",70,"A",80,"A+",90,"S",100),_xlfn.SWITCH(F46,"F",0,"E",10,"D",20,"D+",30,"C",40,"C+",50,"B",60,"B+",70,"A",80,"A+",90,"S",100),_xlfn.SWITCH(G46,"F",0,"E",10,"D",20,"D+",30,"C",40,"C+",50,"B",60,"B+",70,"A",80,"A+",90,"S",100)),{0,15,25,35,45,55,65,75,85,95},{"D","D","D+","C","C+","B","B+","A","A+","S"}),"?")</f>
        <v>B+</v>
      </c>
      <c r="I46" s="24" t="s">
        <v>2339</v>
      </c>
      <c r="J46" s="41"/>
    </row>
    <row r="47" spans="1:10" ht="24" customHeight="1">
      <c r="A47" s="24" t="s">
        <v>1391</v>
      </c>
      <c r="B47" s="164" t="s">
        <v>1392</v>
      </c>
      <c r="C47" s="160" t="s">
        <v>2219</v>
      </c>
      <c r="D47" s="147" t="s">
        <v>18</v>
      </c>
      <c r="E47" s="24" t="s">
        <v>1567</v>
      </c>
      <c r="F47" s="147" t="s">
        <v>1567</v>
      </c>
      <c r="G47" s="24" t="s">
        <v>18</v>
      </c>
      <c r="H47" s="153" t="str">
        <f>IF(AND(ISNUMBER(MATCH(D47,{"F","E","D","D+","C","C+","B","B+","A","A+","S"},0)),ISNUMBER(MATCH(E47,{"F","E","D","D+","C","C+","B","B+","A","A+","S"},0)),ISNUMBER(MATCH(F47,{"F","E","D","D+","C","C+","B","B+","A","A+","S"},0)),ISNUMBER(MATCH(G47,{"F","E","D","D+","C","C+","B","B+","A","A+","S"},0))),LOOKUP(AVERAGE(_xlfn.SWITCH(D47,"F",0,"E",10,"D",20,"D+",30,"C",40,"C+",50,"B",60,"B+",70,"A",80,"A+",90,"S",100),_xlfn.SWITCH(E47,"F",0,"E",10,"D",20,"D+",30,"C",40,"C+",50,"B",60,"B+",70,"A",80,"A+",90,"S",100),_xlfn.SWITCH(F47,"F",0,"E",10,"D",20,"D+",30,"C",40,"C+",50,"B",60,"B+",70,"A",80,"A+",90,"S",100),_xlfn.SWITCH(G47,"F",0,"E",10,"D",20,"D+",30,"C",40,"C+",50,"B",60,"B+",70,"A",80,"A+",90,"S",100)),{0,15,25,35,45,55,65,75,85,95},{"D","D","D+","C","C+","B","B+","A","A+","S"}),"?")</f>
        <v>B+</v>
      </c>
      <c r="I47" s="24" t="s">
        <v>2340</v>
      </c>
      <c r="J47" s="41"/>
    </row>
    <row r="48" spans="1:10" ht="24" customHeight="1">
      <c r="A48" s="24" t="s">
        <v>1393</v>
      </c>
      <c r="B48" s="164" t="s">
        <v>215</v>
      </c>
      <c r="C48" s="160" t="s">
        <v>2294</v>
      </c>
      <c r="D48" s="147" t="s">
        <v>18</v>
      </c>
      <c r="E48" s="24" t="s">
        <v>1562</v>
      </c>
      <c r="F48" s="147" t="s">
        <v>1562</v>
      </c>
      <c r="G48" s="24" t="s">
        <v>18</v>
      </c>
      <c r="H48" s="153" t="str">
        <f>IF(AND(ISNUMBER(MATCH(D48,{"F","E","D","D+","C","C+","B","B+","A","A+","S"},0)),ISNUMBER(MATCH(E48,{"F","E","D","D+","C","C+","B","B+","A","A+","S"},0)),ISNUMBER(MATCH(F48,{"F","E","D","D+","C","C+","B","B+","A","A+","S"},0)),ISNUMBER(MATCH(G48,{"F","E","D","D+","C","C+","B","B+","A","A+","S"},0))),LOOKUP(AVERAGE(_xlfn.SWITCH(D48,"F",0,"E",10,"D",20,"D+",30,"C",40,"C+",50,"B",60,"B+",70,"A",80,"A+",90,"S",100),_xlfn.SWITCH(E48,"F",0,"E",10,"D",20,"D+",30,"C",40,"C+",50,"B",60,"B+",70,"A",80,"A+",90,"S",100),_xlfn.SWITCH(F48,"F",0,"E",10,"D",20,"D+",30,"C",40,"C+",50,"B",60,"B+",70,"A",80,"A+",90,"S",100),_xlfn.SWITCH(G48,"F",0,"E",10,"D",20,"D+",30,"C",40,"C+",50,"B",60,"B+",70,"A",80,"A+",90,"S",100)),{0,15,25,35,45,55,65,75,85,95},{"D","D","D+","C","C+","B","B+","A","A+","S"}),"?")</f>
        <v>B</v>
      </c>
      <c r="I48" s="24" t="s">
        <v>2341</v>
      </c>
      <c r="J48" s="41"/>
    </row>
    <row r="49" spans="1:10" ht="30.75" customHeight="1">
      <c r="A49" s="24" t="s">
        <v>1007</v>
      </c>
      <c r="B49" s="164" t="s">
        <v>1008</v>
      </c>
      <c r="C49" s="160" t="s">
        <v>2294</v>
      </c>
      <c r="D49" s="147" t="s">
        <v>1574</v>
      </c>
      <c r="E49" s="24" t="s">
        <v>1574</v>
      </c>
      <c r="F49" s="147" t="s">
        <v>1574</v>
      </c>
      <c r="G49" s="24" t="s">
        <v>1574</v>
      </c>
      <c r="H49" s="153" t="str">
        <f>IF(AND(ISNUMBER(MATCH(D49,{"F","E","D","D+","C","C+","B","B+","A","A+","S"},0)),ISNUMBER(MATCH(E49,{"F","E","D","D+","C","C+","B","B+","A","A+","S"},0)),ISNUMBER(MATCH(F49,{"F","E","D","D+","C","C+","B","B+","A","A+","S"},0)),ISNUMBER(MATCH(G49,{"F","E","D","D+","C","C+","B","B+","A","A+","S"},0))),LOOKUP(AVERAGE(_xlfn.SWITCH(D49,"F",0,"E",10,"D",20,"D+",30,"C",40,"C+",50,"B",60,"B+",70,"A",80,"A+",90,"S",100),_xlfn.SWITCH(E49,"F",0,"E",10,"D",20,"D+",30,"C",40,"C+",50,"B",60,"B+",70,"A",80,"A+",90,"S",100),_xlfn.SWITCH(F49,"F",0,"E",10,"D",20,"D+",30,"C",40,"C+",50,"B",60,"B+",70,"A",80,"A+",90,"S",100),_xlfn.SWITCH(G49,"F",0,"E",10,"D",20,"D+",30,"C",40,"C+",50,"B",60,"B+",70,"A",80,"A+",90,"S",100)),{0,15,25,35,45,55,65,75,85,95},{"D","D","D+","C","C+","B","B+","A","A+","S"}),"?")</f>
        <v>C</v>
      </c>
      <c r="I49" s="24" t="s">
        <v>2342</v>
      </c>
      <c r="J49" s="41"/>
    </row>
    <row r="50" spans="1:10" ht="24" customHeight="1">
      <c r="A50" s="549" t="s">
        <v>1034</v>
      </c>
      <c r="B50" s="571"/>
      <c r="C50" s="566"/>
      <c r="D50" s="571"/>
      <c r="E50" s="571"/>
      <c r="F50" s="571"/>
      <c r="G50" s="571"/>
      <c r="H50" s="571"/>
      <c r="I50" s="549"/>
      <c r="J50" s="588"/>
    </row>
    <row r="51" spans="1:10" ht="18" customHeight="1">
      <c r="A51" s="24" t="s">
        <v>1040</v>
      </c>
      <c r="B51" s="147" t="s">
        <v>1041</v>
      </c>
      <c r="C51" s="147"/>
      <c r="D51" s="153" t="s">
        <v>1574</v>
      </c>
      <c r="E51" s="19" t="s">
        <v>1574</v>
      </c>
      <c r="F51" s="153" t="s">
        <v>1574</v>
      </c>
      <c r="G51" s="19" t="s">
        <v>1574</v>
      </c>
      <c r="H51" s="153" t="s">
        <v>22</v>
      </c>
      <c r="I51" s="165" t="s">
        <v>2343</v>
      </c>
      <c r="J51" s="147"/>
    </row>
    <row r="52" spans="1:10" ht="18" customHeight="1">
      <c r="A52" s="24" t="s">
        <v>1046</v>
      </c>
      <c r="B52" s="147" t="s">
        <v>1047</v>
      </c>
      <c r="C52" s="147" t="s">
        <v>2344</v>
      </c>
      <c r="D52" s="153" t="s">
        <v>1661</v>
      </c>
      <c r="E52" s="19" t="s">
        <v>1661</v>
      </c>
      <c r="F52" s="153" t="s">
        <v>1661</v>
      </c>
      <c r="G52" s="19" t="s">
        <v>17</v>
      </c>
      <c r="H52" s="153" t="s">
        <v>22</v>
      </c>
      <c r="I52" s="11" t="s">
        <v>2345</v>
      </c>
      <c r="J52" s="147"/>
    </row>
    <row r="53" spans="1:10" ht="18" customHeight="1">
      <c r="A53" s="24" t="s">
        <v>1053</v>
      </c>
      <c r="B53" s="147" t="s">
        <v>975</v>
      </c>
      <c r="C53" s="147" t="s">
        <v>2191</v>
      </c>
      <c r="D53" s="19" t="s">
        <v>17</v>
      </c>
      <c r="E53" s="19" t="s">
        <v>28</v>
      </c>
      <c r="F53" s="19" t="s">
        <v>17</v>
      </c>
      <c r="G53" s="19" t="s">
        <v>28</v>
      </c>
      <c r="H53" s="19"/>
      <c r="I53" s="11" t="s">
        <v>2346</v>
      </c>
    </row>
    <row r="54" spans="1:10" ht="18" customHeight="1">
      <c r="A54" s="24" t="s">
        <v>1059</v>
      </c>
      <c r="B54" s="147" t="s">
        <v>1060</v>
      </c>
      <c r="C54" s="147" t="s">
        <v>2195</v>
      </c>
      <c r="D54" s="19" t="s">
        <v>1661</v>
      </c>
      <c r="E54" s="19" t="s">
        <v>1661</v>
      </c>
      <c r="F54" s="19" t="s">
        <v>1574</v>
      </c>
      <c r="G54" s="19" t="s">
        <v>1574</v>
      </c>
      <c r="H54" s="19"/>
      <c r="I54" s="11" t="s">
        <v>2347</v>
      </c>
    </row>
    <row r="55" spans="1:10" ht="18" customHeight="1">
      <c r="A55" s="24" t="s">
        <v>1064</v>
      </c>
      <c r="B55" s="150" t="s">
        <v>1017</v>
      </c>
      <c r="C55" s="147" t="s">
        <v>2191</v>
      </c>
      <c r="D55" s="19" t="s">
        <v>21</v>
      </c>
      <c r="E55" s="19" t="s">
        <v>18</v>
      </c>
      <c r="F55" s="19" t="s">
        <v>1567</v>
      </c>
      <c r="G55" s="19" t="s">
        <v>1562</v>
      </c>
      <c r="H55" s="19"/>
      <c r="I55" s="11" t="s">
        <v>2348</v>
      </c>
    </row>
    <row r="56" spans="1:10" ht="18" customHeight="1">
      <c r="A56" s="24" t="s">
        <v>1069</v>
      </c>
      <c r="B56" s="150" t="s">
        <v>1017</v>
      </c>
      <c r="C56" s="150" t="s">
        <v>2200</v>
      </c>
      <c r="D56" s="19" t="s">
        <v>18</v>
      </c>
      <c r="E56" s="19" t="s">
        <v>18</v>
      </c>
      <c r="F56" s="19" t="s">
        <v>1562</v>
      </c>
      <c r="G56" s="19" t="s">
        <v>1574</v>
      </c>
      <c r="H56" s="19"/>
      <c r="I56" s="11" t="s">
        <v>2349</v>
      </c>
    </row>
    <row r="57" spans="1:10" ht="18" customHeight="1">
      <c r="A57" s="24" t="s">
        <v>1075</v>
      </c>
      <c r="B57" s="147" t="s">
        <v>1076</v>
      </c>
      <c r="C57" s="147" t="s">
        <v>2350</v>
      </c>
      <c r="D57" s="19" t="s">
        <v>18</v>
      </c>
      <c r="E57" s="19" t="s">
        <v>18</v>
      </c>
      <c r="F57" s="19" t="s">
        <v>18</v>
      </c>
      <c r="G57" s="19" t="s">
        <v>18</v>
      </c>
      <c r="H57" s="19"/>
      <c r="I57" s="11" t="s">
        <v>2351</v>
      </c>
    </row>
    <row r="58" spans="1:10" ht="18" customHeight="1">
      <c r="A58" s="24" t="s">
        <v>1080</v>
      </c>
      <c r="B58" s="147" t="s">
        <v>923</v>
      </c>
      <c r="C58" s="147" t="s">
        <v>2200</v>
      </c>
      <c r="D58" s="19" t="s">
        <v>1567</v>
      </c>
      <c r="E58" s="19" t="s">
        <v>1567</v>
      </c>
      <c r="F58" s="19" t="s">
        <v>1567</v>
      </c>
      <c r="G58" s="19" t="s">
        <v>21</v>
      </c>
      <c r="H58" s="19"/>
      <c r="I58" s="11" t="s">
        <v>2352</v>
      </c>
    </row>
    <row r="59" spans="1:10" ht="18" customHeight="1">
      <c r="A59" s="24" t="s">
        <v>1086</v>
      </c>
      <c r="B59" s="24" t="s">
        <v>918</v>
      </c>
      <c r="C59" s="147"/>
      <c r="D59" s="19" t="s">
        <v>18</v>
      </c>
      <c r="E59" s="19" t="s">
        <v>18</v>
      </c>
      <c r="F59" s="19" t="s">
        <v>18</v>
      </c>
      <c r="G59" s="19" t="s">
        <v>18</v>
      </c>
      <c r="H59" s="19" t="s">
        <v>18</v>
      </c>
      <c r="I59" s="11" t="s">
        <v>2353</v>
      </c>
    </row>
    <row r="60" spans="1:10" ht="18" customHeight="1">
      <c r="A60" s="24" t="s">
        <v>1092</v>
      </c>
      <c r="B60" s="147" t="s">
        <v>151</v>
      </c>
      <c r="C60" s="147"/>
      <c r="D60" s="19" t="s">
        <v>21</v>
      </c>
      <c r="E60" s="19" t="s">
        <v>28</v>
      </c>
      <c r="F60" s="19" t="s">
        <v>21</v>
      </c>
      <c r="G60" s="19" t="s">
        <v>21</v>
      </c>
      <c r="H60" s="19"/>
      <c r="I60" s="11" t="s">
        <v>2354</v>
      </c>
    </row>
    <row r="61" spans="1:10" ht="18" customHeight="1">
      <c r="A61" s="24" t="s">
        <v>1098</v>
      </c>
      <c r="B61" s="147" t="s">
        <v>1099</v>
      </c>
      <c r="C61" s="147"/>
      <c r="D61" s="19" t="s">
        <v>18</v>
      </c>
      <c r="E61" s="19" t="s">
        <v>1574</v>
      </c>
      <c r="F61" s="19" t="s">
        <v>18</v>
      </c>
      <c r="G61" s="19" t="s">
        <v>18</v>
      </c>
      <c r="H61" s="19" t="s">
        <v>22</v>
      </c>
      <c r="I61" s="11" t="s">
        <v>2355</v>
      </c>
    </row>
    <row r="62" spans="1:10" ht="18" customHeight="1">
      <c r="A62" s="24" t="s">
        <v>1103</v>
      </c>
      <c r="B62" s="147" t="s">
        <v>1104</v>
      </c>
      <c r="C62" s="147" t="s">
        <v>2350</v>
      </c>
      <c r="D62" s="19" t="s">
        <v>1562</v>
      </c>
      <c r="E62" s="19" t="s">
        <v>1574</v>
      </c>
      <c r="F62" s="19" t="s">
        <v>1562</v>
      </c>
      <c r="G62" s="19" t="s">
        <v>1562</v>
      </c>
      <c r="H62" s="19" t="s">
        <v>22</v>
      </c>
      <c r="I62" s="11" t="s">
        <v>2356</v>
      </c>
    </row>
    <row r="63" spans="1:10" ht="18" customHeight="1">
      <c r="A63" s="24" t="s">
        <v>1108</v>
      </c>
      <c r="B63" s="147" t="s">
        <v>970</v>
      </c>
      <c r="C63" s="147" t="s">
        <v>2191</v>
      </c>
      <c r="D63" s="19" t="s">
        <v>1567</v>
      </c>
      <c r="E63" s="19" t="s">
        <v>1567</v>
      </c>
      <c r="F63" s="19" t="s">
        <v>21</v>
      </c>
      <c r="G63" s="19" t="s">
        <v>21</v>
      </c>
      <c r="H63" s="19"/>
      <c r="I63" s="11" t="s">
        <v>2357</v>
      </c>
    </row>
    <row r="64" spans="1:10" ht="18" customHeight="1">
      <c r="A64" s="24" t="s">
        <v>1111</v>
      </c>
      <c r="B64" s="147" t="s">
        <v>1112</v>
      </c>
      <c r="C64" s="147" t="s">
        <v>2358</v>
      </c>
      <c r="D64" s="19" t="s">
        <v>1574</v>
      </c>
      <c r="E64" s="19" t="s">
        <v>1574</v>
      </c>
      <c r="F64" s="19" t="s">
        <v>1562</v>
      </c>
      <c r="G64" s="19" t="s">
        <v>18</v>
      </c>
      <c r="H64" s="19"/>
      <c r="I64" s="11" t="s">
        <v>2359</v>
      </c>
    </row>
    <row r="65" spans="1:9" ht="18" customHeight="1">
      <c r="A65" s="24" t="s">
        <v>1118</v>
      </c>
      <c r="B65" s="24" t="s">
        <v>1119</v>
      </c>
      <c r="C65" s="24"/>
      <c r="D65" s="19" t="s">
        <v>1661</v>
      </c>
      <c r="E65" s="19" t="s">
        <v>1661</v>
      </c>
      <c r="F65" s="19" t="s">
        <v>1661</v>
      </c>
      <c r="G65" s="19" t="s">
        <v>1661</v>
      </c>
      <c r="H65" s="19"/>
      <c r="I65" s="11" t="s">
        <v>2360</v>
      </c>
    </row>
    <row r="66" spans="1:9" ht="18" customHeight="1">
      <c r="A66" s="24" t="s">
        <v>1123</v>
      </c>
      <c r="B66" s="24" t="s">
        <v>1124</v>
      </c>
      <c r="C66" s="24" t="s">
        <v>2219</v>
      </c>
      <c r="D66" s="19" t="s">
        <v>1562</v>
      </c>
      <c r="E66" s="19" t="s">
        <v>1574</v>
      </c>
      <c r="F66" s="19" t="s">
        <v>1574</v>
      </c>
      <c r="G66" s="19" t="s">
        <v>18</v>
      </c>
      <c r="H66" s="19" t="s">
        <v>22</v>
      </c>
      <c r="I66" s="11" t="s">
        <v>2361</v>
      </c>
    </row>
    <row r="67" spans="1:9" ht="18" customHeight="1">
      <c r="A67" s="24" t="s">
        <v>1130</v>
      </c>
      <c r="B67" s="24" t="s">
        <v>1131</v>
      </c>
      <c r="C67" s="24" t="s">
        <v>2227</v>
      </c>
      <c r="D67" s="19" t="s">
        <v>1567</v>
      </c>
      <c r="E67" s="19" t="s">
        <v>18</v>
      </c>
      <c r="F67" s="19" t="s">
        <v>1567</v>
      </c>
      <c r="G67" s="19" t="s">
        <v>1567</v>
      </c>
      <c r="H67" s="19" t="s">
        <v>1574</v>
      </c>
      <c r="I67" s="11" t="s">
        <v>2362</v>
      </c>
    </row>
    <row r="68" spans="1:9" ht="18" customHeight="1">
      <c r="A68" s="24" t="s">
        <v>1137</v>
      </c>
      <c r="B68" s="24" t="s">
        <v>1138</v>
      </c>
      <c r="C68" s="24" t="s">
        <v>2230</v>
      </c>
      <c r="D68" s="19" t="s">
        <v>1562</v>
      </c>
      <c r="E68" s="19" t="s">
        <v>1562</v>
      </c>
      <c r="F68" s="19" t="s">
        <v>1661</v>
      </c>
      <c r="G68" s="19" t="s">
        <v>1574</v>
      </c>
      <c r="H68" s="19"/>
      <c r="I68" s="11" t="s">
        <v>2363</v>
      </c>
    </row>
    <row r="69" spans="1:9" ht="18" customHeight="1">
      <c r="A69" s="24" t="s">
        <v>1144</v>
      </c>
      <c r="B69" s="147" t="s">
        <v>1145</v>
      </c>
      <c r="C69" s="147" t="s">
        <v>2191</v>
      </c>
      <c r="D69" s="19" t="s">
        <v>1574</v>
      </c>
      <c r="E69" s="19" t="s">
        <v>1574</v>
      </c>
      <c r="F69" s="19" t="s">
        <v>1574</v>
      </c>
      <c r="G69" s="19" t="s">
        <v>18</v>
      </c>
      <c r="H69" s="19" t="s">
        <v>22</v>
      </c>
      <c r="I69" s="11" t="s">
        <v>2364</v>
      </c>
    </row>
    <row r="70" spans="1:9" ht="18" customHeight="1">
      <c r="A70" s="24" t="s">
        <v>1149</v>
      </c>
      <c r="B70" s="147" t="s">
        <v>918</v>
      </c>
      <c r="C70" s="147" t="s">
        <v>2235</v>
      </c>
      <c r="D70" s="19" t="s">
        <v>1567</v>
      </c>
      <c r="E70" s="19" t="s">
        <v>1574</v>
      </c>
      <c r="F70" s="19" t="s">
        <v>18</v>
      </c>
      <c r="G70" s="19" t="s">
        <v>18</v>
      </c>
      <c r="H70" s="19"/>
      <c r="I70" s="11" t="s">
        <v>2365</v>
      </c>
    </row>
    <row r="71" spans="1:9" ht="18" customHeight="1">
      <c r="A71" s="24" t="s">
        <v>1155</v>
      </c>
      <c r="B71" s="147" t="s">
        <v>942</v>
      </c>
      <c r="C71" s="147"/>
      <c r="D71" s="19" t="s">
        <v>28</v>
      </c>
      <c r="E71" s="19" t="s">
        <v>21</v>
      </c>
      <c r="F71" s="19" t="s">
        <v>28</v>
      </c>
      <c r="G71" s="19" t="s">
        <v>21</v>
      </c>
      <c r="H71" s="19"/>
      <c r="I71" s="11" t="s">
        <v>2366</v>
      </c>
    </row>
    <row r="72" spans="1:9" ht="18" customHeight="1">
      <c r="A72" s="24" t="s">
        <v>1159</v>
      </c>
      <c r="B72" s="147" t="s">
        <v>159</v>
      </c>
      <c r="C72" s="147" t="s">
        <v>2350</v>
      </c>
      <c r="D72" s="19" t="s">
        <v>28</v>
      </c>
      <c r="E72" s="19" t="s">
        <v>28</v>
      </c>
      <c r="F72" s="19" t="s">
        <v>28</v>
      </c>
      <c r="G72" s="19" t="s">
        <v>28</v>
      </c>
      <c r="H72" s="19"/>
      <c r="I72" s="11" t="s">
        <v>2367</v>
      </c>
    </row>
    <row r="73" spans="1:9" ht="18" customHeight="1">
      <c r="A73" s="24" t="s">
        <v>1165</v>
      </c>
      <c r="B73" s="147" t="s">
        <v>288</v>
      </c>
      <c r="C73" s="147" t="s">
        <v>2235</v>
      </c>
      <c r="D73" s="19" t="s">
        <v>1661</v>
      </c>
      <c r="E73" s="19" t="s">
        <v>1574</v>
      </c>
      <c r="F73" s="19" t="s">
        <v>1574</v>
      </c>
      <c r="G73" s="19" t="s">
        <v>1574</v>
      </c>
      <c r="H73" s="19"/>
      <c r="I73" s="11" t="s">
        <v>2368</v>
      </c>
    </row>
    <row r="74" spans="1:9" ht="18" customHeight="1">
      <c r="A74" s="24" t="s">
        <v>1169</v>
      </c>
      <c r="B74" s="147" t="s">
        <v>933</v>
      </c>
      <c r="C74" s="147" t="s">
        <v>2191</v>
      </c>
      <c r="D74" s="19" t="s">
        <v>21</v>
      </c>
      <c r="E74" s="19" t="s">
        <v>1567</v>
      </c>
      <c r="F74" s="19" t="s">
        <v>18</v>
      </c>
      <c r="G74" s="19" t="s">
        <v>18</v>
      </c>
      <c r="H74" s="19"/>
      <c r="I74" s="11" t="s">
        <v>2369</v>
      </c>
    </row>
    <row r="75" spans="1:9" ht="18" customHeight="1">
      <c r="A75" s="24" t="s">
        <v>1175</v>
      </c>
      <c r="B75" s="147" t="s">
        <v>875</v>
      </c>
      <c r="C75" s="147" t="s">
        <v>2235</v>
      </c>
      <c r="D75" s="19" t="s">
        <v>28</v>
      </c>
      <c r="E75" s="19" t="s">
        <v>28</v>
      </c>
      <c r="F75" s="19" t="s">
        <v>21</v>
      </c>
      <c r="G75" s="19" t="s">
        <v>21</v>
      </c>
      <c r="H75" s="19"/>
      <c r="I75" s="11" t="s">
        <v>2370</v>
      </c>
    </row>
    <row r="76" spans="1:9" ht="18" customHeight="1">
      <c r="A76" s="24" t="s">
        <v>1181</v>
      </c>
      <c r="B76" s="147" t="s">
        <v>1182</v>
      </c>
      <c r="C76" s="147" t="s">
        <v>2028</v>
      </c>
      <c r="D76" s="19" t="s">
        <v>22</v>
      </c>
      <c r="E76" s="19" t="s">
        <v>22</v>
      </c>
      <c r="F76" s="19" t="s">
        <v>22</v>
      </c>
      <c r="G76" s="19" t="s">
        <v>17</v>
      </c>
      <c r="H76" s="19" t="s">
        <v>22</v>
      </c>
      <c r="I76" s="11" t="s">
        <v>2366</v>
      </c>
    </row>
    <row r="77" spans="1:9" ht="18" customHeight="1">
      <c r="A77" s="24" t="s">
        <v>1188</v>
      </c>
      <c r="B77" s="147" t="s">
        <v>911</v>
      </c>
      <c r="C77" s="147" t="s">
        <v>2250</v>
      </c>
      <c r="D77" s="19" t="s">
        <v>28</v>
      </c>
      <c r="E77" s="19" t="s">
        <v>28</v>
      </c>
      <c r="F77" s="19" t="s">
        <v>28</v>
      </c>
      <c r="G77" s="19" t="s">
        <v>28</v>
      </c>
      <c r="H77" s="19"/>
      <c r="I77" s="11" t="s">
        <v>2371</v>
      </c>
    </row>
    <row r="78" spans="1:9" ht="18" customHeight="1">
      <c r="A78" s="24" t="s">
        <v>1192</v>
      </c>
      <c r="B78" s="147" t="s">
        <v>1193</v>
      </c>
      <c r="C78" s="147" t="s">
        <v>2372</v>
      </c>
      <c r="D78" s="19" t="s">
        <v>16</v>
      </c>
      <c r="E78" s="19" t="s">
        <v>16</v>
      </c>
      <c r="F78" s="19" t="s">
        <v>16</v>
      </c>
      <c r="G78" s="19" t="s">
        <v>16</v>
      </c>
      <c r="H78" s="19"/>
      <c r="I78" s="11" t="s">
        <v>2347</v>
      </c>
    </row>
    <row r="79" spans="1:9" ht="18" customHeight="1">
      <c r="A79" s="24" t="s">
        <v>1197</v>
      </c>
      <c r="B79" s="147" t="s">
        <v>1198</v>
      </c>
      <c r="C79" s="147" t="s">
        <v>2195</v>
      </c>
      <c r="D79" s="19" t="s">
        <v>1574</v>
      </c>
      <c r="E79" s="19" t="s">
        <v>1574</v>
      </c>
      <c r="F79" s="19" t="s">
        <v>1574</v>
      </c>
      <c r="G79" s="19" t="s">
        <v>1574</v>
      </c>
      <c r="H79" s="19"/>
      <c r="I79" s="11" t="s">
        <v>2347</v>
      </c>
    </row>
    <row r="80" spans="1:9" ht="18" customHeight="1">
      <c r="A80" s="24" t="s">
        <v>1202</v>
      </c>
      <c r="B80" s="147" t="s">
        <v>869</v>
      </c>
      <c r="C80" s="147" t="s">
        <v>2258</v>
      </c>
      <c r="D80" s="19" t="s">
        <v>21</v>
      </c>
      <c r="E80" s="19" t="s">
        <v>21</v>
      </c>
      <c r="F80" s="19" t="s">
        <v>21</v>
      </c>
      <c r="G80" s="19" t="s">
        <v>21</v>
      </c>
      <c r="H80" s="19"/>
      <c r="I80" s="11" t="s">
        <v>2373</v>
      </c>
    </row>
    <row r="81" spans="1:9" ht="18" customHeight="1">
      <c r="A81" s="24" t="s">
        <v>1208</v>
      </c>
      <c r="B81" s="147" t="s">
        <v>1012</v>
      </c>
      <c r="C81" s="147" t="s">
        <v>2261</v>
      </c>
      <c r="D81" s="19" t="s">
        <v>17</v>
      </c>
      <c r="E81" s="19" t="s">
        <v>17</v>
      </c>
      <c r="F81" s="19" t="s">
        <v>17</v>
      </c>
      <c r="G81" s="19" t="s">
        <v>28</v>
      </c>
      <c r="H81" s="19"/>
      <c r="I81" s="11" t="s">
        <v>2374</v>
      </c>
    </row>
    <row r="82" spans="1:9" ht="18" customHeight="1">
      <c r="A82" s="24" t="s">
        <v>1217</v>
      </c>
      <c r="B82" s="147" t="s">
        <v>1218</v>
      </c>
      <c r="C82" s="147" t="s">
        <v>2258</v>
      </c>
      <c r="D82" s="19" t="s">
        <v>1562</v>
      </c>
      <c r="E82" s="19" t="s">
        <v>1661</v>
      </c>
      <c r="F82" s="19" t="s">
        <v>1562</v>
      </c>
      <c r="G82" s="19" t="s">
        <v>1562</v>
      </c>
      <c r="H82" s="19"/>
      <c r="I82" s="11" t="s">
        <v>2375</v>
      </c>
    </row>
    <row r="83" spans="1:9" ht="18" customHeight="1">
      <c r="A83" s="24" t="s">
        <v>1223</v>
      </c>
      <c r="B83" s="147" t="s">
        <v>1224</v>
      </c>
      <c r="C83" s="147" t="s">
        <v>2294</v>
      </c>
      <c r="D83" s="19" t="s">
        <v>1574</v>
      </c>
      <c r="E83" s="19" t="s">
        <v>1574</v>
      </c>
      <c r="F83" s="19" t="s">
        <v>1574</v>
      </c>
      <c r="G83" s="19" t="s">
        <v>1574</v>
      </c>
      <c r="H83" s="19"/>
      <c r="I83" s="11" t="s">
        <v>2347</v>
      </c>
    </row>
    <row r="84" spans="1:9" ht="18" customHeight="1">
      <c r="A84" s="24" t="s">
        <v>1230</v>
      </c>
      <c r="B84" s="147" t="s">
        <v>1231</v>
      </c>
      <c r="C84" s="147" t="s">
        <v>2230</v>
      </c>
      <c r="D84" s="19" t="s">
        <v>1567</v>
      </c>
      <c r="E84" s="19" t="s">
        <v>21</v>
      </c>
      <c r="F84" s="19" t="s">
        <v>21</v>
      </c>
      <c r="G84" s="19" t="s">
        <v>21</v>
      </c>
      <c r="H84" s="19"/>
      <c r="I84" s="11" t="s">
        <v>2376</v>
      </c>
    </row>
    <row r="85" spans="1:9" ht="18" customHeight="1">
      <c r="A85" s="24" t="s">
        <v>1237</v>
      </c>
      <c r="B85" s="147" t="s">
        <v>1238</v>
      </c>
      <c r="C85" s="147" t="s">
        <v>2258</v>
      </c>
      <c r="D85" s="19" t="s">
        <v>1574</v>
      </c>
      <c r="E85" s="19" t="s">
        <v>1661</v>
      </c>
      <c r="F85" s="19" t="s">
        <v>1661</v>
      </c>
      <c r="G85" s="19" t="s">
        <v>1574</v>
      </c>
      <c r="H85" s="19"/>
      <c r="I85" s="11" t="s">
        <v>2377</v>
      </c>
    </row>
    <row r="86" spans="1:9" ht="18" customHeight="1">
      <c r="A86" s="24" t="s">
        <v>1241</v>
      </c>
      <c r="B86" s="147" t="s">
        <v>1242</v>
      </c>
      <c r="C86" s="147" t="s">
        <v>2200</v>
      </c>
      <c r="D86" s="19" t="s">
        <v>1574</v>
      </c>
      <c r="E86" s="19" t="s">
        <v>1574</v>
      </c>
      <c r="F86" s="19" t="s">
        <v>1574</v>
      </c>
      <c r="G86" s="19" t="s">
        <v>1574</v>
      </c>
      <c r="H86" s="19"/>
      <c r="I86" s="11" t="s">
        <v>2378</v>
      </c>
    </row>
    <row r="87" spans="1:9" ht="18" customHeight="1">
      <c r="A87" s="24" t="s">
        <v>1245</v>
      </c>
      <c r="B87" s="147" t="s">
        <v>1246</v>
      </c>
      <c r="C87" s="147" t="s">
        <v>2200</v>
      </c>
      <c r="D87" s="19" t="s">
        <v>18</v>
      </c>
      <c r="E87" s="19" t="s">
        <v>18</v>
      </c>
      <c r="F87" s="19" t="s">
        <v>1567</v>
      </c>
      <c r="G87" s="19" t="s">
        <v>21</v>
      </c>
      <c r="H87" s="19"/>
      <c r="I87" s="11" t="s">
        <v>2379</v>
      </c>
    </row>
    <row r="88" spans="1:9" ht="18" customHeight="1">
      <c r="A88" s="24" t="s">
        <v>1249</v>
      </c>
      <c r="B88" s="147" t="s">
        <v>1250</v>
      </c>
      <c r="C88" s="147" t="s">
        <v>2258</v>
      </c>
      <c r="D88" s="19" t="s">
        <v>1567</v>
      </c>
      <c r="E88" s="19" t="s">
        <v>18</v>
      </c>
      <c r="F88" s="19" t="s">
        <v>1567</v>
      </c>
      <c r="G88" s="19" t="s">
        <v>18</v>
      </c>
      <c r="H88" s="19"/>
      <c r="I88" s="11" t="s">
        <v>2380</v>
      </c>
    </row>
  </sheetData>
  <mergeCells count="3">
    <mergeCell ref="A3:I3"/>
    <mergeCell ref="A50:J50"/>
    <mergeCell ref="A1:I1"/>
  </mergeCells>
  <phoneticPr fontId="89" type="noConversion"/>
  <dataValidations count="1">
    <dataValidation type="list" allowBlank="1" showInputMessage="1" showErrorMessage="1" sqref="D4:H49 D51:H88" xr:uid="{00000000-0002-0000-0C00-000000000000}">
      <formula1>"S,A+,A,B+,B,C+,C,D+,D,?,"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C"/>
  <dimension ref="A1:P90"/>
  <sheetViews>
    <sheetView workbookViewId="0">
      <pane ySplit="2" topLeftCell="A3" activePane="bottomLeft" state="frozen"/>
      <selection pane="bottomLeft"/>
    </sheetView>
  </sheetViews>
  <sheetFormatPr baseColWidth="10" defaultColWidth="13.7109375" defaultRowHeight="18" customHeight="1"/>
  <cols>
    <col min="2" max="2" width="27.42578125" customWidth="1"/>
    <col min="3" max="3" width="10.28515625" customWidth="1"/>
    <col min="4" max="8" width="6.7109375" customWidth="1"/>
    <col min="9" max="9" width="76.85546875" customWidth="1"/>
    <col min="10" max="10" width="36.7109375" style="11" customWidth="1"/>
    <col min="16" max="16" width="4.5703125" style="161" customWidth="1"/>
  </cols>
  <sheetData>
    <row r="1" spans="1:15" ht="24" customHeight="1">
      <c r="A1" s="549" t="s">
        <v>1034</v>
      </c>
      <c r="B1" s="571"/>
      <c r="C1" s="566"/>
      <c r="D1" s="571"/>
      <c r="E1" s="571"/>
      <c r="F1" s="571"/>
      <c r="G1" s="571"/>
      <c r="H1" s="571"/>
      <c r="I1" s="549"/>
      <c r="J1" s="588"/>
      <c r="K1" s="158"/>
      <c r="L1" s="158"/>
      <c r="M1" s="158"/>
      <c r="N1" s="158"/>
      <c r="O1" s="158"/>
    </row>
    <row r="2" spans="1:15" ht="24" customHeight="1">
      <c r="A2" s="24" t="s">
        <v>4</v>
      </c>
      <c r="B2" s="94" t="s">
        <v>5</v>
      </c>
      <c r="C2" s="94" t="s">
        <v>2288</v>
      </c>
      <c r="D2" s="11" t="s">
        <v>2178</v>
      </c>
      <c r="E2" s="11" t="s">
        <v>2179</v>
      </c>
      <c r="F2" s="11" t="s">
        <v>2180</v>
      </c>
      <c r="G2" s="11" t="s">
        <v>2181</v>
      </c>
      <c r="H2" s="11" t="s">
        <v>10</v>
      </c>
      <c r="I2" s="11" t="s">
        <v>11</v>
      </c>
      <c r="J2" s="11" t="s">
        <v>12</v>
      </c>
    </row>
    <row r="3" spans="1:15" ht="24" customHeight="1">
      <c r="A3" s="24" t="s">
        <v>1040</v>
      </c>
      <c r="B3" s="147" t="s">
        <v>1041</v>
      </c>
      <c r="C3" s="160"/>
      <c r="D3" s="19" t="s">
        <v>1574</v>
      </c>
      <c r="E3" s="19" t="s">
        <v>1574</v>
      </c>
      <c r="F3" s="19" t="s">
        <v>1661</v>
      </c>
      <c r="G3" s="19" t="s">
        <v>1661</v>
      </c>
      <c r="H3" s="19"/>
      <c r="I3" s="165"/>
    </row>
    <row r="4" spans="1:15" ht="24" customHeight="1">
      <c r="A4" s="24" t="s">
        <v>1046</v>
      </c>
      <c r="B4" s="147" t="s">
        <v>1047</v>
      </c>
      <c r="C4" s="160" t="s">
        <v>2344</v>
      </c>
      <c r="D4" s="19" t="s">
        <v>1574</v>
      </c>
      <c r="E4" s="19" t="s">
        <v>1574</v>
      </c>
      <c r="F4" s="19" t="s">
        <v>1574</v>
      </c>
      <c r="G4" s="19" t="s">
        <v>1661</v>
      </c>
      <c r="H4" s="19"/>
      <c r="I4" s="11"/>
    </row>
    <row r="5" spans="1:15" ht="24" customHeight="1">
      <c r="A5" s="24" t="s">
        <v>1053</v>
      </c>
      <c r="B5" s="147" t="s">
        <v>975</v>
      </c>
      <c r="C5" s="160" t="s">
        <v>2191</v>
      </c>
      <c r="D5" s="19" t="s">
        <v>28</v>
      </c>
      <c r="E5" s="19" t="s">
        <v>17</v>
      </c>
      <c r="F5" s="19" t="s">
        <v>17</v>
      </c>
      <c r="G5" s="19" t="s">
        <v>28</v>
      </c>
      <c r="H5" s="19"/>
      <c r="I5" s="11"/>
    </row>
    <row r="6" spans="1:15" ht="24" customHeight="1">
      <c r="A6" s="24" t="s">
        <v>1059</v>
      </c>
      <c r="B6" s="147" t="s">
        <v>1060</v>
      </c>
      <c r="C6" s="160" t="s">
        <v>2195</v>
      </c>
      <c r="D6" s="19" t="s">
        <v>1562</v>
      </c>
      <c r="E6" s="19" t="s">
        <v>1574</v>
      </c>
      <c r="F6" s="19" t="s">
        <v>1574</v>
      </c>
      <c r="G6" s="19" t="s">
        <v>1661</v>
      </c>
      <c r="H6" s="19"/>
      <c r="I6" s="11"/>
    </row>
    <row r="7" spans="1:15" ht="24" customHeight="1">
      <c r="A7" s="24" t="s">
        <v>1064</v>
      </c>
      <c r="B7" s="150" t="s">
        <v>1017</v>
      </c>
      <c r="C7" s="160" t="s">
        <v>2191</v>
      </c>
      <c r="D7" s="19" t="s">
        <v>21</v>
      </c>
      <c r="E7" s="19" t="s">
        <v>1567</v>
      </c>
      <c r="F7" s="19" t="s">
        <v>1562</v>
      </c>
      <c r="G7" s="19" t="s">
        <v>1567</v>
      </c>
      <c r="H7" s="19"/>
      <c r="I7" s="11"/>
    </row>
    <row r="8" spans="1:15" ht="24" customHeight="1">
      <c r="A8" s="24" t="s">
        <v>1069</v>
      </c>
      <c r="B8" s="150" t="s">
        <v>1017</v>
      </c>
      <c r="C8" s="162" t="s">
        <v>2200</v>
      </c>
      <c r="D8" s="19" t="s">
        <v>1574</v>
      </c>
      <c r="E8" s="19" t="s">
        <v>1574</v>
      </c>
      <c r="F8" s="19" t="s">
        <v>1661</v>
      </c>
      <c r="G8" s="19" t="s">
        <v>1574</v>
      </c>
      <c r="H8" s="19"/>
      <c r="I8" s="11"/>
    </row>
    <row r="9" spans="1:15" ht="24" customHeight="1">
      <c r="A9" s="24" t="s">
        <v>1075</v>
      </c>
      <c r="B9" s="147" t="s">
        <v>1076</v>
      </c>
      <c r="C9" s="160" t="s">
        <v>2350</v>
      </c>
      <c r="D9" s="19" t="s">
        <v>1574</v>
      </c>
      <c r="E9" s="19" t="s">
        <v>1562</v>
      </c>
      <c r="F9" s="19" t="s">
        <v>1574</v>
      </c>
      <c r="G9" s="19" t="s">
        <v>1661</v>
      </c>
      <c r="H9" s="19"/>
      <c r="I9" s="11"/>
    </row>
    <row r="10" spans="1:15" ht="24" customHeight="1">
      <c r="A10" s="24" t="s">
        <v>1080</v>
      </c>
      <c r="B10" s="147" t="s">
        <v>923</v>
      </c>
      <c r="C10" s="160" t="s">
        <v>2200</v>
      </c>
      <c r="D10" s="19" t="s">
        <v>1567</v>
      </c>
      <c r="E10" s="19" t="s">
        <v>1567</v>
      </c>
      <c r="F10" s="19" t="s">
        <v>1567</v>
      </c>
      <c r="G10" s="19" t="s">
        <v>18</v>
      </c>
      <c r="H10" s="19"/>
      <c r="I10" s="11"/>
    </row>
    <row r="11" spans="1:15" ht="24" customHeight="1">
      <c r="A11" s="24" t="s">
        <v>1086</v>
      </c>
      <c r="B11" s="41" t="s">
        <v>918</v>
      </c>
      <c r="C11" s="160"/>
      <c r="D11" s="19" t="s">
        <v>1562</v>
      </c>
      <c r="E11" s="19" t="s">
        <v>1562</v>
      </c>
      <c r="F11" s="19" t="s">
        <v>1562</v>
      </c>
      <c r="G11" s="19" t="s">
        <v>1562</v>
      </c>
      <c r="H11" s="19"/>
      <c r="I11" s="11"/>
    </row>
    <row r="12" spans="1:15" ht="24" customHeight="1">
      <c r="A12" s="24" t="s">
        <v>1092</v>
      </c>
      <c r="B12" s="147" t="s">
        <v>151</v>
      </c>
      <c r="C12" s="160"/>
      <c r="D12" s="19" t="s">
        <v>21</v>
      </c>
      <c r="E12" s="19" t="s">
        <v>28</v>
      </c>
      <c r="F12" s="19" t="s">
        <v>17</v>
      </c>
      <c r="G12" s="19" t="s">
        <v>1567</v>
      </c>
      <c r="H12" s="19"/>
      <c r="I12" s="11"/>
    </row>
    <row r="13" spans="1:15" ht="24" customHeight="1">
      <c r="A13" s="24" t="s">
        <v>1098</v>
      </c>
      <c r="B13" s="147" t="s">
        <v>1099</v>
      </c>
      <c r="C13" s="160"/>
      <c r="D13" s="19" t="s">
        <v>1562</v>
      </c>
      <c r="E13" s="19" t="s">
        <v>1574</v>
      </c>
      <c r="F13" s="19" t="s">
        <v>1574</v>
      </c>
      <c r="G13" s="19" t="s">
        <v>1574</v>
      </c>
      <c r="H13" s="19"/>
      <c r="I13" s="11"/>
    </row>
    <row r="14" spans="1:15" ht="24" customHeight="1">
      <c r="A14" s="24" t="s">
        <v>1103</v>
      </c>
      <c r="B14" s="147" t="s">
        <v>1104</v>
      </c>
      <c r="C14" s="160" t="s">
        <v>2350</v>
      </c>
      <c r="D14" s="19" t="s">
        <v>16</v>
      </c>
      <c r="E14" s="19" t="s">
        <v>1574</v>
      </c>
      <c r="F14" s="19" t="s">
        <v>1661</v>
      </c>
      <c r="G14" s="19" t="s">
        <v>1661</v>
      </c>
      <c r="H14" s="19"/>
      <c r="I14" s="11"/>
    </row>
    <row r="15" spans="1:15" ht="24" customHeight="1">
      <c r="A15" s="24" t="s">
        <v>1108</v>
      </c>
      <c r="B15" s="147" t="s">
        <v>970</v>
      </c>
      <c r="C15" s="160" t="s">
        <v>2191</v>
      </c>
      <c r="D15" s="19" t="s">
        <v>16</v>
      </c>
      <c r="E15" s="19" t="s">
        <v>1574</v>
      </c>
      <c r="F15" s="19" t="s">
        <v>1661</v>
      </c>
      <c r="G15" s="19" t="s">
        <v>1661</v>
      </c>
      <c r="H15" s="19"/>
      <c r="I15" s="11"/>
    </row>
    <row r="16" spans="1:15" ht="24" customHeight="1">
      <c r="A16" s="24" t="s">
        <v>1111</v>
      </c>
      <c r="B16" s="147" t="s">
        <v>1112</v>
      </c>
      <c r="C16" s="160" t="s">
        <v>2358</v>
      </c>
      <c r="D16" s="19" t="s">
        <v>1562</v>
      </c>
      <c r="E16" s="19" t="s">
        <v>18</v>
      </c>
      <c r="F16" s="19" t="s">
        <v>18</v>
      </c>
      <c r="G16" s="19" t="s">
        <v>1562</v>
      </c>
      <c r="H16" s="19"/>
      <c r="I16" s="11"/>
    </row>
    <row r="17" spans="1:9" ht="24" customHeight="1">
      <c r="A17" s="24" t="s">
        <v>1118</v>
      </c>
      <c r="B17" s="24" t="s">
        <v>1119</v>
      </c>
      <c r="C17" s="24"/>
      <c r="D17" s="19" t="s">
        <v>1574</v>
      </c>
      <c r="E17" s="19" t="s">
        <v>1574</v>
      </c>
      <c r="F17" s="19" t="s">
        <v>1661</v>
      </c>
      <c r="G17" s="19" t="s">
        <v>1661</v>
      </c>
      <c r="H17" s="19"/>
      <c r="I17" s="11"/>
    </row>
    <row r="18" spans="1:9" ht="24" customHeight="1">
      <c r="A18" s="24" t="s">
        <v>1123</v>
      </c>
      <c r="B18" s="24" t="s">
        <v>1124</v>
      </c>
      <c r="C18" s="24" t="s">
        <v>2219</v>
      </c>
      <c r="D18" s="19" t="s">
        <v>1574</v>
      </c>
      <c r="E18" s="19" t="s">
        <v>1574</v>
      </c>
      <c r="F18" s="19" t="s">
        <v>1574</v>
      </c>
      <c r="G18" s="19" t="s">
        <v>1574</v>
      </c>
      <c r="H18" s="19"/>
      <c r="I18" s="11"/>
    </row>
    <row r="19" spans="1:9" ht="24" customHeight="1">
      <c r="A19" s="24" t="s">
        <v>1130</v>
      </c>
      <c r="B19" s="24" t="s">
        <v>1131</v>
      </c>
      <c r="C19" s="24" t="s">
        <v>2227</v>
      </c>
      <c r="D19" s="19" t="s">
        <v>16</v>
      </c>
      <c r="E19" s="19" t="s">
        <v>1574</v>
      </c>
      <c r="F19" s="19" t="s">
        <v>1574</v>
      </c>
      <c r="G19" s="19" t="s">
        <v>1661</v>
      </c>
      <c r="H19" s="19"/>
      <c r="I19" s="11"/>
    </row>
    <row r="20" spans="1:9" ht="24" customHeight="1">
      <c r="A20" s="24" t="s">
        <v>1137</v>
      </c>
      <c r="B20" s="24" t="s">
        <v>1138</v>
      </c>
      <c r="C20" s="24" t="s">
        <v>2230</v>
      </c>
      <c r="D20" s="19" t="s">
        <v>1562</v>
      </c>
      <c r="E20" s="19" t="s">
        <v>1574</v>
      </c>
      <c r="F20" s="19" t="s">
        <v>1574</v>
      </c>
      <c r="G20" s="19" t="s">
        <v>1574</v>
      </c>
      <c r="H20" s="19"/>
      <c r="I20" s="11"/>
    </row>
    <row r="21" spans="1:9" ht="24" customHeight="1">
      <c r="A21" s="24" t="s">
        <v>1144</v>
      </c>
      <c r="B21" s="147" t="s">
        <v>1145</v>
      </c>
      <c r="C21" s="160" t="s">
        <v>2191</v>
      </c>
      <c r="D21" s="19" t="s">
        <v>1661</v>
      </c>
      <c r="E21" s="19" t="s">
        <v>1574</v>
      </c>
      <c r="F21" s="19" t="s">
        <v>1661</v>
      </c>
      <c r="G21" s="19" t="s">
        <v>1661</v>
      </c>
      <c r="H21" s="19"/>
      <c r="I21" s="11"/>
    </row>
    <row r="22" spans="1:9" ht="24" customHeight="1">
      <c r="A22" s="24" t="s">
        <v>1149</v>
      </c>
      <c r="B22" s="147" t="s">
        <v>918</v>
      </c>
      <c r="C22" s="160" t="s">
        <v>2235</v>
      </c>
      <c r="D22" s="19" t="s">
        <v>1562</v>
      </c>
      <c r="E22" s="19" t="s">
        <v>1562</v>
      </c>
      <c r="F22" s="19" t="s">
        <v>1562</v>
      </c>
      <c r="G22" s="19" t="s">
        <v>1562</v>
      </c>
      <c r="H22" s="19"/>
      <c r="I22" s="11"/>
    </row>
    <row r="23" spans="1:9" ht="24" customHeight="1">
      <c r="A23" s="24" t="s">
        <v>1155</v>
      </c>
      <c r="B23" s="147" t="s">
        <v>942</v>
      </c>
      <c r="C23" s="160"/>
      <c r="D23" s="19" t="s">
        <v>28</v>
      </c>
      <c r="E23" s="19" t="s">
        <v>28</v>
      </c>
      <c r="F23" s="19" t="s">
        <v>17</v>
      </c>
      <c r="G23" s="19" t="s">
        <v>28</v>
      </c>
      <c r="H23" s="19"/>
      <c r="I23" s="11"/>
    </row>
    <row r="24" spans="1:9" ht="24" customHeight="1">
      <c r="A24" s="24" t="s">
        <v>1159</v>
      </c>
      <c r="B24" s="147" t="s">
        <v>159</v>
      </c>
      <c r="C24" s="160" t="s">
        <v>2350</v>
      </c>
      <c r="D24" s="19" t="s">
        <v>17</v>
      </c>
      <c r="E24" s="19" t="s">
        <v>28</v>
      </c>
      <c r="F24" s="19" t="s">
        <v>28</v>
      </c>
      <c r="G24" s="19" t="s">
        <v>28</v>
      </c>
      <c r="H24" s="19"/>
      <c r="I24" s="11"/>
    </row>
    <row r="25" spans="1:9" ht="24" customHeight="1">
      <c r="A25" s="24" t="s">
        <v>1165</v>
      </c>
      <c r="B25" s="147" t="s">
        <v>288</v>
      </c>
      <c r="C25" s="160" t="s">
        <v>2235</v>
      </c>
      <c r="D25" s="19" t="s">
        <v>1661</v>
      </c>
      <c r="E25" s="19" t="s">
        <v>1574</v>
      </c>
      <c r="F25" s="19" t="s">
        <v>1574</v>
      </c>
      <c r="G25" s="19" t="s">
        <v>1574</v>
      </c>
      <c r="H25" s="19"/>
      <c r="I25" s="11"/>
    </row>
    <row r="26" spans="1:9" ht="24" customHeight="1">
      <c r="A26" s="24" t="s">
        <v>1169</v>
      </c>
      <c r="B26" s="147" t="s">
        <v>933</v>
      </c>
      <c r="C26" s="160" t="s">
        <v>2191</v>
      </c>
      <c r="D26" s="19" t="s">
        <v>21</v>
      </c>
      <c r="E26" s="19" t="s">
        <v>18</v>
      </c>
      <c r="F26" s="19" t="s">
        <v>1567</v>
      </c>
      <c r="G26" s="19" t="s">
        <v>1567</v>
      </c>
      <c r="H26" s="19"/>
      <c r="I26" s="11"/>
    </row>
    <row r="27" spans="1:9" ht="24" customHeight="1">
      <c r="A27" s="24" t="s">
        <v>1175</v>
      </c>
      <c r="B27" s="147" t="s">
        <v>875</v>
      </c>
      <c r="C27" s="160" t="s">
        <v>2235</v>
      </c>
      <c r="D27" s="19" t="s">
        <v>1562</v>
      </c>
      <c r="E27" s="19" t="s">
        <v>18</v>
      </c>
      <c r="F27" s="19" t="s">
        <v>1562</v>
      </c>
      <c r="G27" s="19" t="s">
        <v>18</v>
      </c>
      <c r="H27" s="19"/>
      <c r="I27" s="11"/>
    </row>
    <row r="28" spans="1:9" ht="24" customHeight="1">
      <c r="A28" s="24" t="s">
        <v>1181</v>
      </c>
      <c r="B28" s="147" t="s">
        <v>1182</v>
      </c>
      <c r="C28" s="160" t="s">
        <v>2028</v>
      </c>
      <c r="D28" s="19" t="s">
        <v>1661</v>
      </c>
      <c r="E28" s="19" t="s">
        <v>1574</v>
      </c>
      <c r="F28" s="19" t="s">
        <v>1661</v>
      </c>
      <c r="G28" s="19" t="s">
        <v>16</v>
      </c>
      <c r="H28" s="19"/>
      <c r="I28" s="11"/>
    </row>
    <row r="29" spans="1:9" ht="24" customHeight="1">
      <c r="A29" s="24" t="s">
        <v>1188</v>
      </c>
      <c r="B29" s="147" t="s">
        <v>911</v>
      </c>
      <c r="C29" s="160" t="s">
        <v>2250</v>
      </c>
      <c r="D29" s="19" t="s">
        <v>21</v>
      </c>
      <c r="E29" s="19" t="s">
        <v>21</v>
      </c>
      <c r="F29" s="19" t="s">
        <v>1567</v>
      </c>
      <c r="G29" s="19" t="s">
        <v>18</v>
      </c>
      <c r="H29" s="19"/>
      <c r="I29" s="11"/>
    </row>
    <row r="30" spans="1:9" ht="24" customHeight="1">
      <c r="A30" s="24" t="s">
        <v>1192</v>
      </c>
      <c r="B30" s="147" t="s">
        <v>1193</v>
      </c>
      <c r="C30" s="160" t="s">
        <v>2372</v>
      </c>
      <c r="D30" s="19" t="s">
        <v>1661</v>
      </c>
      <c r="E30" s="19" t="s">
        <v>1574</v>
      </c>
      <c r="F30" s="19" t="s">
        <v>1574</v>
      </c>
      <c r="G30" s="19" t="s">
        <v>1661</v>
      </c>
      <c r="H30" s="19"/>
      <c r="I30" s="11"/>
    </row>
    <row r="31" spans="1:9" ht="24" customHeight="1">
      <c r="A31" s="24" t="s">
        <v>1197</v>
      </c>
      <c r="B31" s="147" t="s">
        <v>1198</v>
      </c>
      <c r="C31" s="160" t="s">
        <v>2195</v>
      </c>
      <c r="D31" s="19" t="s">
        <v>1574</v>
      </c>
      <c r="E31" s="19" t="s">
        <v>1661</v>
      </c>
      <c r="F31" s="19" t="s">
        <v>1574</v>
      </c>
      <c r="G31" s="19" t="s">
        <v>1661</v>
      </c>
      <c r="H31" s="19"/>
      <c r="I31" s="11"/>
    </row>
    <row r="32" spans="1:9" ht="24" customHeight="1">
      <c r="A32" s="24" t="s">
        <v>1202</v>
      </c>
      <c r="B32" s="147" t="s">
        <v>869</v>
      </c>
      <c r="C32" s="160" t="s">
        <v>2258</v>
      </c>
      <c r="D32" s="19" t="s">
        <v>21</v>
      </c>
      <c r="E32" s="19" t="s">
        <v>21</v>
      </c>
      <c r="F32" s="19" t="s">
        <v>1567</v>
      </c>
      <c r="G32" s="19" t="s">
        <v>21</v>
      </c>
      <c r="H32" s="19"/>
      <c r="I32" s="11"/>
    </row>
    <row r="33" spans="1:10" ht="24" customHeight="1">
      <c r="A33" s="24" t="s">
        <v>1208</v>
      </c>
      <c r="B33" s="147" t="s">
        <v>1012</v>
      </c>
      <c r="C33" s="160" t="s">
        <v>2261</v>
      </c>
      <c r="D33" s="19" t="s">
        <v>17</v>
      </c>
      <c r="E33" s="19" t="s">
        <v>28</v>
      </c>
      <c r="F33" s="19" t="s">
        <v>28</v>
      </c>
      <c r="G33" s="19" t="s">
        <v>21</v>
      </c>
      <c r="H33" s="19"/>
      <c r="I33" s="11"/>
    </row>
    <row r="34" spans="1:10" ht="24" customHeight="1">
      <c r="A34" s="24" t="s">
        <v>1217</v>
      </c>
      <c r="B34" s="147" t="s">
        <v>1218</v>
      </c>
      <c r="C34" s="160" t="s">
        <v>2258</v>
      </c>
      <c r="D34" s="19"/>
      <c r="E34" s="19"/>
      <c r="F34" s="19"/>
      <c r="G34" s="19"/>
      <c r="H34" s="19"/>
      <c r="I34" s="11"/>
    </row>
    <row r="35" spans="1:10" ht="24" customHeight="1">
      <c r="A35" s="24" t="s">
        <v>1223</v>
      </c>
      <c r="B35" s="147" t="s">
        <v>1224</v>
      </c>
      <c r="C35" s="160" t="s">
        <v>2294</v>
      </c>
      <c r="D35" s="19" t="s">
        <v>18</v>
      </c>
      <c r="E35" s="19" t="s">
        <v>1567</v>
      </c>
      <c r="F35" s="19" t="s">
        <v>18</v>
      </c>
      <c r="G35" s="19" t="s">
        <v>1574</v>
      </c>
      <c r="H35" s="19"/>
      <c r="I35" s="11"/>
    </row>
    <row r="36" spans="1:10" ht="24" customHeight="1">
      <c r="A36" s="24" t="s">
        <v>1230</v>
      </c>
      <c r="B36" s="147" t="s">
        <v>1231</v>
      </c>
      <c r="C36" s="160" t="s">
        <v>2230</v>
      </c>
      <c r="D36" s="19" t="s">
        <v>21</v>
      </c>
      <c r="E36" s="19" t="s">
        <v>18</v>
      </c>
      <c r="F36" s="19" t="s">
        <v>1562</v>
      </c>
      <c r="G36" s="19" t="s">
        <v>1567</v>
      </c>
      <c r="H36" s="19"/>
      <c r="I36" s="11"/>
    </row>
    <row r="37" spans="1:10" ht="24" customHeight="1">
      <c r="A37" s="24" t="s">
        <v>1237</v>
      </c>
      <c r="B37" s="147" t="s">
        <v>1238</v>
      </c>
      <c r="C37" s="160" t="s">
        <v>2258</v>
      </c>
      <c r="D37" s="19"/>
      <c r="E37" s="19"/>
      <c r="F37" s="19"/>
      <c r="G37" s="19"/>
      <c r="H37" s="19"/>
      <c r="I37" s="11"/>
    </row>
    <row r="38" spans="1:10" ht="24" customHeight="1">
      <c r="A38" s="24" t="s">
        <v>1241</v>
      </c>
      <c r="B38" s="147" t="s">
        <v>1242</v>
      </c>
      <c r="C38" s="160" t="s">
        <v>2200</v>
      </c>
      <c r="D38" s="19"/>
      <c r="E38" s="19"/>
      <c r="F38" s="19"/>
      <c r="G38" s="19"/>
      <c r="H38" s="19"/>
      <c r="I38" s="11"/>
    </row>
    <row r="39" spans="1:10" ht="24" customHeight="1">
      <c r="A39" s="24" t="s">
        <v>1245</v>
      </c>
      <c r="B39" s="147" t="s">
        <v>1246</v>
      </c>
      <c r="C39" s="160" t="s">
        <v>2200</v>
      </c>
      <c r="D39" s="19"/>
      <c r="E39" s="19"/>
      <c r="F39" s="19"/>
      <c r="G39" s="19"/>
      <c r="H39" s="19"/>
      <c r="I39" s="11"/>
    </row>
    <row r="40" spans="1:10" ht="24" customHeight="1">
      <c r="A40" s="24" t="s">
        <v>1249</v>
      </c>
      <c r="B40" s="147" t="s">
        <v>1250</v>
      </c>
      <c r="C40" s="160" t="s">
        <v>2258</v>
      </c>
      <c r="D40" s="19"/>
      <c r="E40" s="19"/>
      <c r="F40" s="19"/>
      <c r="G40" s="19"/>
      <c r="H40" s="19"/>
      <c r="I40" s="11"/>
    </row>
    <row r="41" spans="1:10" ht="18" customHeight="1">
      <c r="A41" s="549" t="s">
        <v>1270</v>
      </c>
      <c r="B41" s="571"/>
      <c r="C41" s="566"/>
      <c r="D41" s="571"/>
      <c r="E41" s="571"/>
      <c r="F41" s="571"/>
      <c r="G41" s="571"/>
      <c r="H41" s="571"/>
      <c r="I41" s="549"/>
      <c r="J41" s="588"/>
    </row>
    <row r="42" spans="1:10" ht="27" customHeight="1">
      <c r="A42" s="24" t="s">
        <v>1276</v>
      </c>
      <c r="B42" s="25" t="s">
        <v>1277</v>
      </c>
      <c r="C42" s="147"/>
      <c r="D42" s="19" t="s">
        <v>1574</v>
      </c>
      <c r="E42" s="19" t="s">
        <v>1562</v>
      </c>
      <c r="F42" s="19" t="s">
        <v>1574</v>
      </c>
      <c r="G42" s="19" t="s">
        <v>1574</v>
      </c>
    </row>
    <row r="43" spans="1:10" ht="27" customHeight="1">
      <c r="A43" s="24" t="s">
        <v>1280</v>
      </c>
      <c r="B43" s="25" t="s">
        <v>1281</v>
      </c>
      <c r="C43" s="147" t="s">
        <v>2195</v>
      </c>
      <c r="D43" s="19" t="s">
        <v>1574</v>
      </c>
      <c r="E43" s="19" t="s">
        <v>1661</v>
      </c>
      <c r="F43" s="19" t="s">
        <v>1661</v>
      </c>
      <c r="G43" s="19" t="s">
        <v>16</v>
      </c>
    </row>
    <row r="44" spans="1:10" ht="27" customHeight="1">
      <c r="A44" s="24" t="s">
        <v>893</v>
      </c>
      <c r="B44" s="25" t="s">
        <v>894</v>
      </c>
      <c r="C44" s="147" t="s">
        <v>2292</v>
      </c>
      <c r="D44" s="19" t="s">
        <v>1562</v>
      </c>
      <c r="E44" s="19" t="s">
        <v>1567</v>
      </c>
      <c r="F44" s="19" t="s">
        <v>1567</v>
      </c>
      <c r="G44" s="19" t="s">
        <v>1562</v>
      </c>
    </row>
    <row r="45" spans="1:10" ht="27" customHeight="1">
      <c r="A45" s="24" t="s">
        <v>1286</v>
      </c>
      <c r="B45" s="25" t="s">
        <v>1287</v>
      </c>
      <c r="C45" s="147" t="s">
        <v>2294</v>
      </c>
      <c r="D45" s="19" t="s">
        <v>1661</v>
      </c>
      <c r="E45" s="19" t="s">
        <v>1661</v>
      </c>
      <c r="F45" s="19" t="s">
        <v>16</v>
      </c>
      <c r="G45" s="19" t="s">
        <v>1661</v>
      </c>
    </row>
    <row r="46" spans="1:10" ht="27" customHeight="1">
      <c r="A46" s="24" t="s">
        <v>1289</v>
      </c>
      <c r="B46" s="25" t="s">
        <v>598</v>
      </c>
      <c r="C46" s="150"/>
      <c r="D46" s="19" t="s">
        <v>1661</v>
      </c>
      <c r="E46" s="19" t="s">
        <v>1661</v>
      </c>
      <c r="F46" s="19" t="s">
        <v>16</v>
      </c>
      <c r="G46" s="19" t="s">
        <v>16</v>
      </c>
    </row>
    <row r="47" spans="1:10" ht="27" customHeight="1">
      <c r="A47" s="24" t="s">
        <v>955</v>
      </c>
      <c r="B47" s="25" t="s">
        <v>1291</v>
      </c>
      <c r="C47" s="147" t="s">
        <v>2200</v>
      </c>
      <c r="D47" s="19" t="s">
        <v>1562</v>
      </c>
      <c r="E47" s="19" t="s">
        <v>1574</v>
      </c>
      <c r="F47" s="19" t="s">
        <v>1574</v>
      </c>
      <c r="G47" s="19" t="s">
        <v>1661</v>
      </c>
    </row>
    <row r="48" spans="1:10" ht="27" customHeight="1">
      <c r="A48" s="24" t="s">
        <v>936</v>
      </c>
      <c r="B48" s="25" t="s">
        <v>33</v>
      </c>
      <c r="C48" s="147" t="s">
        <v>2235</v>
      </c>
      <c r="D48" s="19" t="s">
        <v>18</v>
      </c>
      <c r="E48" s="19" t="s">
        <v>18</v>
      </c>
      <c r="F48" s="19" t="s">
        <v>1567</v>
      </c>
      <c r="G48" s="19" t="s">
        <v>1562</v>
      </c>
    </row>
    <row r="49" spans="1:7" ht="27" customHeight="1">
      <c r="A49" s="24" t="s">
        <v>1296</v>
      </c>
      <c r="B49" s="25" t="s">
        <v>501</v>
      </c>
      <c r="C49" s="147" t="s">
        <v>2299</v>
      </c>
      <c r="D49" s="19" t="s">
        <v>1574</v>
      </c>
      <c r="E49" s="19" t="s">
        <v>1661</v>
      </c>
      <c r="F49" s="19" t="s">
        <v>1574</v>
      </c>
      <c r="G49" s="19" t="s">
        <v>1661</v>
      </c>
    </row>
    <row r="50" spans="1:7" ht="27" customHeight="1">
      <c r="A50" s="24" t="s">
        <v>1299</v>
      </c>
      <c r="B50" s="25" t="s">
        <v>1300</v>
      </c>
      <c r="C50" s="147" t="s">
        <v>2195</v>
      </c>
      <c r="D50" s="19" t="s">
        <v>1574</v>
      </c>
      <c r="E50" s="19" t="s">
        <v>1661</v>
      </c>
      <c r="F50" s="19" t="s">
        <v>1661</v>
      </c>
      <c r="G50" s="19" t="s">
        <v>1661</v>
      </c>
    </row>
    <row r="51" spans="1:7" ht="27" customHeight="1">
      <c r="A51" s="24" t="s">
        <v>1303</v>
      </c>
      <c r="B51" s="25" t="s">
        <v>1304</v>
      </c>
      <c r="C51" s="147" t="s">
        <v>2191</v>
      </c>
      <c r="D51" s="19" t="s">
        <v>1574</v>
      </c>
      <c r="E51" s="19" t="s">
        <v>1574</v>
      </c>
      <c r="F51" s="19" t="s">
        <v>1661</v>
      </c>
      <c r="G51" s="19" t="s">
        <v>1661</v>
      </c>
    </row>
    <row r="52" spans="1:7" ht="27" customHeight="1">
      <c r="A52" s="24" t="s">
        <v>948</v>
      </c>
      <c r="B52" s="25" t="s">
        <v>949</v>
      </c>
      <c r="C52" s="147" t="s">
        <v>2303</v>
      </c>
      <c r="D52" s="19" t="s">
        <v>1574</v>
      </c>
      <c r="E52" s="19" t="s">
        <v>1574</v>
      </c>
      <c r="F52" s="19" t="s">
        <v>1574</v>
      </c>
      <c r="G52" s="19" t="s">
        <v>1661</v>
      </c>
    </row>
    <row r="53" spans="1:7" ht="27" customHeight="1">
      <c r="A53" s="24" t="s">
        <v>1309</v>
      </c>
      <c r="B53" s="25" t="s">
        <v>291</v>
      </c>
      <c r="C53" s="147"/>
      <c r="D53" s="19" t="s">
        <v>1574</v>
      </c>
      <c r="E53" s="19" t="s">
        <v>1661</v>
      </c>
      <c r="F53" s="19" t="s">
        <v>1661</v>
      </c>
      <c r="G53" s="19" t="s">
        <v>1661</v>
      </c>
    </row>
    <row r="54" spans="1:7" ht="27" customHeight="1">
      <c r="A54" s="24" t="s">
        <v>1311</v>
      </c>
      <c r="B54" s="25" t="s">
        <v>1312</v>
      </c>
      <c r="C54" s="147" t="s">
        <v>2306</v>
      </c>
      <c r="D54" s="19" t="s">
        <v>1574</v>
      </c>
      <c r="E54" s="19" t="s">
        <v>1661</v>
      </c>
      <c r="F54" s="19" t="s">
        <v>1661</v>
      </c>
      <c r="G54" s="19" t="s">
        <v>1661</v>
      </c>
    </row>
    <row r="55" spans="1:7" ht="27" customHeight="1">
      <c r="A55" s="24" t="s">
        <v>1021</v>
      </c>
      <c r="B55" s="25" t="s">
        <v>1022</v>
      </c>
      <c r="C55" s="147" t="s">
        <v>2191</v>
      </c>
      <c r="D55" s="19" t="s">
        <v>1567</v>
      </c>
      <c r="E55" s="19" t="s">
        <v>1567</v>
      </c>
      <c r="F55" s="19" t="s">
        <v>1567</v>
      </c>
      <c r="G55" s="19" t="s">
        <v>1567</v>
      </c>
    </row>
    <row r="56" spans="1:7" ht="27" customHeight="1">
      <c r="A56" s="24" t="s">
        <v>1317</v>
      </c>
      <c r="B56" s="25" t="s">
        <v>1318</v>
      </c>
      <c r="C56" s="147"/>
      <c r="D56" s="19" t="s">
        <v>1562</v>
      </c>
      <c r="E56" s="19" t="s">
        <v>1574</v>
      </c>
      <c r="F56" s="19" t="s">
        <v>1574</v>
      </c>
      <c r="G56" s="19" t="s">
        <v>1574</v>
      </c>
    </row>
    <row r="57" spans="1:7" ht="27" customHeight="1">
      <c r="A57" s="24" t="s">
        <v>1321</v>
      </c>
      <c r="B57" s="25" t="s">
        <v>1322</v>
      </c>
      <c r="C57" s="147"/>
      <c r="D57" s="19" t="s">
        <v>16</v>
      </c>
      <c r="E57" s="19" t="s">
        <v>16</v>
      </c>
      <c r="F57" s="19" t="s">
        <v>16</v>
      </c>
      <c r="G57" s="19" t="s">
        <v>16</v>
      </c>
    </row>
    <row r="58" spans="1:7" ht="27" customHeight="1">
      <c r="A58" s="24" t="s">
        <v>1000</v>
      </c>
      <c r="B58" s="25" t="s">
        <v>1001</v>
      </c>
      <c r="C58" s="150" t="s">
        <v>2191</v>
      </c>
      <c r="D58" s="19" t="s">
        <v>1567</v>
      </c>
      <c r="E58" s="19" t="s">
        <v>1567</v>
      </c>
      <c r="F58" s="19" t="s">
        <v>18</v>
      </c>
      <c r="G58" s="19" t="s">
        <v>18</v>
      </c>
    </row>
    <row r="59" spans="1:7" ht="27" customHeight="1">
      <c r="A59" s="24" t="s">
        <v>1325</v>
      </c>
      <c r="B59" s="25" t="s">
        <v>1326</v>
      </c>
      <c r="C59" s="147" t="s">
        <v>2258</v>
      </c>
      <c r="D59" s="19" t="s">
        <v>1562</v>
      </c>
      <c r="E59" s="19" t="s">
        <v>1574</v>
      </c>
      <c r="F59" s="19" t="s">
        <v>1661</v>
      </c>
      <c r="G59" s="19" t="s">
        <v>1574</v>
      </c>
    </row>
    <row r="60" spans="1:7" ht="27" customHeight="1">
      <c r="A60" s="24" t="s">
        <v>1328</v>
      </c>
      <c r="B60" s="25" t="s">
        <v>1329</v>
      </c>
      <c r="C60" s="147" t="s">
        <v>2303</v>
      </c>
      <c r="D60" s="19" t="s">
        <v>18</v>
      </c>
      <c r="E60" s="19" t="s">
        <v>1562</v>
      </c>
      <c r="F60" s="19" t="s">
        <v>1562</v>
      </c>
      <c r="G60" s="19" t="s">
        <v>1562</v>
      </c>
    </row>
    <row r="61" spans="1:7" ht="27" customHeight="1">
      <c r="A61" s="24" t="s">
        <v>988</v>
      </c>
      <c r="B61" s="25" t="s">
        <v>989</v>
      </c>
      <c r="C61" s="147"/>
      <c r="D61" s="19" t="s">
        <v>1567</v>
      </c>
      <c r="E61" s="19" t="s">
        <v>18</v>
      </c>
      <c r="F61" s="19" t="s">
        <v>21</v>
      </c>
      <c r="G61" s="19" t="s">
        <v>1574</v>
      </c>
    </row>
    <row r="62" spans="1:7" ht="27" customHeight="1">
      <c r="A62" s="24" t="s">
        <v>1333</v>
      </c>
      <c r="B62" s="25" t="s">
        <v>1334</v>
      </c>
      <c r="C62" s="147"/>
      <c r="D62" s="19" t="s">
        <v>1574</v>
      </c>
      <c r="E62" s="19" t="s">
        <v>1661</v>
      </c>
      <c r="F62" s="19" t="s">
        <v>16</v>
      </c>
      <c r="G62" s="19" t="s">
        <v>1661</v>
      </c>
    </row>
    <row r="63" spans="1:7" ht="27" customHeight="1">
      <c r="A63" s="24" t="s">
        <v>1337</v>
      </c>
      <c r="B63" s="25" t="s">
        <v>1338</v>
      </c>
      <c r="C63" s="147" t="s">
        <v>2235</v>
      </c>
      <c r="D63" s="19" t="s">
        <v>1574</v>
      </c>
      <c r="E63" s="19" t="s">
        <v>1661</v>
      </c>
      <c r="F63" s="19" t="s">
        <v>1661</v>
      </c>
      <c r="G63" s="19" t="s">
        <v>1661</v>
      </c>
    </row>
    <row r="64" spans="1:7" ht="27" customHeight="1">
      <c r="A64" s="24" t="s">
        <v>1341</v>
      </c>
      <c r="B64" s="52" t="s">
        <v>1342</v>
      </c>
      <c r="C64" s="147" t="s">
        <v>2258</v>
      </c>
      <c r="D64" s="19" t="s">
        <v>1574</v>
      </c>
      <c r="E64" s="19" t="s">
        <v>1574</v>
      </c>
      <c r="F64" s="19" t="s">
        <v>1661</v>
      </c>
      <c r="G64" s="19" t="s">
        <v>1574</v>
      </c>
    </row>
    <row r="65" spans="1:7" ht="27" customHeight="1">
      <c r="A65" s="24" t="s">
        <v>1344</v>
      </c>
      <c r="B65" s="52" t="s">
        <v>1345</v>
      </c>
      <c r="C65" s="147" t="s">
        <v>2219</v>
      </c>
      <c r="D65" s="19" t="s">
        <v>1574</v>
      </c>
      <c r="E65" s="19" t="s">
        <v>1574</v>
      </c>
      <c r="F65" s="19" t="s">
        <v>1661</v>
      </c>
      <c r="G65" s="19" t="s">
        <v>1574</v>
      </c>
    </row>
    <row r="66" spans="1:7" ht="27" customHeight="1">
      <c r="A66" s="24" t="s">
        <v>1348</v>
      </c>
      <c r="B66" s="52" t="s">
        <v>1349</v>
      </c>
      <c r="C66" s="147" t="s">
        <v>2303</v>
      </c>
      <c r="D66" s="19" t="s">
        <v>1574</v>
      </c>
      <c r="E66" s="19" t="s">
        <v>1574</v>
      </c>
      <c r="F66" s="19" t="s">
        <v>1661</v>
      </c>
      <c r="G66" s="19" t="s">
        <v>1661</v>
      </c>
    </row>
    <row r="67" spans="1:7" ht="27" customHeight="1">
      <c r="A67" s="24" t="s">
        <v>927</v>
      </c>
      <c r="B67" s="52" t="s">
        <v>928</v>
      </c>
      <c r="C67" s="147" t="s">
        <v>2250</v>
      </c>
      <c r="D67" s="19" t="s">
        <v>1574</v>
      </c>
      <c r="E67" s="19" t="s">
        <v>1567</v>
      </c>
      <c r="F67" s="19" t="s">
        <v>1574</v>
      </c>
      <c r="G67" s="19" t="s">
        <v>1661</v>
      </c>
    </row>
    <row r="68" spans="1:7" ht="27" customHeight="1">
      <c r="A68" s="24" t="s">
        <v>1353</v>
      </c>
      <c r="B68" s="52" t="s">
        <v>1354</v>
      </c>
      <c r="C68" s="147" t="s">
        <v>2261</v>
      </c>
      <c r="D68" s="19" t="s">
        <v>1661</v>
      </c>
      <c r="E68" s="19" t="s">
        <v>1661</v>
      </c>
      <c r="F68" s="19" t="s">
        <v>16</v>
      </c>
      <c r="G68" s="19" t="s">
        <v>16</v>
      </c>
    </row>
    <row r="69" spans="1:7" ht="27" customHeight="1">
      <c r="A69" s="24" t="s">
        <v>886</v>
      </c>
      <c r="B69" s="52" t="s">
        <v>887</v>
      </c>
      <c r="C69" s="147" t="s">
        <v>2191</v>
      </c>
      <c r="D69" s="19" t="s">
        <v>28</v>
      </c>
      <c r="E69" s="19" t="s">
        <v>18</v>
      </c>
      <c r="F69" s="19" t="s">
        <v>1562</v>
      </c>
      <c r="G69" s="19" t="s">
        <v>1574</v>
      </c>
    </row>
    <row r="70" spans="1:7" ht="27" customHeight="1">
      <c r="A70" s="24" t="s">
        <v>1359</v>
      </c>
      <c r="B70" s="52" t="s">
        <v>1360</v>
      </c>
      <c r="C70" s="150"/>
      <c r="D70" s="19" t="s">
        <v>18</v>
      </c>
      <c r="E70" s="19" t="s">
        <v>18</v>
      </c>
      <c r="F70" s="19" t="s">
        <v>1567</v>
      </c>
      <c r="G70" s="19" t="s">
        <v>1562</v>
      </c>
    </row>
    <row r="71" spans="1:7" ht="27" customHeight="1">
      <c r="A71" s="24" t="s">
        <v>1362</v>
      </c>
      <c r="B71" s="52" t="s">
        <v>1363</v>
      </c>
      <c r="C71" s="147" t="s">
        <v>2292</v>
      </c>
      <c r="D71" s="19" t="s">
        <v>1574</v>
      </c>
      <c r="E71" s="19" t="s">
        <v>1661</v>
      </c>
      <c r="F71" s="19" t="s">
        <v>16</v>
      </c>
      <c r="G71" s="19" t="s">
        <v>1661</v>
      </c>
    </row>
    <row r="72" spans="1:7" ht="27" customHeight="1">
      <c r="A72" s="24" t="s">
        <v>1365</v>
      </c>
      <c r="B72" s="52" t="s">
        <v>1366</v>
      </c>
      <c r="C72" s="147" t="s">
        <v>2303</v>
      </c>
      <c r="D72" s="19" t="s">
        <v>1661</v>
      </c>
      <c r="E72" s="19" t="s">
        <v>1661</v>
      </c>
      <c r="F72" s="19" t="s">
        <v>16</v>
      </c>
      <c r="G72" s="19" t="s">
        <v>1661</v>
      </c>
    </row>
    <row r="73" spans="1:7" ht="27" customHeight="1">
      <c r="A73" s="24" t="s">
        <v>979</v>
      </c>
      <c r="B73" s="52" t="s">
        <v>980</v>
      </c>
      <c r="C73" s="147" t="s">
        <v>2303</v>
      </c>
      <c r="D73" s="19" t="s">
        <v>1562</v>
      </c>
      <c r="E73" s="19" t="s">
        <v>1574</v>
      </c>
      <c r="F73" s="19" t="s">
        <v>1661</v>
      </c>
      <c r="G73" s="19" t="s">
        <v>1661</v>
      </c>
    </row>
    <row r="74" spans="1:7" ht="27" customHeight="1">
      <c r="A74" s="24" t="s">
        <v>1371</v>
      </c>
      <c r="B74" s="52" t="s">
        <v>1372</v>
      </c>
      <c r="C74" s="147"/>
      <c r="D74" s="19" t="s">
        <v>1661</v>
      </c>
      <c r="E74" s="19" t="s">
        <v>1661</v>
      </c>
      <c r="F74" s="19" t="s">
        <v>16</v>
      </c>
      <c r="G74" s="19" t="s">
        <v>16</v>
      </c>
    </row>
    <row r="75" spans="1:7" ht="27" customHeight="1">
      <c r="A75" s="24" t="s">
        <v>1374</v>
      </c>
      <c r="B75" s="25" t="s">
        <v>1375</v>
      </c>
      <c r="C75" s="147" t="s">
        <v>2328</v>
      </c>
      <c r="D75" s="19" t="s">
        <v>1574</v>
      </c>
      <c r="E75" s="19" t="s">
        <v>1661</v>
      </c>
      <c r="F75" s="19" t="s">
        <v>16</v>
      </c>
      <c r="G75" s="19" t="s">
        <v>16</v>
      </c>
    </row>
    <row r="76" spans="1:7" ht="27" customHeight="1">
      <c r="A76" s="24" t="s">
        <v>1377</v>
      </c>
      <c r="B76" s="25" t="s">
        <v>1378</v>
      </c>
      <c r="C76" s="147" t="s">
        <v>2191</v>
      </c>
      <c r="D76" s="19" t="s">
        <v>1574</v>
      </c>
      <c r="E76" s="19" t="s">
        <v>1661</v>
      </c>
      <c r="F76" s="19" t="s">
        <v>16</v>
      </c>
      <c r="G76" s="19" t="s">
        <v>1661</v>
      </c>
    </row>
    <row r="77" spans="1:7" ht="27" customHeight="1">
      <c r="A77" s="24" t="s">
        <v>1027</v>
      </c>
      <c r="B77" s="25" t="s">
        <v>1028</v>
      </c>
      <c r="C77" s="147" t="s">
        <v>2191</v>
      </c>
      <c r="D77" s="19" t="s">
        <v>1562</v>
      </c>
      <c r="E77" s="19" t="s">
        <v>1574</v>
      </c>
      <c r="F77" s="19" t="s">
        <v>1574</v>
      </c>
      <c r="G77" s="19" t="s">
        <v>1661</v>
      </c>
    </row>
    <row r="78" spans="1:7" ht="27" customHeight="1">
      <c r="A78" s="24" t="s">
        <v>962</v>
      </c>
      <c r="B78" s="25" t="s">
        <v>963</v>
      </c>
      <c r="C78" s="147" t="s">
        <v>2303</v>
      </c>
      <c r="D78" s="19" t="s">
        <v>1567</v>
      </c>
      <c r="E78" s="19" t="s">
        <v>18</v>
      </c>
      <c r="F78" s="19" t="s">
        <v>18</v>
      </c>
      <c r="G78" s="19" t="s">
        <v>1567</v>
      </c>
    </row>
    <row r="79" spans="1:7" ht="27" customHeight="1">
      <c r="A79" s="24" t="s">
        <v>994</v>
      </c>
      <c r="B79" s="25" t="s">
        <v>995</v>
      </c>
      <c r="C79" s="147" t="s">
        <v>2191</v>
      </c>
      <c r="D79" s="19" t="s">
        <v>21</v>
      </c>
      <c r="E79" s="19" t="s">
        <v>21</v>
      </c>
      <c r="F79" s="19" t="s">
        <v>1567</v>
      </c>
      <c r="G79" s="19" t="s">
        <v>1567</v>
      </c>
    </row>
    <row r="80" spans="1:7" ht="27" customHeight="1">
      <c r="A80" s="24" t="s">
        <v>1385</v>
      </c>
      <c r="B80" s="25" t="s">
        <v>1386</v>
      </c>
      <c r="C80" s="147" t="s">
        <v>2334</v>
      </c>
      <c r="D80" s="19" t="s">
        <v>1574</v>
      </c>
      <c r="E80" s="19" t="s">
        <v>1574</v>
      </c>
      <c r="F80" s="19" t="s">
        <v>1661</v>
      </c>
      <c r="G80" s="19" t="s">
        <v>1661</v>
      </c>
    </row>
    <row r="81" spans="1:10" ht="27" customHeight="1">
      <c r="A81" s="24" t="s">
        <v>903</v>
      </c>
      <c r="B81" s="25" t="s">
        <v>904</v>
      </c>
      <c r="C81" s="150" t="s">
        <v>2303</v>
      </c>
      <c r="D81" s="19" t="s">
        <v>1574</v>
      </c>
      <c r="E81" s="19" t="s">
        <v>1574</v>
      </c>
      <c r="F81" s="19" t="s">
        <v>1661</v>
      </c>
      <c r="G81" s="19" t="s">
        <v>1574</v>
      </c>
    </row>
    <row r="82" spans="1:10" ht="27" customHeight="1">
      <c r="A82" s="24" t="s">
        <v>1387</v>
      </c>
      <c r="B82" s="25" t="s">
        <v>1388</v>
      </c>
      <c r="C82" s="147" t="s">
        <v>2306</v>
      </c>
      <c r="D82" s="19" t="s">
        <v>21</v>
      </c>
      <c r="E82" s="19" t="s">
        <v>1567</v>
      </c>
      <c r="F82" s="19" t="s">
        <v>18</v>
      </c>
      <c r="G82" s="19" t="s">
        <v>1562</v>
      </c>
    </row>
    <row r="83" spans="1:10" ht="27" customHeight="1">
      <c r="A83" s="24" t="s">
        <v>1389</v>
      </c>
      <c r="B83" s="25" t="s">
        <v>1390</v>
      </c>
      <c r="C83" s="147" t="s">
        <v>2195</v>
      </c>
      <c r="D83" s="19" t="s">
        <v>1574</v>
      </c>
      <c r="E83" s="19" t="s">
        <v>1661</v>
      </c>
      <c r="F83" s="19" t="s">
        <v>1661</v>
      </c>
      <c r="G83" s="19" t="s">
        <v>1574</v>
      </c>
    </row>
    <row r="84" spans="1:10" ht="27" customHeight="1">
      <c r="A84" s="24" t="s">
        <v>879</v>
      </c>
      <c r="B84" s="25" t="s">
        <v>880</v>
      </c>
      <c r="C84" s="147"/>
      <c r="D84" s="19" t="s">
        <v>18</v>
      </c>
      <c r="E84" s="19" t="s">
        <v>1562</v>
      </c>
      <c r="F84" s="19" t="s">
        <v>1574</v>
      </c>
      <c r="G84" s="19" t="s">
        <v>1574</v>
      </c>
    </row>
    <row r="85" spans="1:10" ht="27" customHeight="1">
      <c r="A85" s="24" t="s">
        <v>1391</v>
      </c>
      <c r="B85" s="25" t="s">
        <v>1392</v>
      </c>
      <c r="C85" s="147" t="s">
        <v>2219</v>
      </c>
      <c r="D85" s="19" t="s">
        <v>1562</v>
      </c>
      <c r="E85" s="19" t="s">
        <v>1574</v>
      </c>
      <c r="F85" s="19" t="s">
        <v>1574</v>
      </c>
      <c r="G85" s="19" t="s">
        <v>1574</v>
      </c>
      <c r="J85" s="166"/>
    </row>
    <row r="86" spans="1:10" ht="27" customHeight="1">
      <c r="A86" s="41" t="s">
        <v>1393</v>
      </c>
      <c r="B86" s="25" t="s">
        <v>215</v>
      </c>
      <c r="C86" s="147" t="s">
        <v>2294</v>
      </c>
      <c r="D86" s="19" t="s">
        <v>1574</v>
      </c>
      <c r="E86" s="19" t="s">
        <v>1661</v>
      </c>
      <c r="F86" s="19" t="s">
        <v>1661</v>
      </c>
      <c r="G86" s="19" t="s">
        <v>1661</v>
      </c>
    </row>
    <row r="87" spans="1:10" ht="27" customHeight="1">
      <c r="A87" s="41" t="s">
        <v>1007</v>
      </c>
      <c r="B87" s="25" t="s">
        <v>1008</v>
      </c>
      <c r="C87" s="147" t="s">
        <v>2294</v>
      </c>
      <c r="D87" s="19" t="s">
        <v>1661</v>
      </c>
      <c r="E87" s="19" t="s">
        <v>1661</v>
      </c>
      <c r="F87" s="19" t="s">
        <v>16</v>
      </c>
      <c r="G87" s="19" t="s">
        <v>16</v>
      </c>
    </row>
    <row r="88" spans="1:10" ht="27" customHeight="1">
      <c r="G88" s="19"/>
    </row>
    <row r="89" spans="1:10" ht="18" customHeight="1">
      <c r="G89" s="19"/>
    </row>
    <row r="90" spans="1:10" ht="18" customHeight="1">
      <c r="G90" s="19"/>
    </row>
  </sheetData>
  <mergeCells count="2">
    <mergeCell ref="A1:J1"/>
    <mergeCell ref="A41:J41"/>
  </mergeCells>
  <phoneticPr fontId="89" type="noConversion"/>
  <dataValidations count="1">
    <dataValidation type="list" allowBlank="1" showInputMessage="1" showErrorMessage="1" sqref="G42:G90 D3:H40 D42:F87" xr:uid="{00000000-0002-0000-0D00-000000000000}">
      <formula1>"S,A+,A,B+,B,C+,C,D+,D,?,"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720 下半AF"/>
  <dimension ref="A1:G104"/>
  <sheetViews>
    <sheetView workbookViewId="0"/>
  </sheetViews>
  <sheetFormatPr baseColWidth="10" defaultColWidth="13.7109375" defaultRowHeight="18" customHeight="1"/>
  <cols>
    <col min="2" max="3" width="25" customWidth="1"/>
    <col min="4" max="4" width="75.5703125" style="177" customWidth="1"/>
    <col min="6" max="6" width="74.85546875" customWidth="1"/>
    <col min="7" max="7" width="54.42578125" customWidth="1"/>
  </cols>
  <sheetData>
    <row r="1" spans="1:7" s="504" customFormat="1" ht="69.75" customHeight="1">
      <c r="A1" s="589" t="s">
        <v>2381</v>
      </c>
      <c r="B1" s="590"/>
      <c r="C1" s="590"/>
      <c r="D1" s="590"/>
      <c r="E1" s="167"/>
      <c r="F1" s="168"/>
      <c r="G1" s="169"/>
    </row>
    <row r="2" spans="1:7" s="505" customFormat="1">
      <c r="A2" s="170" t="s">
        <v>4</v>
      </c>
      <c r="B2" s="171" t="s">
        <v>2382</v>
      </c>
      <c r="C2" s="171" t="s">
        <v>10</v>
      </c>
      <c r="D2" s="172" t="s">
        <v>2383</v>
      </c>
      <c r="E2" s="173"/>
      <c r="F2" s="174"/>
      <c r="G2" s="175"/>
    </row>
    <row r="3" spans="1:7" ht="57">
      <c r="A3" s="24" t="s">
        <v>802</v>
      </c>
      <c r="B3" s="12" t="s">
        <v>803</v>
      </c>
      <c r="C3" s="176" t="s">
        <v>18</v>
      </c>
      <c r="D3" s="177" t="s">
        <v>2384</v>
      </c>
    </row>
    <row r="4" spans="1:7" ht="38">
      <c r="A4" s="24" t="s">
        <v>809</v>
      </c>
      <c r="B4" s="12" t="s">
        <v>810</v>
      </c>
      <c r="C4" s="176" t="s">
        <v>1567</v>
      </c>
      <c r="D4" s="177" t="s">
        <v>2385</v>
      </c>
    </row>
    <row r="5" spans="1:7" ht="38">
      <c r="A5" s="24" t="s">
        <v>755</v>
      </c>
      <c r="B5" s="12" t="s">
        <v>756</v>
      </c>
      <c r="C5" s="176" t="s">
        <v>21</v>
      </c>
      <c r="D5" s="177" t="s">
        <v>2386</v>
      </c>
    </row>
    <row r="6" spans="1:7" ht="38">
      <c r="A6" s="24" t="s">
        <v>820</v>
      </c>
      <c r="B6" s="12" t="s">
        <v>821</v>
      </c>
      <c r="C6" s="176" t="s">
        <v>18</v>
      </c>
      <c r="D6" s="177" t="s">
        <v>2387</v>
      </c>
    </row>
    <row r="7" spans="1:7" ht="19">
      <c r="A7" s="24" t="s">
        <v>827</v>
      </c>
      <c r="B7" s="12" t="s">
        <v>828</v>
      </c>
      <c r="C7" s="176" t="s">
        <v>21</v>
      </c>
      <c r="D7" s="177" t="s">
        <v>2388</v>
      </c>
    </row>
    <row r="8" spans="1:7" ht="19">
      <c r="A8" s="24" t="s">
        <v>812</v>
      </c>
      <c r="B8" s="12" t="s">
        <v>813</v>
      </c>
      <c r="C8" s="176" t="s">
        <v>21</v>
      </c>
      <c r="D8" s="177" t="s">
        <v>2389</v>
      </c>
    </row>
    <row r="9" spans="1:7" ht="38">
      <c r="A9" s="24" t="s">
        <v>839</v>
      </c>
      <c r="B9" s="12" t="s">
        <v>840</v>
      </c>
      <c r="C9" s="176" t="s">
        <v>1567</v>
      </c>
      <c r="D9" s="177" t="s">
        <v>2390</v>
      </c>
    </row>
    <row r="10" spans="1:7" ht="38">
      <c r="A10" s="24" t="s">
        <v>845</v>
      </c>
      <c r="B10" s="12" t="s">
        <v>846</v>
      </c>
      <c r="C10" s="176" t="s">
        <v>18</v>
      </c>
      <c r="D10" s="177" t="s">
        <v>2391</v>
      </c>
    </row>
    <row r="11" spans="1:7" ht="19">
      <c r="A11" s="24" t="s">
        <v>617</v>
      </c>
      <c r="B11" s="12" t="s">
        <v>618</v>
      </c>
      <c r="C11" s="176" t="s">
        <v>1567</v>
      </c>
      <c r="D11" s="177" t="s">
        <v>2392</v>
      </c>
    </row>
    <row r="12" spans="1:7" ht="19">
      <c r="A12" s="24" t="s">
        <v>856</v>
      </c>
      <c r="B12" s="12" t="s">
        <v>857</v>
      </c>
      <c r="C12" s="176" t="s">
        <v>1562</v>
      </c>
      <c r="D12" s="177" t="s">
        <v>2393</v>
      </c>
    </row>
    <row r="13" spans="1:7" ht="38">
      <c r="A13" s="24" t="s">
        <v>783</v>
      </c>
      <c r="B13" s="12" t="s">
        <v>784</v>
      </c>
      <c r="C13" s="176" t="s">
        <v>1567</v>
      </c>
      <c r="D13" s="177" t="s">
        <v>2394</v>
      </c>
    </row>
    <row r="14" spans="1:7" ht="19">
      <c r="A14" s="24" t="s">
        <v>863</v>
      </c>
      <c r="B14" s="12" t="s">
        <v>864</v>
      </c>
      <c r="C14" s="176" t="s">
        <v>1574</v>
      </c>
      <c r="D14" s="177" t="s">
        <v>2395</v>
      </c>
    </row>
    <row r="15" spans="1:7" ht="19">
      <c r="A15" s="24" t="s">
        <v>551</v>
      </c>
      <c r="B15" s="12" t="s">
        <v>552</v>
      </c>
      <c r="C15" s="176" t="s">
        <v>21</v>
      </c>
      <c r="D15" s="177" t="s">
        <v>2396</v>
      </c>
    </row>
    <row r="16" spans="1:7" ht="38">
      <c r="A16" s="24" t="s">
        <v>871</v>
      </c>
      <c r="B16" s="12" t="s">
        <v>872</v>
      </c>
      <c r="C16" s="176" t="s">
        <v>1661</v>
      </c>
      <c r="D16" s="177" t="s">
        <v>2397</v>
      </c>
    </row>
    <row r="17" spans="1:4" ht="38">
      <c r="A17" s="24" t="s">
        <v>760</v>
      </c>
      <c r="B17" s="12" t="s">
        <v>761</v>
      </c>
      <c r="C17" s="176" t="s">
        <v>1562</v>
      </c>
      <c r="D17" s="177" t="s">
        <v>2398</v>
      </c>
    </row>
    <row r="18" spans="1:4" ht="19">
      <c r="A18" s="24" t="s">
        <v>883</v>
      </c>
      <c r="B18" s="12" t="s">
        <v>884</v>
      </c>
      <c r="C18" s="176" t="s">
        <v>1661</v>
      </c>
      <c r="D18" s="177" t="s">
        <v>2399</v>
      </c>
    </row>
    <row r="19" spans="1:4" ht="38">
      <c r="A19" s="24" t="s">
        <v>890</v>
      </c>
      <c r="B19" s="12" t="s">
        <v>891</v>
      </c>
      <c r="C19" s="176" t="s">
        <v>1661</v>
      </c>
      <c r="D19" s="177" t="s">
        <v>2400</v>
      </c>
    </row>
    <row r="20" spans="1:4" ht="19">
      <c r="A20" s="24" t="s">
        <v>750</v>
      </c>
      <c r="B20" s="12" t="s">
        <v>751</v>
      </c>
      <c r="C20" s="176" t="s">
        <v>18</v>
      </c>
      <c r="D20" s="177" t="s">
        <v>2401</v>
      </c>
    </row>
    <row r="21" spans="1:4" ht="19">
      <c r="A21" s="24" t="s">
        <v>900</v>
      </c>
      <c r="B21" s="12" t="s">
        <v>901</v>
      </c>
      <c r="C21" s="176" t="s">
        <v>1562</v>
      </c>
      <c r="D21" s="177" t="s">
        <v>2402</v>
      </c>
    </row>
    <row r="22" spans="1:4" ht="38">
      <c r="A22" s="24" t="s">
        <v>907</v>
      </c>
      <c r="B22" s="12" t="s">
        <v>908</v>
      </c>
      <c r="C22" s="176" t="s">
        <v>1661</v>
      </c>
      <c r="D22" s="177" t="s">
        <v>2403</v>
      </c>
    </row>
    <row r="23" spans="1:4" ht="19">
      <c r="A23" s="24" t="s">
        <v>914</v>
      </c>
      <c r="B23" s="12" t="s">
        <v>915</v>
      </c>
      <c r="C23" s="176" t="s">
        <v>16</v>
      </c>
      <c r="D23" s="177" t="s">
        <v>2404</v>
      </c>
    </row>
    <row r="24" spans="1:4" ht="38">
      <c r="A24" s="24" t="s">
        <v>515</v>
      </c>
      <c r="B24" s="12" t="s">
        <v>516</v>
      </c>
      <c r="C24" s="176" t="s">
        <v>18</v>
      </c>
      <c r="D24" s="177" t="s">
        <v>2405</v>
      </c>
    </row>
    <row r="25" spans="1:4" ht="19">
      <c r="A25" s="24" t="s">
        <v>679</v>
      </c>
      <c r="B25" s="12" t="s">
        <v>680</v>
      </c>
      <c r="C25" s="176" t="s">
        <v>1567</v>
      </c>
      <c r="D25" s="177" t="s">
        <v>2406</v>
      </c>
    </row>
    <row r="26" spans="1:4" ht="19">
      <c r="A26" s="24" t="s">
        <v>611</v>
      </c>
      <c r="B26" s="12" t="s">
        <v>612</v>
      </c>
      <c r="C26" s="176" t="s">
        <v>18</v>
      </c>
      <c r="D26" s="177" t="s">
        <v>2407</v>
      </c>
    </row>
    <row r="27" spans="1:4" ht="38">
      <c r="A27" s="24" t="s">
        <v>713</v>
      </c>
      <c r="B27" s="12" t="s">
        <v>714</v>
      </c>
      <c r="C27" s="176" t="s">
        <v>1567</v>
      </c>
      <c r="D27" s="177" t="s">
        <v>2408</v>
      </c>
    </row>
    <row r="28" spans="1:4" ht="19">
      <c r="A28" s="24" t="s">
        <v>938</v>
      </c>
      <c r="B28" s="12" t="s">
        <v>939</v>
      </c>
      <c r="C28" s="176" t="s">
        <v>1562</v>
      </c>
      <c r="D28" s="177" t="s">
        <v>2409</v>
      </c>
    </row>
    <row r="29" spans="1:4" ht="38">
      <c r="A29" s="24" t="s">
        <v>945</v>
      </c>
      <c r="B29" s="12" t="s">
        <v>946</v>
      </c>
      <c r="C29" s="176" t="s">
        <v>1661</v>
      </c>
      <c r="D29" s="177" t="s">
        <v>2410</v>
      </c>
    </row>
    <row r="30" spans="1:4" ht="38">
      <c r="A30" s="24" t="s">
        <v>952</v>
      </c>
      <c r="B30" s="12" t="s">
        <v>953</v>
      </c>
      <c r="C30" s="176" t="s">
        <v>1567</v>
      </c>
      <c r="D30" s="177" t="s">
        <v>2411</v>
      </c>
    </row>
    <row r="31" spans="1:4" ht="38">
      <c r="A31" s="24" t="s">
        <v>959</v>
      </c>
      <c r="B31" s="12" t="s">
        <v>960</v>
      </c>
      <c r="C31" s="176" t="s">
        <v>1574</v>
      </c>
      <c r="D31" s="177" t="s">
        <v>2412</v>
      </c>
    </row>
    <row r="32" spans="1:4" ht="38">
      <c r="A32" s="24" t="s">
        <v>966</v>
      </c>
      <c r="B32" s="12" t="s">
        <v>967</v>
      </c>
      <c r="C32" s="176" t="s">
        <v>1574</v>
      </c>
      <c r="D32" s="177" t="s">
        <v>2413</v>
      </c>
    </row>
    <row r="33" spans="1:4" ht="57">
      <c r="A33" s="24" t="s">
        <v>649</v>
      </c>
      <c r="B33" s="12" t="s">
        <v>650</v>
      </c>
      <c r="C33" s="176" t="s">
        <v>1567</v>
      </c>
      <c r="D33" s="177" t="s">
        <v>2414</v>
      </c>
    </row>
    <row r="34" spans="1:4" ht="57">
      <c r="A34" s="24" t="s">
        <v>631</v>
      </c>
      <c r="B34" s="12" t="s">
        <v>632</v>
      </c>
      <c r="C34" s="176" t="s">
        <v>17</v>
      </c>
      <c r="D34" s="177" t="s">
        <v>2415</v>
      </c>
    </row>
    <row r="35" spans="1:4" ht="38">
      <c r="A35" s="24" t="s">
        <v>982</v>
      </c>
      <c r="B35" s="12" t="s">
        <v>983</v>
      </c>
      <c r="C35" s="176" t="s">
        <v>1562</v>
      </c>
      <c r="D35" s="178" t="s">
        <v>2416</v>
      </c>
    </row>
    <row r="36" spans="1:4" ht="38">
      <c r="A36" s="24" t="s">
        <v>765</v>
      </c>
      <c r="B36" s="12" t="s">
        <v>766</v>
      </c>
      <c r="C36" s="176" t="s">
        <v>21</v>
      </c>
      <c r="D36" s="178" t="s">
        <v>2417</v>
      </c>
    </row>
    <row r="37" spans="1:4" ht="19">
      <c r="A37" s="24" t="s">
        <v>991</v>
      </c>
      <c r="B37" s="12" t="s">
        <v>992</v>
      </c>
      <c r="C37" s="176" t="s">
        <v>18</v>
      </c>
      <c r="D37" s="177" t="s">
        <v>2418</v>
      </c>
    </row>
    <row r="38" spans="1:4" ht="38">
      <c r="A38" s="24" t="s">
        <v>997</v>
      </c>
      <c r="B38" s="12" t="s">
        <v>998</v>
      </c>
      <c r="C38" s="176" t="s">
        <v>1574</v>
      </c>
      <c r="D38" s="177" t="s">
        <v>2419</v>
      </c>
    </row>
    <row r="39" spans="1:4" ht="38">
      <c r="A39" s="24" t="s">
        <v>1004</v>
      </c>
      <c r="B39" s="12" t="s">
        <v>1005</v>
      </c>
      <c r="C39" s="176" t="s">
        <v>1567</v>
      </c>
      <c r="D39" s="177" t="s">
        <v>2420</v>
      </c>
    </row>
    <row r="40" spans="1:4" ht="38">
      <c r="A40" s="24" t="s">
        <v>830</v>
      </c>
      <c r="B40" s="12" t="s">
        <v>831</v>
      </c>
      <c r="C40" s="176" t="s">
        <v>17</v>
      </c>
      <c r="D40" s="177" t="s">
        <v>2421</v>
      </c>
    </row>
    <row r="41" spans="1:4" ht="38">
      <c r="A41" s="24" t="s">
        <v>789</v>
      </c>
      <c r="B41" s="12" t="s">
        <v>790</v>
      </c>
      <c r="C41" s="176" t="s">
        <v>21</v>
      </c>
      <c r="D41" s="177" t="s">
        <v>2422</v>
      </c>
    </row>
    <row r="42" spans="1:4">
      <c r="A42" s="24" t="s">
        <v>527</v>
      </c>
      <c r="B42" s="12" t="s">
        <v>528</v>
      </c>
      <c r="C42" s="176"/>
    </row>
    <row r="43" spans="1:4">
      <c r="A43" s="24" t="s">
        <v>1024</v>
      </c>
      <c r="B43" s="12" t="s">
        <v>1025</v>
      </c>
      <c r="C43" s="176"/>
    </row>
    <row r="44" spans="1:4">
      <c r="A44" s="24" t="s">
        <v>1031</v>
      </c>
      <c r="B44" s="12" t="s">
        <v>1032</v>
      </c>
      <c r="C44" s="176"/>
    </row>
    <row r="45" spans="1:4">
      <c r="A45" s="24" t="s">
        <v>816</v>
      </c>
      <c r="B45" s="12" t="s">
        <v>817</v>
      </c>
      <c r="C45" s="176"/>
    </row>
    <row r="46" spans="1:4">
      <c r="A46" s="24" t="s">
        <v>1035</v>
      </c>
      <c r="B46" s="12" t="s">
        <v>1036</v>
      </c>
      <c r="C46" s="176"/>
    </row>
    <row r="47" spans="1:4">
      <c r="A47" s="24" t="s">
        <v>672</v>
      </c>
      <c r="B47" s="12" t="s">
        <v>673</v>
      </c>
      <c r="C47" s="176"/>
    </row>
    <row r="48" spans="1:4">
      <c r="A48" s="24" t="s">
        <v>706</v>
      </c>
      <c r="B48" s="12" t="s">
        <v>707</v>
      </c>
      <c r="C48" s="176"/>
    </row>
    <row r="49" spans="1:4">
      <c r="A49" s="24" t="s">
        <v>1048</v>
      </c>
      <c r="B49" s="12" t="s">
        <v>1049</v>
      </c>
      <c r="C49" s="176"/>
    </row>
    <row r="50" spans="1:4">
      <c r="A50" s="24" t="s">
        <v>1054</v>
      </c>
      <c r="B50" s="12" t="s">
        <v>1055</v>
      </c>
      <c r="C50" s="176"/>
    </row>
    <row r="51" spans="1:4">
      <c r="A51" s="24" t="s">
        <v>569</v>
      </c>
      <c r="B51" s="12" t="s">
        <v>707</v>
      </c>
      <c r="C51" s="176"/>
    </row>
    <row r="52" spans="1:4">
      <c r="A52" s="24" t="s">
        <v>1065</v>
      </c>
      <c r="B52" s="12" t="s">
        <v>1066</v>
      </c>
      <c r="C52" s="176"/>
    </row>
    <row r="53" spans="1:4">
      <c r="A53" s="24" t="s">
        <v>1070</v>
      </c>
      <c r="B53" s="12" t="s">
        <v>1071</v>
      </c>
      <c r="C53" s="176"/>
    </row>
    <row r="54" spans="1:4">
      <c r="A54" s="24" t="s">
        <v>605</v>
      </c>
      <c r="B54" s="12" t="s">
        <v>606</v>
      </c>
      <c r="C54" s="176"/>
    </row>
    <row r="55" spans="1:4">
      <c r="A55" s="24" t="s">
        <v>1081</v>
      </c>
      <c r="B55" s="12" t="s">
        <v>1082</v>
      </c>
      <c r="C55" s="176"/>
    </row>
    <row r="56" spans="1:4">
      <c r="A56" s="24" t="s">
        <v>1087</v>
      </c>
      <c r="B56" s="12" t="s">
        <v>1088</v>
      </c>
      <c r="C56" s="176"/>
    </row>
    <row r="57" spans="1:4">
      <c r="A57" s="24" t="s">
        <v>1093</v>
      </c>
      <c r="B57" s="12" t="s">
        <v>1094</v>
      </c>
      <c r="C57" s="176"/>
    </row>
    <row r="58" spans="1:4">
      <c r="A58" s="24" t="s">
        <v>853</v>
      </c>
      <c r="B58" s="12" t="s">
        <v>854</v>
      </c>
      <c r="C58" s="176"/>
    </row>
    <row r="59" spans="1:4" ht="19">
      <c r="A59" s="24" t="s">
        <v>725</v>
      </c>
      <c r="B59" s="12" t="s">
        <v>726</v>
      </c>
      <c r="C59" s="176"/>
      <c r="D59" s="177" t="s">
        <v>2423</v>
      </c>
    </row>
    <row r="60" spans="1:4" ht="19">
      <c r="A60" s="24" t="s">
        <v>731</v>
      </c>
      <c r="B60" s="12" t="s">
        <v>732</v>
      </c>
      <c r="C60" s="176"/>
      <c r="D60" s="177" t="s">
        <v>2424</v>
      </c>
    </row>
    <row r="61" spans="1:4">
      <c r="A61" s="24" t="s">
        <v>1113</v>
      </c>
      <c r="B61" s="12" t="s">
        <v>1114</v>
      </c>
      <c r="C61" s="176"/>
    </row>
    <row r="62" spans="1:4" ht="19">
      <c r="A62" s="24" t="s">
        <v>642</v>
      </c>
      <c r="B62" s="12" t="s">
        <v>643</v>
      </c>
      <c r="C62" s="176"/>
      <c r="D62" s="177" t="s">
        <v>2425</v>
      </c>
    </row>
    <row r="63" spans="1:4">
      <c r="A63" s="24" t="s">
        <v>1125</v>
      </c>
      <c r="B63" s="12" t="s">
        <v>1126</v>
      </c>
      <c r="C63" s="176"/>
    </row>
    <row r="64" spans="1:4">
      <c r="A64" s="24" t="s">
        <v>1132</v>
      </c>
      <c r="B64" s="12" t="s">
        <v>1133</v>
      </c>
      <c r="C64" s="176"/>
    </row>
    <row r="65" spans="1:4">
      <c r="A65" s="24" t="s">
        <v>1139</v>
      </c>
      <c r="B65" s="12" t="s">
        <v>1140</v>
      </c>
      <c r="C65" s="176"/>
    </row>
    <row r="66" spans="1:4" ht="19">
      <c r="A66" s="24" t="s">
        <v>600</v>
      </c>
      <c r="B66" s="12" t="s">
        <v>601</v>
      </c>
      <c r="C66" s="176"/>
      <c r="D66" s="177" t="s">
        <v>2426</v>
      </c>
    </row>
    <row r="67" spans="1:4">
      <c r="A67" s="24" t="s">
        <v>1150</v>
      </c>
      <c r="B67" s="12" t="s">
        <v>1151</v>
      </c>
      <c r="C67" s="176"/>
    </row>
    <row r="68" spans="1:4">
      <c r="A68" s="24" t="s">
        <v>637</v>
      </c>
      <c r="B68" s="12" t="s">
        <v>638</v>
      </c>
      <c r="C68" s="176"/>
    </row>
    <row r="69" spans="1:4">
      <c r="A69" s="24" t="s">
        <v>1160</v>
      </c>
      <c r="B69" s="12" t="s">
        <v>1161</v>
      </c>
      <c r="C69" s="176"/>
    </row>
    <row r="70" spans="1:4">
      <c r="A70" s="24" t="s">
        <v>777</v>
      </c>
      <c r="B70" s="12" t="s">
        <v>778</v>
      </c>
      <c r="C70" s="176"/>
    </row>
    <row r="71" spans="1:4">
      <c r="A71" s="24" t="s">
        <v>1170</v>
      </c>
      <c r="B71" s="12" t="s">
        <v>1171</v>
      </c>
      <c r="C71" s="176"/>
    </row>
    <row r="72" spans="1:4">
      <c r="A72" s="24" t="s">
        <v>1176</v>
      </c>
      <c r="B72" s="12" t="s">
        <v>1177</v>
      </c>
      <c r="C72" s="176"/>
    </row>
    <row r="73" spans="1:4">
      <c r="A73" s="24" t="s">
        <v>1183</v>
      </c>
      <c r="B73" s="12" t="s">
        <v>1184</v>
      </c>
      <c r="C73" s="176"/>
    </row>
    <row r="74" spans="1:4">
      <c r="A74" s="24" t="s">
        <v>739</v>
      </c>
      <c r="B74" s="12" t="s">
        <v>740</v>
      </c>
      <c r="C74" s="176"/>
    </row>
    <row r="75" spans="1:4">
      <c r="A75" s="24" t="s">
        <v>720</v>
      </c>
      <c r="B75" s="12" t="s">
        <v>721</v>
      </c>
      <c r="C75" s="176"/>
    </row>
    <row r="76" spans="1:4">
      <c r="A76" s="24" t="s">
        <v>563</v>
      </c>
      <c r="B76" s="12" t="s">
        <v>564</v>
      </c>
      <c r="C76" s="176"/>
    </row>
    <row r="77" spans="1:4">
      <c r="A77" s="24" t="s">
        <v>1203</v>
      </c>
      <c r="B77" s="12" t="s">
        <v>1204</v>
      </c>
      <c r="C77" s="176"/>
    </row>
    <row r="78" spans="1:4">
      <c r="A78" s="24" t="s">
        <v>1209</v>
      </c>
      <c r="B78" s="12" t="s">
        <v>1210</v>
      </c>
      <c r="C78" s="176"/>
    </row>
    <row r="79" spans="1:4" ht="38">
      <c r="A79" s="24" t="s">
        <v>532</v>
      </c>
      <c r="B79" s="12" t="s">
        <v>533</v>
      </c>
      <c r="C79" s="176"/>
      <c r="D79" s="177" t="s">
        <v>2427</v>
      </c>
    </row>
    <row r="80" spans="1:4">
      <c r="A80" s="24" t="s">
        <v>770</v>
      </c>
      <c r="B80" s="12" t="s">
        <v>1219</v>
      </c>
      <c r="C80" s="176"/>
    </row>
    <row r="81" spans="1:6">
      <c r="A81" s="24" t="s">
        <v>1225</v>
      </c>
      <c r="B81" s="12" t="s">
        <v>1226</v>
      </c>
      <c r="C81" s="176"/>
    </row>
    <row r="82" spans="1:6">
      <c r="A82" s="24" t="s">
        <v>1232</v>
      </c>
      <c r="B82" s="12" t="s">
        <v>1233</v>
      </c>
      <c r="C82" s="176"/>
    </row>
    <row r="83" spans="1:6">
      <c r="A83" s="24" t="s">
        <v>1239</v>
      </c>
      <c r="B83" s="12" t="s">
        <v>1240</v>
      </c>
      <c r="C83" s="176"/>
    </row>
    <row r="84" spans="1:6">
      <c r="A84" s="24" t="s">
        <v>1243</v>
      </c>
      <c r="B84" s="12" t="s">
        <v>1244</v>
      </c>
      <c r="C84" s="176"/>
    </row>
    <row r="85" spans="1:6">
      <c r="A85" s="24" t="s">
        <v>1247</v>
      </c>
      <c r="B85" s="12" t="s">
        <v>1248</v>
      </c>
      <c r="C85" s="176"/>
    </row>
    <row r="86" spans="1:6">
      <c r="A86" s="24" t="s">
        <v>1251</v>
      </c>
      <c r="B86" s="12" t="s">
        <v>1252</v>
      </c>
      <c r="C86" s="176"/>
    </row>
    <row r="87" spans="1:6">
      <c r="A87" s="24" t="s">
        <v>1254</v>
      </c>
      <c r="B87" s="12" t="s">
        <v>659</v>
      </c>
      <c r="C87" s="176"/>
    </row>
    <row r="88" spans="1:6">
      <c r="A88" s="24" t="s">
        <v>1255</v>
      </c>
      <c r="B88" s="12" t="s">
        <v>1256</v>
      </c>
      <c r="C88" s="176"/>
    </row>
    <row r="89" spans="1:6">
      <c r="A89" s="24" t="s">
        <v>1257</v>
      </c>
      <c r="B89" s="12" t="s">
        <v>1258</v>
      </c>
      <c r="C89" s="176"/>
    </row>
    <row r="90" spans="1:6">
      <c r="A90" s="24" t="s">
        <v>1260</v>
      </c>
      <c r="B90" s="12" t="s">
        <v>1261</v>
      </c>
      <c r="C90" s="176"/>
    </row>
    <row r="91" spans="1:6">
      <c r="A91" s="24" t="s">
        <v>1264</v>
      </c>
      <c r="B91" s="12" t="s">
        <v>1265</v>
      </c>
      <c r="C91" s="176"/>
    </row>
    <row r="92" spans="1:6" ht="19">
      <c r="A92" s="24" t="s">
        <v>583</v>
      </c>
      <c r="B92" s="12" t="s">
        <v>584</v>
      </c>
      <c r="C92" s="176"/>
      <c r="D92" s="177" t="s">
        <v>2428</v>
      </c>
    </row>
    <row r="93" spans="1:6">
      <c r="A93" s="109"/>
      <c r="B93" s="179"/>
      <c r="C93" s="179"/>
    </row>
    <row r="94" spans="1:6">
      <c r="A94" s="109"/>
      <c r="B94" s="179"/>
      <c r="C94" s="179"/>
    </row>
    <row r="95" spans="1:6">
      <c r="A95" s="109"/>
      <c r="B95" s="179"/>
      <c r="C95" s="179"/>
      <c r="D95" s="180"/>
      <c r="F95" s="181"/>
    </row>
    <row r="96" spans="1:6">
      <c r="A96" s="109"/>
      <c r="B96" s="179"/>
      <c r="C96" s="179"/>
      <c r="D96" s="180"/>
      <c r="F96" s="181"/>
    </row>
    <row r="97" spans="1:6">
      <c r="A97" s="109"/>
      <c r="B97" s="179"/>
      <c r="C97" s="179"/>
      <c r="D97" s="180"/>
      <c r="F97" s="181"/>
    </row>
    <row r="98" spans="1:6">
      <c r="A98" s="109"/>
      <c r="B98" s="179"/>
      <c r="C98" s="179"/>
      <c r="D98" s="180"/>
      <c r="F98" s="181"/>
    </row>
    <row r="99" spans="1:6">
      <c r="A99" s="109"/>
      <c r="B99" s="179"/>
      <c r="C99" s="179"/>
      <c r="D99" s="180"/>
      <c r="F99" s="181"/>
    </row>
    <row r="100" spans="1:6">
      <c r="A100" s="109"/>
      <c r="B100" s="179"/>
      <c r="C100" s="179"/>
      <c r="D100" s="180"/>
      <c r="F100" s="181"/>
    </row>
    <row r="101" spans="1:6">
      <c r="A101" s="109"/>
      <c r="B101" s="179"/>
      <c r="C101" s="179"/>
      <c r="D101" s="180"/>
      <c r="F101" s="181"/>
    </row>
    <row r="102" spans="1:6">
      <c r="A102" s="109"/>
      <c r="B102" s="179"/>
      <c r="C102" s="179"/>
      <c r="D102" s="180"/>
      <c r="F102" s="181"/>
    </row>
    <row r="103" spans="1:6">
      <c r="A103" s="109"/>
      <c r="B103" s="179"/>
      <c r="C103" s="179"/>
      <c r="D103" s="180"/>
      <c r="F103" s="181"/>
    </row>
    <row r="104" spans="1:6">
      <c r="A104" s="109"/>
      <c r="B104" s="179"/>
      <c r="C104" s="179"/>
      <c r="D104" s="180"/>
      <c r="F104" s="181"/>
    </row>
  </sheetData>
  <mergeCells count="1">
    <mergeCell ref="A1:D1"/>
  </mergeCells>
  <phoneticPr fontId="8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appy"/>
  <dimension ref="A1:BG320"/>
  <sheetViews>
    <sheetView workbookViewId="0">
      <pane ySplit="2" topLeftCell="A3" activePane="bottomLeft" state="frozen"/>
      <selection pane="bottomLeft"/>
    </sheetView>
  </sheetViews>
  <sheetFormatPr baseColWidth="10" defaultColWidth="13.7109375" defaultRowHeight="18" customHeight="1"/>
  <cols>
    <col min="1" max="1" width="11" style="159" customWidth="1"/>
    <col min="2" max="2" width="34.85546875" style="159" customWidth="1"/>
    <col min="3" max="3" width="8.140625" style="13" customWidth="1"/>
    <col min="4" max="4" width="89.85546875" style="212" customWidth="1"/>
    <col min="5" max="5" width="41.5703125" style="212" customWidth="1"/>
    <col min="6" max="6" width="35" style="281" customWidth="1"/>
    <col min="7" max="7" width="12.5703125" style="159" customWidth="1"/>
    <col min="8" max="8" width="32.7109375" style="159" customWidth="1"/>
    <col min="9" max="9" width="8.140625" style="189" customWidth="1"/>
    <col min="10" max="10" width="89.85546875" style="212" customWidth="1"/>
    <col min="11" max="11" width="37.42578125" style="212" customWidth="1"/>
    <col min="12" max="12" width="33.140625" style="506" customWidth="1"/>
    <col min="13" max="21" width="3.28515625" style="159" customWidth="1"/>
    <col min="22" max="59" width="3.28515625" style="208" customWidth="1"/>
  </cols>
  <sheetData>
    <row r="1" spans="1:57" s="194" customFormat="1" ht="30" customHeight="1">
      <c r="A1" s="182" t="s">
        <v>5266</v>
      </c>
      <c r="B1" s="183" t="s">
        <v>2429</v>
      </c>
      <c r="C1" s="184" t="s">
        <v>2430</v>
      </c>
      <c r="D1" s="185" t="s">
        <v>2431</v>
      </c>
      <c r="E1" s="186" t="s">
        <v>5267</v>
      </c>
      <c r="F1" s="187" t="s">
        <v>2432</v>
      </c>
      <c r="G1" s="188"/>
      <c r="H1" s="159"/>
      <c r="I1" s="189"/>
      <c r="J1" s="190"/>
      <c r="K1" s="191" t="s">
        <v>2433</v>
      </c>
      <c r="L1" s="192" t="s">
        <v>2434</v>
      </c>
      <c r="M1" s="193"/>
      <c r="N1" s="193"/>
      <c r="O1" s="193"/>
      <c r="P1" s="193"/>
      <c r="Q1" s="193"/>
      <c r="R1" s="193"/>
      <c r="S1" s="193"/>
      <c r="T1" s="193"/>
      <c r="U1" s="193"/>
    </row>
    <row r="2" spans="1:57" s="24" customFormat="1" ht="27" customHeight="1">
      <c r="A2" s="5" t="s">
        <v>4</v>
      </c>
      <c r="B2" s="6" t="s">
        <v>5</v>
      </c>
      <c r="C2" s="5" t="s">
        <v>10</v>
      </c>
      <c r="D2" s="5" t="s">
        <v>2435</v>
      </c>
      <c r="E2" s="5" t="s">
        <v>2436</v>
      </c>
      <c r="F2" s="195"/>
      <c r="G2" s="5" t="s">
        <v>4</v>
      </c>
      <c r="H2" s="6" t="s">
        <v>5</v>
      </c>
      <c r="I2" s="5" t="s">
        <v>10</v>
      </c>
      <c r="J2" s="5" t="s">
        <v>2437</v>
      </c>
      <c r="K2" s="5" t="s">
        <v>2438</v>
      </c>
      <c r="L2" s="196" t="s">
        <v>2439</v>
      </c>
      <c r="M2" s="5"/>
      <c r="N2" s="5"/>
      <c r="O2" s="5"/>
      <c r="P2" s="5"/>
      <c r="Q2" s="5"/>
      <c r="R2" s="5"/>
      <c r="S2" s="5"/>
      <c r="T2" s="5"/>
      <c r="U2" s="5"/>
      <c r="AE2" s="24" t="s">
        <v>2440</v>
      </c>
    </row>
    <row r="3" spans="1:57" ht="35.25" customHeight="1">
      <c r="A3" s="197"/>
      <c r="B3" s="198"/>
      <c r="C3" s="199"/>
      <c r="D3" s="4" t="s">
        <v>2441</v>
      </c>
      <c r="E3" s="200" t="s">
        <v>2442</v>
      </c>
      <c r="F3" s="201"/>
      <c r="G3" s="197"/>
      <c r="H3" s="202"/>
      <c r="I3" s="203"/>
      <c r="J3" s="204" t="s">
        <v>2443</v>
      </c>
      <c r="K3" s="205"/>
      <c r="L3" s="206"/>
      <c r="M3" s="207"/>
      <c r="N3" s="207"/>
      <c r="O3" s="207"/>
      <c r="P3" s="207"/>
      <c r="Q3" s="207"/>
      <c r="R3" s="207"/>
    </row>
    <row r="4" spans="1:57">
      <c r="A4" s="209" t="s">
        <v>14</v>
      </c>
      <c r="B4" s="5" t="s">
        <v>15</v>
      </c>
      <c r="C4" s="10" t="s">
        <v>1562</v>
      </c>
      <c r="D4" s="142" t="s">
        <v>2444</v>
      </c>
      <c r="E4" s="142"/>
      <c r="F4" s="210"/>
      <c r="G4" s="209" t="s">
        <v>19</v>
      </c>
      <c r="H4" s="211" t="s">
        <v>20</v>
      </c>
      <c r="I4" s="13" t="s">
        <v>16</v>
      </c>
      <c r="J4" s="212" t="s">
        <v>2445</v>
      </c>
      <c r="L4" s="206"/>
      <c r="M4" s="207"/>
      <c r="N4" s="207"/>
      <c r="O4" s="207"/>
      <c r="P4" s="207"/>
      <c r="Q4" s="207"/>
      <c r="R4" s="207"/>
      <c r="AJ4" s="213"/>
      <c r="AK4" s="213"/>
      <c r="AM4" s="213"/>
      <c r="AN4" s="213"/>
    </row>
    <row r="5" spans="1:57">
      <c r="A5" s="209" t="s">
        <v>26</v>
      </c>
      <c r="B5" s="5" t="s">
        <v>27</v>
      </c>
      <c r="C5" s="10" t="s">
        <v>21</v>
      </c>
      <c r="D5" s="142"/>
      <c r="E5" s="142"/>
      <c r="F5" s="210" t="s">
        <v>2446</v>
      </c>
      <c r="G5" s="5" t="s">
        <v>29</v>
      </c>
      <c r="H5" s="214" t="s">
        <v>30</v>
      </c>
      <c r="I5" s="13" t="s">
        <v>21</v>
      </c>
      <c r="J5" s="212" t="s">
        <v>2447</v>
      </c>
      <c r="L5" s="206"/>
      <c r="M5" s="207"/>
      <c r="N5" s="215"/>
      <c r="O5" s="215"/>
      <c r="P5" s="207"/>
      <c r="Q5" s="207"/>
      <c r="R5" s="207"/>
      <c r="Y5" s="216"/>
      <c r="Z5" s="216"/>
      <c r="AJ5" s="213"/>
      <c r="AK5" s="213"/>
      <c r="AL5" s="213"/>
      <c r="AM5" s="213"/>
      <c r="AN5" s="213"/>
    </row>
    <row r="6" spans="1:57">
      <c r="A6" s="209" t="s">
        <v>34</v>
      </c>
      <c r="B6" s="5" t="s">
        <v>35</v>
      </c>
      <c r="C6" s="10" t="s">
        <v>1661</v>
      </c>
      <c r="D6" s="142" t="s">
        <v>2448</v>
      </c>
      <c r="E6" s="142" t="s">
        <v>2449</v>
      </c>
      <c r="F6" s="210" t="s">
        <v>2450</v>
      </c>
      <c r="G6" s="209" t="s">
        <v>36</v>
      </c>
      <c r="H6" s="211" t="s">
        <v>37</v>
      </c>
      <c r="I6" s="13" t="s">
        <v>1574</v>
      </c>
      <c r="J6" s="212" t="s">
        <v>2451</v>
      </c>
      <c r="L6" s="206"/>
      <c r="M6" s="207"/>
      <c r="N6" s="215"/>
      <c r="O6" s="215"/>
      <c r="P6" s="207"/>
      <c r="Q6" s="207"/>
      <c r="R6" s="207"/>
      <c r="V6" s="216"/>
      <c r="W6" s="216"/>
      <c r="X6" s="216"/>
      <c r="Y6" s="217"/>
      <c r="Z6" s="216"/>
      <c r="AA6" s="216"/>
      <c r="AB6" s="216"/>
      <c r="AC6" s="216"/>
      <c r="AD6" s="216"/>
      <c r="AJ6" s="213"/>
      <c r="AK6" s="213"/>
      <c r="AL6" s="213"/>
      <c r="AM6" s="213"/>
      <c r="AN6" s="213"/>
    </row>
    <row r="7" spans="1:57">
      <c r="A7" s="209" t="s">
        <v>41</v>
      </c>
      <c r="B7" s="5" t="s">
        <v>42</v>
      </c>
      <c r="C7" s="10" t="s">
        <v>1574</v>
      </c>
      <c r="D7" s="142" t="s">
        <v>2452</v>
      </c>
      <c r="E7" s="142" t="s">
        <v>2453</v>
      </c>
      <c r="F7" s="210" t="s">
        <v>2454</v>
      </c>
      <c r="G7" s="209" t="s">
        <v>43</v>
      </c>
      <c r="H7" s="211" t="s">
        <v>44</v>
      </c>
      <c r="I7" s="13" t="s">
        <v>1661</v>
      </c>
      <c r="J7" s="212" t="s">
        <v>2455</v>
      </c>
      <c r="K7" s="212" t="s">
        <v>2456</v>
      </c>
      <c r="L7" s="206"/>
      <c r="M7" s="207"/>
      <c r="N7" s="207"/>
      <c r="O7" s="207"/>
      <c r="P7" s="207"/>
      <c r="Q7" s="207"/>
      <c r="R7" s="207"/>
      <c r="U7" s="218"/>
      <c r="V7" s="217"/>
      <c r="W7" s="216"/>
      <c r="X7" s="217"/>
      <c r="Y7" s="217"/>
      <c r="Z7" s="217"/>
      <c r="AA7" s="217"/>
      <c r="AB7" s="217"/>
      <c r="AC7" s="217"/>
      <c r="AD7" s="217"/>
      <c r="AE7" s="216"/>
      <c r="AF7" s="216"/>
      <c r="AK7" s="213"/>
      <c r="AL7" s="213"/>
      <c r="AM7" s="213"/>
      <c r="AR7" s="219"/>
      <c r="AS7" s="219"/>
      <c r="AT7" s="219"/>
      <c r="AU7" s="219"/>
      <c r="AV7" s="219"/>
      <c r="AW7" s="219"/>
      <c r="AX7" s="219"/>
      <c r="AY7" s="219"/>
      <c r="AZ7" s="219"/>
    </row>
    <row r="8" spans="1:57">
      <c r="A8" s="220" t="s">
        <v>48</v>
      </c>
      <c r="B8" s="221" t="s">
        <v>49</v>
      </c>
      <c r="C8" s="10" t="s">
        <v>17</v>
      </c>
      <c r="D8" s="142" t="s">
        <v>2457</v>
      </c>
      <c r="E8" s="142"/>
      <c r="F8" s="210"/>
      <c r="G8" s="5" t="s">
        <v>50</v>
      </c>
      <c r="H8" s="211" t="s">
        <v>51</v>
      </c>
      <c r="I8" s="13" t="s">
        <v>18</v>
      </c>
      <c r="J8" s="212" t="s">
        <v>2458</v>
      </c>
      <c r="L8" s="206"/>
      <c r="M8" s="207"/>
      <c r="N8" s="207"/>
      <c r="O8" s="215"/>
      <c r="P8" s="207"/>
      <c r="Q8" s="207"/>
      <c r="R8" s="207"/>
      <c r="T8" s="218"/>
      <c r="U8" s="218"/>
      <c r="V8" s="217"/>
      <c r="W8" s="217"/>
      <c r="X8" s="217"/>
      <c r="Y8" s="217"/>
      <c r="Z8" s="217"/>
      <c r="AA8" s="217"/>
      <c r="AB8" s="217"/>
      <c r="AC8" s="217"/>
      <c r="AD8" s="217"/>
      <c r="AE8" s="217"/>
      <c r="AF8" s="217"/>
      <c r="AG8" s="216"/>
      <c r="AL8" s="213"/>
      <c r="AQ8" s="219"/>
      <c r="AR8" s="219"/>
      <c r="AS8" s="222"/>
      <c r="AT8" s="222"/>
      <c r="AU8" s="222"/>
      <c r="AV8" s="222"/>
      <c r="AW8" s="222"/>
      <c r="AX8" s="222"/>
      <c r="AY8" s="222"/>
      <c r="AZ8" s="219"/>
      <c r="BA8" s="219"/>
    </row>
    <row r="9" spans="1:57">
      <c r="A9" s="131" t="s">
        <v>55</v>
      </c>
      <c r="B9" s="223" t="s">
        <v>56</v>
      </c>
      <c r="C9" s="10" t="s">
        <v>17</v>
      </c>
      <c r="D9" s="142" t="s">
        <v>2459</v>
      </c>
      <c r="E9" s="142"/>
      <c r="F9" s="210"/>
      <c r="G9" s="209" t="s">
        <v>57</v>
      </c>
      <c r="H9" s="224" t="s">
        <v>58</v>
      </c>
      <c r="I9" s="13" t="s">
        <v>21</v>
      </c>
      <c r="J9" s="212" t="s">
        <v>2460</v>
      </c>
      <c r="L9" s="206"/>
      <c r="M9" s="207"/>
      <c r="N9" s="207"/>
      <c r="O9" s="215"/>
      <c r="P9" s="207"/>
      <c r="Q9" s="207"/>
      <c r="R9" s="207"/>
      <c r="S9" s="218"/>
      <c r="T9" s="225"/>
      <c r="U9" s="225"/>
      <c r="V9" s="216"/>
      <c r="W9" s="216"/>
      <c r="X9" s="217"/>
      <c r="Y9" s="217"/>
      <c r="Z9" s="217"/>
      <c r="AA9" s="217"/>
      <c r="AB9" s="217"/>
      <c r="AC9" s="217"/>
      <c r="AD9" s="217"/>
      <c r="AE9" s="217"/>
      <c r="AF9" s="217"/>
      <c r="AG9" s="217"/>
      <c r="AH9" s="216"/>
      <c r="AI9" s="216"/>
      <c r="AO9" s="219"/>
      <c r="AP9" s="219"/>
      <c r="AQ9" s="222"/>
      <c r="AR9" s="222"/>
      <c r="AS9" s="222"/>
      <c r="AT9" s="222"/>
      <c r="AU9" s="222"/>
      <c r="AV9" s="222"/>
      <c r="AW9" s="222"/>
      <c r="AX9" s="222"/>
      <c r="AY9" s="222"/>
      <c r="AZ9" s="222"/>
      <c r="BA9" s="222"/>
      <c r="BB9" s="219"/>
      <c r="BC9" s="219"/>
    </row>
    <row r="10" spans="1:57">
      <c r="A10" s="209" t="s">
        <v>62</v>
      </c>
      <c r="B10" s="5" t="s">
        <v>63</v>
      </c>
      <c r="C10" s="10" t="s">
        <v>1574</v>
      </c>
      <c r="D10" s="142" t="s">
        <v>2461</v>
      </c>
      <c r="E10" s="142"/>
      <c r="F10" s="210"/>
      <c r="G10" s="5" t="s">
        <v>64</v>
      </c>
      <c r="H10" s="214" t="s">
        <v>65</v>
      </c>
      <c r="I10" s="13" t="s">
        <v>28</v>
      </c>
      <c r="J10" s="212" t="s">
        <v>2462</v>
      </c>
      <c r="L10" s="206"/>
      <c r="M10" s="207"/>
      <c r="N10" s="207"/>
      <c r="O10" s="215"/>
      <c r="P10" s="207"/>
      <c r="Q10" s="207"/>
      <c r="R10" s="207"/>
      <c r="S10" s="218"/>
      <c r="T10" s="226"/>
      <c r="U10" s="225"/>
      <c r="V10" s="217"/>
      <c r="W10" s="216"/>
      <c r="X10" s="216"/>
      <c r="Y10" s="217"/>
      <c r="Z10" s="217"/>
      <c r="AA10" s="217"/>
      <c r="AB10" s="217"/>
      <c r="AC10" s="217"/>
      <c r="AD10" s="217"/>
      <c r="AE10" s="217"/>
      <c r="AF10" s="227"/>
      <c r="AG10" s="217"/>
      <c r="AH10" s="227"/>
      <c r="AI10" s="216"/>
      <c r="AN10" s="219"/>
      <c r="AO10" s="219"/>
      <c r="AP10" s="222"/>
      <c r="AQ10" s="222"/>
      <c r="AR10" s="222"/>
      <c r="AS10" s="222"/>
      <c r="AT10" s="222"/>
      <c r="AU10" s="222"/>
      <c r="AV10" s="222"/>
      <c r="AW10" s="222"/>
      <c r="AX10" s="222"/>
      <c r="AY10" s="222"/>
      <c r="AZ10" s="222"/>
      <c r="BA10" s="222"/>
      <c r="BB10" s="222"/>
      <c r="BC10" s="219"/>
      <c r="BD10" s="219"/>
    </row>
    <row r="11" spans="1:57">
      <c r="A11" s="209" t="s">
        <v>67</v>
      </c>
      <c r="B11" s="5" t="s">
        <v>68</v>
      </c>
      <c r="C11" s="10" t="s">
        <v>1661</v>
      </c>
      <c r="D11" s="142" t="s">
        <v>2463</v>
      </c>
      <c r="E11" s="142"/>
      <c r="F11" s="210"/>
      <c r="G11" s="209" t="s">
        <v>69</v>
      </c>
      <c r="H11" s="211" t="s">
        <v>70</v>
      </c>
      <c r="I11" s="13" t="s">
        <v>18</v>
      </c>
      <c r="J11" s="212" t="s">
        <v>2464</v>
      </c>
      <c r="L11" s="206"/>
      <c r="S11" s="218"/>
      <c r="T11" s="228"/>
      <c r="U11" s="228"/>
      <c r="V11" s="217"/>
      <c r="W11" s="227"/>
      <c r="X11" s="227"/>
      <c r="Y11" s="217"/>
      <c r="Z11" s="217"/>
      <c r="AA11" s="216"/>
      <c r="AB11" s="216"/>
      <c r="AC11" s="217"/>
      <c r="AD11" s="217"/>
      <c r="AE11" s="227"/>
      <c r="AF11" s="227"/>
      <c r="AG11" s="217"/>
      <c r="AH11" s="227"/>
      <c r="AI11" s="216"/>
      <c r="AN11" s="219"/>
      <c r="AO11" s="229"/>
      <c r="AP11" s="230"/>
      <c r="AQ11" s="222"/>
      <c r="AR11" s="222"/>
      <c r="AT11" s="222"/>
      <c r="AU11" s="222"/>
      <c r="AV11" s="222"/>
      <c r="AW11" s="222"/>
      <c r="AX11" s="222"/>
      <c r="AY11" s="222"/>
      <c r="AZ11" s="222"/>
      <c r="BA11" s="222"/>
      <c r="BB11" s="222"/>
      <c r="BD11" s="219"/>
    </row>
    <row r="12" spans="1:57">
      <c r="A12" s="209" t="s">
        <v>74</v>
      </c>
      <c r="B12" s="231" t="s">
        <v>75</v>
      </c>
      <c r="C12" s="10" t="s">
        <v>1562</v>
      </c>
      <c r="D12" s="142" t="s">
        <v>2465</v>
      </c>
      <c r="E12" s="142"/>
      <c r="F12" s="210"/>
      <c r="G12" s="209" t="s">
        <v>76</v>
      </c>
      <c r="H12" s="211" t="s">
        <v>77</v>
      </c>
      <c r="I12" s="13" t="s">
        <v>1562</v>
      </c>
      <c r="J12" s="212" t="s">
        <v>2466</v>
      </c>
      <c r="L12" s="206"/>
      <c r="P12" s="207"/>
      <c r="R12" s="218"/>
      <c r="S12" s="225"/>
      <c r="T12" s="232"/>
      <c r="U12" s="232"/>
      <c r="V12" s="216"/>
      <c r="W12" s="217"/>
      <c r="X12" s="217"/>
      <c r="Y12" s="217"/>
      <c r="Z12" s="216"/>
      <c r="AA12" s="216"/>
      <c r="AB12" s="217"/>
      <c r="AC12" s="217"/>
      <c r="AD12" s="217"/>
      <c r="AE12" s="216"/>
      <c r="AF12" s="216"/>
      <c r="AG12" s="217"/>
      <c r="AH12" s="217"/>
      <c r="AI12" s="217"/>
      <c r="AJ12" s="216"/>
      <c r="AM12" s="219"/>
      <c r="AN12" s="219"/>
      <c r="AO12" s="229"/>
      <c r="AP12" s="229"/>
      <c r="AQ12" s="219"/>
      <c r="AR12" s="222"/>
      <c r="AU12" s="222"/>
      <c r="AV12" s="222"/>
      <c r="AW12" s="222"/>
      <c r="AX12" s="222"/>
      <c r="AY12" s="222"/>
      <c r="BA12" s="222"/>
      <c r="BD12" s="219"/>
      <c r="BE12" s="219"/>
    </row>
    <row r="13" spans="1:57">
      <c r="A13" s="209" t="s">
        <v>81</v>
      </c>
      <c r="B13" s="233" t="s">
        <v>82</v>
      </c>
      <c r="C13" s="234" t="s">
        <v>21</v>
      </c>
      <c r="D13" s="142" t="s">
        <v>2467</v>
      </c>
      <c r="E13" s="142"/>
      <c r="F13" s="210"/>
      <c r="G13" s="209" t="s">
        <v>83</v>
      </c>
      <c r="H13" s="211" t="s">
        <v>84</v>
      </c>
      <c r="I13" s="13" t="s">
        <v>1567</v>
      </c>
      <c r="J13" s="212" t="s">
        <v>2468</v>
      </c>
      <c r="L13" s="206"/>
      <c r="R13" s="218"/>
      <c r="S13" s="225"/>
      <c r="T13" s="232"/>
      <c r="U13" s="235"/>
      <c r="V13" s="217"/>
      <c r="W13" s="217"/>
      <c r="X13" s="217"/>
      <c r="Y13" s="217"/>
      <c r="Z13" s="217"/>
      <c r="AA13" s="217"/>
      <c r="AB13" s="217"/>
      <c r="AC13" s="217"/>
      <c r="AD13" s="217"/>
      <c r="AE13" s="217"/>
      <c r="AF13" s="217"/>
      <c r="AG13" s="216"/>
      <c r="AH13" s="217"/>
      <c r="AI13" s="217"/>
      <c r="AJ13" s="236"/>
      <c r="AM13" s="219"/>
      <c r="AO13" s="230"/>
      <c r="AP13" s="230"/>
      <c r="AQ13" s="219"/>
      <c r="AR13" s="222"/>
      <c r="AS13" s="222"/>
      <c r="AT13" s="222"/>
      <c r="AU13" s="222"/>
      <c r="AV13" s="222"/>
      <c r="AW13" s="222"/>
      <c r="AX13" s="222"/>
      <c r="AY13" s="222"/>
      <c r="AZ13" s="222"/>
      <c r="BA13" s="222"/>
      <c r="BB13" s="219"/>
      <c r="BE13" s="237"/>
    </row>
    <row r="14" spans="1:57">
      <c r="A14" s="5" t="s">
        <v>88</v>
      </c>
      <c r="B14" s="5" t="s">
        <v>89</v>
      </c>
      <c r="C14" s="10" t="s">
        <v>1567</v>
      </c>
      <c r="D14" s="142"/>
      <c r="E14" s="142"/>
      <c r="F14" s="210"/>
      <c r="G14" s="209" t="s">
        <v>90</v>
      </c>
      <c r="H14" s="211" t="s">
        <v>91</v>
      </c>
      <c r="I14" s="13" t="s">
        <v>21</v>
      </c>
      <c r="J14" s="212" t="s">
        <v>2469</v>
      </c>
      <c r="L14" s="206"/>
      <c r="R14" s="218"/>
      <c r="S14" s="225"/>
      <c r="T14" s="235"/>
      <c r="U14" s="235"/>
      <c r="V14" s="217"/>
      <c r="W14" s="217"/>
      <c r="X14" s="217"/>
      <c r="Y14" s="216"/>
      <c r="Z14" s="217"/>
      <c r="AA14" s="216"/>
      <c r="AB14" s="216"/>
      <c r="AC14" s="216"/>
      <c r="AD14" s="217"/>
      <c r="AE14" s="217"/>
      <c r="AF14" s="217"/>
      <c r="AG14" s="216"/>
      <c r="AH14" s="216"/>
      <c r="AI14" s="217"/>
      <c r="AJ14" s="236"/>
      <c r="AM14" s="219"/>
      <c r="AN14" s="222"/>
      <c r="AO14" s="230"/>
      <c r="AP14" s="238"/>
      <c r="AQ14" s="222"/>
      <c r="AR14" s="222"/>
      <c r="AS14" s="222"/>
      <c r="AT14" s="222"/>
      <c r="AU14" s="222"/>
      <c r="AV14" s="222"/>
      <c r="AW14" s="222"/>
      <c r="AX14" s="222"/>
      <c r="AY14" s="222"/>
      <c r="AZ14" s="222"/>
      <c r="BA14" s="222"/>
      <c r="BB14" s="222"/>
      <c r="BC14" s="219"/>
      <c r="BD14" s="222"/>
      <c r="BE14" s="237"/>
    </row>
    <row r="15" spans="1:57">
      <c r="A15" s="209" t="s">
        <v>95</v>
      </c>
      <c r="B15" s="231" t="s">
        <v>96</v>
      </c>
      <c r="C15" s="10" t="s">
        <v>1567</v>
      </c>
      <c r="D15" s="142" t="s">
        <v>2470</v>
      </c>
      <c r="E15" s="142"/>
      <c r="F15" s="210"/>
      <c r="G15" s="209" t="s">
        <v>97</v>
      </c>
      <c r="H15" s="211" t="s">
        <v>98</v>
      </c>
      <c r="I15" s="13" t="s">
        <v>1661</v>
      </c>
      <c r="J15" s="212" t="s">
        <v>2471</v>
      </c>
      <c r="L15" s="206"/>
      <c r="Q15" s="218"/>
      <c r="R15" s="225"/>
      <c r="S15" s="225"/>
      <c r="T15" s="235"/>
      <c r="U15" s="232"/>
      <c r="V15" s="217"/>
      <c r="W15" s="217"/>
      <c r="X15" s="216"/>
      <c r="Y15" s="239"/>
      <c r="Z15" s="216"/>
      <c r="AA15" s="239"/>
      <c r="AB15" s="239"/>
      <c r="AC15" s="239"/>
      <c r="AD15" s="216"/>
      <c r="AE15" s="217"/>
      <c r="AF15" s="217"/>
      <c r="AG15" s="217"/>
      <c r="AH15" s="216"/>
      <c r="AI15" s="217"/>
      <c r="AJ15" s="240"/>
      <c r="AK15" s="216"/>
      <c r="AM15" s="219"/>
      <c r="AN15" s="222"/>
      <c r="AO15" s="230"/>
      <c r="AP15" s="238"/>
      <c r="AQ15" s="222"/>
      <c r="AR15" s="222"/>
      <c r="AS15" s="222"/>
      <c r="AT15" s="222"/>
      <c r="AU15" s="222"/>
      <c r="AV15" s="222"/>
      <c r="AW15" s="222"/>
      <c r="AX15" s="219"/>
      <c r="AY15" s="222"/>
      <c r="AZ15" s="222"/>
      <c r="BA15" s="222"/>
      <c r="BB15" s="222"/>
      <c r="BC15" s="219"/>
      <c r="BD15" s="222"/>
      <c r="BE15" s="237"/>
    </row>
    <row r="16" spans="1:57">
      <c r="A16" s="5" t="s">
        <v>102</v>
      </c>
      <c r="B16" s="220" t="s">
        <v>103</v>
      </c>
      <c r="C16" s="10" t="s">
        <v>21</v>
      </c>
      <c r="D16" s="142"/>
      <c r="E16" s="142"/>
      <c r="F16" s="210"/>
      <c r="G16" s="131" t="s">
        <v>104</v>
      </c>
      <c r="H16" s="241" t="s">
        <v>105</v>
      </c>
      <c r="I16" s="13" t="s">
        <v>17</v>
      </c>
      <c r="J16" s="212" t="s">
        <v>2472</v>
      </c>
      <c r="L16" s="206"/>
      <c r="Q16" s="218"/>
      <c r="R16" s="225"/>
      <c r="S16" s="225"/>
      <c r="T16" s="235"/>
      <c r="U16" s="232"/>
      <c r="V16" s="217"/>
      <c r="W16" s="217"/>
      <c r="X16" s="216"/>
      <c r="Y16" s="242"/>
      <c r="Z16" s="242"/>
      <c r="AA16" s="242"/>
      <c r="AB16" s="242"/>
      <c r="AC16" s="242"/>
      <c r="AD16" s="216"/>
      <c r="AE16" s="216"/>
      <c r="AF16" s="217"/>
      <c r="AG16" s="217"/>
      <c r="AH16" s="217"/>
      <c r="AI16" s="217"/>
      <c r="AJ16" s="240"/>
      <c r="AK16" s="216"/>
      <c r="AM16" s="219"/>
      <c r="AN16" s="222"/>
      <c r="AO16" s="230"/>
      <c r="AP16" s="238"/>
      <c r="AQ16" s="222"/>
      <c r="AR16" s="222"/>
      <c r="AS16" s="222"/>
      <c r="AT16" s="222"/>
      <c r="AU16" s="222"/>
      <c r="AV16" s="222"/>
      <c r="AW16" s="219"/>
      <c r="AX16" s="242"/>
      <c r="AY16" s="219"/>
      <c r="AZ16" s="222"/>
      <c r="BA16" s="222"/>
      <c r="BB16" s="222"/>
      <c r="BC16" s="219"/>
      <c r="BD16" s="222"/>
      <c r="BE16" s="237"/>
    </row>
    <row r="17" spans="1:57">
      <c r="A17" s="220" t="s">
        <v>109</v>
      </c>
      <c r="B17" s="220" t="s">
        <v>110</v>
      </c>
      <c r="C17" s="10" t="s">
        <v>28</v>
      </c>
      <c r="D17" s="142" t="s">
        <v>2473</v>
      </c>
      <c r="E17" s="142"/>
      <c r="F17" s="210"/>
      <c r="G17" s="209" t="s">
        <v>111</v>
      </c>
      <c r="H17" s="211" t="s">
        <v>112</v>
      </c>
      <c r="I17" s="13" t="s">
        <v>1567</v>
      </c>
      <c r="L17" s="206"/>
      <c r="R17" s="218"/>
      <c r="S17" s="225"/>
      <c r="T17" s="232"/>
      <c r="U17" s="232"/>
      <c r="V17" s="216"/>
      <c r="W17" s="216"/>
      <c r="X17" s="216"/>
      <c r="Y17" s="242"/>
      <c r="Z17" s="242"/>
      <c r="AA17" s="242"/>
      <c r="AB17" s="242"/>
      <c r="AC17" s="242"/>
      <c r="AD17" s="216"/>
      <c r="AE17" s="242"/>
      <c r="AF17" s="216"/>
      <c r="AG17" s="216"/>
      <c r="AH17" s="217"/>
      <c r="AI17" s="217"/>
      <c r="AJ17" s="236"/>
      <c r="AM17" s="219"/>
      <c r="AN17" s="222"/>
      <c r="AO17" s="230"/>
      <c r="AP17" s="238"/>
      <c r="AQ17" s="222"/>
      <c r="AR17" s="222"/>
      <c r="AS17" s="222"/>
      <c r="AT17" s="222"/>
      <c r="AU17" s="222"/>
      <c r="AV17" s="222"/>
      <c r="AW17" s="219"/>
      <c r="AX17" s="242"/>
      <c r="AY17" s="219"/>
      <c r="AZ17" s="219"/>
      <c r="BA17" s="222"/>
      <c r="BB17" s="222"/>
      <c r="BC17" s="219"/>
      <c r="BD17" s="222"/>
      <c r="BE17" s="237"/>
    </row>
    <row r="18" spans="1:57">
      <c r="A18" s="209" t="s">
        <v>116</v>
      </c>
      <c r="B18" s="5" t="s">
        <v>117</v>
      </c>
      <c r="C18" s="234" t="s">
        <v>22</v>
      </c>
      <c r="D18" s="142" t="s">
        <v>2474</v>
      </c>
      <c r="E18" s="142"/>
      <c r="F18" s="210"/>
      <c r="G18" s="209" t="s">
        <v>118</v>
      </c>
      <c r="H18" s="211" t="s">
        <v>119</v>
      </c>
      <c r="I18" s="13" t="s">
        <v>18</v>
      </c>
      <c r="L18" s="206"/>
      <c r="R18" s="218"/>
      <c r="S18" s="225"/>
      <c r="T18" s="235"/>
      <c r="U18" s="235"/>
      <c r="V18" s="242"/>
      <c r="W18" s="242"/>
      <c r="X18" s="216"/>
      <c r="Y18" s="242"/>
      <c r="Z18" s="242"/>
      <c r="AA18" s="242"/>
      <c r="AB18" s="242"/>
      <c r="AC18" s="242"/>
      <c r="AD18" s="242"/>
      <c r="AE18" s="242"/>
      <c r="AF18" s="242"/>
      <c r="AG18" s="216"/>
      <c r="AH18" s="216"/>
      <c r="AI18" s="217"/>
      <c r="AJ18" s="216"/>
      <c r="AM18" s="219"/>
      <c r="AN18" s="222"/>
      <c r="AO18" s="230"/>
      <c r="AP18" s="238"/>
      <c r="AQ18" s="222"/>
      <c r="AR18" s="222"/>
      <c r="AS18" s="222"/>
      <c r="AT18" s="222"/>
      <c r="AU18" s="222"/>
      <c r="AV18" s="222"/>
      <c r="AW18" s="219"/>
      <c r="AX18" s="242"/>
      <c r="AY18" s="219"/>
      <c r="AZ18" s="242"/>
      <c r="BA18" s="219"/>
      <c r="BB18" s="222"/>
      <c r="BC18" s="219"/>
      <c r="BD18" s="222"/>
      <c r="BE18" s="219"/>
    </row>
    <row r="19" spans="1:57">
      <c r="A19" s="220" t="s">
        <v>123</v>
      </c>
      <c r="B19" s="220" t="s">
        <v>124</v>
      </c>
      <c r="C19" s="234" t="s">
        <v>17</v>
      </c>
      <c r="D19" s="142" t="s">
        <v>2475</v>
      </c>
      <c r="E19" s="142"/>
      <c r="F19" s="210"/>
      <c r="G19" s="209" t="s">
        <v>125</v>
      </c>
      <c r="H19" s="211" t="s">
        <v>126</v>
      </c>
      <c r="I19" s="13" t="s">
        <v>1574</v>
      </c>
      <c r="J19" s="212" t="s">
        <v>2476</v>
      </c>
      <c r="L19" s="206"/>
      <c r="S19" s="218"/>
      <c r="T19" s="235"/>
      <c r="U19" s="235"/>
      <c r="V19" s="242"/>
      <c r="W19" s="243"/>
      <c r="X19" s="243"/>
      <c r="Y19" s="243"/>
      <c r="Z19" s="242"/>
      <c r="AA19" s="242"/>
      <c r="AB19" s="242"/>
      <c r="AC19" s="243"/>
      <c r="AD19" s="243"/>
      <c r="AE19" s="243"/>
      <c r="AF19" s="242"/>
      <c r="AG19" s="216"/>
      <c r="AH19" s="216"/>
      <c r="AI19" s="216"/>
      <c r="AM19" s="219"/>
      <c r="AN19" s="222"/>
      <c r="AO19" s="230"/>
      <c r="AP19" s="238"/>
      <c r="AQ19" s="222"/>
      <c r="AR19" s="222"/>
      <c r="AS19" s="222"/>
      <c r="AT19" s="222"/>
      <c r="AU19" s="222"/>
      <c r="AV19" s="222"/>
      <c r="AW19" s="219"/>
      <c r="AX19" s="243"/>
      <c r="AY19" s="243"/>
      <c r="AZ19" s="243"/>
      <c r="BA19" s="219"/>
      <c r="BB19" s="222"/>
      <c r="BC19" s="219"/>
      <c r="BD19" s="222"/>
      <c r="BE19" s="219"/>
    </row>
    <row r="20" spans="1:57">
      <c r="A20" s="5" t="s">
        <v>130</v>
      </c>
      <c r="B20" s="5" t="s">
        <v>129</v>
      </c>
      <c r="C20" s="10" t="s">
        <v>18</v>
      </c>
      <c r="D20" s="142" t="s">
        <v>2477</v>
      </c>
      <c r="E20" s="142"/>
      <c r="F20" s="210"/>
      <c r="G20" s="220" t="s">
        <v>131</v>
      </c>
      <c r="H20" s="214" t="s">
        <v>132</v>
      </c>
      <c r="I20" s="13" t="s">
        <v>21</v>
      </c>
      <c r="L20" s="206"/>
      <c r="T20" s="244"/>
      <c r="U20" s="245"/>
      <c r="V20" s="242"/>
      <c r="X20" s="246"/>
      <c r="Y20" s="246"/>
      <c r="Z20" s="242"/>
      <c r="AA20" s="242"/>
      <c r="AB20" s="242"/>
      <c r="AC20" s="246"/>
      <c r="AD20" s="246"/>
      <c r="AF20" s="242"/>
      <c r="AG20" s="242"/>
      <c r="AH20" s="247"/>
      <c r="AM20" s="219"/>
      <c r="AN20" s="222"/>
      <c r="AO20" s="230"/>
      <c r="AP20" s="238"/>
      <c r="AQ20" s="222"/>
      <c r="AR20" s="222"/>
      <c r="AS20" s="222"/>
      <c r="AT20" s="222"/>
      <c r="AU20" s="222"/>
      <c r="AV20" s="219"/>
      <c r="AW20" s="242"/>
      <c r="AX20" s="248"/>
      <c r="AY20" s="248"/>
      <c r="BA20" s="219"/>
      <c r="BB20" s="222"/>
      <c r="BC20" s="222"/>
      <c r="BD20" s="219"/>
      <c r="BE20" s="219"/>
    </row>
    <row r="21" spans="1:57">
      <c r="A21" s="5" t="s">
        <v>136</v>
      </c>
      <c r="B21" s="231" t="s">
        <v>137</v>
      </c>
      <c r="C21" s="10" t="s">
        <v>1567</v>
      </c>
      <c r="D21" s="142"/>
      <c r="E21" s="142"/>
      <c r="F21" s="210"/>
      <c r="G21" s="209" t="s">
        <v>138</v>
      </c>
      <c r="H21" s="211" t="s">
        <v>139</v>
      </c>
      <c r="I21" s="13" t="s">
        <v>1567</v>
      </c>
      <c r="J21" s="212" t="s">
        <v>2478</v>
      </c>
      <c r="L21" s="206"/>
      <c r="T21" s="249"/>
      <c r="U21" s="245"/>
      <c r="V21" s="242"/>
      <c r="W21" s="242"/>
      <c r="X21" s="242"/>
      <c r="Y21" s="242"/>
      <c r="Z21" s="242"/>
      <c r="AA21" s="242"/>
      <c r="AB21" s="242"/>
      <c r="AC21" s="242"/>
      <c r="AD21" s="242"/>
      <c r="AE21" s="242"/>
      <c r="AF21" s="242"/>
      <c r="AG21" s="242"/>
      <c r="AH21" s="247"/>
      <c r="AM21" s="219"/>
      <c r="AN21" s="222"/>
      <c r="AO21" s="230"/>
      <c r="AP21" s="230"/>
      <c r="AQ21" s="219"/>
      <c r="AR21" s="219"/>
      <c r="AS21" s="219"/>
      <c r="AT21" s="219"/>
      <c r="AU21" s="219"/>
      <c r="AV21" s="250"/>
      <c r="AW21" s="250"/>
      <c r="AX21" s="242"/>
      <c r="AY21" s="242"/>
      <c r="AZ21" s="242"/>
      <c r="BA21" s="242"/>
      <c r="BB21" s="219"/>
      <c r="BC21" s="222"/>
      <c r="BD21" s="219"/>
    </row>
    <row r="22" spans="1:57">
      <c r="A22" s="209" t="s">
        <v>143</v>
      </c>
      <c r="B22" s="5" t="s">
        <v>144</v>
      </c>
      <c r="C22" s="10" t="s">
        <v>1574</v>
      </c>
      <c r="D22" s="142" t="s">
        <v>2479</v>
      </c>
      <c r="E22" s="142"/>
      <c r="F22" s="210"/>
      <c r="G22" s="209" t="s">
        <v>145</v>
      </c>
      <c r="H22" s="211" t="s">
        <v>146</v>
      </c>
      <c r="I22" s="13" t="s">
        <v>1567</v>
      </c>
      <c r="J22" s="212" t="s">
        <v>2480</v>
      </c>
      <c r="L22" s="206"/>
      <c r="T22" s="251"/>
      <c r="U22" s="249"/>
      <c r="V22" s="247"/>
      <c r="W22" s="242"/>
      <c r="X22" s="242"/>
      <c r="Y22" s="242"/>
      <c r="Z22" s="242"/>
      <c r="AA22" s="242"/>
      <c r="AB22" s="242"/>
      <c r="AC22" s="242"/>
      <c r="AD22" s="242"/>
      <c r="AE22" s="242"/>
      <c r="AF22" s="247"/>
      <c r="AG22" s="247"/>
      <c r="AM22" s="219"/>
      <c r="AN22" s="222"/>
      <c r="AO22" s="238"/>
      <c r="AP22" s="230"/>
      <c r="AQ22" s="247"/>
      <c r="AR22" s="250"/>
      <c r="AS22" s="250"/>
      <c r="AT22" s="250"/>
      <c r="AU22" s="250"/>
      <c r="AV22" s="250"/>
      <c r="AW22" s="250"/>
      <c r="AX22" s="250"/>
      <c r="AY22" s="250"/>
      <c r="AZ22" s="250"/>
      <c r="BA22" s="247"/>
      <c r="BB22" s="243"/>
      <c r="BC22" s="222"/>
      <c r="BD22" s="219"/>
    </row>
    <row r="23" spans="1:57">
      <c r="A23" s="209" t="s">
        <v>150</v>
      </c>
      <c r="B23" s="5" t="s">
        <v>151</v>
      </c>
      <c r="C23" s="10" t="s">
        <v>1574</v>
      </c>
      <c r="D23" s="142" t="s">
        <v>2481</v>
      </c>
      <c r="E23" s="142"/>
      <c r="F23" s="210"/>
      <c r="G23" s="209" t="s">
        <v>152</v>
      </c>
      <c r="H23" s="224" t="s">
        <v>30</v>
      </c>
      <c r="I23" s="13" t="s">
        <v>21</v>
      </c>
      <c r="L23" s="206"/>
      <c r="W23" s="247"/>
      <c r="X23" s="247"/>
      <c r="Y23" s="247"/>
      <c r="Z23" s="239"/>
      <c r="AA23" s="239"/>
      <c r="AB23" s="239"/>
      <c r="AC23" s="247"/>
      <c r="AD23" s="247"/>
      <c r="AE23" s="247"/>
      <c r="AM23" s="219"/>
      <c r="AN23" s="222"/>
      <c r="AO23" s="219"/>
      <c r="AP23" s="219"/>
      <c r="AQ23" s="222"/>
      <c r="AR23" s="247"/>
      <c r="AS23" s="247"/>
      <c r="AT23" s="247"/>
      <c r="AU23" s="252"/>
      <c r="AV23" s="252"/>
      <c r="AW23" s="252"/>
      <c r="AX23" s="247"/>
      <c r="AY23" s="247"/>
      <c r="AZ23" s="247"/>
      <c r="BA23" s="222"/>
      <c r="BB23" s="222"/>
      <c r="BC23" s="222"/>
      <c r="BD23" s="219"/>
    </row>
    <row r="24" spans="1:57">
      <c r="A24" s="209" t="s">
        <v>156</v>
      </c>
      <c r="B24" s="5" t="s">
        <v>157</v>
      </c>
      <c r="C24" s="10" t="s">
        <v>1661</v>
      </c>
      <c r="D24" s="212" t="s">
        <v>2482</v>
      </c>
      <c r="F24" s="210"/>
      <c r="G24" s="220" t="s">
        <v>158</v>
      </c>
      <c r="H24" s="214" t="s">
        <v>159</v>
      </c>
      <c r="I24" s="13" t="s">
        <v>28</v>
      </c>
      <c r="L24" s="206"/>
      <c r="X24" s="243"/>
      <c r="Y24" s="253"/>
      <c r="Z24" s="222"/>
      <c r="AA24" s="213"/>
      <c r="AB24" s="222"/>
      <c r="AC24" s="253"/>
      <c r="AD24" s="243"/>
      <c r="AM24" s="219"/>
      <c r="AN24" s="219"/>
      <c r="AQ24" s="219"/>
      <c r="AR24" s="219"/>
      <c r="AS24" s="219"/>
      <c r="AT24" s="243"/>
      <c r="AU24" s="254"/>
      <c r="AV24" s="252"/>
      <c r="AW24" s="254"/>
      <c r="AX24" s="243"/>
      <c r="AY24" s="219"/>
      <c r="AZ24" s="219"/>
      <c r="BA24" s="219"/>
      <c r="BB24" s="219"/>
      <c r="BC24" s="219"/>
    </row>
    <row r="25" spans="1:57">
      <c r="A25" s="209" t="s">
        <v>163</v>
      </c>
      <c r="B25" s="5" t="s">
        <v>164</v>
      </c>
      <c r="C25" s="10" t="s">
        <v>1562</v>
      </c>
      <c r="D25" s="212" t="s">
        <v>2483</v>
      </c>
      <c r="F25" s="210"/>
      <c r="G25" s="209" t="s">
        <v>165</v>
      </c>
      <c r="H25" s="211" t="s">
        <v>166</v>
      </c>
      <c r="I25" s="255" t="s">
        <v>22</v>
      </c>
      <c r="J25" s="212" t="s">
        <v>2484</v>
      </c>
      <c r="L25" s="206"/>
      <c r="W25" s="243"/>
      <c r="X25" s="253"/>
      <c r="Y25" s="253"/>
      <c r="Z25" s="253"/>
      <c r="AA25" s="213"/>
      <c r="AB25" s="253"/>
      <c r="AC25" s="253"/>
      <c r="AD25" s="253"/>
      <c r="AE25" s="243"/>
      <c r="AS25" s="243"/>
      <c r="AT25" s="256"/>
      <c r="AU25" s="256"/>
      <c r="AV25" s="254"/>
      <c r="AW25" s="256"/>
      <c r="AX25" s="256"/>
      <c r="AY25" s="243"/>
    </row>
    <row r="26" spans="1:57">
      <c r="A26" s="209" t="s">
        <v>170</v>
      </c>
      <c r="B26" s="231" t="s">
        <v>171</v>
      </c>
      <c r="C26" s="10" t="s">
        <v>18</v>
      </c>
      <c r="D26" s="212" t="s">
        <v>1578</v>
      </c>
      <c r="F26" s="210"/>
      <c r="G26" s="5" t="s">
        <v>172</v>
      </c>
      <c r="H26" s="211" t="s">
        <v>173</v>
      </c>
      <c r="I26" s="13" t="s">
        <v>18</v>
      </c>
      <c r="J26" s="212" t="s">
        <v>2485</v>
      </c>
      <c r="L26" s="206"/>
      <c r="W26" s="243"/>
      <c r="X26" s="253"/>
      <c r="Y26" s="253"/>
      <c r="Z26" s="253"/>
      <c r="AA26" s="253"/>
      <c r="AB26" s="253"/>
      <c r="AC26" s="253"/>
      <c r="AD26" s="253"/>
      <c r="AE26" s="243"/>
      <c r="AR26" s="243"/>
      <c r="AS26" s="256"/>
      <c r="AT26" s="256"/>
      <c r="AU26" s="256"/>
      <c r="AV26" s="256"/>
      <c r="AW26" s="254"/>
      <c r="AX26" s="256"/>
      <c r="AY26" s="256"/>
      <c r="AZ26" s="243"/>
    </row>
    <row r="27" spans="1:57">
      <c r="A27" s="209" t="s">
        <v>177</v>
      </c>
      <c r="B27" s="231" t="s">
        <v>178</v>
      </c>
      <c r="C27" s="10" t="s">
        <v>1574</v>
      </c>
      <c r="D27" s="212" t="s">
        <v>2486</v>
      </c>
      <c r="F27" s="210"/>
      <c r="G27" s="209" t="s">
        <v>179</v>
      </c>
      <c r="H27" s="211" t="s">
        <v>180</v>
      </c>
      <c r="I27" s="13" t="s">
        <v>1661</v>
      </c>
      <c r="J27" s="212" t="s">
        <v>2487</v>
      </c>
      <c r="L27" s="206"/>
      <c r="W27" s="243"/>
      <c r="X27" s="247"/>
      <c r="Y27" s="253"/>
      <c r="Z27" s="257"/>
      <c r="AA27" s="257"/>
      <c r="AB27" s="257"/>
      <c r="AC27" s="253"/>
      <c r="AD27" s="247"/>
      <c r="AE27" s="243"/>
      <c r="AR27" s="243"/>
      <c r="AS27" s="247"/>
      <c r="AT27" s="256"/>
      <c r="AU27" s="256"/>
      <c r="AV27" s="256"/>
      <c r="AW27" s="254"/>
      <c r="AX27" s="256"/>
      <c r="AY27" s="247"/>
      <c r="AZ27" s="243"/>
    </row>
    <row r="28" spans="1:57">
      <c r="A28" s="209" t="s">
        <v>184</v>
      </c>
      <c r="B28" s="5" t="s">
        <v>185</v>
      </c>
      <c r="C28" s="10" t="s">
        <v>1562</v>
      </c>
      <c r="D28" s="212" t="s">
        <v>2488</v>
      </c>
      <c r="E28" s="212" t="s">
        <v>2489</v>
      </c>
      <c r="F28" s="210"/>
      <c r="G28" s="5" t="s">
        <v>186</v>
      </c>
      <c r="H28" s="214" t="s">
        <v>187</v>
      </c>
      <c r="I28" s="13" t="s">
        <v>21</v>
      </c>
      <c r="L28" s="206"/>
      <c r="X28" s="243"/>
      <c r="Y28" s="257"/>
      <c r="Z28" s="257"/>
      <c r="AA28" s="243"/>
      <c r="AB28" s="257"/>
      <c r="AC28" s="257"/>
      <c r="AD28" s="243"/>
      <c r="AS28" s="243"/>
      <c r="AT28" s="248"/>
      <c r="AU28" s="248"/>
      <c r="AV28" s="243"/>
      <c r="AW28" s="248"/>
      <c r="AX28" s="248"/>
      <c r="AY28" s="243"/>
    </row>
    <row r="29" spans="1:57">
      <c r="A29" s="209" t="s">
        <v>191</v>
      </c>
      <c r="B29" s="231" t="s">
        <v>192</v>
      </c>
      <c r="C29" s="10" t="s">
        <v>18</v>
      </c>
      <c r="D29" s="212" t="s">
        <v>2490</v>
      </c>
      <c r="F29" s="210"/>
      <c r="G29" s="5" t="s">
        <v>193</v>
      </c>
      <c r="H29" s="258" t="s">
        <v>194</v>
      </c>
      <c r="I29" s="255" t="s">
        <v>21</v>
      </c>
      <c r="J29" s="212" t="s">
        <v>2491</v>
      </c>
      <c r="L29" s="206"/>
      <c r="X29" s="243"/>
      <c r="Y29" s="243"/>
      <c r="Z29" s="243"/>
      <c r="AB29" s="243"/>
      <c r="AC29" s="243"/>
      <c r="AD29" s="243"/>
      <c r="AS29" s="243"/>
      <c r="AT29" s="243"/>
      <c r="AU29" s="243"/>
      <c r="AW29" s="243"/>
      <c r="AX29" s="243"/>
      <c r="AY29" s="243"/>
    </row>
    <row r="30" spans="1:57">
      <c r="A30" s="220" t="s">
        <v>198</v>
      </c>
      <c r="B30" s="221" t="s">
        <v>199</v>
      </c>
      <c r="C30" s="10" t="s">
        <v>28</v>
      </c>
      <c r="D30" s="212" t="s">
        <v>2492</v>
      </c>
      <c r="F30" s="210"/>
      <c r="G30" s="209" t="s">
        <v>200</v>
      </c>
      <c r="H30" s="211" t="s">
        <v>201</v>
      </c>
      <c r="I30" s="13" t="s">
        <v>1661</v>
      </c>
      <c r="J30" s="212" t="s">
        <v>2493</v>
      </c>
      <c r="L30" s="195"/>
      <c r="M30" s="5"/>
      <c r="N30" s="5"/>
      <c r="O30" s="5"/>
      <c r="P30" s="5"/>
      <c r="Q30" s="5"/>
      <c r="R30" s="5"/>
      <c r="S30" s="5"/>
      <c r="T30" s="5"/>
      <c r="U30" s="5"/>
    </row>
    <row r="31" spans="1:57">
      <c r="A31" s="209" t="s">
        <v>205</v>
      </c>
      <c r="B31" s="231" t="s">
        <v>206</v>
      </c>
      <c r="C31" s="10" t="s">
        <v>18</v>
      </c>
      <c r="D31" s="212" t="s">
        <v>2494</v>
      </c>
      <c r="F31" s="210"/>
      <c r="G31" s="209" t="s">
        <v>207</v>
      </c>
      <c r="H31" s="211" t="s">
        <v>208</v>
      </c>
      <c r="I31" s="13" t="s">
        <v>1567</v>
      </c>
      <c r="L31" s="195"/>
      <c r="M31" s="5"/>
      <c r="N31" s="5"/>
      <c r="O31" s="5"/>
      <c r="P31" s="5"/>
      <c r="Q31" s="5"/>
      <c r="R31" s="5"/>
      <c r="S31" s="5"/>
      <c r="T31" s="5"/>
      <c r="U31" s="5"/>
    </row>
    <row r="32" spans="1:57">
      <c r="A32" s="5" t="s">
        <v>212</v>
      </c>
      <c r="B32" s="231" t="s">
        <v>466</v>
      </c>
      <c r="C32" s="10" t="s">
        <v>21</v>
      </c>
      <c r="D32" s="212" t="s">
        <v>2495</v>
      </c>
      <c r="F32" s="210"/>
      <c r="G32" s="209" t="s">
        <v>214</v>
      </c>
      <c r="H32" s="211" t="s">
        <v>215</v>
      </c>
      <c r="I32" s="13" t="s">
        <v>1661</v>
      </c>
      <c r="J32" s="212" t="s">
        <v>2496</v>
      </c>
      <c r="L32" s="195"/>
      <c r="M32" s="5"/>
      <c r="N32" s="5"/>
      <c r="O32" s="5"/>
      <c r="P32" s="5"/>
      <c r="Q32" s="5"/>
      <c r="R32" s="5"/>
      <c r="S32" s="5"/>
      <c r="T32" s="5"/>
      <c r="U32" s="5"/>
    </row>
    <row r="33" spans="1:49">
      <c r="A33" s="209" t="s">
        <v>218</v>
      </c>
      <c r="B33" s="231" t="s">
        <v>219</v>
      </c>
      <c r="C33" s="10" t="s">
        <v>18</v>
      </c>
      <c r="D33" s="212" t="s">
        <v>2497</v>
      </c>
      <c r="F33" s="210"/>
      <c r="G33" s="209" t="s">
        <v>220</v>
      </c>
      <c r="H33" s="211" t="s">
        <v>221</v>
      </c>
      <c r="I33" s="13" t="s">
        <v>1574</v>
      </c>
      <c r="J33" s="212" t="s">
        <v>2498</v>
      </c>
      <c r="L33" s="195"/>
      <c r="M33" s="5"/>
      <c r="N33" s="5"/>
      <c r="O33" s="5"/>
      <c r="P33" s="5"/>
      <c r="Q33" s="5"/>
      <c r="R33" s="5"/>
      <c r="S33" s="5"/>
      <c r="T33" s="5"/>
      <c r="U33" s="5"/>
    </row>
    <row r="34" spans="1:49">
      <c r="A34" s="5" t="s">
        <v>225</v>
      </c>
      <c r="B34" s="5" t="s">
        <v>226</v>
      </c>
      <c r="C34" s="10" t="s">
        <v>1567</v>
      </c>
      <c r="F34" s="210"/>
      <c r="G34" s="209" t="s">
        <v>227</v>
      </c>
      <c r="H34" s="211" t="s">
        <v>228</v>
      </c>
      <c r="I34" s="13" t="s">
        <v>1567</v>
      </c>
      <c r="J34" s="212" t="s">
        <v>2499</v>
      </c>
      <c r="L34" s="195"/>
      <c r="M34" s="5"/>
      <c r="N34" s="5"/>
      <c r="O34" s="5"/>
      <c r="P34" s="5"/>
      <c r="Q34" s="5"/>
      <c r="R34" s="5"/>
      <c r="S34" s="5"/>
      <c r="T34" s="5"/>
      <c r="U34" s="5"/>
      <c r="X34" s="24"/>
      <c r="Y34" s="24"/>
      <c r="Z34" s="24"/>
      <c r="AA34" s="24"/>
      <c r="AB34" s="24"/>
    </row>
    <row r="35" spans="1:49">
      <c r="A35" s="209" t="s">
        <v>232</v>
      </c>
      <c r="B35" s="5" t="s">
        <v>233</v>
      </c>
      <c r="C35" s="10" t="s">
        <v>1661</v>
      </c>
      <c r="D35" s="212" t="s">
        <v>2500</v>
      </c>
      <c r="F35" s="210"/>
      <c r="G35" s="5" t="s">
        <v>234</v>
      </c>
      <c r="H35" s="258" t="s">
        <v>68</v>
      </c>
      <c r="I35" s="13" t="s">
        <v>1567</v>
      </c>
      <c r="J35" s="212" t="s">
        <v>2501</v>
      </c>
      <c r="L35" s="195"/>
      <c r="M35" s="5"/>
      <c r="N35" s="5"/>
      <c r="O35" s="5"/>
      <c r="P35" s="5"/>
      <c r="Q35" s="5"/>
      <c r="R35" s="5"/>
      <c r="S35" s="5"/>
      <c r="T35" s="5"/>
      <c r="U35" s="5"/>
      <c r="V35" s="5"/>
      <c r="W35" s="5"/>
      <c r="X35" s="5"/>
      <c r="Y35" s="5"/>
      <c r="Z35" s="41"/>
      <c r="AA35" s="41"/>
      <c r="AB35" s="24"/>
    </row>
    <row r="36" spans="1:49">
      <c r="A36" s="209" t="s">
        <v>238</v>
      </c>
      <c r="B36" s="233" t="s">
        <v>239</v>
      </c>
      <c r="C36" s="10" t="s">
        <v>21</v>
      </c>
      <c r="D36" s="212" t="s">
        <v>2502</v>
      </c>
      <c r="F36" s="210"/>
      <c r="G36" s="209" t="s">
        <v>240</v>
      </c>
      <c r="H36" s="211" t="s">
        <v>241</v>
      </c>
      <c r="I36" s="13" t="s">
        <v>1562</v>
      </c>
      <c r="J36" s="212" t="s">
        <v>2503</v>
      </c>
      <c r="L36" s="195"/>
      <c r="M36" s="5"/>
      <c r="N36" s="5"/>
      <c r="O36" s="5"/>
      <c r="P36" s="5"/>
      <c r="Q36" s="5"/>
      <c r="R36" s="5"/>
      <c r="S36" s="5"/>
      <c r="T36" s="5"/>
      <c r="U36" s="5"/>
      <c r="V36" s="5"/>
      <c r="W36" s="213"/>
      <c r="X36" s="213"/>
      <c r="Z36" s="213"/>
      <c r="AA36" s="213"/>
      <c r="AB36" s="24"/>
      <c r="AH36" s="213"/>
      <c r="AI36" s="213"/>
      <c r="AK36" s="213"/>
      <c r="AL36" s="213"/>
      <c r="AS36" s="213"/>
      <c r="AT36" s="213"/>
      <c r="AV36" s="213"/>
      <c r="AW36" s="213"/>
    </row>
    <row r="37" spans="1:49">
      <c r="A37" s="5" t="s">
        <v>243</v>
      </c>
      <c r="B37" s="5" t="s">
        <v>244</v>
      </c>
      <c r="C37" s="10" t="s">
        <v>1567</v>
      </c>
      <c r="D37" s="212" t="s">
        <v>2504</v>
      </c>
      <c r="F37" s="210"/>
      <c r="G37" s="209" t="s">
        <v>245</v>
      </c>
      <c r="H37" s="211" t="s">
        <v>246</v>
      </c>
      <c r="I37" s="13" t="s">
        <v>1661</v>
      </c>
      <c r="J37" s="212" t="s">
        <v>2505</v>
      </c>
      <c r="L37" s="195"/>
      <c r="M37" s="5"/>
      <c r="N37" s="5"/>
      <c r="O37" s="5"/>
      <c r="P37" s="5"/>
      <c r="Q37" s="5"/>
      <c r="R37" s="5"/>
      <c r="S37" s="5"/>
      <c r="T37" s="5"/>
      <c r="U37" s="5"/>
      <c r="V37" s="5"/>
      <c r="W37" s="213"/>
      <c r="X37" s="213"/>
      <c r="Y37" s="213"/>
      <c r="Z37" s="213"/>
      <c r="AA37" s="213"/>
      <c r="AB37" s="24"/>
      <c r="AH37" s="213"/>
      <c r="AI37" s="213"/>
      <c r="AJ37" s="213"/>
      <c r="AK37" s="213"/>
      <c r="AL37" s="213"/>
      <c r="AS37" s="213"/>
      <c r="AT37" s="213"/>
      <c r="AU37" s="213"/>
      <c r="AV37" s="213"/>
      <c r="AW37" s="213"/>
    </row>
    <row r="38" spans="1:49">
      <c r="A38" s="5" t="s">
        <v>250</v>
      </c>
      <c r="B38" s="220" t="s">
        <v>80</v>
      </c>
      <c r="C38" s="10" t="s">
        <v>21</v>
      </c>
      <c r="D38" s="212" t="s">
        <v>2506</v>
      </c>
      <c r="F38" s="210"/>
      <c r="G38" s="209" t="s">
        <v>251</v>
      </c>
      <c r="H38" s="211" t="s">
        <v>252</v>
      </c>
      <c r="I38" s="13" t="s">
        <v>18</v>
      </c>
      <c r="J38" s="212" t="s">
        <v>2507</v>
      </c>
      <c r="L38" s="195"/>
      <c r="M38" s="5"/>
      <c r="N38" s="5"/>
      <c r="O38" s="5"/>
      <c r="P38" s="5"/>
      <c r="Q38" s="5"/>
      <c r="R38" s="5"/>
      <c r="S38" s="5"/>
      <c r="T38" s="5"/>
      <c r="U38" s="5"/>
      <c r="V38" s="5"/>
      <c r="W38" s="213"/>
      <c r="X38" s="213"/>
      <c r="Y38" s="213"/>
      <c r="Z38" s="213"/>
      <c r="AA38" s="213"/>
      <c r="AB38" s="24"/>
      <c r="AH38" s="213"/>
      <c r="AI38" s="213"/>
      <c r="AJ38" s="213"/>
      <c r="AK38" s="213"/>
      <c r="AL38" s="213"/>
      <c r="AS38" s="213"/>
      <c r="AT38" s="213"/>
      <c r="AU38" s="213"/>
      <c r="AV38" s="213"/>
      <c r="AW38" s="213"/>
    </row>
    <row r="39" spans="1:49">
      <c r="A39" s="209" t="s">
        <v>256</v>
      </c>
      <c r="B39" s="231" t="s">
        <v>257</v>
      </c>
      <c r="C39" s="10" t="s">
        <v>18</v>
      </c>
      <c r="D39" s="212" t="s">
        <v>2508</v>
      </c>
      <c r="F39" s="210"/>
      <c r="G39" s="5" t="s">
        <v>258</v>
      </c>
      <c r="H39" s="214" t="s">
        <v>259</v>
      </c>
      <c r="I39" s="13" t="s">
        <v>21</v>
      </c>
      <c r="J39" s="212" t="s">
        <v>2509</v>
      </c>
      <c r="L39" s="195"/>
      <c r="M39" s="5"/>
      <c r="N39" s="5"/>
      <c r="O39" s="5"/>
      <c r="P39" s="5"/>
      <c r="Q39" s="5"/>
      <c r="R39" s="5"/>
      <c r="S39" s="5"/>
      <c r="T39" s="5"/>
      <c r="U39" s="5"/>
      <c r="V39" s="5"/>
      <c r="X39" s="213"/>
      <c r="Y39" s="213"/>
      <c r="Z39" s="213"/>
      <c r="AB39" s="24"/>
      <c r="AI39" s="213"/>
      <c r="AJ39" s="213"/>
      <c r="AK39" s="213"/>
      <c r="AT39" s="213"/>
      <c r="AU39" s="213"/>
      <c r="AV39" s="213"/>
    </row>
    <row r="40" spans="1:49">
      <c r="A40" s="209" t="s">
        <v>263</v>
      </c>
      <c r="B40" s="231" t="s">
        <v>264</v>
      </c>
      <c r="C40" s="234" t="s">
        <v>18</v>
      </c>
      <c r="D40" s="212" t="s">
        <v>2510</v>
      </c>
      <c r="F40" s="210"/>
      <c r="G40" s="209" t="s">
        <v>265</v>
      </c>
      <c r="H40" s="211" t="s">
        <v>266</v>
      </c>
      <c r="I40" s="13" t="s">
        <v>1562</v>
      </c>
      <c r="J40" s="212" t="s">
        <v>2511</v>
      </c>
      <c r="L40" s="195"/>
      <c r="M40" s="5"/>
      <c r="N40" s="5"/>
      <c r="O40" s="5"/>
      <c r="P40" s="5"/>
      <c r="Q40" s="5"/>
      <c r="R40" s="5"/>
      <c r="S40" s="5"/>
      <c r="T40" s="5"/>
      <c r="U40" s="5"/>
      <c r="V40" s="5"/>
      <c r="Y40" s="213"/>
      <c r="AJ40" s="213"/>
      <c r="AU40" s="213"/>
    </row>
    <row r="41" spans="1:49">
      <c r="A41" s="209" t="s">
        <v>269</v>
      </c>
      <c r="B41" s="259" t="s">
        <v>270</v>
      </c>
      <c r="C41" s="234" t="s">
        <v>1562</v>
      </c>
      <c r="D41" s="212" t="s">
        <v>2512</v>
      </c>
      <c r="F41" s="210"/>
      <c r="G41" s="5" t="s">
        <v>271</v>
      </c>
      <c r="H41" s="214" t="s">
        <v>272</v>
      </c>
      <c r="I41" s="13" t="s">
        <v>21</v>
      </c>
      <c r="J41" s="212" t="s">
        <v>2513</v>
      </c>
      <c r="L41" s="195"/>
      <c r="M41" s="5"/>
      <c r="N41" s="5"/>
      <c r="O41" s="5"/>
      <c r="P41" s="5"/>
      <c r="Q41" s="5"/>
      <c r="R41" s="5"/>
      <c r="S41" s="5"/>
      <c r="T41" s="5"/>
      <c r="U41" s="5"/>
    </row>
    <row r="42" spans="1:49">
      <c r="A42" s="209" t="s">
        <v>274</v>
      </c>
      <c r="B42" s="5" t="s">
        <v>275</v>
      </c>
      <c r="C42" s="10" t="s">
        <v>1661</v>
      </c>
      <c r="D42" s="212" t="s">
        <v>2514</v>
      </c>
      <c r="F42" s="210"/>
      <c r="G42" s="220" t="s">
        <v>121</v>
      </c>
      <c r="H42" s="214" t="s">
        <v>122</v>
      </c>
      <c r="I42" s="13" t="s">
        <v>28</v>
      </c>
      <c r="J42" s="212" t="s">
        <v>2515</v>
      </c>
      <c r="L42" s="195"/>
      <c r="M42" s="5"/>
      <c r="N42" s="5"/>
      <c r="O42" s="5"/>
      <c r="P42" s="5"/>
      <c r="Q42" s="5"/>
      <c r="R42" s="5"/>
      <c r="S42" s="5"/>
      <c r="T42" s="5"/>
      <c r="U42" s="5"/>
    </row>
    <row r="43" spans="1:49">
      <c r="A43" s="5" t="s">
        <v>279</v>
      </c>
      <c r="B43" s="220" t="s">
        <v>280</v>
      </c>
      <c r="C43" s="10" t="s">
        <v>21</v>
      </c>
      <c r="F43" s="210"/>
      <c r="G43" s="5" t="s">
        <v>281</v>
      </c>
      <c r="H43" s="211" t="s">
        <v>282</v>
      </c>
      <c r="I43" s="13" t="s">
        <v>1567</v>
      </c>
      <c r="J43" s="212" t="s">
        <v>2516</v>
      </c>
      <c r="L43" s="195"/>
      <c r="M43" s="5"/>
      <c r="N43" s="5"/>
      <c r="O43" s="5"/>
      <c r="P43" s="5"/>
      <c r="Q43" s="5"/>
      <c r="R43" s="5"/>
      <c r="S43" s="5"/>
      <c r="T43" s="5"/>
      <c r="U43" s="5"/>
    </row>
    <row r="44" spans="1:49">
      <c r="A44" s="5" t="s">
        <v>286</v>
      </c>
      <c r="B44" s="220" t="s">
        <v>54</v>
      </c>
      <c r="C44" s="10" t="s">
        <v>21</v>
      </c>
      <c r="D44" s="212" t="s">
        <v>2517</v>
      </c>
      <c r="F44" s="210"/>
      <c r="G44" s="209" t="s">
        <v>287</v>
      </c>
      <c r="H44" s="211" t="s">
        <v>288</v>
      </c>
      <c r="I44" s="13" t="s">
        <v>1562</v>
      </c>
      <c r="J44" s="212" t="s">
        <v>2518</v>
      </c>
      <c r="L44" s="195"/>
      <c r="M44" s="5"/>
      <c r="N44" s="5"/>
      <c r="O44" s="5"/>
      <c r="P44" s="5"/>
      <c r="Q44" s="5"/>
      <c r="R44" s="5"/>
      <c r="S44" s="5"/>
      <c r="T44" s="5"/>
      <c r="U44" s="5"/>
      <c r="Y44" s="208" t="s">
        <v>2519</v>
      </c>
    </row>
    <row r="45" spans="1:49">
      <c r="A45" s="209" t="s">
        <v>292</v>
      </c>
      <c r="B45" s="5" t="s">
        <v>293</v>
      </c>
      <c r="C45" s="10" t="s">
        <v>1661</v>
      </c>
      <c r="D45" s="212" t="s">
        <v>2520</v>
      </c>
      <c r="F45" s="210"/>
      <c r="G45" s="209" t="s">
        <v>294</v>
      </c>
      <c r="H45" s="211" t="s">
        <v>295</v>
      </c>
      <c r="I45" s="255" t="s">
        <v>1567</v>
      </c>
      <c r="J45" s="212" t="s">
        <v>2521</v>
      </c>
      <c r="L45" s="195"/>
      <c r="M45" s="5"/>
      <c r="N45" s="5"/>
      <c r="O45" s="5"/>
      <c r="P45" s="5"/>
      <c r="Q45" s="5"/>
      <c r="R45" s="5"/>
      <c r="S45" s="5"/>
      <c r="T45" s="5"/>
      <c r="U45" s="5"/>
      <c r="Y45" s="260" t="s">
        <v>2522</v>
      </c>
    </row>
    <row r="46" spans="1:49">
      <c r="A46" s="209" t="s">
        <v>298</v>
      </c>
      <c r="B46" s="231" t="s">
        <v>299</v>
      </c>
      <c r="C46" s="10" t="s">
        <v>1562</v>
      </c>
      <c r="D46" s="212" t="s">
        <v>2523</v>
      </c>
      <c r="F46" s="210"/>
      <c r="G46" s="5" t="s">
        <v>39</v>
      </c>
      <c r="H46" s="258" t="s">
        <v>40</v>
      </c>
      <c r="I46" s="13" t="s">
        <v>18</v>
      </c>
      <c r="J46" s="212" t="s">
        <v>2524</v>
      </c>
      <c r="L46" s="195"/>
      <c r="M46" s="5"/>
      <c r="N46" s="5"/>
      <c r="O46" s="5"/>
      <c r="P46" s="5"/>
      <c r="Q46" s="5"/>
      <c r="R46" s="5"/>
      <c r="S46" s="5"/>
      <c r="T46" s="5"/>
      <c r="U46" s="5"/>
    </row>
    <row r="47" spans="1:49">
      <c r="A47" s="209" t="s">
        <v>302</v>
      </c>
      <c r="B47" s="5" t="s">
        <v>303</v>
      </c>
      <c r="C47" s="10" t="s">
        <v>18</v>
      </c>
      <c r="D47" s="212" t="s">
        <v>2458</v>
      </c>
      <c r="F47" s="210"/>
      <c r="G47" s="209" t="s">
        <v>304</v>
      </c>
      <c r="H47" s="211" t="s">
        <v>305</v>
      </c>
      <c r="I47" s="13" t="s">
        <v>18</v>
      </c>
      <c r="J47" s="212" t="s">
        <v>2525</v>
      </c>
      <c r="L47" s="195"/>
      <c r="M47" s="5"/>
      <c r="N47" s="5"/>
      <c r="O47" s="5"/>
      <c r="P47" s="5"/>
      <c r="Q47" s="5"/>
      <c r="R47" s="5"/>
      <c r="S47" s="5"/>
      <c r="T47" s="5"/>
      <c r="U47" s="5"/>
    </row>
    <row r="48" spans="1:49">
      <c r="A48" s="209" t="s">
        <v>309</v>
      </c>
      <c r="B48" s="5" t="s">
        <v>310</v>
      </c>
      <c r="C48" s="10" t="s">
        <v>18</v>
      </c>
      <c r="F48" s="210"/>
      <c r="G48" s="209" t="s">
        <v>311</v>
      </c>
      <c r="H48" s="211" t="s">
        <v>312</v>
      </c>
      <c r="I48" s="13" t="s">
        <v>18</v>
      </c>
      <c r="J48" s="212" t="s">
        <v>2526</v>
      </c>
      <c r="L48" s="195"/>
      <c r="M48" s="5"/>
      <c r="N48" s="5"/>
      <c r="O48" s="5"/>
      <c r="P48" s="5"/>
      <c r="Q48" s="5"/>
      <c r="R48" s="5"/>
      <c r="S48" s="5"/>
      <c r="T48" s="5"/>
      <c r="U48" s="5"/>
    </row>
    <row r="49" spans="1:21">
      <c r="A49" s="209" t="s">
        <v>315</v>
      </c>
      <c r="B49" s="233" t="s">
        <v>316</v>
      </c>
      <c r="C49" s="10" t="s">
        <v>1567</v>
      </c>
      <c r="D49" s="212" t="s">
        <v>2527</v>
      </c>
      <c r="F49" s="210"/>
      <c r="G49" s="220" t="s">
        <v>317</v>
      </c>
      <c r="H49" s="214" t="s">
        <v>318</v>
      </c>
      <c r="I49" s="13" t="s">
        <v>21</v>
      </c>
      <c r="J49" s="212" t="s">
        <v>2528</v>
      </c>
      <c r="L49" s="195"/>
      <c r="M49" s="5"/>
      <c r="N49" s="5"/>
      <c r="O49" s="5"/>
      <c r="P49" s="5"/>
      <c r="Q49" s="5"/>
      <c r="R49" s="5"/>
      <c r="S49" s="5"/>
      <c r="T49" s="5"/>
      <c r="U49" s="5"/>
    </row>
    <row r="50" spans="1:21">
      <c r="A50" s="220" t="s">
        <v>322</v>
      </c>
      <c r="B50" s="220" t="s">
        <v>162</v>
      </c>
      <c r="C50" s="10" t="s">
        <v>21</v>
      </c>
      <c r="D50" s="212" t="s">
        <v>2529</v>
      </c>
      <c r="F50" s="210"/>
      <c r="G50" s="209" t="s">
        <v>323</v>
      </c>
      <c r="H50" s="211" t="s">
        <v>185</v>
      </c>
      <c r="I50" s="13" t="s">
        <v>1567</v>
      </c>
      <c r="J50" s="212" t="s">
        <v>2530</v>
      </c>
      <c r="L50" s="195"/>
      <c r="M50" s="5"/>
      <c r="N50" s="5"/>
      <c r="O50" s="5"/>
      <c r="P50" s="5"/>
      <c r="Q50" s="5"/>
      <c r="R50" s="5"/>
      <c r="S50" s="5"/>
      <c r="T50" s="5"/>
      <c r="U50" s="5"/>
    </row>
    <row r="51" spans="1:21">
      <c r="A51" s="5" t="s">
        <v>326</v>
      </c>
      <c r="B51" s="5" t="s">
        <v>94</v>
      </c>
      <c r="C51" s="10" t="s">
        <v>21</v>
      </c>
      <c r="D51" s="212" t="s">
        <v>2531</v>
      </c>
      <c r="F51" s="210"/>
      <c r="G51" s="209" t="s">
        <v>327</v>
      </c>
      <c r="H51" s="211" t="s">
        <v>328</v>
      </c>
      <c r="I51" s="13" t="s">
        <v>1567</v>
      </c>
      <c r="J51" s="212" t="s">
        <v>2532</v>
      </c>
      <c r="L51" s="195"/>
      <c r="M51" s="5"/>
      <c r="N51" s="5"/>
      <c r="O51" s="5"/>
      <c r="P51" s="5"/>
      <c r="Q51" s="5"/>
      <c r="R51" s="5"/>
      <c r="S51" s="5"/>
      <c r="T51" s="5"/>
      <c r="U51" s="5"/>
    </row>
    <row r="52" spans="1:21">
      <c r="A52" s="209" t="s">
        <v>331</v>
      </c>
      <c r="B52" s="231" t="s">
        <v>332</v>
      </c>
      <c r="C52" s="10" t="s">
        <v>22</v>
      </c>
      <c r="D52" s="212" t="s">
        <v>2533</v>
      </c>
      <c r="F52" s="210"/>
      <c r="G52" s="5" t="s">
        <v>217</v>
      </c>
      <c r="H52" s="214" t="s">
        <v>68</v>
      </c>
      <c r="I52" s="13" t="s">
        <v>21</v>
      </c>
      <c r="J52" s="212" t="s">
        <v>2534</v>
      </c>
      <c r="L52" s="195"/>
      <c r="M52" s="5"/>
      <c r="N52" s="5"/>
      <c r="O52" s="5"/>
      <c r="P52" s="5"/>
      <c r="Q52" s="5"/>
      <c r="R52" s="5"/>
      <c r="S52" s="5"/>
      <c r="T52" s="5"/>
      <c r="U52" s="5"/>
    </row>
    <row r="53" spans="1:21">
      <c r="A53" s="209" t="s">
        <v>334</v>
      </c>
      <c r="B53" s="261" t="s">
        <v>335</v>
      </c>
      <c r="C53" s="10" t="s">
        <v>1567</v>
      </c>
      <c r="D53" s="212" t="s">
        <v>2535</v>
      </c>
      <c r="F53" s="210"/>
      <c r="G53" s="209" t="s">
        <v>336</v>
      </c>
      <c r="H53" s="211" t="s">
        <v>337</v>
      </c>
      <c r="I53" s="13" t="s">
        <v>1567</v>
      </c>
      <c r="J53" s="212" t="s">
        <v>2536</v>
      </c>
      <c r="L53" s="195"/>
      <c r="M53" s="5"/>
      <c r="N53" s="5"/>
      <c r="O53" s="5"/>
      <c r="P53" s="5"/>
      <c r="Q53" s="5"/>
      <c r="R53" s="5"/>
      <c r="S53" s="5"/>
      <c r="T53" s="5"/>
      <c r="U53" s="5"/>
    </row>
    <row r="54" spans="1:21">
      <c r="A54" s="209" t="s">
        <v>339</v>
      </c>
      <c r="B54" s="231" t="s">
        <v>340</v>
      </c>
      <c r="C54" s="10" t="s">
        <v>1661</v>
      </c>
      <c r="D54" s="212" t="s">
        <v>2537</v>
      </c>
      <c r="F54" s="210"/>
      <c r="G54" s="209" t="s">
        <v>341</v>
      </c>
      <c r="H54" s="262" t="s">
        <v>342</v>
      </c>
      <c r="I54" s="13" t="s">
        <v>21</v>
      </c>
      <c r="J54" s="212" t="s">
        <v>2538</v>
      </c>
      <c r="L54" s="195"/>
      <c r="M54" s="5"/>
      <c r="N54" s="5"/>
      <c r="O54" s="5"/>
      <c r="P54" s="5"/>
      <c r="Q54" s="5"/>
      <c r="R54" s="5"/>
      <c r="S54" s="5"/>
      <c r="T54" s="5"/>
      <c r="U54" s="5"/>
    </row>
    <row r="55" spans="1:21">
      <c r="A55" s="220" t="s">
        <v>346</v>
      </c>
      <c r="B55" s="220" t="s">
        <v>347</v>
      </c>
      <c r="C55" s="10" t="s">
        <v>28</v>
      </c>
      <c r="D55" s="212" t="s">
        <v>2539</v>
      </c>
      <c r="F55" s="210"/>
      <c r="G55" s="5" t="s">
        <v>348</v>
      </c>
      <c r="H55" s="214" t="s">
        <v>349</v>
      </c>
      <c r="I55" s="13" t="s">
        <v>21</v>
      </c>
      <c r="J55" s="212" t="s">
        <v>2540</v>
      </c>
      <c r="L55" s="195"/>
      <c r="M55" s="5"/>
      <c r="N55" s="5"/>
      <c r="O55" s="5"/>
      <c r="P55" s="5"/>
      <c r="Q55" s="5"/>
      <c r="R55" s="5"/>
      <c r="S55" s="5"/>
      <c r="T55" s="5"/>
      <c r="U55" s="5"/>
    </row>
    <row r="56" spans="1:21">
      <c r="A56" s="209" t="s">
        <v>353</v>
      </c>
      <c r="B56" s="5" t="s">
        <v>354</v>
      </c>
      <c r="C56" s="10" t="s">
        <v>1574</v>
      </c>
      <c r="D56" s="212" t="s">
        <v>2541</v>
      </c>
      <c r="F56" s="210"/>
      <c r="G56" s="209" t="s">
        <v>355</v>
      </c>
      <c r="H56" s="211" t="s">
        <v>356</v>
      </c>
      <c r="I56" s="13" t="s">
        <v>18</v>
      </c>
      <c r="J56" s="212" t="s">
        <v>2542</v>
      </c>
      <c r="L56" s="195"/>
      <c r="M56" s="5"/>
      <c r="N56" s="5"/>
      <c r="O56" s="5"/>
      <c r="P56" s="5"/>
      <c r="Q56" s="5"/>
      <c r="R56" s="5"/>
      <c r="S56" s="5"/>
      <c r="T56" s="5"/>
      <c r="U56" s="5"/>
    </row>
    <row r="57" spans="1:21">
      <c r="A57" s="5" t="s">
        <v>358</v>
      </c>
      <c r="B57" s="231" t="s">
        <v>359</v>
      </c>
      <c r="C57" s="10" t="s">
        <v>21</v>
      </c>
      <c r="F57" s="210"/>
      <c r="G57" s="263" t="s">
        <v>360</v>
      </c>
      <c r="H57" s="211" t="s">
        <v>361</v>
      </c>
      <c r="I57" s="13" t="s">
        <v>1567</v>
      </c>
      <c r="J57" s="212" t="s">
        <v>2543</v>
      </c>
      <c r="L57" s="195"/>
      <c r="M57" s="5"/>
      <c r="N57" s="5"/>
      <c r="O57" s="5"/>
      <c r="P57" s="5"/>
      <c r="Q57" s="5"/>
      <c r="R57" s="5"/>
      <c r="S57" s="5"/>
      <c r="T57" s="5"/>
      <c r="U57" s="5"/>
    </row>
    <row r="58" spans="1:21">
      <c r="A58" s="209" t="s">
        <v>365</v>
      </c>
      <c r="B58" s="5" t="s">
        <v>366</v>
      </c>
      <c r="C58" s="10" t="s">
        <v>1574</v>
      </c>
      <c r="D58" s="212" t="s">
        <v>2544</v>
      </c>
      <c r="F58" s="210"/>
      <c r="G58" s="209" t="s">
        <v>367</v>
      </c>
      <c r="H58" s="211" t="s">
        <v>368</v>
      </c>
      <c r="I58" s="13" t="s">
        <v>18</v>
      </c>
      <c r="J58" s="212" t="s">
        <v>2545</v>
      </c>
      <c r="L58" s="195"/>
      <c r="M58" s="5"/>
      <c r="N58" s="5"/>
      <c r="O58" s="5"/>
      <c r="P58" s="5"/>
      <c r="Q58" s="5"/>
      <c r="R58" s="5"/>
      <c r="S58" s="5"/>
      <c r="T58" s="5"/>
      <c r="U58" s="5"/>
    </row>
    <row r="59" spans="1:21">
      <c r="A59" s="209" t="s">
        <v>371</v>
      </c>
      <c r="B59" s="5" t="s">
        <v>2546</v>
      </c>
      <c r="C59" s="10" t="s">
        <v>18</v>
      </c>
      <c r="F59" s="210"/>
      <c r="G59" s="220" t="s">
        <v>210</v>
      </c>
      <c r="H59" s="214" t="s">
        <v>211</v>
      </c>
      <c r="I59" s="13" t="s">
        <v>28</v>
      </c>
      <c r="J59" s="212" t="s">
        <v>2547</v>
      </c>
      <c r="L59" s="195"/>
      <c r="M59" s="5"/>
      <c r="N59" s="5"/>
      <c r="O59" s="5"/>
      <c r="P59" s="5"/>
      <c r="Q59" s="5"/>
      <c r="R59" s="5"/>
      <c r="S59" s="5"/>
      <c r="T59" s="5"/>
      <c r="U59" s="5"/>
    </row>
    <row r="60" spans="1:21">
      <c r="A60" s="220" t="s">
        <v>376</v>
      </c>
      <c r="B60" s="220" t="s">
        <v>278</v>
      </c>
      <c r="C60" s="10" t="s">
        <v>21</v>
      </c>
      <c r="D60" s="212" t="s">
        <v>2548</v>
      </c>
      <c r="F60" s="210"/>
      <c r="G60" s="209" t="s">
        <v>377</v>
      </c>
      <c r="H60" s="264" t="s">
        <v>378</v>
      </c>
      <c r="I60" s="13" t="s">
        <v>1661</v>
      </c>
      <c r="J60" s="212" t="s">
        <v>2549</v>
      </c>
      <c r="L60" s="195"/>
      <c r="M60" s="5"/>
      <c r="N60" s="5"/>
      <c r="O60" s="5"/>
      <c r="P60" s="5"/>
      <c r="Q60" s="5"/>
      <c r="R60" s="5"/>
      <c r="S60" s="5"/>
      <c r="T60" s="5"/>
      <c r="U60" s="5"/>
    </row>
    <row r="61" spans="1:21">
      <c r="A61" s="209" t="s">
        <v>382</v>
      </c>
      <c r="B61" s="231" t="s">
        <v>383</v>
      </c>
      <c r="C61" s="10" t="s">
        <v>18</v>
      </c>
      <c r="D61" s="212" t="s">
        <v>2550</v>
      </c>
      <c r="F61" s="210"/>
      <c r="G61" s="209" t="s">
        <v>384</v>
      </c>
      <c r="H61" s="211" t="s">
        <v>385</v>
      </c>
      <c r="I61" s="13" t="s">
        <v>1567</v>
      </c>
      <c r="L61" s="195"/>
      <c r="M61" s="5"/>
      <c r="N61" s="5"/>
      <c r="O61" s="5"/>
      <c r="P61" s="5"/>
      <c r="Q61" s="5"/>
      <c r="R61" s="5"/>
      <c r="S61" s="5"/>
      <c r="T61" s="5"/>
      <c r="U61" s="5"/>
    </row>
    <row r="62" spans="1:21">
      <c r="A62" s="209" t="s">
        <v>387</v>
      </c>
      <c r="B62" s="5" t="s">
        <v>388</v>
      </c>
      <c r="C62" s="10" t="s">
        <v>18</v>
      </c>
      <c r="D62" s="212" t="s">
        <v>2551</v>
      </c>
      <c r="F62" s="210"/>
      <c r="G62" s="209" t="s">
        <v>389</v>
      </c>
      <c r="H62" s="258" t="s">
        <v>390</v>
      </c>
      <c r="I62" s="255" t="s">
        <v>1567</v>
      </c>
      <c r="J62" s="212" t="s">
        <v>2552</v>
      </c>
      <c r="L62" s="195"/>
      <c r="M62" s="5"/>
      <c r="N62" s="5"/>
      <c r="O62" s="5"/>
      <c r="P62" s="5"/>
      <c r="Q62" s="5"/>
      <c r="R62" s="5"/>
      <c r="S62" s="5"/>
      <c r="T62" s="5"/>
      <c r="U62" s="5"/>
    </row>
    <row r="63" spans="1:21">
      <c r="A63" s="209" t="s">
        <v>393</v>
      </c>
      <c r="B63" s="5" t="s">
        <v>394</v>
      </c>
      <c r="C63" s="10" t="s">
        <v>18</v>
      </c>
      <c r="D63" s="212" t="s">
        <v>2553</v>
      </c>
      <c r="F63" s="210"/>
      <c r="G63" s="209" t="s">
        <v>395</v>
      </c>
      <c r="H63" s="211" t="s">
        <v>396</v>
      </c>
      <c r="I63" s="13" t="s">
        <v>18</v>
      </c>
      <c r="J63" s="212" t="s">
        <v>2554</v>
      </c>
      <c r="L63" s="195"/>
      <c r="M63" s="5"/>
      <c r="N63" s="5"/>
      <c r="O63" s="5"/>
      <c r="P63" s="5"/>
      <c r="Q63" s="5"/>
      <c r="R63" s="5"/>
      <c r="S63" s="5"/>
      <c r="T63" s="5"/>
      <c r="U63" s="5"/>
    </row>
    <row r="64" spans="1:21">
      <c r="A64" s="209" t="s">
        <v>399</v>
      </c>
      <c r="B64" s="231" t="s">
        <v>400</v>
      </c>
      <c r="C64" s="10" t="s">
        <v>18</v>
      </c>
      <c r="D64" s="212" t="s">
        <v>2555</v>
      </c>
      <c r="F64" s="210"/>
      <c r="G64" s="209" t="s">
        <v>401</v>
      </c>
      <c r="H64" s="211" t="s">
        <v>402</v>
      </c>
      <c r="I64" s="13" t="s">
        <v>1567</v>
      </c>
      <c r="J64" s="212" t="s">
        <v>2556</v>
      </c>
      <c r="L64" s="195"/>
      <c r="M64" s="5"/>
      <c r="N64" s="5"/>
      <c r="O64" s="5"/>
      <c r="P64" s="5"/>
      <c r="Q64" s="5"/>
      <c r="R64" s="5"/>
      <c r="S64" s="5"/>
      <c r="T64" s="5"/>
      <c r="U64" s="5"/>
    </row>
    <row r="65" spans="1:21">
      <c r="A65" s="209" t="s">
        <v>404</v>
      </c>
      <c r="B65" s="50" t="s">
        <v>405</v>
      </c>
      <c r="C65" s="10" t="s">
        <v>1567</v>
      </c>
      <c r="D65" s="212" t="s">
        <v>2557</v>
      </c>
      <c r="F65" s="210"/>
      <c r="G65" s="5" t="s">
        <v>374</v>
      </c>
      <c r="H65" s="258" t="s">
        <v>375</v>
      </c>
      <c r="I65" s="265" t="s">
        <v>18</v>
      </c>
      <c r="J65" s="212" t="s">
        <v>2558</v>
      </c>
      <c r="L65" s="195"/>
      <c r="M65" s="5"/>
      <c r="N65" s="5"/>
      <c r="O65" s="5"/>
      <c r="P65" s="5"/>
      <c r="Q65" s="5"/>
      <c r="R65" s="5"/>
      <c r="S65" s="5"/>
      <c r="T65" s="5"/>
      <c r="U65" s="5"/>
    </row>
    <row r="66" spans="1:21">
      <c r="A66" s="220" t="s">
        <v>409</v>
      </c>
      <c r="B66" s="220" t="s">
        <v>308</v>
      </c>
      <c r="C66" s="10" t="s">
        <v>21</v>
      </c>
      <c r="D66" s="212" t="s">
        <v>2559</v>
      </c>
      <c r="F66" s="210"/>
      <c r="G66" s="5" t="s">
        <v>230</v>
      </c>
      <c r="H66" s="258" t="s">
        <v>231</v>
      </c>
      <c r="I66" s="13" t="s">
        <v>1567</v>
      </c>
      <c r="J66" s="212" t="s">
        <v>2560</v>
      </c>
      <c r="L66" s="195"/>
      <c r="M66" s="5"/>
      <c r="N66" s="5"/>
      <c r="O66" s="5"/>
      <c r="P66" s="5"/>
      <c r="Q66" s="5"/>
      <c r="R66" s="5"/>
      <c r="S66" s="5"/>
      <c r="T66" s="5"/>
      <c r="U66" s="5"/>
    </row>
    <row r="67" spans="1:21">
      <c r="A67" s="209" t="s">
        <v>413</v>
      </c>
      <c r="B67" s="233" t="s">
        <v>414</v>
      </c>
      <c r="C67" s="10" t="s">
        <v>21</v>
      </c>
      <c r="D67" s="212" t="s">
        <v>2561</v>
      </c>
      <c r="F67" s="210"/>
      <c r="G67" s="5" t="s">
        <v>86</v>
      </c>
      <c r="H67" s="211" t="s">
        <v>87</v>
      </c>
      <c r="I67" s="13" t="s">
        <v>18</v>
      </c>
      <c r="J67" s="212" t="s">
        <v>2562</v>
      </c>
      <c r="L67" s="195"/>
      <c r="M67" s="5"/>
      <c r="N67" s="5"/>
      <c r="O67" s="5"/>
      <c r="P67" s="5"/>
      <c r="Q67" s="5"/>
      <c r="R67" s="5"/>
      <c r="S67" s="5"/>
      <c r="T67" s="5"/>
      <c r="U67" s="5"/>
    </row>
    <row r="68" spans="1:21">
      <c r="A68" s="209" t="s">
        <v>416</v>
      </c>
      <c r="B68" s="231" t="s">
        <v>417</v>
      </c>
      <c r="C68" s="10" t="s">
        <v>18</v>
      </c>
      <c r="F68" s="210"/>
      <c r="G68" s="5" t="s">
        <v>100</v>
      </c>
      <c r="H68" s="211" t="s">
        <v>101</v>
      </c>
      <c r="I68" s="13" t="s">
        <v>22</v>
      </c>
      <c r="J68" s="212" t="s">
        <v>2563</v>
      </c>
      <c r="L68" s="195"/>
      <c r="M68" s="5"/>
      <c r="N68" s="5"/>
      <c r="O68" s="5"/>
      <c r="P68" s="5"/>
      <c r="Q68" s="5"/>
      <c r="R68" s="5"/>
      <c r="S68" s="5"/>
      <c r="T68" s="5"/>
      <c r="U68" s="5"/>
    </row>
    <row r="69" spans="1:21">
      <c r="A69" s="220" t="s">
        <v>421</v>
      </c>
      <c r="B69" s="220" t="s">
        <v>422</v>
      </c>
      <c r="C69" s="10" t="s">
        <v>28</v>
      </c>
      <c r="D69" s="212" t="s">
        <v>2564</v>
      </c>
      <c r="F69" s="210"/>
      <c r="G69" s="220" t="s">
        <v>423</v>
      </c>
      <c r="H69" s="214" t="s">
        <v>424</v>
      </c>
      <c r="I69" s="13" t="s">
        <v>21</v>
      </c>
      <c r="J69" s="212" t="s">
        <v>2565</v>
      </c>
      <c r="L69" s="195"/>
      <c r="M69" s="5"/>
      <c r="N69" s="5"/>
      <c r="O69" s="5"/>
      <c r="P69" s="5"/>
      <c r="Q69" s="5"/>
      <c r="R69" s="5"/>
      <c r="S69" s="5"/>
      <c r="T69" s="5"/>
      <c r="U69" s="5"/>
    </row>
    <row r="70" spans="1:21">
      <c r="A70" s="209" t="s">
        <v>426</v>
      </c>
      <c r="B70" s="50" t="s">
        <v>427</v>
      </c>
      <c r="C70" s="10" t="s">
        <v>18</v>
      </c>
      <c r="F70" s="210"/>
      <c r="G70" s="209" t="s">
        <v>428</v>
      </c>
      <c r="H70" s="211" t="s">
        <v>429</v>
      </c>
      <c r="I70" s="13" t="s">
        <v>1562</v>
      </c>
      <c r="J70" s="212" t="s">
        <v>2566</v>
      </c>
      <c r="L70" s="195"/>
      <c r="M70" s="5"/>
      <c r="N70" s="5"/>
      <c r="O70" s="5"/>
      <c r="P70" s="5"/>
      <c r="Q70" s="5"/>
      <c r="R70" s="5"/>
      <c r="S70" s="5"/>
      <c r="T70" s="5"/>
      <c r="U70" s="5"/>
    </row>
    <row r="71" spans="1:21">
      <c r="A71" s="5" t="s">
        <v>432</v>
      </c>
      <c r="B71" s="231" t="s">
        <v>149</v>
      </c>
      <c r="C71" s="234" t="s">
        <v>21</v>
      </c>
      <c r="D71" s="212" t="s">
        <v>2567</v>
      </c>
      <c r="F71" s="210"/>
      <c r="G71" s="5" t="s">
        <v>261</v>
      </c>
      <c r="H71" s="258" t="s">
        <v>262</v>
      </c>
      <c r="I71" s="13" t="s">
        <v>18</v>
      </c>
      <c r="J71" s="212" t="s">
        <v>2568</v>
      </c>
      <c r="L71" s="195"/>
      <c r="M71" s="5"/>
      <c r="N71" s="5"/>
      <c r="O71" s="5"/>
      <c r="P71" s="5"/>
      <c r="Q71" s="5"/>
      <c r="R71" s="5"/>
      <c r="S71" s="5"/>
      <c r="T71" s="5"/>
      <c r="U71" s="5"/>
    </row>
    <row r="72" spans="1:21">
      <c r="A72" s="209" t="s">
        <v>435</v>
      </c>
      <c r="B72" s="50" t="s">
        <v>436</v>
      </c>
      <c r="C72" s="10" t="s">
        <v>1562</v>
      </c>
      <c r="D72" s="212" t="s">
        <v>2569</v>
      </c>
      <c r="F72" s="210"/>
      <c r="G72" s="209" t="s">
        <v>437</v>
      </c>
      <c r="H72" s="211" t="s">
        <v>438</v>
      </c>
      <c r="I72" s="13" t="s">
        <v>1567</v>
      </c>
      <c r="J72" s="212" t="s">
        <v>2570</v>
      </c>
      <c r="L72" s="195"/>
      <c r="M72" s="5"/>
      <c r="N72" s="5"/>
      <c r="O72" s="5"/>
      <c r="P72" s="5"/>
      <c r="Q72" s="5"/>
      <c r="R72" s="5"/>
      <c r="S72" s="5"/>
      <c r="T72" s="5"/>
      <c r="U72" s="5"/>
    </row>
    <row r="73" spans="1:21">
      <c r="A73" s="209" t="s">
        <v>442</v>
      </c>
      <c r="B73" s="5" t="s">
        <v>443</v>
      </c>
      <c r="C73" s="10" t="s">
        <v>18</v>
      </c>
      <c r="F73" s="210"/>
      <c r="G73" s="209" t="s">
        <v>444</v>
      </c>
      <c r="H73" s="211" t="s">
        <v>445</v>
      </c>
      <c r="I73" s="255" t="s">
        <v>1567</v>
      </c>
      <c r="J73" s="212" t="s">
        <v>2028</v>
      </c>
      <c r="L73" s="195"/>
      <c r="M73" s="5"/>
      <c r="N73" s="5"/>
      <c r="O73" s="5"/>
      <c r="P73" s="5"/>
      <c r="Q73" s="5"/>
      <c r="R73" s="5"/>
      <c r="S73" s="5"/>
      <c r="T73" s="5"/>
      <c r="U73" s="5"/>
    </row>
    <row r="74" spans="1:21">
      <c r="A74" s="220" t="s">
        <v>447</v>
      </c>
      <c r="B74" s="220" t="s">
        <v>47</v>
      </c>
      <c r="C74" s="10" t="s">
        <v>21</v>
      </c>
      <c r="D74" s="212" t="s">
        <v>2571</v>
      </c>
      <c r="F74" s="210"/>
      <c r="G74" s="209" t="s">
        <v>448</v>
      </c>
      <c r="H74" s="211" t="s">
        <v>449</v>
      </c>
      <c r="I74" s="13" t="s">
        <v>21</v>
      </c>
      <c r="J74" s="212" t="s">
        <v>2572</v>
      </c>
      <c r="L74" s="195"/>
      <c r="M74" s="5"/>
      <c r="N74" s="5"/>
      <c r="O74" s="5"/>
      <c r="P74" s="5"/>
      <c r="Q74" s="5"/>
      <c r="R74" s="5"/>
      <c r="S74" s="5"/>
      <c r="T74" s="5"/>
      <c r="U74" s="5"/>
    </row>
    <row r="75" spans="1:21">
      <c r="A75" s="5" t="s">
        <v>451</v>
      </c>
      <c r="B75" s="50" t="s">
        <v>169</v>
      </c>
      <c r="C75" s="10" t="s">
        <v>21</v>
      </c>
      <c r="F75" s="210"/>
      <c r="G75" s="209" t="s">
        <v>452</v>
      </c>
      <c r="H75" s="258" t="s">
        <v>453</v>
      </c>
      <c r="I75" s="13" t="s">
        <v>1567</v>
      </c>
      <c r="J75" s="212" t="s">
        <v>2573</v>
      </c>
      <c r="L75" s="195"/>
      <c r="M75" s="5"/>
      <c r="N75" s="5"/>
      <c r="O75" s="5"/>
      <c r="P75" s="5"/>
      <c r="Q75" s="5"/>
      <c r="R75" s="5"/>
      <c r="S75" s="5"/>
      <c r="T75" s="5"/>
      <c r="U75" s="5"/>
    </row>
    <row r="76" spans="1:21">
      <c r="A76" s="5" t="s">
        <v>455</v>
      </c>
      <c r="B76" s="231" t="s">
        <v>197</v>
      </c>
      <c r="C76" s="234" t="s">
        <v>22</v>
      </c>
      <c r="D76" s="212" t="s">
        <v>2574</v>
      </c>
      <c r="F76" s="210"/>
      <c r="G76" s="209" t="s">
        <v>456</v>
      </c>
      <c r="H76" s="211" t="s">
        <v>457</v>
      </c>
      <c r="I76" s="13" t="s">
        <v>16</v>
      </c>
      <c r="J76" s="212" t="s">
        <v>2575</v>
      </c>
      <c r="L76" s="195"/>
      <c r="M76" s="5"/>
      <c r="N76" s="5"/>
      <c r="O76" s="5"/>
      <c r="P76" s="5"/>
      <c r="Q76" s="5"/>
      <c r="R76" s="5"/>
      <c r="S76" s="5"/>
      <c r="T76" s="5"/>
      <c r="U76" s="5"/>
    </row>
    <row r="77" spans="1:21">
      <c r="A77" s="209" t="s">
        <v>461</v>
      </c>
      <c r="B77" s="266" t="s">
        <v>378</v>
      </c>
      <c r="C77" s="10" t="s">
        <v>28</v>
      </c>
      <c r="D77" s="212" t="s">
        <v>2576</v>
      </c>
      <c r="F77" s="210"/>
      <c r="G77" s="209" t="s">
        <v>462</v>
      </c>
      <c r="H77" s="258" t="s">
        <v>463</v>
      </c>
      <c r="I77" s="13" t="s">
        <v>1562</v>
      </c>
      <c r="J77" s="212" t="s">
        <v>2577</v>
      </c>
      <c r="L77" s="195"/>
      <c r="M77" s="5"/>
      <c r="N77" s="5"/>
      <c r="O77" s="5"/>
      <c r="P77" s="5"/>
      <c r="Q77" s="5"/>
      <c r="R77" s="5"/>
      <c r="S77" s="5"/>
      <c r="T77" s="5"/>
      <c r="U77" s="5"/>
    </row>
    <row r="78" spans="1:21">
      <c r="A78" s="220" t="s">
        <v>467</v>
      </c>
      <c r="B78" s="267" t="s">
        <v>30</v>
      </c>
      <c r="C78" s="10" t="s">
        <v>28</v>
      </c>
      <c r="D78" s="212" t="s">
        <v>2578</v>
      </c>
      <c r="F78" s="210"/>
      <c r="G78" s="209" t="s">
        <v>468</v>
      </c>
      <c r="H78" s="224" t="s">
        <v>469</v>
      </c>
      <c r="I78" s="13" t="s">
        <v>1567</v>
      </c>
      <c r="J78" s="212" t="s">
        <v>2579</v>
      </c>
      <c r="L78" s="195"/>
      <c r="M78" s="5"/>
      <c r="N78" s="5"/>
      <c r="O78" s="5"/>
      <c r="P78" s="5"/>
      <c r="Q78" s="5"/>
      <c r="R78" s="5"/>
      <c r="S78" s="5"/>
      <c r="T78" s="5"/>
      <c r="U78" s="5"/>
    </row>
    <row r="79" spans="1:21">
      <c r="A79" s="209" t="s">
        <v>472</v>
      </c>
      <c r="B79" s="233" t="s">
        <v>473</v>
      </c>
      <c r="C79" s="10" t="s">
        <v>1567</v>
      </c>
      <c r="D79" s="212" t="s">
        <v>2580</v>
      </c>
      <c r="F79" s="210"/>
      <c r="G79" s="5" t="s">
        <v>175</v>
      </c>
      <c r="H79" s="214" t="s">
        <v>176</v>
      </c>
      <c r="I79" s="13" t="s">
        <v>21</v>
      </c>
      <c r="J79" s="212" t="s">
        <v>2581</v>
      </c>
      <c r="L79" s="195"/>
      <c r="M79" s="5"/>
      <c r="N79" s="5"/>
      <c r="O79" s="5"/>
      <c r="P79" s="5"/>
      <c r="Q79" s="5"/>
      <c r="R79" s="5"/>
      <c r="S79" s="5"/>
      <c r="T79" s="5"/>
      <c r="U79" s="5"/>
    </row>
    <row r="80" spans="1:21">
      <c r="A80" s="209" t="s">
        <v>475</v>
      </c>
      <c r="B80" s="50" t="s">
        <v>476</v>
      </c>
      <c r="C80" s="10" t="s">
        <v>22</v>
      </c>
      <c r="D80" s="212" t="s">
        <v>2582</v>
      </c>
      <c r="F80" s="210"/>
      <c r="G80" s="5" t="s">
        <v>189</v>
      </c>
      <c r="H80" s="214" t="s">
        <v>190</v>
      </c>
      <c r="I80" s="13" t="s">
        <v>21</v>
      </c>
      <c r="L80" s="195"/>
      <c r="M80" s="5"/>
      <c r="N80" s="5"/>
      <c r="O80" s="5"/>
      <c r="P80" s="5"/>
      <c r="Q80" s="5"/>
      <c r="R80" s="5"/>
      <c r="S80" s="5"/>
      <c r="T80" s="5"/>
      <c r="U80" s="5"/>
    </row>
    <row r="81" spans="1:21">
      <c r="A81" s="5" t="s">
        <v>478</v>
      </c>
      <c r="B81" s="131" t="s">
        <v>321</v>
      </c>
      <c r="C81" s="10" t="s">
        <v>28</v>
      </c>
      <c r="D81" s="212" t="s">
        <v>2583</v>
      </c>
      <c r="F81" s="210"/>
      <c r="G81" s="209" t="s">
        <v>479</v>
      </c>
      <c r="H81" s="258" t="s">
        <v>480</v>
      </c>
      <c r="I81" s="13" t="s">
        <v>1567</v>
      </c>
      <c r="J81" s="212" t="s">
        <v>2584</v>
      </c>
      <c r="L81" s="195"/>
      <c r="M81" s="5"/>
      <c r="N81" s="5"/>
      <c r="O81" s="5"/>
      <c r="P81" s="5"/>
      <c r="Q81" s="5"/>
      <c r="R81" s="5"/>
      <c r="S81" s="5"/>
      <c r="T81" s="5"/>
      <c r="U81" s="5"/>
    </row>
    <row r="82" spans="1:21">
      <c r="A82" s="209" t="s">
        <v>483</v>
      </c>
      <c r="B82" s="50" t="s">
        <v>484</v>
      </c>
      <c r="C82" s="10" t="s">
        <v>18</v>
      </c>
      <c r="D82" s="212" t="s">
        <v>2585</v>
      </c>
      <c r="F82" s="210"/>
      <c r="G82" s="209" t="s">
        <v>485</v>
      </c>
      <c r="H82" s="258" t="s">
        <v>486</v>
      </c>
      <c r="I82" s="13" t="s">
        <v>18</v>
      </c>
      <c r="J82" s="212" t="s">
        <v>2586</v>
      </c>
      <c r="L82" s="195"/>
      <c r="M82" s="5"/>
      <c r="N82" s="5"/>
      <c r="O82" s="5"/>
      <c r="P82" s="5"/>
      <c r="Q82" s="5"/>
      <c r="R82" s="5"/>
      <c r="S82" s="5"/>
      <c r="T82" s="5"/>
      <c r="U82" s="5"/>
    </row>
    <row r="83" spans="1:21">
      <c r="A83" s="209" t="s">
        <v>488</v>
      </c>
      <c r="B83" s="268" t="s">
        <v>489</v>
      </c>
      <c r="C83" s="19" t="s">
        <v>18</v>
      </c>
      <c r="D83" s="269" t="s">
        <v>2587</v>
      </c>
      <c r="F83" s="210"/>
      <c r="G83" s="209" t="s">
        <v>490</v>
      </c>
      <c r="H83" s="211" t="s">
        <v>491</v>
      </c>
      <c r="I83" s="13" t="s">
        <v>21</v>
      </c>
      <c r="J83" s="212" t="s">
        <v>2588</v>
      </c>
      <c r="L83" s="195"/>
      <c r="M83" s="5"/>
      <c r="N83" s="5"/>
      <c r="O83" s="5"/>
      <c r="P83" s="5"/>
      <c r="Q83" s="5"/>
      <c r="R83" s="5"/>
      <c r="S83" s="5"/>
      <c r="T83" s="5"/>
      <c r="U83" s="5"/>
    </row>
    <row r="84" spans="1:21">
      <c r="A84" s="209" t="s">
        <v>494</v>
      </c>
      <c r="B84" s="5" t="s">
        <v>495</v>
      </c>
      <c r="C84" s="10" t="s">
        <v>18</v>
      </c>
      <c r="D84" s="212" t="s">
        <v>2589</v>
      </c>
      <c r="F84" s="210"/>
      <c r="G84" s="209" t="s">
        <v>496</v>
      </c>
      <c r="H84" s="258" t="s">
        <v>497</v>
      </c>
      <c r="I84" s="13" t="s">
        <v>1661</v>
      </c>
      <c r="J84" s="212" t="s">
        <v>2590</v>
      </c>
      <c r="L84" s="195"/>
      <c r="M84" s="5"/>
      <c r="N84" s="5"/>
      <c r="O84" s="5"/>
      <c r="P84" s="5"/>
      <c r="Q84" s="5"/>
      <c r="R84" s="5"/>
      <c r="S84" s="5"/>
      <c r="T84" s="5"/>
      <c r="U84" s="5"/>
    </row>
    <row r="85" spans="1:21">
      <c r="A85" s="209" t="s">
        <v>500</v>
      </c>
      <c r="B85" s="5" t="s">
        <v>501</v>
      </c>
      <c r="C85" s="10" t="s">
        <v>1567</v>
      </c>
      <c r="D85" s="212" t="s">
        <v>2591</v>
      </c>
      <c r="F85" s="210"/>
      <c r="G85" s="209" t="s">
        <v>502</v>
      </c>
      <c r="H85" s="211" t="s">
        <v>503</v>
      </c>
      <c r="I85" s="13" t="s">
        <v>1562</v>
      </c>
      <c r="J85" s="212" t="s">
        <v>2592</v>
      </c>
      <c r="L85" s="195"/>
      <c r="M85" s="5"/>
      <c r="N85" s="5"/>
      <c r="O85" s="5"/>
      <c r="P85" s="5"/>
      <c r="Q85" s="5"/>
      <c r="R85" s="5"/>
      <c r="S85" s="5"/>
      <c r="T85" s="5"/>
      <c r="U85" s="5"/>
    </row>
    <row r="86" spans="1:21">
      <c r="A86" s="209" t="s">
        <v>505</v>
      </c>
      <c r="B86" s="5" t="s">
        <v>506</v>
      </c>
      <c r="C86" s="10" t="s">
        <v>1574</v>
      </c>
      <c r="D86" s="212" t="s">
        <v>2593</v>
      </c>
      <c r="F86" s="210"/>
      <c r="G86" s="209" t="s">
        <v>507</v>
      </c>
      <c r="H86" s="224" t="s">
        <v>508</v>
      </c>
      <c r="I86" s="13" t="s">
        <v>21</v>
      </c>
      <c r="J86" s="212" t="s">
        <v>2594</v>
      </c>
      <c r="L86" s="195"/>
      <c r="M86" s="5"/>
      <c r="N86" s="5"/>
      <c r="O86" s="5"/>
      <c r="P86" s="5"/>
      <c r="Q86" s="5"/>
      <c r="R86" s="5"/>
      <c r="S86" s="5"/>
      <c r="T86" s="5"/>
      <c r="U86" s="5"/>
    </row>
    <row r="87" spans="1:21">
      <c r="A87" s="131" t="s">
        <v>509</v>
      </c>
      <c r="B87" s="267" t="s">
        <v>237</v>
      </c>
      <c r="C87" s="10" t="s">
        <v>28</v>
      </c>
      <c r="D87" s="212" t="s">
        <v>2595</v>
      </c>
      <c r="F87" s="210"/>
      <c r="G87" s="5" t="s">
        <v>182</v>
      </c>
      <c r="H87" s="258" t="s">
        <v>183</v>
      </c>
      <c r="I87" s="13" t="s">
        <v>1567</v>
      </c>
      <c r="J87" s="212" t="s">
        <v>2596</v>
      </c>
      <c r="L87" s="195"/>
      <c r="M87" s="5"/>
      <c r="N87" s="5"/>
      <c r="O87" s="5"/>
      <c r="P87" s="5"/>
      <c r="Q87" s="5"/>
      <c r="R87" s="5"/>
      <c r="S87" s="5"/>
      <c r="T87" s="5"/>
      <c r="U87" s="5"/>
    </row>
    <row r="88" spans="1:21">
      <c r="A88" s="209" t="s">
        <v>510</v>
      </c>
      <c r="B88" s="5" t="s">
        <v>511</v>
      </c>
      <c r="C88" s="10" t="s">
        <v>18</v>
      </c>
      <c r="D88" s="212" t="s">
        <v>2597</v>
      </c>
      <c r="F88" s="210"/>
      <c r="G88" s="209" t="s">
        <v>512</v>
      </c>
      <c r="H88" s="224" t="s">
        <v>513</v>
      </c>
      <c r="I88" s="13" t="s">
        <v>21</v>
      </c>
      <c r="J88" s="212" t="s">
        <v>2598</v>
      </c>
      <c r="L88" s="195"/>
      <c r="M88" s="5"/>
      <c r="N88" s="5"/>
      <c r="O88" s="5"/>
      <c r="P88" s="5"/>
      <c r="Q88" s="5"/>
      <c r="R88" s="5"/>
      <c r="S88" s="5"/>
      <c r="T88" s="5"/>
      <c r="U88" s="5"/>
    </row>
    <row r="89" spans="1:21">
      <c r="A89" s="5" t="s">
        <v>517</v>
      </c>
      <c r="B89" s="231" t="s">
        <v>224</v>
      </c>
      <c r="C89" s="10" t="s">
        <v>21</v>
      </c>
      <c r="D89" s="212" t="s">
        <v>2599</v>
      </c>
      <c r="F89" s="210"/>
      <c r="G89" s="209" t="s">
        <v>518</v>
      </c>
      <c r="H89" s="258" t="s">
        <v>519</v>
      </c>
      <c r="I89" s="13" t="s">
        <v>18</v>
      </c>
      <c r="J89" s="212" t="s">
        <v>2600</v>
      </c>
      <c r="L89" s="195"/>
      <c r="M89" s="5"/>
      <c r="N89" s="5"/>
      <c r="O89" s="5"/>
      <c r="P89" s="5"/>
      <c r="Q89" s="5"/>
      <c r="R89" s="5"/>
      <c r="S89" s="5"/>
      <c r="T89" s="5"/>
      <c r="U89" s="5"/>
    </row>
    <row r="90" spans="1:21">
      <c r="A90" s="5" t="s">
        <v>523</v>
      </c>
      <c r="B90" s="220" t="s">
        <v>460</v>
      </c>
      <c r="C90" s="10" t="s">
        <v>21</v>
      </c>
      <c r="D90" s="212" t="s">
        <v>2601</v>
      </c>
      <c r="F90" s="210"/>
      <c r="G90" s="209" t="s">
        <v>524</v>
      </c>
      <c r="H90" s="224" t="s">
        <v>525</v>
      </c>
      <c r="I90" s="13" t="s">
        <v>1567</v>
      </c>
      <c r="J90" s="212" t="s">
        <v>2602</v>
      </c>
      <c r="L90" s="195"/>
      <c r="M90" s="5"/>
      <c r="N90" s="5"/>
      <c r="O90" s="5"/>
      <c r="P90" s="5"/>
      <c r="Q90" s="5"/>
      <c r="R90" s="5"/>
      <c r="S90" s="5"/>
      <c r="T90" s="5"/>
      <c r="U90" s="5"/>
    </row>
    <row r="91" spans="1:21">
      <c r="A91" s="209" t="s">
        <v>529</v>
      </c>
      <c r="B91" s="5" t="s">
        <v>530</v>
      </c>
      <c r="C91" s="10" t="s">
        <v>1562</v>
      </c>
      <c r="D91" s="212" t="s">
        <v>2028</v>
      </c>
      <c r="F91" s="210"/>
      <c r="G91" s="5" t="s">
        <v>72</v>
      </c>
      <c r="H91" s="214" t="s">
        <v>73</v>
      </c>
      <c r="I91" s="13" t="s">
        <v>21</v>
      </c>
      <c r="J91" s="212" t="s">
        <v>2603</v>
      </c>
      <c r="L91" s="195"/>
      <c r="M91" s="5"/>
      <c r="N91" s="5"/>
      <c r="O91" s="5"/>
      <c r="P91" s="5"/>
      <c r="Q91" s="5"/>
      <c r="R91" s="5"/>
      <c r="S91" s="5"/>
      <c r="T91" s="5"/>
      <c r="U91" s="5"/>
    </row>
    <row r="92" spans="1:21">
      <c r="A92" s="209" t="s">
        <v>534</v>
      </c>
      <c r="B92" s="5" t="s">
        <v>535</v>
      </c>
      <c r="C92" s="10" t="s">
        <v>18</v>
      </c>
      <c r="D92" s="212" t="s">
        <v>2604</v>
      </c>
      <c r="F92" s="210"/>
      <c r="G92" s="209" t="s">
        <v>536</v>
      </c>
      <c r="H92" s="211" t="s">
        <v>537</v>
      </c>
      <c r="I92" s="13" t="s">
        <v>1574</v>
      </c>
      <c r="J92" s="212" t="s">
        <v>2605</v>
      </c>
      <c r="L92" s="195"/>
      <c r="M92" s="5"/>
      <c r="N92" s="5"/>
      <c r="O92" s="5"/>
      <c r="P92" s="5"/>
      <c r="Q92" s="5"/>
      <c r="R92" s="5"/>
      <c r="S92" s="5"/>
      <c r="T92" s="5"/>
      <c r="U92" s="5"/>
    </row>
    <row r="93" spans="1:21">
      <c r="A93" s="209" t="s">
        <v>541</v>
      </c>
      <c r="B93" s="5" t="s">
        <v>542</v>
      </c>
      <c r="C93" s="10" t="s">
        <v>1661</v>
      </c>
      <c r="D93" s="212" t="s">
        <v>2606</v>
      </c>
      <c r="F93" s="210"/>
      <c r="G93" s="209" t="s">
        <v>543</v>
      </c>
      <c r="H93" s="211" t="s">
        <v>544</v>
      </c>
      <c r="I93" s="13" t="s">
        <v>1562</v>
      </c>
      <c r="J93" s="212" t="s">
        <v>2607</v>
      </c>
      <c r="L93" s="195"/>
      <c r="M93" s="5"/>
      <c r="N93" s="5"/>
      <c r="O93" s="5"/>
      <c r="P93" s="5"/>
      <c r="Q93" s="5"/>
      <c r="R93" s="5"/>
      <c r="S93" s="5"/>
      <c r="T93" s="5"/>
      <c r="U93" s="5"/>
    </row>
    <row r="94" spans="1:21">
      <c r="A94" s="231" t="s">
        <v>548</v>
      </c>
      <c r="B94" s="220" t="s">
        <v>549</v>
      </c>
      <c r="C94" s="10" t="s">
        <v>21</v>
      </c>
      <c r="F94" s="210"/>
      <c r="G94" s="5" t="s">
        <v>363</v>
      </c>
      <c r="H94" s="214" t="s">
        <v>364</v>
      </c>
      <c r="I94" s="13" t="s">
        <v>21</v>
      </c>
      <c r="J94" s="212" t="s">
        <v>2608</v>
      </c>
      <c r="L94" s="195"/>
      <c r="M94" s="5"/>
      <c r="N94" s="5"/>
      <c r="O94" s="5"/>
      <c r="P94" s="5"/>
      <c r="Q94" s="5"/>
      <c r="R94" s="5"/>
      <c r="S94" s="5"/>
      <c r="T94" s="5"/>
      <c r="U94" s="5"/>
    </row>
    <row r="95" spans="1:21">
      <c r="A95" s="5" t="s">
        <v>553</v>
      </c>
      <c r="B95" s="231" t="s">
        <v>352</v>
      </c>
      <c r="C95" s="10" t="s">
        <v>1567</v>
      </c>
      <c r="D95" s="212" t="s">
        <v>2609</v>
      </c>
      <c r="F95" s="210"/>
      <c r="G95" s="209" t="s">
        <v>554</v>
      </c>
      <c r="H95" s="224" t="s">
        <v>555</v>
      </c>
      <c r="I95" s="13" t="s">
        <v>28</v>
      </c>
      <c r="J95" s="212" t="s">
        <v>2610</v>
      </c>
      <c r="L95" s="195"/>
      <c r="M95" s="5"/>
      <c r="N95" s="5"/>
      <c r="O95" s="5"/>
      <c r="P95" s="5"/>
      <c r="Q95" s="5"/>
      <c r="R95" s="5"/>
      <c r="S95" s="5"/>
      <c r="T95" s="5"/>
      <c r="U95" s="5"/>
    </row>
    <row r="96" spans="1:21">
      <c r="A96" s="209" t="s">
        <v>559</v>
      </c>
      <c r="B96" s="5" t="s">
        <v>560</v>
      </c>
      <c r="C96" s="10" t="s">
        <v>1574</v>
      </c>
      <c r="D96" s="212" t="s">
        <v>2611</v>
      </c>
      <c r="F96" s="210"/>
      <c r="G96" s="5"/>
      <c r="H96" s="211"/>
      <c r="I96" s="13"/>
      <c r="L96" s="195"/>
      <c r="M96" s="5"/>
      <c r="N96" s="5"/>
      <c r="O96" s="5"/>
      <c r="P96" s="5"/>
      <c r="Q96" s="5"/>
      <c r="R96" s="5"/>
      <c r="S96" s="5"/>
      <c r="T96" s="5"/>
      <c r="U96" s="5"/>
    </row>
    <row r="97" spans="1:21">
      <c r="A97" s="5" t="s">
        <v>565</v>
      </c>
      <c r="B97" s="220" t="s">
        <v>441</v>
      </c>
      <c r="C97" s="10" t="s">
        <v>21</v>
      </c>
      <c r="D97" s="212" t="s">
        <v>2612</v>
      </c>
      <c r="F97" s="210"/>
      <c r="G97" s="209" t="s">
        <v>566</v>
      </c>
      <c r="H97" s="211" t="s">
        <v>567</v>
      </c>
      <c r="I97" s="13" t="s">
        <v>1562</v>
      </c>
      <c r="J97" s="212" t="s">
        <v>2613</v>
      </c>
      <c r="L97" s="195"/>
      <c r="M97" s="5"/>
      <c r="N97" s="5"/>
      <c r="O97" s="5"/>
      <c r="P97" s="5"/>
      <c r="Q97" s="5"/>
      <c r="R97" s="5"/>
      <c r="S97" s="5"/>
      <c r="T97" s="5"/>
      <c r="U97" s="5"/>
    </row>
    <row r="98" spans="1:21">
      <c r="A98" s="209" t="s">
        <v>571</v>
      </c>
      <c r="B98" s="5" t="s">
        <v>572</v>
      </c>
      <c r="C98" s="10" t="s">
        <v>1567</v>
      </c>
      <c r="D98" s="212" t="s">
        <v>2614</v>
      </c>
      <c r="F98" s="210"/>
      <c r="G98" s="209" t="s">
        <v>573</v>
      </c>
      <c r="H98" s="211" t="s">
        <v>574</v>
      </c>
      <c r="I98" s="13" t="s">
        <v>18</v>
      </c>
      <c r="J98" s="212" t="s">
        <v>2615</v>
      </c>
      <c r="L98" s="195"/>
      <c r="M98" s="5"/>
      <c r="N98" s="5"/>
      <c r="O98" s="5"/>
      <c r="P98" s="5"/>
      <c r="Q98" s="5"/>
      <c r="R98" s="5"/>
      <c r="S98" s="5"/>
      <c r="T98" s="5"/>
      <c r="U98" s="5"/>
    </row>
    <row r="99" spans="1:21">
      <c r="A99" s="209" t="s">
        <v>578</v>
      </c>
      <c r="B99" s="233" t="s">
        <v>579</v>
      </c>
      <c r="C99" s="10" t="s">
        <v>21</v>
      </c>
      <c r="D99" s="212" t="s">
        <v>2616</v>
      </c>
      <c r="F99" s="210"/>
      <c r="G99" s="209" t="s">
        <v>580</v>
      </c>
      <c r="H99" s="211" t="s">
        <v>581</v>
      </c>
      <c r="I99" s="13" t="s">
        <v>1661</v>
      </c>
      <c r="L99" s="195"/>
      <c r="M99" s="5"/>
      <c r="N99" s="5"/>
      <c r="O99" s="5"/>
      <c r="P99" s="5"/>
      <c r="Q99" s="5"/>
      <c r="R99" s="5"/>
      <c r="S99" s="5"/>
      <c r="T99" s="5"/>
      <c r="U99" s="5"/>
    </row>
    <row r="100" spans="1:21">
      <c r="A100" s="209" t="s">
        <v>585</v>
      </c>
      <c r="B100" s="5" t="s">
        <v>586</v>
      </c>
      <c r="C100" s="10" t="s">
        <v>1562</v>
      </c>
      <c r="D100" s="212" t="s">
        <v>2617</v>
      </c>
      <c r="F100" s="210"/>
      <c r="G100" s="5" t="s">
        <v>154</v>
      </c>
      <c r="H100" s="214" t="s">
        <v>155</v>
      </c>
      <c r="I100" s="13" t="s">
        <v>21</v>
      </c>
      <c r="J100" s="212" t="s">
        <v>2618</v>
      </c>
      <c r="L100" s="195"/>
      <c r="M100" s="5"/>
      <c r="N100" s="5"/>
      <c r="O100" s="5"/>
      <c r="P100" s="5"/>
      <c r="Q100" s="5"/>
      <c r="R100" s="5"/>
      <c r="S100" s="5"/>
      <c r="T100" s="5"/>
      <c r="U100" s="5"/>
    </row>
    <row r="101" spans="1:21">
      <c r="A101" s="209" t="s">
        <v>590</v>
      </c>
      <c r="B101" s="233" t="s">
        <v>591</v>
      </c>
      <c r="C101" s="10" t="s">
        <v>21</v>
      </c>
      <c r="D101" s="212" t="s">
        <v>2619</v>
      </c>
      <c r="F101" s="210"/>
      <c r="G101" s="220" t="s">
        <v>248</v>
      </c>
      <c r="H101" s="214" t="s">
        <v>249</v>
      </c>
      <c r="I101" s="13" t="s">
        <v>21</v>
      </c>
      <c r="J101" s="212" t="s">
        <v>2620</v>
      </c>
      <c r="L101" s="195"/>
      <c r="M101" s="5"/>
      <c r="N101" s="5"/>
      <c r="O101" s="5"/>
      <c r="P101" s="5"/>
      <c r="Q101" s="5"/>
      <c r="R101" s="5"/>
      <c r="S101" s="5"/>
      <c r="T101" s="5"/>
      <c r="U101" s="5"/>
    </row>
    <row r="102" spans="1:21">
      <c r="A102" s="209" t="s">
        <v>595</v>
      </c>
      <c r="B102" s="5" t="s">
        <v>596</v>
      </c>
      <c r="C102" s="10" t="s">
        <v>18</v>
      </c>
      <c r="D102" s="212" t="s">
        <v>2621</v>
      </c>
      <c r="F102" s="210"/>
      <c r="G102" s="209" t="s">
        <v>597</v>
      </c>
      <c r="H102" s="211" t="s">
        <v>598</v>
      </c>
      <c r="I102" s="13" t="s">
        <v>1567</v>
      </c>
      <c r="L102" s="195"/>
      <c r="M102" s="5"/>
      <c r="N102" s="5"/>
      <c r="O102" s="5"/>
      <c r="P102" s="5"/>
      <c r="Q102" s="5"/>
      <c r="R102" s="5"/>
      <c r="S102" s="5"/>
      <c r="T102" s="5"/>
      <c r="U102" s="5"/>
    </row>
    <row r="103" spans="1:21">
      <c r="A103" s="209" t="s">
        <v>602</v>
      </c>
      <c r="B103" s="5" t="s">
        <v>603</v>
      </c>
      <c r="C103" s="10" t="s">
        <v>1661</v>
      </c>
      <c r="D103" s="212" t="s">
        <v>2622</v>
      </c>
      <c r="F103" s="210"/>
      <c r="G103" s="5" t="s">
        <v>141</v>
      </c>
      <c r="H103" s="214" t="s">
        <v>142</v>
      </c>
      <c r="I103" s="13" t="s">
        <v>28</v>
      </c>
      <c r="J103" s="212" t="s">
        <v>2623</v>
      </c>
      <c r="L103" s="195"/>
      <c r="M103" s="5"/>
      <c r="N103" s="5"/>
      <c r="O103" s="5"/>
      <c r="P103" s="5"/>
      <c r="Q103" s="5"/>
      <c r="R103" s="5"/>
      <c r="S103" s="5"/>
      <c r="T103" s="5"/>
      <c r="U103" s="5"/>
    </row>
    <row r="104" spans="1:21">
      <c r="A104" s="220" t="s">
        <v>607</v>
      </c>
      <c r="B104" s="221" t="s">
        <v>381</v>
      </c>
      <c r="C104" s="10" t="s">
        <v>28</v>
      </c>
      <c r="D104" s="212" t="s">
        <v>2624</v>
      </c>
      <c r="F104" s="210"/>
      <c r="G104" s="209" t="s">
        <v>608</v>
      </c>
      <c r="H104" s="211" t="s">
        <v>609</v>
      </c>
      <c r="I104" s="255" t="s">
        <v>22</v>
      </c>
      <c r="J104" s="212" t="s">
        <v>2625</v>
      </c>
      <c r="L104" s="195"/>
      <c r="M104" s="5"/>
      <c r="N104" s="5"/>
      <c r="O104" s="5"/>
      <c r="P104" s="5"/>
      <c r="Q104" s="5"/>
      <c r="R104" s="5"/>
      <c r="S104" s="5"/>
      <c r="T104" s="5"/>
      <c r="U104" s="5"/>
    </row>
    <row r="105" spans="1:21">
      <c r="A105" s="220" t="s">
        <v>613</v>
      </c>
      <c r="B105" s="220" t="s">
        <v>108</v>
      </c>
      <c r="C105" s="10" t="s">
        <v>28</v>
      </c>
      <c r="D105" s="212" t="s">
        <v>2626</v>
      </c>
      <c r="F105" s="210"/>
      <c r="G105" s="209" t="s">
        <v>614</v>
      </c>
      <c r="H105" s="258" t="s">
        <v>615</v>
      </c>
      <c r="I105" s="13" t="s">
        <v>1567</v>
      </c>
      <c r="J105" s="212" t="s">
        <v>2627</v>
      </c>
      <c r="L105" s="195"/>
      <c r="M105" s="5"/>
      <c r="N105" s="5"/>
      <c r="O105" s="5"/>
      <c r="P105" s="5"/>
      <c r="Q105" s="5"/>
      <c r="R105" s="5"/>
      <c r="S105" s="5"/>
      <c r="T105" s="5"/>
      <c r="U105" s="5"/>
    </row>
    <row r="106" spans="1:21" ht="35.25" customHeight="1">
      <c r="A106" s="197"/>
      <c r="B106" s="270"/>
      <c r="C106" s="138"/>
      <c r="D106" s="4" t="s">
        <v>2628</v>
      </c>
      <c r="E106" s="271" t="s">
        <v>2629</v>
      </c>
      <c r="F106" s="210"/>
      <c r="G106" s="209" t="s">
        <v>620</v>
      </c>
      <c r="H106" s="258" t="s">
        <v>621</v>
      </c>
      <c r="I106" s="13" t="s">
        <v>1567</v>
      </c>
      <c r="L106" s="195"/>
      <c r="M106" s="5"/>
      <c r="N106" s="5"/>
      <c r="O106" s="5"/>
      <c r="P106" s="5"/>
      <c r="Q106" s="5"/>
      <c r="R106" s="5"/>
      <c r="S106" s="5"/>
      <c r="T106" s="5"/>
      <c r="U106" s="5"/>
    </row>
    <row r="107" spans="1:21">
      <c r="A107" s="5" t="s">
        <v>633</v>
      </c>
      <c r="B107" s="231" t="s">
        <v>594</v>
      </c>
      <c r="C107" s="13" t="s">
        <v>18</v>
      </c>
      <c r="D107" s="212" t="s">
        <v>2630</v>
      </c>
      <c r="F107" s="210"/>
      <c r="G107" s="220" t="s">
        <v>419</v>
      </c>
      <c r="H107" s="214" t="s">
        <v>420</v>
      </c>
      <c r="I107" s="13" t="s">
        <v>17</v>
      </c>
      <c r="J107" s="212" t="s">
        <v>2631</v>
      </c>
      <c r="L107" s="195"/>
      <c r="M107" s="5"/>
      <c r="N107" s="5"/>
      <c r="O107" s="5"/>
      <c r="P107" s="5"/>
      <c r="Q107" s="5"/>
      <c r="R107" s="5"/>
      <c r="S107" s="5"/>
      <c r="T107" s="5"/>
      <c r="U107" s="5"/>
    </row>
    <row r="108" spans="1:21">
      <c r="A108" s="209" t="s">
        <v>639</v>
      </c>
      <c r="B108" s="231" t="s">
        <v>640</v>
      </c>
      <c r="D108" s="212" t="s">
        <v>2632</v>
      </c>
      <c r="F108" s="210"/>
      <c r="G108" s="209" t="s">
        <v>628</v>
      </c>
      <c r="H108" s="211" t="s">
        <v>629</v>
      </c>
      <c r="I108" s="13" t="s">
        <v>1574</v>
      </c>
      <c r="J108" s="212" t="s">
        <v>2633</v>
      </c>
      <c r="L108" s="195"/>
      <c r="M108" s="5"/>
      <c r="N108" s="5"/>
      <c r="O108" s="5"/>
      <c r="P108" s="5"/>
      <c r="Q108" s="5"/>
      <c r="R108" s="5"/>
      <c r="S108" s="5"/>
      <c r="T108" s="5"/>
      <c r="U108" s="5"/>
    </row>
    <row r="109" spans="1:21">
      <c r="A109" s="209" t="s">
        <v>644</v>
      </c>
      <c r="B109" s="233" t="s">
        <v>645</v>
      </c>
      <c r="C109" s="13" t="s">
        <v>1567</v>
      </c>
      <c r="D109" s="212" t="s">
        <v>2634</v>
      </c>
      <c r="F109" s="210"/>
      <c r="G109" s="209" t="s">
        <v>634</v>
      </c>
      <c r="H109" s="224" t="s">
        <v>635</v>
      </c>
      <c r="I109" s="13" t="s">
        <v>21</v>
      </c>
      <c r="J109" s="212" t="s">
        <v>2635</v>
      </c>
      <c r="L109" s="195"/>
      <c r="M109" s="5"/>
      <c r="N109" s="5"/>
      <c r="O109" s="5"/>
      <c r="P109" s="5"/>
      <c r="Q109" s="5"/>
      <c r="R109" s="5"/>
      <c r="S109" s="5"/>
      <c r="T109" s="5"/>
      <c r="U109" s="5"/>
    </row>
    <row r="110" spans="1:21">
      <c r="A110" s="209" t="s">
        <v>651</v>
      </c>
      <c r="B110" s="231" t="s">
        <v>652</v>
      </c>
      <c r="C110" s="13" t="s">
        <v>18</v>
      </c>
      <c r="D110" s="212" t="s">
        <v>2636</v>
      </c>
      <c r="F110" s="210"/>
      <c r="G110" s="5" t="s">
        <v>284</v>
      </c>
      <c r="H110" s="214" t="s">
        <v>285</v>
      </c>
      <c r="I110" s="13" t="s">
        <v>18</v>
      </c>
      <c r="J110" s="212" t="s">
        <v>2637</v>
      </c>
      <c r="L110" s="195"/>
      <c r="M110" s="5"/>
      <c r="N110" s="5"/>
      <c r="O110" s="5"/>
      <c r="P110" s="5"/>
      <c r="Q110" s="5"/>
      <c r="R110" s="5"/>
      <c r="S110" s="5"/>
      <c r="T110" s="5"/>
      <c r="U110" s="5"/>
    </row>
    <row r="111" spans="1:21">
      <c r="A111" s="220" t="s">
        <v>658</v>
      </c>
      <c r="B111" s="220" t="s">
        <v>659</v>
      </c>
      <c r="C111" s="13" t="s">
        <v>28</v>
      </c>
      <c r="D111" s="212" t="s">
        <v>2638</v>
      </c>
      <c r="F111" s="210"/>
      <c r="G111" s="209" t="s">
        <v>646</v>
      </c>
      <c r="H111" s="211" t="s">
        <v>647</v>
      </c>
      <c r="I111" s="13" t="s">
        <v>1567</v>
      </c>
      <c r="L111" s="195"/>
      <c r="M111" s="5"/>
      <c r="N111" s="5"/>
      <c r="O111" s="5"/>
      <c r="P111" s="5"/>
      <c r="Q111" s="5"/>
      <c r="R111" s="5"/>
      <c r="S111" s="5"/>
      <c r="T111" s="5"/>
      <c r="U111" s="5"/>
    </row>
    <row r="112" spans="1:21">
      <c r="A112" s="209" t="s">
        <v>663</v>
      </c>
      <c r="B112" s="233" t="s">
        <v>5246</v>
      </c>
      <c r="C112" s="13" t="s">
        <v>1567</v>
      </c>
      <c r="F112" s="210"/>
      <c r="G112" s="209" t="s">
        <v>653</v>
      </c>
      <c r="H112" s="211" t="s">
        <v>530</v>
      </c>
      <c r="I112" s="13" t="s">
        <v>1661</v>
      </c>
      <c r="J112" s="212" t="s">
        <v>2639</v>
      </c>
      <c r="L112" s="195"/>
      <c r="M112" s="5"/>
      <c r="N112" s="5"/>
      <c r="O112" s="5"/>
      <c r="P112" s="5"/>
      <c r="Q112" s="5"/>
      <c r="R112" s="5"/>
      <c r="S112" s="5"/>
      <c r="T112" s="5"/>
      <c r="U112" s="5"/>
    </row>
    <row r="113" spans="1:21">
      <c r="A113" s="209" t="s">
        <v>667</v>
      </c>
      <c r="B113" s="23" t="s">
        <v>668</v>
      </c>
      <c r="C113" s="13" t="s">
        <v>1562</v>
      </c>
      <c r="D113" s="212" t="s">
        <v>2640</v>
      </c>
      <c r="F113" s="210"/>
      <c r="G113" s="220" t="s">
        <v>203</v>
      </c>
      <c r="H113" s="214" t="s">
        <v>204</v>
      </c>
      <c r="I113" s="255" t="s">
        <v>21</v>
      </c>
      <c r="J113" s="212" t="s">
        <v>2641</v>
      </c>
      <c r="L113" s="195"/>
      <c r="M113" s="5"/>
      <c r="N113" s="5"/>
      <c r="O113" s="5"/>
      <c r="P113" s="5"/>
      <c r="Q113" s="5"/>
      <c r="R113" s="5"/>
      <c r="S113" s="5"/>
      <c r="T113" s="5"/>
      <c r="U113" s="5"/>
    </row>
    <row r="114" spans="1:21">
      <c r="A114" s="209" t="s">
        <v>674</v>
      </c>
      <c r="B114" s="23" t="s">
        <v>675</v>
      </c>
      <c r="C114" s="13" t="s">
        <v>18</v>
      </c>
      <c r="D114" s="212" t="s">
        <v>2642</v>
      </c>
      <c r="F114" s="210"/>
      <c r="G114" s="131" t="s">
        <v>60</v>
      </c>
      <c r="H114" s="241" t="s">
        <v>61</v>
      </c>
      <c r="I114" s="13" t="s">
        <v>17</v>
      </c>
      <c r="J114" s="212" t="s">
        <v>2643</v>
      </c>
      <c r="K114" s="212" t="s">
        <v>2644</v>
      </c>
      <c r="L114" s="195"/>
      <c r="M114" s="5"/>
      <c r="N114" s="5"/>
      <c r="O114" s="5"/>
      <c r="P114" s="5"/>
      <c r="Q114" s="5"/>
      <c r="R114" s="5"/>
      <c r="S114" s="5"/>
      <c r="T114" s="5"/>
      <c r="U114" s="5"/>
    </row>
    <row r="115" spans="1:21">
      <c r="A115" s="220" t="s">
        <v>681</v>
      </c>
      <c r="B115" s="223" t="s">
        <v>666</v>
      </c>
      <c r="C115" s="13" t="s">
        <v>28</v>
      </c>
      <c r="D115" s="212" t="s">
        <v>2645</v>
      </c>
      <c r="F115" s="210"/>
      <c r="G115" s="209" t="s">
        <v>669</v>
      </c>
      <c r="H115" s="211" t="s">
        <v>670</v>
      </c>
      <c r="I115" s="13" t="s">
        <v>1562</v>
      </c>
      <c r="J115" s="212" t="s">
        <v>2646</v>
      </c>
      <c r="L115" s="195"/>
      <c r="M115" s="5"/>
      <c r="N115" s="5"/>
      <c r="O115" s="5"/>
      <c r="P115" s="5"/>
      <c r="Q115" s="5"/>
      <c r="R115" s="5"/>
      <c r="S115" s="5"/>
      <c r="T115" s="5"/>
      <c r="U115" s="5"/>
    </row>
    <row r="116" spans="1:21">
      <c r="A116" s="209" t="s">
        <v>687</v>
      </c>
      <c r="B116" s="231" t="s">
        <v>688</v>
      </c>
      <c r="C116" s="13" t="s">
        <v>18</v>
      </c>
      <c r="D116" s="212" t="s">
        <v>2647</v>
      </c>
      <c r="F116" s="210"/>
      <c r="G116" s="209" t="s">
        <v>676</v>
      </c>
      <c r="H116" s="211" t="s">
        <v>677</v>
      </c>
      <c r="I116" s="13" t="s">
        <v>1562</v>
      </c>
      <c r="J116" s="212" t="s">
        <v>2648</v>
      </c>
      <c r="L116" s="195"/>
      <c r="M116" s="5"/>
      <c r="N116" s="5"/>
      <c r="O116" s="5"/>
      <c r="P116" s="5"/>
      <c r="Q116" s="5"/>
      <c r="R116" s="5"/>
      <c r="S116" s="5"/>
      <c r="T116" s="5"/>
      <c r="U116" s="5"/>
    </row>
    <row r="117" spans="1:21">
      <c r="A117" s="209" t="s">
        <v>694</v>
      </c>
      <c r="B117" s="233" t="s">
        <v>695</v>
      </c>
      <c r="C117" s="13" t="s">
        <v>1567</v>
      </c>
      <c r="F117" s="210"/>
      <c r="G117" s="209" t="s">
        <v>682</v>
      </c>
      <c r="H117" s="211" t="s">
        <v>683</v>
      </c>
      <c r="I117" s="13" t="s">
        <v>1574</v>
      </c>
      <c r="L117" s="195"/>
      <c r="M117" s="5"/>
      <c r="N117" s="5"/>
      <c r="O117" s="5"/>
      <c r="P117" s="5"/>
      <c r="Q117" s="5"/>
      <c r="R117" s="5"/>
      <c r="S117" s="5"/>
      <c r="T117" s="5"/>
      <c r="U117" s="5"/>
    </row>
    <row r="118" spans="1:21">
      <c r="A118" s="209" t="s">
        <v>701</v>
      </c>
      <c r="B118" s="5" t="s">
        <v>702</v>
      </c>
      <c r="C118" s="13" t="s">
        <v>1574</v>
      </c>
      <c r="D118" s="212" t="s">
        <v>2649</v>
      </c>
      <c r="F118" s="210"/>
      <c r="G118" s="209" t="s">
        <v>689</v>
      </c>
      <c r="H118" s="258" t="s">
        <v>690</v>
      </c>
      <c r="I118" s="13" t="s">
        <v>1574</v>
      </c>
      <c r="J118" s="212" t="s">
        <v>2650</v>
      </c>
      <c r="L118" s="195"/>
      <c r="M118" s="5"/>
      <c r="N118" s="5"/>
      <c r="O118" s="5"/>
      <c r="P118" s="5"/>
      <c r="Q118" s="5"/>
      <c r="R118" s="5"/>
      <c r="S118" s="5"/>
      <c r="T118" s="5"/>
      <c r="U118" s="5"/>
    </row>
    <row r="119" spans="1:21">
      <c r="A119" s="209" t="s">
        <v>708</v>
      </c>
      <c r="B119" s="231" t="s">
        <v>709</v>
      </c>
      <c r="C119" s="13" t="s">
        <v>18</v>
      </c>
      <c r="D119" s="212" t="s">
        <v>2651</v>
      </c>
      <c r="F119" s="210"/>
      <c r="G119" s="209" t="s">
        <v>696</v>
      </c>
      <c r="H119" s="211" t="s">
        <v>697</v>
      </c>
      <c r="I119" s="13" t="s">
        <v>16</v>
      </c>
      <c r="J119" s="212" t="s">
        <v>2652</v>
      </c>
      <c r="L119" s="195"/>
      <c r="M119" s="5"/>
      <c r="N119" s="5"/>
      <c r="O119" s="5"/>
      <c r="P119" s="5"/>
      <c r="Q119" s="5"/>
      <c r="R119" s="5"/>
      <c r="S119" s="5"/>
      <c r="T119" s="5"/>
      <c r="U119" s="5"/>
    </row>
    <row r="120" spans="1:21">
      <c r="A120" s="209" t="s">
        <v>715</v>
      </c>
      <c r="B120" s="5" t="s">
        <v>716</v>
      </c>
      <c r="C120" s="13" t="s">
        <v>1562</v>
      </c>
      <c r="D120" s="212" t="s">
        <v>2653</v>
      </c>
      <c r="E120" s="212" t="s">
        <v>2654</v>
      </c>
      <c r="F120" s="210" t="s">
        <v>2655</v>
      </c>
      <c r="G120" s="209" t="s">
        <v>703</v>
      </c>
      <c r="H120" s="211" t="s">
        <v>704</v>
      </c>
      <c r="I120" s="13" t="s">
        <v>1661</v>
      </c>
      <c r="J120" s="212" t="s">
        <v>2656</v>
      </c>
      <c r="L120" s="195"/>
      <c r="M120" s="5"/>
      <c r="N120" s="5"/>
      <c r="O120" s="5"/>
      <c r="P120" s="5"/>
      <c r="Q120" s="5"/>
      <c r="R120" s="5"/>
      <c r="S120" s="5"/>
      <c r="T120" s="5"/>
      <c r="U120" s="5"/>
    </row>
    <row r="121" spans="1:21">
      <c r="A121" s="209" t="s">
        <v>722</v>
      </c>
      <c r="B121" s="5" t="s">
        <v>2657</v>
      </c>
      <c r="C121" s="13" t="s">
        <v>1562</v>
      </c>
      <c r="D121" s="212" t="s">
        <v>2658</v>
      </c>
      <c r="F121" s="210"/>
      <c r="G121" s="209" t="s">
        <v>710</v>
      </c>
      <c r="H121" s="224" t="s">
        <v>711</v>
      </c>
      <c r="I121" s="13" t="s">
        <v>21</v>
      </c>
      <c r="J121" s="212" t="s">
        <v>2659</v>
      </c>
      <c r="L121" s="195"/>
      <c r="M121" s="5"/>
      <c r="N121" s="5"/>
      <c r="O121" s="5"/>
      <c r="P121" s="5"/>
      <c r="Q121" s="5"/>
      <c r="R121" s="5"/>
      <c r="S121" s="5"/>
      <c r="T121" s="5"/>
      <c r="U121" s="5"/>
    </row>
    <row r="122" spans="1:21">
      <c r="A122" s="5" t="s">
        <v>727</v>
      </c>
      <c r="B122" s="23" t="s">
        <v>558</v>
      </c>
      <c r="C122" s="13" t="s">
        <v>1567</v>
      </c>
      <c r="D122" s="212" t="s">
        <v>2660</v>
      </c>
      <c r="F122" s="210"/>
      <c r="G122" s="209" t="s">
        <v>717</v>
      </c>
      <c r="H122" s="211" t="s">
        <v>718</v>
      </c>
      <c r="I122" s="13" t="s">
        <v>1567</v>
      </c>
      <c r="L122" s="195"/>
      <c r="M122" s="5"/>
      <c r="N122" s="5"/>
      <c r="O122" s="5"/>
      <c r="P122" s="5"/>
      <c r="Q122" s="5"/>
      <c r="R122" s="5"/>
      <c r="S122" s="5"/>
      <c r="T122" s="5"/>
      <c r="U122" s="5"/>
    </row>
    <row r="123" spans="1:21">
      <c r="A123" s="5" t="s">
        <v>733</v>
      </c>
      <c r="B123" s="220" t="s">
        <v>686</v>
      </c>
      <c r="C123" s="13" t="s">
        <v>21</v>
      </c>
      <c r="D123" s="212" t="s">
        <v>2661</v>
      </c>
      <c r="F123" s="210"/>
      <c r="G123" s="5" t="s">
        <v>134</v>
      </c>
      <c r="H123" s="214" t="s">
        <v>135</v>
      </c>
      <c r="I123" s="13" t="s">
        <v>21</v>
      </c>
      <c r="J123" s="212" t="s">
        <v>2662</v>
      </c>
      <c r="L123" s="195"/>
      <c r="M123" s="5"/>
      <c r="N123" s="5"/>
      <c r="O123" s="5"/>
      <c r="P123" s="5"/>
      <c r="Q123" s="5"/>
      <c r="R123" s="5"/>
      <c r="S123" s="5"/>
      <c r="T123" s="5"/>
      <c r="U123" s="5"/>
    </row>
    <row r="124" spans="1:21">
      <c r="A124" s="131" t="s">
        <v>737</v>
      </c>
      <c r="B124" s="223" t="s">
        <v>700</v>
      </c>
      <c r="C124" s="13" t="s">
        <v>17</v>
      </c>
      <c r="D124" s="212" t="s">
        <v>2663</v>
      </c>
      <c r="F124" s="210"/>
      <c r="G124" s="209" t="s">
        <v>728</v>
      </c>
      <c r="H124" s="211" t="s">
        <v>729</v>
      </c>
      <c r="I124" s="13" t="s">
        <v>18</v>
      </c>
      <c r="J124" s="212" t="s">
        <v>2664</v>
      </c>
      <c r="L124" s="195"/>
      <c r="M124" s="5"/>
      <c r="N124" s="5"/>
      <c r="O124" s="5"/>
      <c r="P124" s="5"/>
      <c r="Q124" s="5"/>
      <c r="R124" s="5"/>
      <c r="S124" s="5"/>
      <c r="T124" s="5"/>
      <c r="U124" s="5"/>
    </row>
    <row r="125" spans="1:21">
      <c r="A125" s="209" t="s">
        <v>741</v>
      </c>
      <c r="B125" s="233" t="s">
        <v>742</v>
      </c>
      <c r="C125" s="13" t="s">
        <v>1567</v>
      </c>
      <c r="D125" s="212" t="s">
        <v>2665</v>
      </c>
      <c r="G125" s="272" t="s">
        <v>290</v>
      </c>
      <c r="H125" s="214" t="s">
        <v>291</v>
      </c>
      <c r="I125" s="19" t="s">
        <v>28</v>
      </c>
      <c r="J125" s="142" t="s">
        <v>2666</v>
      </c>
      <c r="K125" s="142"/>
    </row>
    <row r="126" spans="1:21">
      <c r="A126" s="5" t="s">
        <v>746</v>
      </c>
      <c r="B126" s="220" t="s">
        <v>693</v>
      </c>
      <c r="C126" s="13" t="s">
        <v>21</v>
      </c>
      <c r="D126" s="212" t="s">
        <v>2667</v>
      </c>
      <c r="G126" s="273" t="s">
        <v>254</v>
      </c>
      <c r="H126" s="241" t="s">
        <v>255</v>
      </c>
      <c r="I126" s="19" t="s">
        <v>28</v>
      </c>
      <c r="J126" s="142" t="s">
        <v>2668</v>
      </c>
      <c r="K126" s="142"/>
    </row>
    <row r="127" spans="1:21">
      <c r="A127" s="209" t="s">
        <v>752</v>
      </c>
      <c r="B127" s="23" t="s">
        <v>753</v>
      </c>
      <c r="C127" s="13" t="s">
        <v>18</v>
      </c>
      <c r="D127" s="212" t="s">
        <v>2669</v>
      </c>
      <c r="F127" s="274"/>
      <c r="G127" s="24" t="s">
        <v>407</v>
      </c>
      <c r="H127" s="275" t="s">
        <v>408</v>
      </c>
      <c r="I127" s="19" t="s">
        <v>1567</v>
      </c>
      <c r="J127" s="269" t="s">
        <v>2670</v>
      </c>
    </row>
    <row r="128" spans="1:21">
      <c r="A128" s="5" t="s">
        <v>757</v>
      </c>
      <c r="B128" s="220" t="s">
        <v>758</v>
      </c>
      <c r="C128" s="13" t="s">
        <v>21</v>
      </c>
      <c r="D128" s="212" t="s">
        <v>2671</v>
      </c>
      <c r="G128" s="276" t="s">
        <v>747</v>
      </c>
      <c r="H128" s="277" t="s">
        <v>748</v>
      </c>
      <c r="I128" s="19" t="s">
        <v>1567</v>
      </c>
    </row>
    <row r="129" spans="1:12">
      <c r="A129" s="209" t="s">
        <v>762</v>
      </c>
      <c r="B129" s="5" t="s">
        <v>763</v>
      </c>
      <c r="C129" s="13" t="s">
        <v>18</v>
      </c>
      <c r="D129" s="212" t="s">
        <v>2672</v>
      </c>
      <c r="G129" s="24" t="s">
        <v>411</v>
      </c>
      <c r="H129" s="277" t="s">
        <v>412</v>
      </c>
      <c r="I129" s="19" t="s">
        <v>1567</v>
      </c>
      <c r="J129" s="212" t="s">
        <v>2673</v>
      </c>
    </row>
    <row r="130" spans="1:12">
      <c r="A130" s="209" t="s">
        <v>767</v>
      </c>
      <c r="B130" s="231" t="s">
        <v>768</v>
      </c>
      <c r="C130" s="13" t="s">
        <v>18</v>
      </c>
      <c r="G130" s="24" t="s">
        <v>32</v>
      </c>
      <c r="H130" s="278" t="s">
        <v>33</v>
      </c>
      <c r="I130" s="19" t="s">
        <v>21</v>
      </c>
      <c r="J130" s="269" t="s">
        <v>2674</v>
      </c>
    </row>
    <row r="131" spans="1:12">
      <c r="A131" s="209" t="s">
        <v>772</v>
      </c>
      <c r="B131" s="231" t="s">
        <v>773</v>
      </c>
      <c r="C131" s="13" t="s">
        <v>18</v>
      </c>
      <c r="G131" s="24" t="s">
        <v>301</v>
      </c>
      <c r="H131" s="278" t="s">
        <v>280</v>
      </c>
      <c r="I131" s="19" t="s">
        <v>21</v>
      </c>
    </row>
    <row r="132" spans="1:12">
      <c r="A132" s="209" t="s">
        <v>779</v>
      </c>
      <c r="B132" s="5" t="s">
        <v>780</v>
      </c>
      <c r="C132" s="13" t="s">
        <v>1567</v>
      </c>
      <c r="G132" s="24" t="s">
        <v>344</v>
      </c>
      <c r="H132" s="275" t="s">
        <v>345</v>
      </c>
      <c r="I132" s="279" t="s">
        <v>21</v>
      </c>
      <c r="J132" s="212" t="s">
        <v>2675</v>
      </c>
    </row>
    <row r="133" spans="1:12">
      <c r="A133" s="209" t="s">
        <v>785</v>
      </c>
      <c r="B133" s="280" t="s">
        <v>786</v>
      </c>
      <c r="C133" s="13" t="s">
        <v>1567</v>
      </c>
      <c r="D133" s="212" t="s">
        <v>2676</v>
      </c>
      <c r="E133" s="212" t="s">
        <v>2677</v>
      </c>
      <c r="F133" s="281" t="s">
        <v>2678</v>
      </c>
      <c r="G133" s="276" t="s">
        <v>774</v>
      </c>
      <c r="H133" s="277" t="s">
        <v>775</v>
      </c>
      <c r="I133" s="19" t="s">
        <v>1567</v>
      </c>
      <c r="J133" s="269" t="s">
        <v>1578</v>
      </c>
    </row>
    <row r="134" spans="1:12">
      <c r="A134" s="209" t="s">
        <v>791</v>
      </c>
      <c r="B134" s="5" t="s">
        <v>792</v>
      </c>
      <c r="C134" s="13" t="s">
        <v>1562</v>
      </c>
      <c r="D134" s="212" t="s">
        <v>2679</v>
      </c>
      <c r="F134" s="281" t="s">
        <v>2680</v>
      </c>
      <c r="G134" s="276" t="s">
        <v>781</v>
      </c>
      <c r="H134" s="275" t="s">
        <v>544</v>
      </c>
      <c r="I134" s="19" t="s">
        <v>1574</v>
      </c>
      <c r="J134" s="212" t="s">
        <v>2681</v>
      </c>
    </row>
    <row r="135" spans="1:12">
      <c r="A135" s="209" t="s">
        <v>796</v>
      </c>
      <c r="B135" s="231" t="s">
        <v>797</v>
      </c>
      <c r="C135" s="13" t="s">
        <v>18</v>
      </c>
      <c r="D135" s="212" t="s">
        <v>2682</v>
      </c>
      <c r="F135" s="281" t="s">
        <v>2683</v>
      </c>
      <c r="G135" s="595"/>
      <c r="H135" s="593"/>
      <c r="I135" s="596"/>
      <c r="J135" s="550" t="s">
        <v>2684</v>
      </c>
      <c r="K135" s="596"/>
      <c r="L135" s="591" t="s">
        <v>2685</v>
      </c>
    </row>
    <row r="136" spans="1:12">
      <c r="A136" s="209" t="s">
        <v>800</v>
      </c>
      <c r="B136" s="23" t="s">
        <v>801</v>
      </c>
      <c r="C136" s="13" t="s">
        <v>16</v>
      </c>
      <c r="D136" s="212" t="s">
        <v>2686</v>
      </c>
      <c r="F136" s="281" t="s">
        <v>2687</v>
      </c>
      <c r="G136" s="594"/>
      <c r="H136" s="594"/>
      <c r="I136" s="594"/>
      <c r="J136" s="594"/>
      <c r="K136" s="594"/>
      <c r="L136" s="592"/>
    </row>
    <row r="137" spans="1:12">
      <c r="A137" s="5" t="s">
        <v>807</v>
      </c>
      <c r="B137" s="5" t="s">
        <v>808</v>
      </c>
      <c r="C137" s="13" t="s">
        <v>18</v>
      </c>
      <c r="D137" s="212" t="s">
        <v>2688</v>
      </c>
      <c r="F137" s="281" t="s">
        <v>2689</v>
      </c>
      <c r="G137" s="282" t="s">
        <v>802</v>
      </c>
      <c r="H137" s="275" t="s">
        <v>803</v>
      </c>
      <c r="I137" s="19" t="s">
        <v>1567</v>
      </c>
      <c r="J137" s="212" t="s">
        <v>2690</v>
      </c>
    </row>
    <row r="138" spans="1:12">
      <c r="A138" s="220" t="s">
        <v>814</v>
      </c>
      <c r="B138" s="220" t="s">
        <v>736</v>
      </c>
      <c r="C138" s="13" t="s">
        <v>21</v>
      </c>
      <c r="G138" s="276" t="s">
        <v>809</v>
      </c>
      <c r="H138" s="277" t="s">
        <v>810</v>
      </c>
      <c r="I138" s="19" t="s">
        <v>18</v>
      </c>
    </row>
    <row r="139" spans="1:12">
      <c r="A139" s="209" t="s">
        <v>818</v>
      </c>
      <c r="B139" s="5" t="s">
        <v>819</v>
      </c>
      <c r="C139" s="13" t="s">
        <v>18</v>
      </c>
      <c r="D139" s="212" t="s">
        <v>2691</v>
      </c>
      <c r="G139" s="24" t="s">
        <v>755</v>
      </c>
      <c r="H139" s="277" t="s">
        <v>756</v>
      </c>
      <c r="I139" s="19" t="s">
        <v>1567</v>
      </c>
      <c r="J139" s="269" t="s">
        <v>2692</v>
      </c>
    </row>
    <row r="140" spans="1:12">
      <c r="A140" s="209" t="s">
        <v>825</v>
      </c>
      <c r="B140" s="23" t="s">
        <v>826</v>
      </c>
      <c r="C140" s="13" t="s">
        <v>1562</v>
      </c>
      <c r="D140" s="212" t="s">
        <v>2693</v>
      </c>
      <c r="G140" s="276" t="s">
        <v>820</v>
      </c>
      <c r="H140" s="275" t="s">
        <v>821</v>
      </c>
      <c r="I140" s="19" t="s">
        <v>1562</v>
      </c>
      <c r="J140" s="269" t="s">
        <v>2694</v>
      </c>
    </row>
    <row r="141" spans="1:12">
      <c r="A141" s="209" t="s">
        <v>832</v>
      </c>
      <c r="B141" s="233" t="s">
        <v>833</v>
      </c>
      <c r="C141" s="13" t="s">
        <v>1567</v>
      </c>
      <c r="D141" s="212" t="s">
        <v>2695</v>
      </c>
      <c r="G141" s="276" t="s">
        <v>827</v>
      </c>
      <c r="H141" s="275" t="s">
        <v>828</v>
      </c>
      <c r="I141" s="19" t="s">
        <v>18</v>
      </c>
    </row>
    <row r="142" spans="1:12">
      <c r="A142" s="220" t="s">
        <v>837</v>
      </c>
      <c r="B142" s="220" t="s">
        <v>838</v>
      </c>
      <c r="C142" s="13" t="s">
        <v>21</v>
      </c>
      <c r="D142" s="212" t="s">
        <v>2696</v>
      </c>
      <c r="G142" s="272" t="s">
        <v>812</v>
      </c>
      <c r="H142" s="283" t="s">
        <v>813</v>
      </c>
      <c r="I142" s="19" t="s">
        <v>28</v>
      </c>
      <c r="J142" s="269" t="s">
        <v>2697</v>
      </c>
    </row>
    <row r="143" spans="1:12">
      <c r="A143" s="5" t="s">
        <v>844</v>
      </c>
      <c r="B143" s="284" t="s">
        <v>627</v>
      </c>
      <c r="C143" s="13" t="s">
        <v>28</v>
      </c>
      <c r="D143" s="212" t="s">
        <v>2698</v>
      </c>
      <c r="G143" s="276" t="s">
        <v>839</v>
      </c>
      <c r="H143" s="285" t="s">
        <v>840</v>
      </c>
      <c r="I143" s="19" t="s">
        <v>28</v>
      </c>
      <c r="J143" s="212" t="s">
        <v>2699</v>
      </c>
      <c r="K143" s="269" t="s">
        <v>2700</v>
      </c>
    </row>
    <row r="144" spans="1:12">
      <c r="A144" s="209" t="s">
        <v>850</v>
      </c>
      <c r="B144" s="5" t="s">
        <v>851</v>
      </c>
      <c r="C144" s="13" t="s">
        <v>18</v>
      </c>
      <c r="G144" s="276" t="s">
        <v>845</v>
      </c>
      <c r="H144" s="275" t="s">
        <v>846</v>
      </c>
      <c r="I144" s="19" t="s">
        <v>1567</v>
      </c>
      <c r="J144" s="212" t="s">
        <v>2701</v>
      </c>
    </row>
    <row r="145" spans="1:11">
      <c r="A145" s="5" t="s">
        <v>855</v>
      </c>
      <c r="B145" s="23" t="s">
        <v>662</v>
      </c>
      <c r="C145" s="13" t="s">
        <v>21</v>
      </c>
      <c r="D145" s="212" t="s">
        <v>2702</v>
      </c>
      <c r="G145" s="24" t="s">
        <v>617</v>
      </c>
      <c r="H145" s="278" t="s">
        <v>618</v>
      </c>
      <c r="I145" s="19" t="s">
        <v>21</v>
      </c>
      <c r="J145" s="269" t="s">
        <v>2703</v>
      </c>
    </row>
    <row r="146" spans="1:11">
      <c r="A146" s="209" t="s">
        <v>859</v>
      </c>
      <c r="B146" s="231" t="s">
        <v>860</v>
      </c>
      <c r="C146" s="13" t="s">
        <v>1562</v>
      </c>
      <c r="D146" s="212" t="s">
        <v>2704</v>
      </c>
      <c r="G146" s="276" t="s">
        <v>856</v>
      </c>
      <c r="H146" s="275" t="s">
        <v>857</v>
      </c>
      <c r="I146" s="19" t="s">
        <v>18</v>
      </c>
      <c r="J146" s="212" t="s">
        <v>2705</v>
      </c>
    </row>
    <row r="147" spans="1:11">
      <c r="A147" s="209" t="s">
        <v>861</v>
      </c>
      <c r="B147" s="5" t="s">
        <v>862</v>
      </c>
      <c r="C147" s="13" t="s">
        <v>18</v>
      </c>
      <c r="G147" s="24" t="s">
        <v>783</v>
      </c>
      <c r="H147" s="278" t="s">
        <v>784</v>
      </c>
      <c r="I147" s="19" t="s">
        <v>21</v>
      </c>
    </row>
    <row r="148" spans="1:11">
      <c r="A148" s="209" t="s">
        <v>865</v>
      </c>
      <c r="B148" s="5" t="s">
        <v>866</v>
      </c>
      <c r="C148" s="13" t="s">
        <v>1562</v>
      </c>
      <c r="D148" s="212" t="s">
        <v>2706</v>
      </c>
      <c r="G148" s="286" t="s">
        <v>863</v>
      </c>
      <c r="H148" s="287" t="s">
        <v>864</v>
      </c>
      <c r="I148" s="19" t="s">
        <v>1567</v>
      </c>
      <c r="J148" s="269" t="s">
        <v>2707</v>
      </c>
      <c r="K148" s="269" t="s">
        <v>2708</v>
      </c>
    </row>
    <row r="149" spans="1:11">
      <c r="A149" s="5" t="s">
        <v>870</v>
      </c>
      <c r="B149" s="5" t="s">
        <v>843</v>
      </c>
      <c r="C149" s="13" t="s">
        <v>1567</v>
      </c>
      <c r="D149" s="212" t="s">
        <v>2709</v>
      </c>
      <c r="G149" s="24" t="s">
        <v>551</v>
      </c>
      <c r="H149" s="278" t="s">
        <v>552</v>
      </c>
      <c r="I149" s="19" t="s">
        <v>28</v>
      </c>
      <c r="J149" s="212" t="s">
        <v>2710</v>
      </c>
    </row>
    <row r="150" spans="1:11">
      <c r="A150" s="209" t="s">
        <v>876</v>
      </c>
      <c r="B150" s="23" t="s">
        <v>877</v>
      </c>
      <c r="C150" s="13" t="s">
        <v>18</v>
      </c>
      <c r="G150" s="276" t="s">
        <v>871</v>
      </c>
      <c r="H150" s="288" t="s">
        <v>872</v>
      </c>
      <c r="I150" s="19" t="s">
        <v>21</v>
      </c>
      <c r="J150" s="269" t="s">
        <v>2711</v>
      </c>
    </row>
    <row r="151" spans="1:11">
      <c r="A151" s="209" t="s">
        <v>881</v>
      </c>
      <c r="B151" s="289" t="s">
        <v>882</v>
      </c>
      <c r="C151" s="13" t="s">
        <v>18</v>
      </c>
      <c r="D151" s="212" t="s">
        <v>2712</v>
      </c>
      <c r="G151" s="24" t="s">
        <v>760</v>
      </c>
      <c r="H151" s="278" t="s">
        <v>761</v>
      </c>
      <c r="I151" s="19" t="s">
        <v>21</v>
      </c>
      <c r="J151" s="269" t="s">
        <v>2548</v>
      </c>
    </row>
    <row r="152" spans="1:11">
      <c r="A152" s="209" t="s">
        <v>888</v>
      </c>
      <c r="B152" s="23" t="s">
        <v>889</v>
      </c>
      <c r="C152" s="13" t="s">
        <v>1562</v>
      </c>
      <c r="D152" s="212" t="s">
        <v>2713</v>
      </c>
      <c r="G152" s="276" t="s">
        <v>883</v>
      </c>
      <c r="H152" s="277" t="s">
        <v>884</v>
      </c>
      <c r="I152" s="19" t="s">
        <v>1567</v>
      </c>
      <c r="J152" s="269" t="s">
        <v>2714</v>
      </c>
    </row>
    <row r="153" spans="1:11">
      <c r="A153" s="5" t="s">
        <v>895</v>
      </c>
      <c r="B153" s="23" t="s">
        <v>849</v>
      </c>
      <c r="C153" s="13" t="s">
        <v>21</v>
      </c>
      <c r="G153" s="276" t="s">
        <v>890</v>
      </c>
      <c r="H153" s="275" t="s">
        <v>891</v>
      </c>
      <c r="I153" s="19" t="s">
        <v>18</v>
      </c>
      <c r="J153" s="269" t="s">
        <v>2715</v>
      </c>
    </row>
    <row r="154" spans="1:11">
      <c r="A154" s="209" t="s">
        <v>898</v>
      </c>
      <c r="B154" s="23" t="s">
        <v>899</v>
      </c>
      <c r="C154" s="13" t="s">
        <v>18</v>
      </c>
      <c r="D154" s="212" t="s">
        <v>2716</v>
      </c>
      <c r="G154" s="24" t="s">
        <v>750</v>
      </c>
      <c r="H154" s="278" t="s">
        <v>751</v>
      </c>
      <c r="I154" s="19" t="s">
        <v>21</v>
      </c>
      <c r="J154" s="269" t="s">
        <v>2717</v>
      </c>
    </row>
    <row r="155" spans="1:11">
      <c r="A155" s="209" t="s">
        <v>905</v>
      </c>
      <c r="B155" s="5" t="s">
        <v>906</v>
      </c>
      <c r="C155" s="13" t="s">
        <v>1574</v>
      </c>
      <c r="D155" s="212" t="s">
        <v>2718</v>
      </c>
      <c r="G155" s="276" t="s">
        <v>900</v>
      </c>
      <c r="H155" s="275" t="s">
        <v>901</v>
      </c>
      <c r="I155" s="19" t="s">
        <v>1567</v>
      </c>
    </row>
    <row r="156" spans="1:11">
      <c r="A156" s="209" t="s">
        <v>912</v>
      </c>
      <c r="B156" s="5" t="s">
        <v>913</v>
      </c>
      <c r="C156" s="13" t="s">
        <v>18</v>
      </c>
      <c r="D156" s="212" t="s">
        <v>2719</v>
      </c>
      <c r="G156" s="276" t="s">
        <v>907</v>
      </c>
      <c r="H156" s="277" t="s">
        <v>908</v>
      </c>
      <c r="I156" s="19" t="s">
        <v>1567</v>
      </c>
      <c r="J156" s="269" t="s">
        <v>2720</v>
      </c>
    </row>
    <row r="157" spans="1:11">
      <c r="A157" s="209" t="s">
        <v>919</v>
      </c>
      <c r="B157" s="5" t="s">
        <v>920</v>
      </c>
      <c r="C157" s="13" t="s">
        <v>18</v>
      </c>
      <c r="D157" s="212" t="s">
        <v>2721</v>
      </c>
      <c r="G157" s="276" t="s">
        <v>914</v>
      </c>
      <c r="H157" s="275" t="s">
        <v>915</v>
      </c>
      <c r="I157" s="19" t="s">
        <v>18</v>
      </c>
      <c r="J157" s="212" t="s">
        <v>2722</v>
      </c>
    </row>
    <row r="158" spans="1:11">
      <c r="A158" s="209" t="s">
        <v>924</v>
      </c>
      <c r="B158" s="5" t="s">
        <v>1510</v>
      </c>
      <c r="C158" s="13" t="s">
        <v>1567</v>
      </c>
      <c r="D158" s="212" t="s">
        <v>2723</v>
      </c>
      <c r="G158" s="273" t="s">
        <v>515</v>
      </c>
      <c r="H158" s="283" t="s">
        <v>516</v>
      </c>
      <c r="I158" s="19" t="s">
        <v>17</v>
      </c>
      <c r="J158" s="212" t="s">
        <v>2724</v>
      </c>
    </row>
    <row r="159" spans="1:11">
      <c r="A159" s="209" t="s">
        <v>929</v>
      </c>
      <c r="B159" s="233" t="s">
        <v>930</v>
      </c>
      <c r="C159" s="255" t="s">
        <v>1567</v>
      </c>
      <c r="D159" s="212" t="s">
        <v>2725</v>
      </c>
      <c r="G159" s="24" t="s">
        <v>679</v>
      </c>
      <c r="H159" s="277" t="s">
        <v>680</v>
      </c>
      <c r="I159" s="19" t="s">
        <v>1567</v>
      </c>
      <c r="J159" s="269" t="s">
        <v>2726</v>
      </c>
    </row>
    <row r="160" spans="1:11">
      <c r="A160" s="5" t="s">
        <v>934</v>
      </c>
      <c r="B160" s="5" t="s">
        <v>522</v>
      </c>
      <c r="C160" s="13" t="s">
        <v>1567</v>
      </c>
      <c r="G160" s="272" t="s">
        <v>611</v>
      </c>
      <c r="H160" s="290" t="s">
        <v>612</v>
      </c>
      <c r="I160" s="19" t="s">
        <v>28</v>
      </c>
      <c r="J160" s="212" t="s">
        <v>2727</v>
      </c>
    </row>
    <row r="161" spans="1:10">
      <c r="A161" s="5" t="s">
        <v>937</v>
      </c>
      <c r="B161" s="220" t="s">
        <v>547</v>
      </c>
      <c r="C161" s="13" t="s">
        <v>28</v>
      </c>
      <c r="D161" s="269" t="s">
        <v>2728</v>
      </c>
      <c r="G161" s="272" t="s">
        <v>713</v>
      </c>
      <c r="H161" s="278" t="s">
        <v>714</v>
      </c>
      <c r="I161" s="19" t="s">
        <v>28</v>
      </c>
    </row>
    <row r="162" spans="1:10">
      <c r="A162" s="209" t="s">
        <v>943</v>
      </c>
      <c r="B162" s="5" t="s">
        <v>944</v>
      </c>
      <c r="C162" s="13" t="s">
        <v>18</v>
      </c>
      <c r="D162" s="212" t="s">
        <v>2729</v>
      </c>
      <c r="G162" s="276" t="s">
        <v>938</v>
      </c>
      <c r="H162" s="277" t="s">
        <v>939</v>
      </c>
      <c r="I162" s="19" t="s">
        <v>1567</v>
      </c>
    </row>
    <row r="163" spans="1:10">
      <c r="A163" s="209" t="s">
        <v>950</v>
      </c>
      <c r="B163" s="231" t="s">
        <v>951</v>
      </c>
      <c r="C163" s="13" t="s">
        <v>18</v>
      </c>
      <c r="D163" s="212" t="s">
        <v>2730</v>
      </c>
      <c r="G163" s="276" t="s">
        <v>945</v>
      </c>
      <c r="H163" s="275" t="s">
        <v>946</v>
      </c>
      <c r="I163" s="19" t="s">
        <v>1567</v>
      </c>
      <c r="J163" s="212" t="s">
        <v>2731</v>
      </c>
    </row>
    <row r="164" spans="1:10">
      <c r="A164" s="5" t="s">
        <v>957</v>
      </c>
      <c r="B164" s="5" t="s">
        <v>958</v>
      </c>
      <c r="C164" s="13" t="s">
        <v>1567</v>
      </c>
      <c r="D164" s="212" t="s">
        <v>2732</v>
      </c>
      <c r="G164" s="276" t="s">
        <v>952</v>
      </c>
      <c r="H164" s="275" t="s">
        <v>953</v>
      </c>
      <c r="I164" s="19" t="s">
        <v>18</v>
      </c>
    </row>
    <row r="165" spans="1:10">
      <c r="A165" s="209" t="s">
        <v>964</v>
      </c>
      <c r="B165" s="5" t="s">
        <v>965</v>
      </c>
      <c r="C165" s="13" t="s">
        <v>18</v>
      </c>
      <c r="G165" s="276" t="s">
        <v>959</v>
      </c>
      <c r="H165" s="287" t="s">
        <v>960</v>
      </c>
      <c r="I165" s="19" t="s">
        <v>21</v>
      </c>
    </row>
    <row r="166" spans="1:10">
      <c r="A166" s="209" t="s">
        <v>971</v>
      </c>
      <c r="B166" s="23" t="s">
        <v>972</v>
      </c>
      <c r="C166" s="13" t="s">
        <v>18</v>
      </c>
      <c r="D166" s="212" t="s">
        <v>2691</v>
      </c>
      <c r="G166" s="24" t="s">
        <v>966</v>
      </c>
      <c r="H166" s="275" t="s">
        <v>967</v>
      </c>
      <c r="I166" s="19" t="s">
        <v>1567</v>
      </c>
    </row>
    <row r="167" spans="1:10">
      <c r="A167" s="209" t="s">
        <v>976</v>
      </c>
      <c r="B167" s="5" t="s">
        <v>977</v>
      </c>
      <c r="C167" s="13" t="s">
        <v>1562</v>
      </c>
      <c r="D167" s="212" t="s">
        <v>2733</v>
      </c>
      <c r="E167" s="212" t="s">
        <v>2734</v>
      </c>
      <c r="G167" s="24" t="s">
        <v>649</v>
      </c>
      <c r="H167" s="275" t="s">
        <v>650</v>
      </c>
      <c r="I167" s="19" t="s">
        <v>21</v>
      </c>
    </row>
    <row r="168" spans="1:10">
      <c r="A168" s="5" t="s">
        <v>981</v>
      </c>
      <c r="B168" s="23" t="s">
        <v>624</v>
      </c>
      <c r="C168" s="13" t="s">
        <v>21</v>
      </c>
      <c r="G168" s="24" t="s">
        <v>631</v>
      </c>
      <c r="H168" s="277" t="s">
        <v>632</v>
      </c>
      <c r="I168" s="19" t="s">
        <v>21</v>
      </c>
    </row>
    <row r="169" spans="1:10">
      <c r="A169" s="5" t="s">
        <v>986</v>
      </c>
      <c r="B169" s="23" t="s">
        <v>657</v>
      </c>
      <c r="C169" s="13" t="s">
        <v>21</v>
      </c>
      <c r="D169" s="212" t="s">
        <v>2735</v>
      </c>
      <c r="G169" s="276" t="s">
        <v>982</v>
      </c>
      <c r="H169" s="277" t="s">
        <v>983</v>
      </c>
      <c r="I169" s="19" t="s">
        <v>18</v>
      </c>
    </row>
    <row r="170" spans="1:10">
      <c r="A170" s="220" t="s">
        <v>990</v>
      </c>
      <c r="B170" s="284" t="s">
        <v>836</v>
      </c>
      <c r="C170" s="13" t="s">
        <v>21</v>
      </c>
      <c r="G170" s="272" t="s">
        <v>765</v>
      </c>
      <c r="H170" s="278" t="s">
        <v>766</v>
      </c>
      <c r="I170" s="19" t="s">
        <v>28</v>
      </c>
    </row>
    <row r="171" spans="1:10">
      <c r="A171" s="5" t="s">
        <v>996</v>
      </c>
      <c r="B171" s="231" t="s">
        <v>806</v>
      </c>
      <c r="C171" s="13" t="s">
        <v>1567</v>
      </c>
      <c r="D171" s="212" t="s">
        <v>2736</v>
      </c>
      <c r="G171" s="276" t="s">
        <v>991</v>
      </c>
      <c r="H171" s="275" t="s">
        <v>992</v>
      </c>
      <c r="I171" s="279" t="s">
        <v>22</v>
      </c>
      <c r="J171" s="212" t="s">
        <v>2737</v>
      </c>
    </row>
    <row r="172" spans="1:10">
      <c r="A172" s="209" t="s">
        <v>1002</v>
      </c>
      <c r="B172" s="23" t="s">
        <v>1003</v>
      </c>
      <c r="C172" s="13" t="s">
        <v>1567</v>
      </c>
      <c r="D172" s="212" t="s">
        <v>2738</v>
      </c>
      <c r="G172" s="276" t="s">
        <v>997</v>
      </c>
      <c r="H172" s="277" t="s">
        <v>998</v>
      </c>
      <c r="I172" s="19" t="s">
        <v>18</v>
      </c>
      <c r="J172" s="269" t="s">
        <v>2739</v>
      </c>
    </row>
    <row r="173" spans="1:10">
      <c r="A173" s="5" t="s">
        <v>1009</v>
      </c>
      <c r="B173" s="220" t="s">
        <v>795</v>
      </c>
      <c r="C173" s="13" t="s">
        <v>21</v>
      </c>
      <c r="G173" s="276" t="s">
        <v>1004</v>
      </c>
      <c r="H173" s="277" t="s">
        <v>1005</v>
      </c>
      <c r="I173" s="19" t="s">
        <v>1567</v>
      </c>
    </row>
    <row r="174" spans="1:10">
      <c r="A174" s="209" t="s">
        <v>1013</v>
      </c>
      <c r="B174" s="23" t="s">
        <v>1014</v>
      </c>
      <c r="C174" s="13" t="s">
        <v>1562</v>
      </c>
      <c r="D174" s="212" t="s">
        <v>2740</v>
      </c>
      <c r="G174" s="273" t="s">
        <v>830</v>
      </c>
      <c r="H174" s="283" t="s">
        <v>831</v>
      </c>
      <c r="I174" s="19" t="s">
        <v>28</v>
      </c>
      <c r="J174" s="212" t="s">
        <v>2741</v>
      </c>
    </row>
    <row r="175" spans="1:10">
      <c r="A175" s="209" t="s">
        <v>1018</v>
      </c>
      <c r="B175" s="233" t="s">
        <v>1019</v>
      </c>
      <c r="C175" s="13" t="s">
        <v>1567</v>
      </c>
      <c r="D175" s="212" t="s">
        <v>2742</v>
      </c>
      <c r="G175" s="24" t="s">
        <v>789</v>
      </c>
      <c r="H175" s="275" t="s">
        <v>790</v>
      </c>
      <c r="I175" s="19" t="s">
        <v>18</v>
      </c>
      <c r="J175" s="269" t="s">
        <v>2743</v>
      </c>
    </row>
    <row r="176" spans="1:10">
      <c r="A176" s="5" t="s">
        <v>1023</v>
      </c>
      <c r="B176" s="231" t="s">
        <v>540</v>
      </c>
      <c r="C176" s="13" t="s">
        <v>1567</v>
      </c>
      <c r="D176" s="212" t="s">
        <v>2744</v>
      </c>
      <c r="G176" s="24" t="s">
        <v>527</v>
      </c>
      <c r="H176" s="277" t="s">
        <v>528</v>
      </c>
      <c r="I176" s="19" t="s">
        <v>1567</v>
      </c>
    </row>
    <row r="177" spans="1:10">
      <c r="A177" s="209" t="s">
        <v>1029</v>
      </c>
      <c r="B177" s="5" t="s">
        <v>1030</v>
      </c>
      <c r="C177" s="13" t="s">
        <v>18</v>
      </c>
      <c r="D177" s="212" t="s">
        <v>2745</v>
      </c>
      <c r="G177" s="276" t="s">
        <v>1024</v>
      </c>
      <c r="H177" s="275" t="s">
        <v>1025</v>
      </c>
      <c r="I177" s="19" t="s">
        <v>21</v>
      </c>
    </row>
    <row r="178" spans="1:10" ht="39" customHeight="1">
      <c r="A178" s="197"/>
      <c r="B178" s="270"/>
      <c r="C178" s="138"/>
      <c r="D178" s="4" t="s">
        <v>2746</v>
      </c>
      <c r="E178" s="136"/>
      <c r="G178" s="276" t="s">
        <v>1031</v>
      </c>
      <c r="H178" s="275" t="s">
        <v>1032</v>
      </c>
      <c r="I178" s="19" t="s">
        <v>1567</v>
      </c>
      <c r="J178" s="269" t="s">
        <v>2747</v>
      </c>
    </row>
    <row r="179" spans="1:10">
      <c r="A179" s="209" t="s">
        <v>1040</v>
      </c>
      <c r="B179" s="231" t="s">
        <v>1041</v>
      </c>
      <c r="C179" s="255" t="s">
        <v>1567</v>
      </c>
      <c r="D179" s="212" t="s">
        <v>2748</v>
      </c>
      <c r="G179" s="272" t="s">
        <v>816</v>
      </c>
      <c r="H179" s="278" t="s">
        <v>817</v>
      </c>
      <c r="I179" s="19" t="s">
        <v>21</v>
      </c>
      <c r="J179" s="269" t="s">
        <v>2749</v>
      </c>
    </row>
    <row r="180" spans="1:10">
      <c r="A180" s="209" t="s">
        <v>1046</v>
      </c>
      <c r="B180" s="5" t="s">
        <v>1047</v>
      </c>
      <c r="C180" s="13" t="s">
        <v>18</v>
      </c>
      <c r="D180" s="212" t="s">
        <v>2750</v>
      </c>
      <c r="E180" s="291" t="s">
        <v>2751</v>
      </c>
      <c r="G180" s="276" t="s">
        <v>1035</v>
      </c>
      <c r="H180" s="277" t="s">
        <v>1036</v>
      </c>
      <c r="I180" s="19" t="s">
        <v>1567</v>
      </c>
      <c r="J180" s="269" t="s">
        <v>2752</v>
      </c>
    </row>
    <row r="181" spans="1:10">
      <c r="A181" s="5" t="s">
        <v>1053</v>
      </c>
      <c r="B181" s="220" t="s">
        <v>975</v>
      </c>
      <c r="C181" s="13" t="s">
        <v>21</v>
      </c>
      <c r="D181" s="212" t="s">
        <v>2753</v>
      </c>
      <c r="G181" s="24" t="s">
        <v>672</v>
      </c>
      <c r="H181" s="275" t="s">
        <v>673</v>
      </c>
      <c r="I181" s="19" t="s">
        <v>1567</v>
      </c>
    </row>
    <row r="182" spans="1:10">
      <c r="A182" s="209" t="s">
        <v>1059</v>
      </c>
      <c r="B182" s="231" t="s">
        <v>1060</v>
      </c>
      <c r="C182" s="13" t="s">
        <v>1567</v>
      </c>
      <c r="D182" s="212" t="s">
        <v>2754</v>
      </c>
      <c r="G182" s="24" t="s">
        <v>706</v>
      </c>
      <c r="H182" s="277" t="s">
        <v>707</v>
      </c>
      <c r="I182" s="19" t="s">
        <v>21</v>
      </c>
    </row>
    <row r="183" spans="1:10">
      <c r="A183" s="5" t="s">
        <v>1064</v>
      </c>
      <c r="B183" s="292" t="s">
        <v>1017</v>
      </c>
      <c r="C183" s="13" t="s">
        <v>21</v>
      </c>
      <c r="D183" s="212" t="s">
        <v>2755</v>
      </c>
      <c r="E183" s="212" t="s">
        <v>2756</v>
      </c>
      <c r="G183" s="276" t="s">
        <v>1048</v>
      </c>
      <c r="H183" s="277" t="s">
        <v>1049</v>
      </c>
      <c r="I183" s="19" t="s">
        <v>18</v>
      </c>
      <c r="J183" s="269" t="s">
        <v>2757</v>
      </c>
    </row>
    <row r="184" spans="1:10">
      <c r="A184" s="209" t="s">
        <v>1069</v>
      </c>
      <c r="B184" s="293" t="s">
        <v>1017</v>
      </c>
      <c r="C184" s="13" t="s">
        <v>21</v>
      </c>
      <c r="D184" s="212" t="s">
        <v>2758</v>
      </c>
      <c r="G184" s="276" t="s">
        <v>1054</v>
      </c>
      <c r="H184" s="277" t="s">
        <v>1055</v>
      </c>
      <c r="I184" s="19" t="s">
        <v>1567</v>
      </c>
    </row>
    <row r="185" spans="1:10">
      <c r="A185" s="209" t="s">
        <v>1075</v>
      </c>
      <c r="B185" s="231" t="s">
        <v>1076</v>
      </c>
      <c r="C185" s="13" t="s">
        <v>18</v>
      </c>
      <c r="D185" s="212" t="s">
        <v>2759</v>
      </c>
      <c r="G185" s="24" t="s">
        <v>569</v>
      </c>
      <c r="H185" s="275" t="s">
        <v>570</v>
      </c>
      <c r="I185" s="19" t="s">
        <v>1567</v>
      </c>
    </row>
    <row r="186" spans="1:10">
      <c r="A186" s="220" t="s">
        <v>1080</v>
      </c>
      <c r="B186" s="220" t="s">
        <v>923</v>
      </c>
      <c r="C186" s="13" t="s">
        <v>21</v>
      </c>
      <c r="D186" s="212" t="s">
        <v>2760</v>
      </c>
      <c r="G186" s="276" t="s">
        <v>1065</v>
      </c>
      <c r="H186" s="277" t="s">
        <v>1066</v>
      </c>
      <c r="I186" s="19" t="s">
        <v>1567</v>
      </c>
    </row>
    <row r="187" spans="1:10">
      <c r="A187" s="220" t="s">
        <v>1086</v>
      </c>
      <c r="B187" s="220" t="s">
        <v>918</v>
      </c>
      <c r="C187" s="13" t="s">
        <v>1567</v>
      </c>
      <c r="D187" s="212" t="s">
        <v>2761</v>
      </c>
      <c r="E187" s="212" t="s">
        <v>2762</v>
      </c>
      <c r="F187" s="281" t="s">
        <v>2763</v>
      </c>
      <c r="G187" s="276" t="s">
        <v>1070</v>
      </c>
      <c r="H187" s="275" t="s">
        <v>1071</v>
      </c>
      <c r="I187" s="19" t="s">
        <v>1567</v>
      </c>
    </row>
    <row r="188" spans="1:10">
      <c r="A188" s="220" t="s">
        <v>1092</v>
      </c>
      <c r="B188" s="220" t="s">
        <v>151</v>
      </c>
      <c r="C188" s="265" t="s">
        <v>17</v>
      </c>
      <c r="D188" s="212" t="s">
        <v>2764</v>
      </c>
      <c r="F188" s="281" t="s">
        <v>2765</v>
      </c>
      <c r="G188" s="147" t="s">
        <v>605</v>
      </c>
      <c r="H188" s="278" t="s">
        <v>606</v>
      </c>
      <c r="I188" s="19" t="s">
        <v>21</v>
      </c>
      <c r="J188" s="269" t="s">
        <v>2738</v>
      </c>
    </row>
    <row r="189" spans="1:10">
      <c r="A189" s="209" t="s">
        <v>1098</v>
      </c>
      <c r="B189" s="5" t="s">
        <v>1099</v>
      </c>
      <c r="C189" s="255" t="s">
        <v>18</v>
      </c>
      <c r="D189" s="212" t="s">
        <v>2766</v>
      </c>
      <c r="F189" s="281" t="s">
        <v>2767</v>
      </c>
      <c r="G189" s="276" t="s">
        <v>1081</v>
      </c>
      <c r="H189" s="275" t="s">
        <v>1082</v>
      </c>
      <c r="I189" s="19" t="s">
        <v>16</v>
      </c>
      <c r="J189" s="212" t="s">
        <v>2575</v>
      </c>
    </row>
    <row r="190" spans="1:10">
      <c r="A190" s="209" t="s">
        <v>1103</v>
      </c>
      <c r="B190" s="5" t="s">
        <v>1104</v>
      </c>
      <c r="C190" s="19" t="s">
        <v>1562</v>
      </c>
      <c r="D190" s="212" t="s">
        <v>2768</v>
      </c>
      <c r="G190" s="276" t="s">
        <v>1087</v>
      </c>
      <c r="H190" s="275" t="s">
        <v>1088</v>
      </c>
      <c r="I190" s="19" t="s">
        <v>1567</v>
      </c>
    </row>
    <row r="191" spans="1:10">
      <c r="A191" s="5" t="s">
        <v>1108</v>
      </c>
      <c r="B191" s="231" t="s">
        <v>970</v>
      </c>
      <c r="C191" s="13" t="s">
        <v>1567</v>
      </c>
      <c r="D191" s="212" t="s">
        <v>2769</v>
      </c>
      <c r="G191" s="276" t="s">
        <v>1093</v>
      </c>
      <c r="H191" s="277" t="s">
        <v>1094</v>
      </c>
      <c r="I191" s="19" t="s">
        <v>1567</v>
      </c>
    </row>
    <row r="192" spans="1:10">
      <c r="A192" s="209" t="s">
        <v>1111</v>
      </c>
      <c r="B192" s="233" t="s">
        <v>1112</v>
      </c>
      <c r="C192" s="13" t="s">
        <v>21</v>
      </c>
      <c r="D192" s="212" t="s">
        <v>2770</v>
      </c>
      <c r="G192" s="272" t="s">
        <v>853</v>
      </c>
      <c r="H192" s="278" t="s">
        <v>854</v>
      </c>
      <c r="I192" s="19" t="s">
        <v>21</v>
      </c>
      <c r="J192" s="269" t="s">
        <v>2771</v>
      </c>
    </row>
    <row r="193" spans="1:10">
      <c r="A193" s="209" t="s">
        <v>1118</v>
      </c>
      <c r="B193" s="5" t="s">
        <v>1119</v>
      </c>
      <c r="C193" s="13" t="s">
        <v>1562</v>
      </c>
      <c r="D193" s="212" t="s">
        <v>2772</v>
      </c>
      <c r="G193" s="272" t="s">
        <v>725</v>
      </c>
      <c r="H193" s="278" t="s">
        <v>726</v>
      </c>
      <c r="I193" s="19" t="s">
        <v>28</v>
      </c>
      <c r="J193" s="269" t="s">
        <v>2773</v>
      </c>
    </row>
    <row r="194" spans="1:10">
      <c r="A194" s="209" t="s">
        <v>1123</v>
      </c>
      <c r="B194" s="5" t="s">
        <v>1124</v>
      </c>
      <c r="C194" s="13" t="s">
        <v>18</v>
      </c>
      <c r="D194" s="212" t="s">
        <v>2774</v>
      </c>
      <c r="G194" s="272" t="s">
        <v>731</v>
      </c>
      <c r="H194" s="290" t="s">
        <v>732</v>
      </c>
      <c r="I194" s="19" t="s">
        <v>28</v>
      </c>
      <c r="J194" s="212" t="s">
        <v>2775</v>
      </c>
    </row>
    <row r="195" spans="1:10">
      <c r="A195" s="209" t="s">
        <v>1130</v>
      </c>
      <c r="B195" s="5" t="s">
        <v>1131</v>
      </c>
      <c r="C195" s="13" t="s">
        <v>1574</v>
      </c>
      <c r="D195" s="212" t="s">
        <v>2776</v>
      </c>
      <c r="G195" s="276" t="s">
        <v>1113</v>
      </c>
      <c r="H195" s="275" t="s">
        <v>2777</v>
      </c>
      <c r="I195" s="19" t="s">
        <v>1567</v>
      </c>
    </row>
    <row r="196" spans="1:10">
      <c r="A196" s="209" t="s">
        <v>1137</v>
      </c>
      <c r="B196" s="5" t="s">
        <v>1138</v>
      </c>
      <c r="C196" s="13" t="s">
        <v>22</v>
      </c>
      <c r="D196" s="212" t="s">
        <v>2778</v>
      </c>
      <c r="G196" s="273" t="s">
        <v>642</v>
      </c>
      <c r="H196" s="278" t="s">
        <v>643</v>
      </c>
      <c r="I196" s="19" t="s">
        <v>28</v>
      </c>
      <c r="J196" s="269" t="s">
        <v>2779</v>
      </c>
    </row>
    <row r="197" spans="1:10">
      <c r="A197" s="209" t="s">
        <v>1144</v>
      </c>
      <c r="B197" s="5" t="s">
        <v>1145</v>
      </c>
      <c r="C197" s="255" t="s">
        <v>1574</v>
      </c>
      <c r="D197" s="212" t="s">
        <v>2780</v>
      </c>
      <c r="G197" s="276" t="s">
        <v>1125</v>
      </c>
      <c r="H197" s="275" t="s">
        <v>1126</v>
      </c>
      <c r="I197" s="19" t="s">
        <v>16</v>
      </c>
      <c r="J197" s="212" t="s">
        <v>2781</v>
      </c>
    </row>
    <row r="198" spans="1:10">
      <c r="A198" s="209" t="s">
        <v>1149</v>
      </c>
      <c r="B198" s="231" t="s">
        <v>918</v>
      </c>
      <c r="C198" s="13" t="s">
        <v>1567</v>
      </c>
      <c r="D198" s="212" t="s">
        <v>2782</v>
      </c>
      <c r="G198" s="276" t="s">
        <v>1132</v>
      </c>
      <c r="H198" s="275" t="s">
        <v>1133</v>
      </c>
      <c r="I198" s="19" t="s">
        <v>18</v>
      </c>
      <c r="J198" s="269" t="s">
        <v>2783</v>
      </c>
    </row>
    <row r="199" spans="1:10">
      <c r="A199" s="131" t="s">
        <v>1155</v>
      </c>
      <c r="B199" s="267" t="s">
        <v>942</v>
      </c>
      <c r="C199" s="13" t="s">
        <v>28</v>
      </c>
      <c r="D199" s="212" t="s">
        <v>2784</v>
      </c>
      <c r="F199" s="281" t="s">
        <v>2785</v>
      </c>
      <c r="G199" s="276" t="s">
        <v>1139</v>
      </c>
      <c r="H199" s="275" t="s">
        <v>1140</v>
      </c>
      <c r="I199" s="19" t="s">
        <v>22</v>
      </c>
      <c r="J199" s="212" t="s">
        <v>22</v>
      </c>
    </row>
    <row r="200" spans="1:10">
      <c r="A200" s="220" t="s">
        <v>1159</v>
      </c>
      <c r="B200" s="267" t="s">
        <v>159</v>
      </c>
      <c r="C200" s="13" t="s">
        <v>17</v>
      </c>
      <c r="D200" s="212" t="s">
        <v>2786</v>
      </c>
      <c r="F200" s="281" t="s">
        <v>2787</v>
      </c>
      <c r="G200" s="24" t="s">
        <v>600</v>
      </c>
      <c r="H200" s="277" t="s">
        <v>601</v>
      </c>
      <c r="I200" s="19" t="s">
        <v>1567</v>
      </c>
      <c r="J200" s="269" t="s">
        <v>2788</v>
      </c>
    </row>
    <row r="201" spans="1:10">
      <c r="A201" s="5" t="s">
        <v>1165</v>
      </c>
      <c r="B201" s="231" t="s">
        <v>288</v>
      </c>
      <c r="C201" s="13" t="s">
        <v>18</v>
      </c>
      <c r="D201" s="212" t="s">
        <v>2789</v>
      </c>
      <c r="F201" s="281" t="s">
        <v>2790</v>
      </c>
      <c r="G201" s="276" t="s">
        <v>1150</v>
      </c>
      <c r="H201" s="275" t="s">
        <v>1151</v>
      </c>
      <c r="I201" s="19" t="s">
        <v>18</v>
      </c>
    </row>
    <row r="202" spans="1:10">
      <c r="A202" s="5" t="s">
        <v>1169</v>
      </c>
      <c r="B202" s="231" t="s">
        <v>933</v>
      </c>
      <c r="C202" s="13" t="s">
        <v>21</v>
      </c>
      <c r="D202" s="212" t="s">
        <v>2791</v>
      </c>
      <c r="F202" s="281" t="s">
        <v>2792</v>
      </c>
      <c r="G202" s="273" t="s">
        <v>637</v>
      </c>
      <c r="H202" s="278" t="s">
        <v>638</v>
      </c>
      <c r="I202" s="19" t="s">
        <v>21</v>
      </c>
      <c r="J202" s="269" t="s">
        <v>2793</v>
      </c>
    </row>
    <row r="203" spans="1:10">
      <c r="A203" s="220" t="s">
        <v>1175</v>
      </c>
      <c r="B203" s="220" t="s">
        <v>875</v>
      </c>
      <c r="C203" s="255" t="s">
        <v>1567</v>
      </c>
      <c r="D203" s="212" t="s">
        <v>2794</v>
      </c>
      <c r="F203" s="281" t="s">
        <v>2795</v>
      </c>
      <c r="G203" s="276" t="s">
        <v>1160</v>
      </c>
      <c r="H203" s="275" t="s">
        <v>1161</v>
      </c>
      <c r="I203" s="19" t="s">
        <v>18</v>
      </c>
      <c r="J203" s="212" t="s">
        <v>2796</v>
      </c>
    </row>
    <row r="204" spans="1:10">
      <c r="A204" s="209" t="s">
        <v>1181</v>
      </c>
      <c r="B204" s="5" t="s">
        <v>1182</v>
      </c>
      <c r="C204" s="265" t="s">
        <v>22</v>
      </c>
      <c r="D204" s="212" t="s">
        <v>2797</v>
      </c>
      <c r="G204" s="272" t="s">
        <v>777</v>
      </c>
      <c r="H204" s="278" t="s">
        <v>778</v>
      </c>
      <c r="I204" s="19" t="s">
        <v>1567</v>
      </c>
      <c r="J204" s="269" t="s">
        <v>2798</v>
      </c>
    </row>
    <row r="205" spans="1:10">
      <c r="A205" s="5" t="s">
        <v>1188</v>
      </c>
      <c r="B205" s="220" t="s">
        <v>911</v>
      </c>
      <c r="C205" s="13" t="s">
        <v>28</v>
      </c>
      <c r="D205" s="212" t="s">
        <v>2799</v>
      </c>
      <c r="G205" s="276" t="s">
        <v>1170</v>
      </c>
      <c r="H205" s="275" t="s">
        <v>1171</v>
      </c>
      <c r="I205" s="279" t="s">
        <v>18</v>
      </c>
      <c r="J205" s="212" t="s">
        <v>2800</v>
      </c>
    </row>
    <row r="206" spans="1:10">
      <c r="A206" s="209" t="s">
        <v>1192</v>
      </c>
      <c r="B206" s="5" t="s">
        <v>1193</v>
      </c>
      <c r="C206" s="13" t="s">
        <v>1661</v>
      </c>
      <c r="D206" s="212" t="s">
        <v>2801</v>
      </c>
      <c r="G206" s="276" t="s">
        <v>1176</v>
      </c>
      <c r="H206" s="275" t="s">
        <v>1177</v>
      </c>
      <c r="I206" s="19" t="s">
        <v>18</v>
      </c>
    </row>
    <row r="207" spans="1:10">
      <c r="A207" s="209" t="s">
        <v>1197</v>
      </c>
      <c r="B207" s="5" t="s">
        <v>1198</v>
      </c>
      <c r="C207" s="13" t="s">
        <v>1661</v>
      </c>
      <c r="D207" s="212" t="s">
        <v>2802</v>
      </c>
      <c r="G207" s="276" t="s">
        <v>1183</v>
      </c>
      <c r="H207" s="287" t="s">
        <v>1184</v>
      </c>
      <c r="I207" s="19" t="s">
        <v>1567</v>
      </c>
    </row>
    <row r="208" spans="1:10">
      <c r="A208" s="5" t="s">
        <v>1202</v>
      </c>
      <c r="B208" s="220" t="s">
        <v>869</v>
      </c>
      <c r="C208" s="13" t="s">
        <v>21</v>
      </c>
      <c r="D208" s="212" t="s">
        <v>2803</v>
      </c>
      <c r="F208" s="281" t="s">
        <v>2804</v>
      </c>
      <c r="G208" s="272" t="s">
        <v>739</v>
      </c>
      <c r="H208" s="278" t="s">
        <v>740</v>
      </c>
      <c r="I208" s="19" t="s">
        <v>21</v>
      </c>
      <c r="J208" s="269" t="s">
        <v>2805</v>
      </c>
    </row>
    <row r="209" spans="1:12">
      <c r="A209" s="220" t="s">
        <v>1208</v>
      </c>
      <c r="B209" s="220" t="s">
        <v>1012</v>
      </c>
      <c r="C209" s="13" t="s">
        <v>28</v>
      </c>
      <c r="D209" s="212" t="s">
        <v>2806</v>
      </c>
      <c r="F209" s="281" t="s">
        <v>2807</v>
      </c>
      <c r="G209" s="24" t="s">
        <v>720</v>
      </c>
      <c r="H209" s="275" t="s">
        <v>721</v>
      </c>
      <c r="I209" s="19" t="s">
        <v>1567</v>
      </c>
    </row>
    <row r="210" spans="1:12">
      <c r="A210" s="209" t="s">
        <v>1217</v>
      </c>
      <c r="B210" s="231" t="s">
        <v>1218</v>
      </c>
      <c r="C210" s="13" t="s">
        <v>1567</v>
      </c>
      <c r="D210" s="212" t="s">
        <v>2808</v>
      </c>
      <c r="F210" s="281" t="s">
        <v>2809</v>
      </c>
      <c r="G210" s="24" t="s">
        <v>563</v>
      </c>
      <c r="H210" s="277" t="s">
        <v>564</v>
      </c>
      <c r="I210" s="19" t="s">
        <v>18</v>
      </c>
    </row>
    <row r="211" spans="1:12">
      <c r="A211" s="209" t="s">
        <v>1223</v>
      </c>
      <c r="B211" s="5" t="s">
        <v>1224</v>
      </c>
      <c r="C211" s="13" t="s">
        <v>1574</v>
      </c>
      <c r="D211" s="212" t="s">
        <v>2810</v>
      </c>
      <c r="F211" s="281" t="s">
        <v>2811</v>
      </c>
      <c r="G211" s="276" t="s">
        <v>1203</v>
      </c>
      <c r="H211" s="277" t="s">
        <v>1204</v>
      </c>
      <c r="I211" s="19" t="s">
        <v>1567</v>
      </c>
    </row>
    <row r="212" spans="1:12">
      <c r="A212" s="209" t="s">
        <v>1230</v>
      </c>
      <c r="B212" s="231" t="s">
        <v>1231</v>
      </c>
      <c r="C212" s="13" t="s">
        <v>1567</v>
      </c>
      <c r="D212" s="212" t="s">
        <v>2812</v>
      </c>
      <c r="G212" s="276" t="s">
        <v>1209</v>
      </c>
      <c r="H212" s="294" t="s">
        <v>1210</v>
      </c>
      <c r="I212" s="19" t="s">
        <v>21</v>
      </c>
    </row>
    <row r="213" spans="1:12">
      <c r="A213" s="209" t="s">
        <v>1237</v>
      </c>
      <c r="B213" s="231" t="s">
        <v>1238</v>
      </c>
      <c r="C213" s="13" t="s">
        <v>1567</v>
      </c>
      <c r="D213" s="212" t="s">
        <v>2813</v>
      </c>
      <c r="G213" s="272" t="s">
        <v>532</v>
      </c>
      <c r="H213" s="278" t="s">
        <v>533</v>
      </c>
      <c r="I213" s="19" t="s">
        <v>28</v>
      </c>
      <c r="J213" s="269" t="s">
        <v>2814</v>
      </c>
    </row>
    <row r="214" spans="1:12">
      <c r="A214" s="209" t="s">
        <v>1241</v>
      </c>
      <c r="B214" s="233" t="s">
        <v>1242</v>
      </c>
      <c r="C214" s="13" t="s">
        <v>21</v>
      </c>
      <c r="D214" s="212" t="s">
        <v>2815</v>
      </c>
      <c r="G214" s="24" t="s">
        <v>770</v>
      </c>
      <c r="H214" s="278" t="s">
        <v>1219</v>
      </c>
      <c r="I214" s="19" t="s">
        <v>21</v>
      </c>
      <c r="J214" s="212" t="s">
        <v>2816</v>
      </c>
    </row>
    <row r="215" spans="1:12">
      <c r="A215" s="209" t="s">
        <v>1245</v>
      </c>
      <c r="B215" s="233" t="s">
        <v>1246</v>
      </c>
      <c r="C215" s="13" t="s">
        <v>28</v>
      </c>
      <c r="D215" s="212" t="s">
        <v>2817</v>
      </c>
      <c r="G215" s="276" t="s">
        <v>1225</v>
      </c>
      <c r="H215" s="277" t="s">
        <v>1226</v>
      </c>
      <c r="I215" s="19" t="s">
        <v>18</v>
      </c>
      <c r="J215" s="269" t="s">
        <v>2818</v>
      </c>
      <c r="K215" s="142" t="s">
        <v>2819</v>
      </c>
      <c r="L215" s="295" t="s">
        <v>2767</v>
      </c>
    </row>
    <row r="216" spans="1:12">
      <c r="A216" s="209" t="s">
        <v>1249</v>
      </c>
      <c r="B216" s="233" t="s">
        <v>1250</v>
      </c>
      <c r="C216" s="13" t="s">
        <v>28</v>
      </c>
      <c r="D216" s="212" t="s">
        <v>2820</v>
      </c>
      <c r="G216" s="276" t="s">
        <v>1232</v>
      </c>
      <c r="H216" s="275" t="s">
        <v>1233</v>
      </c>
      <c r="I216" s="19" t="s">
        <v>18</v>
      </c>
      <c r="J216" s="212" t="s">
        <v>2821</v>
      </c>
    </row>
    <row r="217" spans="1:12" ht="37.5" customHeight="1">
      <c r="A217" s="296"/>
      <c r="B217" s="270"/>
      <c r="C217" s="138"/>
      <c r="D217" s="4" t="s">
        <v>2822</v>
      </c>
      <c r="E217" s="271" t="s">
        <v>2823</v>
      </c>
      <c r="G217" s="276" t="s">
        <v>1239</v>
      </c>
      <c r="H217" s="297" t="s">
        <v>2824</v>
      </c>
      <c r="I217" s="19" t="s">
        <v>18</v>
      </c>
      <c r="J217" s="269" t="s">
        <v>2825</v>
      </c>
    </row>
    <row r="218" spans="1:12">
      <c r="A218" s="220" t="s">
        <v>1259</v>
      </c>
      <c r="B218" s="267" t="s">
        <v>1201</v>
      </c>
      <c r="C218" s="13" t="s">
        <v>28</v>
      </c>
      <c r="D218" s="212" t="s">
        <v>2826</v>
      </c>
      <c r="G218" s="276" t="s">
        <v>1243</v>
      </c>
      <c r="H218" s="275" t="s">
        <v>1244</v>
      </c>
      <c r="I218" s="19" t="s">
        <v>1567</v>
      </c>
    </row>
    <row r="219" spans="1:12">
      <c r="A219" s="209" t="s">
        <v>1262</v>
      </c>
      <c r="B219" s="5" t="s">
        <v>1263</v>
      </c>
      <c r="C219" s="13" t="s">
        <v>18</v>
      </c>
      <c r="D219" s="212" t="s">
        <v>2827</v>
      </c>
      <c r="G219" s="276" t="s">
        <v>1247</v>
      </c>
      <c r="H219" s="275" t="s">
        <v>1248</v>
      </c>
      <c r="I219" s="19" t="s">
        <v>1574</v>
      </c>
      <c r="J219" s="269" t="s">
        <v>2828</v>
      </c>
    </row>
    <row r="220" spans="1:12">
      <c r="A220" s="209" t="s">
        <v>1266</v>
      </c>
      <c r="B220" s="23" t="s">
        <v>1267</v>
      </c>
      <c r="C220" s="13" t="s">
        <v>18</v>
      </c>
      <c r="D220" s="212" t="s">
        <v>2829</v>
      </c>
      <c r="G220" s="276" t="s">
        <v>1251</v>
      </c>
      <c r="H220" s="275" t="s">
        <v>1252</v>
      </c>
      <c r="I220" s="19" t="s">
        <v>1562</v>
      </c>
      <c r="J220" s="212" t="s">
        <v>2830</v>
      </c>
      <c r="K220" s="269" t="s">
        <v>2831</v>
      </c>
    </row>
    <row r="221" spans="1:12">
      <c r="A221" s="209" t="s">
        <v>1268</v>
      </c>
      <c r="B221" s="5" t="s">
        <v>1269</v>
      </c>
      <c r="C221" s="13" t="s">
        <v>1562</v>
      </c>
      <c r="D221" s="212" t="s">
        <v>2832</v>
      </c>
      <c r="G221" s="276" t="s">
        <v>1254</v>
      </c>
      <c r="H221" s="277" t="s">
        <v>659</v>
      </c>
      <c r="I221" s="19" t="s">
        <v>18</v>
      </c>
      <c r="J221" s="269" t="s">
        <v>2593</v>
      </c>
    </row>
    <row r="222" spans="1:12">
      <c r="A222" s="209" t="s">
        <v>1271</v>
      </c>
      <c r="B222" s="233" t="s">
        <v>1272</v>
      </c>
      <c r="C222" s="13" t="s">
        <v>18</v>
      </c>
      <c r="D222" s="212" t="s">
        <v>2833</v>
      </c>
      <c r="G222" s="276" t="s">
        <v>1255</v>
      </c>
      <c r="H222" s="275" t="s">
        <v>1256</v>
      </c>
      <c r="I222" s="19" t="s">
        <v>1574</v>
      </c>
      <c r="J222" s="212" t="s">
        <v>2834</v>
      </c>
    </row>
    <row r="223" spans="1:12">
      <c r="A223" s="209" t="s">
        <v>1273</v>
      </c>
      <c r="B223" s="289" t="s">
        <v>1274</v>
      </c>
      <c r="C223" s="13" t="s">
        <v>18</v>
      </c>
      <c r="D223" s="212" t="s">
        <v>2835</v>
      </c>
      <c r="G223" s="276" t="s">
        <v>1257</v>
      </c>
      <c r="H223" s="277" t="s">
        <v>1258</v>
      </c>
      <c r="I223" s="19" t="s">
        <v>1567</v>
      </c>
      <c r="J223" s="269" t="s">
        <v>2836</v>
      </c>
    </row>
    <row r="224" spans="1:12">
      <c r="A224" s="209" t="s">
        <v>1275</v>
      </c>
      <c r="B224" s="231" t="s">
        <v>939</v>
      </c>
      <c r="C224" s="13" t="s">
        <v>1562</v>
      </c>
      <c r="D224" s="212" t="s">
        <v>2837</v>
      </c>
      <c r="G224" s="276" t="s">
        <v>1260</v>
      </c>
      <c r="H224" s="287" t="s">
        <v>1261</v>
      </c>
      <c r="I224" s="19" t="s">
        <v>1567</v>
      </c>
      <c r="J224" s="269" t="s">
        <v>2838</v>
      </c>
    </row>
    <row r="225" spans="1:11">
      <c r="A225" s="209" t="s">
        <v>1278</v>
      </c>
      <c r="B225" s="5" t="s">
        <v>1279</v>
      </c>
      <c r="C225" s="13" t="s">
        <v>18</v>
      </c>
      <c r="D225" s="212" t="s">
        <v>2839</v>
      </c>
      <c r="G225" s="276" t="s">
        <v>1264</v>
      </c>
      <c r="H225" s="275" t="s">
        <v>1265</v>
      </c>
      <c r="I225" s="19" t="s">
        <v>18</v>
      </c>
      <c r="J225" s="269" t="s">
        <v>2840</v>
      </c>
    </row>
    <row r="226" spans="1:11">
      <c r="A226" s="209" t="s">
        <v>1282</v>
      </c>
      <c r="B226" s="5" t="s">
        <v>2841</v>
      </c>
      <c r="C226" s="13" t="s">
        <v>18</v>
      </c>
      <c r="D226" s="212" t="s">
        <v>2842</v>
      </c>
      <c r="G226" s="24" t="s">
        <v>583</v>
      </c>
      <c r="H226" s="278" t="s">
        <v>584</v>
      </c>
      <c r="I226" s="19" t="s">
        <v>21</v>
      </c>
      <c r="J226" s="269" t="s">
        <v>2843</v>
      </c>
    </row>
    <row r="227" spans="1:11">
      <c r="A227" s="209" t="s">
        <v>1284</v>
      </c>
      <c r="B227" s="5" t="s">
        <v>1285</v>
      </c>
      <c r="C227" s="13" t="s">
        <v>1562</v>
      </c>
      <c r="D227" s="212" t="s">
        <v>2844</v>
      </c>
      <c r="G227" s="595"/>
      <c r="H227" s="593"/>
      <c r="I227" s="138"/>
      <c r="J227" s="550" t="s">
        <v>2845</v>
      </c>
      <c r="K227" s="138"/>
    </row>
    <row r="228" spans="1:11">
      <c r="A228" s="231" t="s">
        <v>1288</v>
      </c>
      <c r="B228" s="284" t="s">
        <v>1129</v>
      </c>
      <c r="C228" s="13" t="s">
        <v>1567</v>
      </c>
      <c r="D228" s="212" t="s">
        <v>2846</v>
      </c>
      <c r="E228" s="212" t="s">
        <v>2847</v>
      </c>
      <c r="F228" s="281" t="s">
        <v>2848</v>
      </c>
      <c r="G228" s="594"/>
      <c r="H228" s="594"/>
      <c r="I228" s="138"/>
      <c r="J228" s="594"/>
      <c r="K228" s="138"/>
    </row>
    <row r="229" spans="1:11">
      <c r="A229" s="5" t="s">
        <v>1290</v>
      </c>
      <c r="B229" s="284" t="s">
        <v>1158</v>
      </c>
      <c r="C229" s="13" t="s">
        <v>1567</v>
      </c>
      <c r="D229" s="212" t="s">
        <v>2849</v>
      </c>
      <c r="G229" s="276" t="s">
        <v>1276</v>
      </c>
      <c r="H229" s="277" t="s">
        <v>1277</v>
      </c>
      <c r="I229" s="19" t="s">
        <v>18</v>
      </c>
      <c r="J229" s="212" t="s">
        <v>2850</v>
      </c>
    </row>
    <row r="230" spans="1:11">
      <c r="A230" s="209" t="s">
        <v>1292</v>
      </c>
      <c r="B230" s="23" t="s">
        <v>1293</v>
      </c>
      <c r="C230" s="13" t="s">
        <v>1661</v>
      </c>
      <c r="D230" s="212" t="s">
        <v>2851</v>
      </c>
      <c r="G230" s="276" t="s">
        <v>1280</v>
      </c>
      <c r="H230" s="277" t="s">
        <v>1281</v>
      </c>
      <c r="I230" s="19" t="s">
        <v>18</v>
      </c>
      <c r="J230" s="212" t="s">
        <v>2852</v>
      </c>
    </row>
    <row r="231" spans="1:11">
      <c r="A231" s="209" t="s">
        <v>1294</v>
      </c>
      <c r="B231" s="23" t="s">
        <v>1295</v>
      </c>
      <c r="C231" s="13" t="s">
        <v>1567</v>
      </c>
      <c r="D231" s="212" t="s">
        <v>2853</v>
      </c>
      <c r="G231" s="272" t="s">
        <v>893</v>
      </c>
      <c r="H231" s="278" t="s">
        <v>894</v>
      </c>
      <c r="I231" s="19" t="s">
        <v>21</v>
      </c>
      <c r="J231" s="212" t="s">
        <v>2854</v>
      </c>
    </row>
    <row r="232" spans="1:11">
      <c r="A232" s="209" t="s">
        <v>1297</v>
      </c>
      <c r="B232" s="231" t="s">
        <v>1298</v>
      </c>
      <c r="C232" s="13" t="s">
        <v>1574</v>
      </c>
      <c r="D232" s="212" t="s">
        <v>2855</v>
      </c>
      <c r="G232" s="276" t="s">
        <v>1286</v>
      </c>
      <c r="H232" s="287" t="s">
        <v>1287</v>
      </c>
      <c r="I232" s="19" t="s">
        <v>21</v>
      </c>
      <c r="J232" s="212" t="s">
        <v>2856</v>
      </c>
    </row>
    <row r="233" spans="1:11">
      <c r="A233" s="209" t="s">
        <v>1301</v>
      </c>
      <c r="B233" s="231" t="s">
        <v>1302</v>
      </c>
      <c r="C233" s="13" t="s">
        <v>1574</v>
      </c>
      <c r="D233" s="212" t="s">
        <v>2857</v>
      </c>
      <c r="G233" s="276" t="s">
        <v>1289</v>
      </c>
      <c r="H233" s="275" t="s">
        <v>598</v>
      </c>
      <c r="I233" s="19" t="s">
        <v>1661</v>
      </c>
      <c r="J233" s="212" t="s">
        <v>2858</v>
      </c>
    </row>
    <row r="234" spans="1:11">
      <c r="A234" s="209" t="s">
        <v>1305</v>
      </c>
      <c r="B234" s="5" t="s">
        <v>1306</v>
      </c>
      <c r="C234" s="13" t="s">
        <v>1562</v>
      </c>
      <c r="D234" s="212" t="s">
        <v>2859</v>
      </c>
      <c r="E234" s="212" t="s">
        <v>2860</v>
      </c>
      <c r="F234" s="281" t="s">
        <v>2861</v>
      </c>
      <c r="G234" s="272" t="s">
        <v>955</v>
      </c>
      <c r="H234" s="283" t="s">
        <v>956</v>
      </c>
      <c r="I234" s="19" t="s">
        <v>28</v>
      </c>
      <c r="J234" s="212" t="s">
        <v>2862</v>
      </c>
    </row>
    <row r="235" spans="1:11">
      <c r="A235" s="209" t="s">
        <v>1307</v>
      </c>
      <c r="B235" s="5" t="s">
        <v>2863</v>
      </c>
      <c r="C235" s="13" t="s">
        <v>18</v>
      </c>
      <c r="D235" s="212" t="s">
        <v>2864</v>
      </c>
      <c r="F235" s="281" t="s">
        <v>2848</v>
      </c>
      <c r="G235" s="273" t="s">
        <v>936</v>
      </c>
      <c r="H235" s="278" t="s">
        <v>33</v>
      </c>
      <c r="I235" s="19" t="s">
        <v>28</v>
      </c>
      <c r="J235" s="212" t="s">
        <v>2865</v>
      </c>
    </row>
    <row r="236" spans="1:11">
      <c r="A236" s="131" t="s">
        <v>1310</v>
      </c>
      <c r="B236" s="267" t="s">
        <v>1085</v>
      </c>
      <c r="C236" s="13" t="s">
        <v>17</v>
      </c>
      <c r="D236" s="212" t="s">
        <v>2866</v>
      </c>
      <c r="G236" s="276" t="s">
        <v>1296</v>
      </c>
      <c r="H236" s="275" t="s">
        <v>501</v>
      </c>
      <c r="I236" s="19" t="s">
        <v>1567</v>
      </c>
      <c r="J236" s="212" t="s">
        <v>2867</v>
      </c>
    </row>
    <row r="237" spans="1:11">
      <c r="A237" s="209" t="s">
        <v>1313</v>
      </c>
      <c r="B237" s="233" t="s">
        <v>1314</v>
      </c>
      <c r="C237" s="13" t="s">
        <v>21</v>
      </c>
      <c r="D237" s="212" t="s">
        <v>2868</v>
      </c>
      <c r="G237" s="276" t="s">
        <v>1299</v>
      </c>
      <c r="H237" s="275" t="s">
        <v>1300</v>
      </c>
      <c r="I237" s="19" t="s">
        <v>18</v>
      </c>
      <c r="J237" s="269" t="s">
        <v>2869</v>
      </c>
    </row>
    <row r="238" spans="1:11">
      <c r="A238" s="209" t="s">
        <v>1315</v>
      </c>
      <c r="B238" s="231" t="s">
        <v>2870</v>
      </c>
      <c r="C238" s="13" t="s">
        <v>18</v>
      </c>
      <c r="D238" s="212" t="s">
        <v>2871</v>
      </c>
      <c r="G238" s="276" t="s">
        <v>1303</v>
      </c>
      <c r="H238" s="275" t="s">
        <v>1304</v>
      </c>
      <c r="I238" s="19" t="s">
        <v>1567</v>
      </c>
    </row>
    <row r="239" spans="1:11">
      <c r="A239" s="209" t="s">
        <v>1319</v>
      </c>
      <c r="B239" s="6" t="s">
        <v>1320</v>
      </c>
      <c r="C239" s="13" t="s">
        <v>18</v>
      </c>
      <c r="D239" s="212" t="s">
        <v>2872</v>
      </c>
      <c r="G239" s="24" t="s">
        <v>948</v>
      </c>
      <c r="H239" s="275" t="s">
        <v>949</v>
      </c>
      <c r="I239" s="19" t="s">
        <v>21</v>
      </c>
      <c r="J239" s="212" t="s">
        <v>2873</v>
      </c>
    </row>
    <row r="240" spans="1:11">
      <c r="A240" s="220" t="s">
        <v>1323</v>
      </c>
      <c r="B240" s="220" t="s">
        <v>1079</v>
      </c>
      <c r="C240" s="13" t="s">
        <v>28</v>
      </c>
      <c r="D240" s="212" t="s">
        <v>2874</v>
      </c>
      <c r="G240" s="276" t="s">
        <v>1309</v>
      </c>
      <c r="H240" s="275" t="s">
        <v>291</v>
      </c>
      <c r="I240" s="19" t="s">
        <v>1562</v>
      </c>
      <c r="J240" s="269" t="s">
        <v>2875</v>
      </c>
    </row>
    <row r="241" spans="1:10">
      <c r="A241" s="5" t="s">
        <v>1324</v>
      </c>
      <c r="B241" s="284" t="s">
        <v>1091</v>
      </c>
      <c r="C241" s="13" t="s">
        <v>21</v>
      </c>
      <c r="D241" s="212" t="s">
        <v>2876</v>
      </c>
      <c r="G241" s="276" t="s">
        <v>1311</v>
      </c>
      <c r="H241" s="275" t="s">
        <v>1312</v>
      </c>
      <c r="I241" s="19" t="s">
        <v>1567</v>
      </c>
      <c r="J241" s="212" t="s">
        <v>2877</v>
      </c>
    </row>
    <row r="242" spans="1:10">
      <c r="A242" s="220" t="s">
        <v>1327</v>
      </c>
      <c r="B242" s="220" t="s">
        <v>726</v>
      </c>
      <c r="C242" s="13" t="s">
        <v>28</v>
      </c>
      <c r="D242" s="212" t="s">
        <v>2878</v>
      </c>
      <c r="G242" s="273" t="s">
        <v>1021</v>
      </c>
      <c r="H242" s="283" t="s">
        <v>1022</v>
      </c>
      <c r="I242" s="19" t="s">
        <v>17</v>
      </c>
      <c r="J242" s="269" t="s">
        <v>2879</v>
      </c>
    </row>
    <row r="243" spans="1:10">
      <c r="A243" s="220" t="s">
        <v>1330</v>
      </c>
      <c r="B243" s="220" t="s">
        <v>1102</v>
      </c>
      <c r="C243" s="13" t="s">
        <v>21</v>
      </c>
      <c r="D243" s="212" t="s">
        <v>2880</v>
      </c>
      <c r="G243" s="276" t="s">
        <v>1317</v>
      </c>
      <c r="H243" s="287" t="s">
        <v>1318</v>
      </c>
      <c r="I243" s="19" t="s">
        <v>21</v>
      </c>
      <c r="J243" s="269" t="s">
        <v>2881</v>
      </c>
    </row>
    <row r="244" spans="1:10">
      <c r="A244" s="5" t="s">
        <v>1331</v>
      </c>
      <c r="B244" s="231" t="s">
        <v>1058</v>
      </c>
      <c r="C244" s="13" t="s">
        <v>1567</v>
      </c>
      <c r="D244" s="212" t="s">
        <v>2882</v>
      </c>
      <c r="G244" s="276" t="s">
        <v>1321</v>
      </c>
      <c r="H244" s="275" t="s">
        <v>1322</v>
      </c>
      <c r="I244" s="19" t="s">
        <v>1574</v>
      </c>
    </row>
    <row r="245" spans="1:10">
      <c r="A245" s="220" t="s">
        <v>1336</v>
      </c>
      <c r="B245" s="220" t="s">
        <v>1168</v>
      </c>
      <c r="C245" s="13" t="s">
        <v>28</v>
      </c>
      <c r="D245" s="212" t="s">
        <v>2883</v>
      </c>
      <c r="G245" s="24" t="s">
        <v>1000</v>
      </c>
      <c r="H245" s="278" t="s">
        <v>1001</v>
      </c>
      <c r="I245" s="19" t="s">
        <v>28</v>
      </c>
      <c r="J245" s="269" t="s">
        <v>2884</v>
      </c>
    </row>
    <row r="246" spans="1:10">
      <c r="A246" s="209" t="s">
        <v>1339</v>
      </c>
      <c r="B246" s="23" t="s">
        <v>1340</v>
      </c>
      <c r="C246" s="13" t="s">
        <v>1567</v>
      </c>
      <c r="D246" s="212" t="s">
        <v>2885</v>
      </c>
      <c r="G246" s="276" t="s">
        <v>1325</v>
      </c>
      <c r="H246" s="275" t="s">
        <v>1326</v>
      </c>
      <c r="I246" s="19" t="s">
        <v>16</v>
      </c>
      <c r="J246" s="212" t="s">
        <v>2886</v>
      </c>
    </row>
    <row r="247" spans="1:10">
      <c r="A247" s="209" t="s">
        <v>1343</v>
      </c>
      <c r="B247" s="231" t="s">
        <v>1063</v>
      </c>
      <c r="C247" s="13" t="s">
        <v>1567</v>
      </c>
      <c r="D247" s="212" t="s">
        <v>2887</v>
      </c>
      <c r="G247" s="276" t="s">
        <v>1328</v>
      </c>
      <c r="H247" s="287" t="s">
        <v>1329</v>
      </c>
      <c r="I247" s="19" t="s">
        <v>28</v>
      </c>
      <c r="J247" s="212" t="s">
        <v>2888</v>
      </c>
    </row>
    <row r="248" spans="1:10">
      <c r="A248" s="209" t="s">
        <v>1346</v>
      </c>
      <c r="B248" s="231" t="s">
        <v>2889</v>
      </c>
      <c r="C248" s="13" t="s">
        <v>1567</v>
      </c>
      <c r="D248" s="212" t="s">
        <v>2890</v>
      </c>
      <c r="G248" s="272" t="s">
        <v>988</v>
      </c>
      <c r="H248" s="278" t="s">
        <v>989</v>
      </c>
      <c r="I248" s="19" t="s">
        <v>28</v>
      </c>
      <c r="J248" s="269" t="s">
        <v>2891</v>
      </c>
    </row>
    <row r="249" spans="1:10">
      <c r="A249" s="220" t="s">
        <v>1350</v>
      </c>
      <c r="B249" s="220" t="s">
        <v>601</v>
      </c>
      <c r="C249" s="13" t="s">
        <v>1567</v>
      </c>
      <c r="D249" s="212" t="s">
        <v>2892</v>
      </c>
      <c r="G249" s="276" t="s">
        <v>1333</v>
      </c>
      <c r="H249" s="275" t="s">
        <v>1334</v>
      </c>
      <c r="I249" s="19" t="s">
        <v>1562</v>
      </c>
      <c r="J249" s="269" t="s">
        <v>2893</v>
      </c>
    </row>
    <row r="250" spans="1:10">
      <c r="A250" s="209" t="s">
        <v>1351</v>
      </c>
      <c r="B250" s="5" t="s">
        <v>2894</v>
      </c>
      <c r="C250" s="13" t="s">
        <v>1562</v>
      </c>
      <c r="D250" s="212" t="s">
        <v>2895</v>
      </c>
      <c r="G250" s="276" t="s">
        <v>1337</v>
      </c>
      <c r="H250" s="275" t="s">
        <v>1338</v>
      </c>
      <c r="I250" s="19" t="s">
        <v>1574</v>
      </c>
      <c r="J250" s="212" t="s">
        <v>2896</v>
      </c>
    </row>
    <row r="251" spans="1:10">
      <c r="A251" s="209" t="s">
        <v>1355</v>
      </c>
      <c r="B251" s="231" t="s">
        <v>1356</v>
      </c>
      <c r="C251" s="13" t="s">
        <v>18</v>
      </c>
      <c r="D251" s="212" t="s">
        <v>2897</v>
      </c>
      <c r="G251" s="276" t="s">
        <v>1341</v>
      </c>
      <c r="H251" s="277" t="s">
        <v>1342</v>
      </c>
      <c r="I251" s="19" t="s">
        <v>1567</v>
      </c>
      <c r="J251" s="269" t="s">
        <v>2898</v>
      </c>
    </row>
    <row r="252" spans="1:10">
      <c r="A252" s="209" t="s">
        <v>1357</v>
      </c>
      <c r="B252" s="5" t="s">
        <v>1358</v>
      </c>
      <c r="C252" s="13" t="s">
        <v>1574</v>
      </c>
      <c r="D252" s="212" t="s">
        <v>2899</v>
      </c>
      <c r="G252" s="276" t="s">
        <v>1344</v>
      </c>
      <c r="H252" s="275" t="s">
        <v>1345</v>
      </c>
      <c r="I252" s="19" t="s">
        <v>18</v>
      </c>
      <c r="J252" s="212" t="s">
        <v>2900</v>
      </c>
    </row>
    <row r="253" spans="1:10">
      <c r="A253" s="220" t="s">
        <v>1361</v>
      </c>
      <c r="B253" s="284" t="s">
        <v>1097</v>
      </c>
      <c r="C253" s="13" t="s">
        <v>21</v>
      </c>
      <c r="D253" s="212" t="s">
        <v>2901</v>
      </c>
      <c r="G253" s="276" t="s">
        <v>1348</v>
      </c>
      <c r="H253" s="277" t="s">
        <v>1349</v>
      </c>
      <c r="I253" s="19" t="s">
        <v>1567</v>
      </c>
      <c r="J253" s="212" t="s">
        <v>2902</v>
      </c>
    </row>
    <row r="254" spans="1:10">
      <c r="A254" s="131" t="s">
        <v>1364</v>
      </c>
      <c r="B254" s="267" t="s">
        <v>1117</v>
      </c>
      <c r="C254" s="13" t="s">
        <v>28</v>
      </c>
      <c r="D254" s="212" t="s">
        <v>2903</v>
      </c>
      <c r="G254" s="24" t="s">
        <v>927</v>
      </c>
      <c r="H254" s="275" t="s">
        <v>928</v>
      </c>
      <c r="I254" s="19" t="s">
        <v>1567</v>
      </c>
      <c r="J254" s="269" t="s">
        <v>2904</v>
      </c>
    </row>
    <row r="255" spans="1:10">
      <c r="A255" s="209" t="s">
        <v>1367</v>
      </c>
      <c r="B255" s="5" t="s">
        <v>1368</v>
      </c>
      <c r="C255" s="13" t="s">
        <v>1562</v>
      </c>
      <c r="D255" s="212" t="s">
        <v>2905</v>
      </c>
      <c r="G255" s="276" t="s">
        <v>1353</v>
      </c>
      <c r="H255" s="275" t="s">
        <v>1354</v>
      </c>
      <c r="I255" s="19" t="s">
        <v>1574</v>
      </c>
      <c r="J255" s="212" t="s">
        <v>2906</v>
      </c>
    </row>
    <row r="256" spans="1:10">
      <c r="A256" s="209" t="s">
        <v>1369</v>
      </c>
      <c r="B256" s="5" t="s">
        <v>1370</v>
      </c>
      <c r="C256" s="13" t="s">
        <v>1562</v>
      </c>
      <c r="D256" s="212" t="s">
        <v>2907</v>
      </c>
      <c r="G256" s="24" t="s">
        <v>886</v>
      </c>
      <c r="H256" s="278" t="s">
        <v>887</v>
      </c>
      <c r="I256" s="19" t="s">
        <v>28</v>
      </c>
      <c r="J256" s="269" t="s">
        <v>2908</v>
      </c>
    </row>
    <row r="257" spans="1:10">
      <c r="A257" s="220" t="s">
        <v>1373</v>
      </c>
      <c r="B257" s="220" t="s">
        <v>1180</v>
      </c>
      <c r="C257" s="13" t="s">
        <v>28</v>
      </c>
      <c r="D257" s="212" t="s">
        <v>2909</v>
      </c>
      <c r="G257" s="276" t="s">
        <v>1359</v>
      </c>
      <c r="H257" s="277" t="s">
        <v>1360</v>
      </c>
      <c r="I257" s="19" t="s">
        <v>1567</v>
      </c>
      <c r="J257" s="212" t="s">
        <v>2910</v>
      </c>
    </row>
    <row r="258" spans="1:10">
      <c r="A258" s="5" t="s">
        <v>1376</v>
      </c>
      <c r="B258" s="231" t="s">
        <v>1143</v>
      </c>
      <c r="C258" s="13" t="s">
        <v>18</v>
      </c>
      <c r="D258" s="212" t="s">
        <v>2911</v>
      </c>
      <c r="G258" s="276" t="s">
        <v>1362</v>
      </c>
      <c r="H258" s="275" t="s">
        <v>1363</v>
      </c>
      <c r="I258" s="19" t="s">
        <v>1661</v>
      </c>
      <c r="J258" s="212" t="s">
        <v>2912</v>
      </c>
    </row>
    <row r="259" spans="1:10">
      <c r="A259" s="209" t="s">
        <v>1379</v>
      </c>
      <c r="B259" s="231" t="s">
        <v>1380</v>
      </c>
      <c r="C259" s="13" t="s">
        <v>18</v>
      </c>
      <c r="D259" s="212" t="s">
        <v>2913</v>
      </c>
      <c r="E259" s="212" t="s">
        <v>2914</v>
      </c>
      <c r="F259" s="281" t="s">
        <v>2655</v>
      </c>
      <c r="G259" s="276" t="s">
        <v>1365</v>
      </c>
      <c r="H259" s="275" t="s">
        <v>1366</v>
      </c>
      <c r="I259" s="19" t="s">
        <v>1661</v>
      </c>
      <c r="J259" s="212" t="s">
        <v>2915</v>
      </c>
    </row>
    <row r="260" spans="1:10">
      <c r="A260" s="5" t="s">
        <v>1381</v>
      </c>
      <c r="B260" s="220" t="s">
        <v>1039</v>
      </c>
      <c r="C260" s="13" t="s">
        <v>21</v>
      </c>
      <c r="D260" s="212" t="s">
        <v>2916</v>
      </c>
      <c r="F260" s="281" t="s">
        <v>2917</v>
      </c>
      <c r="G260" s="24" t="s">
        <v>979</v>
      </c>
      <c r="H260" s="275" t="s">
        <v>980</v>
      </c>
      <c r="I260" s="19" t="s">
        <v>1567</v>
      </c>
    </row>
    <row r="261" spans="1:10">
      <c r="A261" s="5" t="s">
        <v>1382</v>
      </c>
      <c r="B261" s="231" t="s">
        <v>1213</v>
      </c>
      <c r="C261" s="13" t="s">
        <v>1567</v>
      </c>
      <c r="D261" s="212" t="s">
        <v>2918</v>
      </c>
      <c r="F261" s="281" t="s">
        <v>2919</v>
      </c>
      <c r="G261" s="276" t="s">
        <v>1371</v>
      </c>
      <c r="H261" s="275" t="s">
        <v>1372</v>
      </c>
      <c r="I261" s="19" t="s">
        <v>1574</v>
      </c>
      <c r="J261" s="269" t="s">
        <v>2920</v>
      </c>
    </row>
    <row r="262" spans="1:10">
      <c r="A262" s="209" t="s">
        <v>1383</v>
      </c>
      <c r="B262" s="5" t="s">
        <v>1384</v>
      </c>
      <c r="C262" s="13" t="s">
        <v>18</v>
      </c>
      <c r="D262" s="212" t="s">
        <v>2921</v>
      </c>
      <c r="G262" s="276" t="s">
        <v>1374</v>
      </c>
      <c r="H262" s="277" t="s">
        <v>1375</v>
      </c>
      <c r="I262" s="19" t="s">
        <v>18</v>
      </c>
      <c r="J262" s="212" t="s">
        <v>2922</v>
      </c>
    </row>
    <row r="263" spans="1:10">
      <c r="G263" s="276" t="s">
        <v>1377</v>
      </c>
      <c r="H263" s="275" t="s">
        <v>1378</v>
      </c>
      <c r="I263" s="19" t="s">
        <v>1574</v>
      </c>
      <c r="J263" s="212" t="s">
        <v>2923</v>
      </c>
    </row>
    <row r="264" spans="1:10">
      <c r="G264" s="24" t="s">
        <v>1027</v>
      </c>
      <c r="H264" s="275" t="s">
        <v>1028</v>
      </c>
      <c r="I264" s="19" t="s">
        <v>18</v>
      </c>
      <c r="J264" s="269" t="s">
        <v>2924</v>
      </c>
    </row>
    <row r="265" spans="1:10">
      <c r="G265" s="147" t="s">
        <v>962</v>
      </c>
      <c r="H265" s="278" t="s">
        <v>963</v>
      </c>
      <c r="I265" s="19" t="s">
        <v>28</v>
      </c>
      <c r="J265" s="212" t="s">
        <v>2925</v>
      </c>
    </row>
    <row r="266" spans="1:10">
      <c r="G266" s="24" t="s">
        <v>994</v>
      </c>
      <c r="H266" s="275" t="s">
        <v>995</v>
      </c>
      <c r="I266" s="19" t="s">
        <v>1567</v>
      </c>
      <c r="J266" s="212" t="s">
        <v>2926</v>
      </c>
    </row>
    <row r="267" spans="1:10">
      <c r="G267" s="276" t="s">
        <v>1385</v>
      </c>
      <c r="H267" s="275" t="s">
        <v>1386</v>
      </c>
      <c r="I267" s="19" t="s">
        <v>1567</v>
      </c>
      <c r="J267" s="269" t="s">
        <v>2927</v>
      </c>
    </row>
    <row r="268" spans="1:10">
      <c r="G268" s="24" t="s">
        <v>903</v>
      </c>
      <c r="H268" s="275" t="s">
        <v>904</v>
      </c>
      <c r="I268" s="19" t="s">
        <v>1567</v>
      </c>
      <c r="J268" s="212" t="s">
        <v>2928</v>
      </c>
    </row>
    <row r="269" spans="1:10">
      <c r="G269" s="276" t="s">
        <v>1387</v>
      </c>
      <c r="H269" s="275" t="s">
        <v>1388</v>
      </c>
      <c r="I269" s="19" t="s">
        <v>1567</v>
      </c>
      <c r="J269" s="269" t="s">
        <v>2929</v>
      </c>
    </row>
    <row r="270" spans="1:10">
      <c r="G270" s="276" t="s">
        <v>1389</v>
      </c>
      <c r="H270" s="275" t="s">
        <v>1390</v>
      </c>
      <c r="I270" s="19" t="s">
        <v>16</v>
      </c>
      <c r="J270" s="212" t="s">
        <v>2028</v>
      </c>
    </row>
    <row r="271" spans="1:10">
      <c r="G271" s="24" t="s">
        <v>879</v>
      </c>
      <c r="H271" s="275" t="s">
        <v>880</v>
      </c>
      <c r="I271" s="19" t="s">
        <v>1567</v>
      </c>
      <c r="J271" s="212" t="s">
        <v>2930</v>
      </c>
    </row>
    <row r="272" spans="1:10">
      <c r="G272" s="276" t="s">
        <v>1391</v>
      </c>
      <c r="H272" s="287" t="s">
        <v>1392</v>
      </c>
      <c r="I272" s="19" t="s">
        <v>21</v>
      </c>
      <c r="J272" s="212" t="s">
        <v>2931</v>
      </c>
    </row>
    <row r="273" spans="7:11">
      <c r="G273" s="276" t="s">
        <v>1393</v>
      </c>
      <c r="H273" s="275" t="s">
        <v>215</v>
      </c>
      <c r="I273" s="19" t="s">
        <v>1574</v>
      </c>
      <c r="J273" s="212" t="s">
        <v>2932</v>
      </c>
    </row>
    <row r="274" spans="7:11">
      <c r="G274" s="24" t="s">
        <v>1007</v>
      </c>
      <c r="H274" s="275" t="s">
        <v>1008</v>
      </c>
      <c r="I274" s="19" t="s">
        <v>1574</v>
      </c>
      <c r="J274" s="212" t="s">
        <v>2933</v>
      </c>
      <c r="K274" s="269" t="s">
        <v>2934</v>
      </c>
    </row>
    <row r="275" spans="7:11">
      <c r="G275" s="595"/>
      <c r="H275" s="593"/>
      <c r="I275" s="138"/>
      <c r="J275" s="550" t="s">
        <v>2935</v>
      </c>
      <c r="K275" s="138"/>
    </row>
    <row r="276" spans="7:11">
      <c r="G276" s="594"/>
      <c r="H276" s="594"/>
      <c r="I276" s="138"/>
      <c r="J276" s="594"/>
      <c r="K276" s="138"/>
    </row>
    <row r="277" spans="7:11">
      <c r="G277" s="276" t="s">
        <v>1395</v>
      </c>
      <c r="H277" s="277" t="s">
        <v>1396</v>
      </c>
      <c r="I277" s="19" t="s">
        <v>1567</v>
      </c>
      <c r="J277" s="269" t="s">
        <v>2936</v>
      </c>
    </row>
    <row r="278" spans="7:11">
      <c r="G278" s="272" t="s">
        <v>1221</v>
      </c>
      <c r="H278" s="278" t="s">
        <v>1222</v>
      </c>
      <c r="I278" s="19" t="s">
        <v>21</v>
      </c>
      <c r="J278" s="142" t="s">
        <v>2937</v>
      </c>
    </row>
    <row r="279" spans="7:11">
      <c r="G279" s="272" t="s">
        <v>1235</v>
      </c>
      <c r="H279" s="278" t="s">
        <v>1236</v>
      </c>
      <c r="I279" s="19" t="s">
        <v>21</v>
      </c>
      <c r="J279" s="269" t="s">
        <v>2938</v>
      </c>
    </row>
    <row r="280" spans="7:11">
      <c r="G280" s="276" t="s">
        <v>1397</v>
      </c>
      <c r="H280" s="287" t="s">
        <v>1398</v>
      </c>
      <c r="I280" s="19" t="s">
        <v>21</v>
      </c>
      <c r="J280" s="269" t="s">
        <v>2939</v>
      </c>
    </row>
    <row r="281" spans="7:11">
      <c r="G281" s="24" t="s">
        <v>1106</v>
      </c>
      <c r="H281" s="275" t="s">
        <v>1107</v>
      </c>
      <c r="I281" s="19" t="s">
        <v>21</v>
      </c>
    </row>
    <row r="282" spans="7:11">
      <c r="G282" s="276" t="s">
        <v>1399</v>
      </c>
      <c r="H282" s="275" t="s">
        <v>1400</v>
      </c>
      <c r="I282" s="19" t="s">
        <v>1567</v>
      </c>
    </row>
    <row r="283" spans="7:11">
      <c r="G283" s="24" t="s">
        <v>1135</v>
      </c>
      <c r="H283" s="278" t="s">
        <v>1136</v>
      </c>
      <c r="I283" s="19" t="s">
        <v>21</v>
      </c>
      <c r="J283" s="269" t="s">
        <v>2940</v>
      </c>
    </row>
    <row r="284" spans="7:11">
      <c r="G284" s="276" t="s">
        <v>1401</v>
      </c>
      <c r="H284" s="275" t="s">
        <v>1402</v>
      </c>
      <c r="I284" s="19" t="s">
        <v>1567</v>
      </c>
    </row>
    <row r="285" spans="7:11">
      <c r="G285" s="276" t="s">
        <v>1403</v>
      </c>
      <c r="H285" s="275" t="s">
        <v>1404</v>
      </c>
      <c r="I285" s="19" t="s">
        <v>18</v>
      </c>
    </row>
    <row r="286" spans="7:11">
      <c r="G286" s="276" t="s">
        <v>1405</v>
      </c>
      <c r="H286" s="275" t="s">
        <v>1406</v>
      </c>
      <c r="I286" s="19" t="s">
        <v>18</v>
      </c>
    </row>
    <row r="287" spans="7:11">
      <c r="G287" s="276" t="s">
        <v>1407</v>
      </c>
      <c r="H287" s="275" t="s">
        <v>1408</v>
      </c>
      <c r="I287" s="19" t="s">
        <v>1562</v>
      </c>
      <c r="J287" s="269" t="s">
        <v>2941</v>
      </c>
    </row>
    <row r="288" spans="7:11">
      <c r="G288" s="24" t="s">
        <v>1153</v>
      </c>
      <c r="H288" s="278" t="s">
        <v>2942</v>
      </c>
      <c r="I288" s="19" t="s">
        <v>21</v>
      </c>
      <c r="J288" s="269" t="s">
        <v>2943</v>
      </c>
    </row>
    <row r="289" spans="7:10">
      <c r="G289" s="276" t="s">
        <v>1409</v>
      </c>
      <c r="H289" s="275">
        <v>7</v>
      </c>
      <c r="I289" s="19" t="s">
        <v>1567</v>
      </c>
      <c r="J289" s="269" t="s">
        <v>2944</v>
      </c>
    </row>
    <row r="290" spans="7:10">
      <c r="G290" s="272" t="s">
        <v>1186</v>
      </c>
      <c r="H290" s="278" t="s">
        <v>1187</v>
      </c>
      <c r="I290" s="19" t="s">
        <v>21</v>
      </c>
    </row>
    <row r="291" spans="7:10">
      <c r="G291" s="24" t="s">
        <v>1044</v>
      </c>
      <c r="H291" s="275" t="s">
        <v>1410</v>
      </c>
      <c r="I291" s="19" t="s">
        <v>18</v>
      </c>
    </row>
    <row r="292" spans="7:10">
      <c r="G292" s="276" t="s">
        <v>1411</v>
      </c>
      <c r="H292" s="275" t="s">
        <v>1412</v>
      </c>
      <c r="I292" s="19" t="s">
        <v>18</v>
      </c>
    </row>
    <row r="293" spans="7:10">
      <c r="G293" s="24" t="s">
        <v>1173</v>
      </c>
      <c r="H293" s="278" t="s">
        <v>1174</v>
      </c>
      <c r="I293" s="19" t="s">
        <v>1567</v>
      </c>
      <c r="J293" s="269" t="s">
        <v>2945</v>
      </c>
    </row>
    <row r="294" spans="7:10">
      <c r="G294" s="276" t="s">
        <v>1413</v>
      </c>
      <c r="H294" s="275" t="s">
        <v>1414</v>
      </c>
      <c r="I294" s="19" t="s">
        <v>18</v>
      </c>
      <c r="J294" s="142" t="s">
        <v>2946</v>
      </c>
    </row>
    <row r="295" spans="7:10">
      <c r="G295" s="276" t="s">
        <v>1415</v>
      </c>
      <c r="H295" s="275" t="s">
        <v>1416</v>
      </c>
      <c r="I295" s="19" t="s">
        <v>18</v>
      </c>
    </row>
    <row r="296" spans="7:10">
      <c r="G296" s="272" t="s">
        <v>1068</v>
      </c>
      <c r="H296" s="278" t="s">
        <v>726</v>
      </c>
      <c r="I296" s="19" t="s">
        <v>21</v>
      </c>
    </row>
    <row r="297" spans="7:10">
      <c r="G297" s="276" t="s">
        <v>1417</v>
      </c>
      <c r="H297" s="275" t="s">
        <v>1418</v>
      </c>
      <c r="I297" s="19" t="s">
        <v>1574</v>
      </c>
      <c r="J297" s="142" t="s">
        <v>2947</v>
      </c>
    </row>
    <row r="298" spans="7:10">
      <c r="G298" s="276" t="s">
        <v>1419</v>
      </c>
      <c r="H298" s="275" t="s">
        <v>1420</v>
      </c>
      <c r="I298" s="19" t="s">
        <v>1567</v>
      </c>
    </row>
    <row r="299" spans="7:10">
      <c r="G299" s="276" t="s">
        <v>1421</v>
      </c>
      <c r="H299" s="275" t="s">
        <v>1422</v>
      </c>
      <c r="I299" s="19" t="s">
        <v>1574</v>
      </c>
      <c r="J299" s="269" t="s">
        <v>2948</v>
      </c>
    </row>
    <row r="300" spans="7:10">
      <c r="G300" s="272" t="s">
        <v>1051</v>
      </c>
      <c r="H300" s="278" t="s">
        <v>1052</v>
      </c>
      <c r="I300" s="19" t="s">
        <v>21</v>
      </c>
    </row>
    <row r="301" spans="7:10">
      <c r="G301" s="24" t="s">
        <v>1062</v>
      </c>
      <c r="H301" s="275" t="s">
        <v>1063</v>
      </c>
      <c r="I301" s="19" t="s">
        <v>18</v>
      </c>
      <c r="J301" s="142" t="s">
        <v>2949</v>
      </c>
    </row>
    <row r="302" spans="7:10">
      <c r="G302" s="276" t="s">
        <v>1423</v>
      </c>
      <c r="H302" s="275" t="s">
        <v>1424</v>
      </c>
      <c r="I302" s="19" t="s">
        <v>1574</v>
      </c>
      <c r="J302" s="142" t="s">
        <v>2950</v>
      </c>
    </row>
    <row r="303" spans="7:10">
      <c r="G303" s="276" t="s">
        <v>1425</v>
      </c>
      <c r="H303" s="275" t="s">
        <v>1426</v>
      </c>
      <c r="I303" s="19" t="s">
        <v>18</v>
      </c>
    </row>
    <row r="304" spans="7:10">
      <c r="G304" s="24" t="s">
        <v>1195</v>
      </c>
      <c r="H304" s="278" t="s">
        <v>1196</v>
      </c>
      <c r="I304" s="19" t="s">
        <v>1567</v>
      </c>
      <c r="J304" s="269" t="s">
        <v>2951</v>
      </c>
    </row>
    <row r="305" spans="7:11">
      <c r="G305" s="276" t="s">
        <v>1427</v>
      </c>
      <c r="H305" s="275" t="s">
        <v>1428</v>
      </c>
      <c r="I305" s="19" t="s">
        <v>1567</v>
      </c>
    </row>
    <row r="306" spans="7:11">
      <c r="G306" s="273" t="s">
        <v>1073</v>
      </c>
      <c r="H306" s="278" t="s">
        <v>1074</v>
      </c>
      <c r="I306" s="19" t="s">
        <v>28</v>
      </c>
      <c r="J306" s="269" t="s">
        <v>2952</v>
      </c>
    </row>
    <row r="307" spans="7:11">
      <c r="G307" s="276" t="s">
        <v>1429</v>
      </c>
      <c r="H307" s="275" t="s">
        <v>1430</v>
      </c>
      <c r="I307" s="19" t="s">
        <v>1562</v>
      </c>
      <c r="J307" s="269" t="s">
        <v>2953</v>
      </c>
    </row>
    <row r="308" spans="7:11">
      <c r="G308" s="272" t="s">
        <v>1190</v>
      </c>
      <c r="H308" s="278" t="s">
        <v>1191</v>
      </c>
      <c r="I308" s="19" t="s">
        <v>1567</v>
      </c>
      <c r="J308" s="269" t="s">
        <v>2954</v>
      </c>
    </row>
    <row r="309" spans="7:11">
      <c r="G309" s="273" t="s">
        <v>1147</v>
      </c>
      <c r="H309" s="283" t="s">
        <v>1148</v>
      </c>
      <c r="I309" s="19" t="s">
        <v>17</v>
      </c>
      <c r="J309" s="142" t="s">
        <v>2767</v>
      </c>
    </row>
    <row r="310" spans="7:11">
      <c r="G310" s="24" t="s">
        <v>1121</v>
      </c>
      <c r="H310" s="275" t="s">
        <v>1122</v>
      </c>
      <c r="I310" s="19" t="s">
        <v>1567</v>
      </c>
    </row>
    <row r="311" spans="7:11">
      <c r="G311" s="276" t="s">
        <v>1431</v>
      </c>
      <c r="H311" s="275" t="s">
        <v>1432</v>
      </c>
      <c r="I311" s="19" t="s">
        <v>18</v>
      </c>
      <c r="J311" s="269" t="s">
        <v>2955</v>
      </c>
    </row>
    <row r="312" spans="7:11">
      <c r="G312" s="276" t="s">
        <v>1433</v>
      </c>
      <c r="H312" s="275" t="s">
        <v>1434</v>
      </c>
      <c r="I312" s="19" t="s">
        <v>1567</v>
      </c>
    </row>
    <row r="313" spans="7:11">
      <c r="G313" s="276" t="s">
        <v>1435</v>
      </c>
      <c r="H313" s="275" t="s">
        <v>1436</v>
      </c>
      <c r="I313" s="19" t="s">
        <v>1567</v>
      </c>
      <c r="J313" s="142" t="s">
        <v>2956</v>
      </c>
    </row>
    <row r="314" spans="7:11">
      <c r="G314" s="276" t="s">
        <v>1437</v>
      </c>
      <c r="H314" s="275" t="s">
        <v>1438</v>
      </c>
      <c r="I314" s="19" t="s">
        <v>18</v>
      </c>
    </row>
    <row r="315" spans="7:11">
      <c r="G315" s="24" t="s">
        <v>1206</v>
      </c>
      <c r="H315" s="278" t="s">
        <v>1207</v>
      </c>
      <c r="I315" s="19" t="s">
        <v>1567</v>
      </c>
    </row>
    <row r="316" spans="7:11">
      <c r="G316" s="276" t="s">
        <v>1439</v>
      </c>
      <c r="H316" s="275" t="s">
        <v>1440</v>
      </c>
      <c r="I316" s="19" t="s">
        <v>1562</v>
      </c>
      <c r="J316" s="269" t="s">
        <v>2957</v>
      </c>
    </row>
    <row r="317" spans="7:11">
      <c r="G317" s="147" t="s">
        <v>1228</v>
      </c>
      <c r="H317" s="275" t="s">
        <v>1229</v>
      </c>
      <c r="I317" s="19" t="s">
        <v>21</v>
      </c>
    </row>
    <row r="318" spans="7:11">
      <c r="G318" s="276" t="s">
        <v>1441</v>
      </c>
      <c r="H318" s="275" t="s">
        <v>1442</v>
      </c>
      <c r="I318" s="19" t="s">
        <v>18</v>
      </c>
    </row>
    <row r="319" spans="7:11">
      <c r="G319" s="147" t="s">
        <v>1163</v>
      </c>
      <c r="H319" s="278" t="s">
        <v>1164</v>
      </c>
      <c r="I319" s="19" t="s">
        <v>21</v>
      </c>
      <c r="J319" s="269" t="s">
        <v>2958</v>
      </c>
      <c r="K319" s="269" t="s">
        <v>2959</v>
      </c>
    </row>
    <row r="320" spans="7:11">
      <c r="G320" s="276" t="s">
        <v>1443</v>
      </c>
      <c r="H320" s="111" t="s">
        <v>1444</v>
      </c>
      <c r="I320" s="19" t="s">
        <v>18</v>
      </c>
    </row>
  </sheetData>
  <mergeCells count="12">
    <mergeCell ref="L135:L136"/>
    <mergeCell ref="H227:H228"/>
    <mergeCell ref="G227:G228"/>
    <mergeCell ref="J227:J228"/>
    <mergeCell ref="J275:J276"/>
    <mergeCell ref="H275:H276"/>
    <mergeCell ref="G275:G276"/>
    <mergeCell ref="J135:J136"/>
    <mergeCell ref="H135:H136"/>
    <mergeCell ref="G135:G136"/>
    <mergeCell ref="I135:I136"/>
    <mergeCell ref="K135:K136"/>
  </mergeCells>
  <phoneticPr fontId="89" type="noConversion"/>
  <dataValidations count="1">
    <dataValidation type="list" allowBlank="1" showInputMessage="1" showErrorMessage="1" sqref="C4:C105 I277:I320 I229:I274 I137:I226 I4:I134 C218:C262 C179:C216 C107:C177" xr:uid="{00000000-0002-0000-0F00-000000000000}">
      <formula1>"S,A+,A,B+,B,C+,C,D+,D,?,"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组仅日语（by ld）"/>
  <dimension ref="A1:E137"/>
  <sheetViews>
    <sheetView workbookViewId="0"/>
  </sheetViews>
  <sheetFormatPr baseColWidth="10" defaultColWidth="13.7109375" defaultRowHeight="18" customHeight="1"/>
  <cols>
    <col min="3" max="3" width="25.85546875" customWidth="1"/>
  </cols>
  <sheetData>
    <row r="1" spans="1:5" ht="18" customHeight="1">
      <c r="A1" s="24" t="s">
        <v>4</v>
      </c>
      <c r="B1" s="94" t="s">
        <v>5</v>
      </c>
      <c r="D1" s="11" t="s">
        <v>1887</v>
      </c>
      <c r="E1" t="s">
        <v>2960</v>
      </c>
    </row>
    <row r="2" spans="1:5" ht="18" customHeight="1">
      <c r="A2" s="24" t="s">
        <v>802</v>
      </c>
      <c r="B2" s="25" t="s">
        <v>803</v>
      </c>
    </row>
    <row r="3" spans="1:5" ht="18" customHeight="1">
      <c r="A3" s="24" t="s">
        <v>809</v>
      </c>
      <c r="B3" s="25" t="s">
        <v>810</v>
      </c>
    </row>
    <row r="4" spans="1:5" ht="18" customHeight="1">
      <c r="A4" s="24" t="s">
        <v>755</v>
      </c>
      <c r="B4" s="25" t="s">
        <v>756</v>
      </c>
    </row>
    <row r="5" spans="1:5" ht="18" customHeight="1">
      <c r="A5" s="24" t="s">
        <v>820</v>
      </c>
      <c r="B5" s="25" t="s">
        <v>821</v>
      </c>
    </row>
    <row r="6" spans="1:5" ht="18" customHeight="1">
      <c r="A6" s="24" t="s">
        <v>827</v>
      </c>
      <c r="B6" s="25" t="s">
        <v>828</v>
      </c>
    </row>
    <row r="7" spans="1:5" ht="18" customHeight="1">
      <c r="A7" s="24" t="s">
        <v>812</v>
      </c>
      <c r="B7" s="25" t="s">
        <v>813</v>
      </c>
    </row>
    <row r="8" spans="1:5" ht="18" customHeight="1">
      <c r="A8" s="24" t="s">
        <v>839</v>
      </c>
      <c r="B8" s="25" t="s">
        <v>840</v>
      </c>
      <c r="D8" t="s">
        <v>2561</v>
      </c>
    </row>
    <row r="9" spans="1:5" ht="18" customHeight="1">
      <c r="A9" s="24" t="s">
        <v>845</v>
      </c>
      <c r="B9" s="25" t="s">
        <v>846</v>
      </c>
    </row>
    <row r="10" spans="1:5" ht="18" customHeight="1">
      <c r="A10" s="24" t="s">
        <v>617</v>
      </c>
      <c r="B10" s="25" t="s">
        <v>618</v>
      </c>
    </row>
    <row r="11" spans="1:5" ht="18" customHeight="1">
      <c r="A11" s="24" t="s">
        <v>856</v>
      </c>
      <c r="B11" s="25" t="s">
        <v>857</v>
      </c>
    </row>
    <row r="12" spans="1:5" ht="18" customHeight="1">
      <c r="A12" s="24" t="s">
        <v>783</v>
      </c>
      <c r="B12" s="25" t="s">
        <v>784</v>
      </c>
      <c r="D12" t="s">
        <v>2961</v>
      </c>
    </row>
    <row r="13" spans="1:5" ht="18" customHeight="1">
      <c r="A13" s="24" t="s">
        <v>863</v>
      </c>
      <c r="B13" s="25" t="s">
        <v>864</v>
      </c>
    </row>
    <row r="14" spans="1:5" ht="18" customHeight="1">
      <c r="A14" s="24" t="s">
        <v>551</v>
      </c>
      <c r="B14" s="25" t="s">
        <v>552</v>
      </c>
    </row>
    <row r="15" spans="1:5" ht="18" customHeight="1">
      <c r="A15" s="24" t="s">
        <v>871</v>
      </c>
      <c r="B15" s="25" t="s">
        <v>872</v>
      </c>
      <c r="D15" t="s">
        <v>2962</v>
      </c>
    </row>
    <row r="16" spans="1:5" ht="18" customHeight="1">
      <c r="A16" s="24" t="s">
        <v>760</v>
      </c>
      <c r="B16" s="25" t="s">
        <v>761</v>
      </c>
      <c r="D16" t="s">
        <v>2561</v>
      </c>
    </row>
    <row r="17" spans="1:4" ht="18" customHeight="1">
      <c r="A17" s="24" t="s">
        <v>883</v>
      </c>
      <c r="B17" s="25" t="s">
        <v>884</v>
      </c>
    </row>
    <row r="18" spans="1:4" ht="18" customHeight="1">
      <c r="A18" s="24" t="s">
        <v>890</v>
      </c>
      <c r="B18" s="25" t="s">
        <v>891</v>
      </c>
    </row>
    <row r="19" spans="1:4" ht="18" customHeight="1">
      <c r="A19" s="24" t="s">
        <v>750</v>
      </c>
      <c r="B19" s="25" t="s">
        <v>751</v>
      </c>
      <c r="D19" t="s">
        <v>2963</v>
      </c>
    </row>
    <row r="20" spans="1:4" ht="18" customHeight="1">
      <c r="A20" s="24" t="s">
        <v>900</v>
      </c>
      <c r="B20" s="25" t="s">
        <v>901</v>
      </c>
    </row>
    <row r="21" spans="1:4" ht="18" customHeight="1">
      <c r="A21" s="24" t="s">
        <v>907</v>
      </c>
      <c r="B21" s="25" t="s">
        <v>908</v>
      </c>
    </row>
    <row r="22" spans="1:4" ht="18" customHeight="1">
      <c r="A22" s="24" t="s">
        <v>914</v>
      </c>
      <c r="B22" s="25" t="s">
        <v>915</v>
      </c>
    </row>
    <row r="23" spans="1:4" ht="18" customHeight="1">
      <c r="A23" s="24" t="s">
        <v>515</v>
      </c>
      <c r="B23" s="25" t="s">
        <v>516</v>
      </c>
      <c r="D23" t="s">
        <v>2964</v>
      </c>
    </row>
    <row r="24" spans="1:4" ht="18" customHeight="1">
      <c r="A24" s="24" t="s">
        <v>679</v>
      </c>
      <c r="B24" s="25" t="s">
        <v>680</v>
      </c>
    </row>
    <row r="25" spans="1:4" ht="18" customHeight="1">
      <c r="A25" s="24" t="s">
        <v>611</v>
      </c>
      <c r="B25" s="25" t="s">
        <v>612</v>
      </c>
      <c r="D25" t="s">
        <v>2965</v>
      </c>
    </row>
    <row r="26" spans="1:4" ht="18" customHeight="1">
      <c r="A26" s="24" t="s">
        <v>713</v>
      </c>
      <c r="B26" s="25" t="s">
        <v>714</v>
      </c>
    </row>
    <row r="27" spans="1:4" ht="18" customHeight="1">
      <c r="A27" s="24" t="s">
        <v>938</v>
      </c>
      <c r="B27" s="25" t="s">
        <v>939</v>
      </c>
      <c r="D27" t="s">
        <v>2966</v>
      </c>
    </row>
    <row r="28" spans="1:4" ht="18" customHeight="1">
      <c r="A28" s="24" t="s">
        <v>945</v>
      </c>
      <c r="B28" s="25" t="s">
        <v>946</v>
      </c>
    </row>
    <row r="29" spans="1:4" ht="18" customHeight="1">
      <c r="A29" s="24" t="s">
        <v>952</v>
      </c>
      <c r="B29" s="25" t="s">
        <v>953</v>
      </c>
      <c r="D29" t="s">
        <v>2967</v>
      </c>
    </row>
    <row r="30" spans="1:4" ht="18" customHeight="1">
      <c r="A30" s="24" t="s">
        <v>959</v>
      </c>
      <c r="B30" s="25" t="s">
        <v>960</v>
      </c>
    </row>
    <row r="31" spans="1:4" ht="18" customHeight="1">
      <c r="A31" s="24" t="s">
        <v>966</v>
      </c>
      <c r="B31" s="33" t="s">
        <v>967</v>
      </c>
    </row>
    <row r="32" spans="1:4" ht="18" customHeight="1">
      <c r="A32" s="24" t="s">
        <v>649</v>
      </c>
      <c r="B32" s="25" t="s">
        <v>650</v>
      </c>
    </row>
    <row r="33" spans="1:4" ht="18" customHeight="1">
      <c r="A33" s="24" t="s">
        <v>631</v>
      </c>
      <c r="B33" s="25" t="s">
        <v>632</v>
      </c>
    </row>
    <row r="34" spans="1:4" ht="18" customHeight="1">
      <c r="A34" s="24" t="s">
        <v>982</v>
      </c>
      <c r="B34" s="25" t="s">
        <v>983</v>
      </c>
    </row>
    <row r="35" spans="1:4" ht="18" customHeight="1">
      <c r="A35" s="24" t="s">
        <v>765</v>
      </c>
      <c r="B35" s="25" t="s">
        <v>766</v>
      </c>
    </row>
    <row r="36" spans="1:4" ht="18" customHeight="1">
      <c r="A36" s="24" t="s">
        <v>991</v>
      </c>
      <c r="B36" s="25" t="s">
        <v>992</v>
      </c>
    </row>
    <row r="37" spans="1:4" ht="18" customHeight="1">
      <c r="A37" s="24" t="s">
        <v>997</v>
      </c>
      <c r="B37" s="25" t="s">
        <v>998</v>
      </c>
    </row>
    <row r="38" spans="1:4" ht="18" customHeight="1">
      <c r="A38" s="24" t="s">
        <v>1004</v>
      </c>
      <c r="B38" s="25" t="s">
        <v>1005</v>
      </c>
    </row>
    <row r="39" spans="1:4" ht="18" customHeight="1">
      <c r="A39" s="24" t="s">
        <v>830</v>
      </c>
      <c r="B39" s="25" t="s">
        <v>831</v>
      </c>
      <c r="D39" t="s">
        <v>2968</v>
      </c>
    </row>
    <row r="40" spans="1:4" ht="18" customHeight="1">
      <c r="A40" s="24" t="s">
        <v>789</v>
      </c>
      <c r="B40" s="25" t="s">
        <v>790</v>
      </c>
    </row>
    <row r="41" spans="1:4" ht="18" customHeight="1">
      <c r="A41" s="24" t="s">
        <v>527</v>
      </c>
      <c r="B41" s="25" t="s">
        <v>528</v>
      </c>
      <c r="D41" t="s">
        <v>2969</v>
      </c>
    </row>
    <row r="42" spans="1:4" ht="18" customHeight="1">
      <c r="A42" s="24" t="s">
        <v>1024</v>
      </c>
      <c r="B42" s="25" t="s">
        <v>1025</v>
      </c>
    </row>
    <row r="43" spans="1:4">
      <c r="A43" s="24" t="s">
        <v>1031</v>
      </c>
      <c r="B43" s="25" t="s">
        <v>1032</v>
      </c>
    </row>
    <row r="44" spans="1:4">
      <c r="A44" s="24" t="s">
        <v>816</v>
      </c>
      <c r="B44" s="25" t="s">
        <v>817</v>
      </c>
    </row>
    <row r="45" spans="1:4">
      <c r="A45" s="24" t="s">
        <v>1035</v>
      </c>
      <c r="B45" s="25" t="s">
        <v>1036</v>
      </c>
      <c r="D45" t="s">
        <v>2970</v>
      </c>
    </row>
    <row r="46" spans="1:4">
      <c r="A46" s="24" t="s">
        <v>672</v>
      </c>
      <c r="B46" s="25" t="s">
        <v>673</v>
      </c>
    </row>
    <row r="47" spans="1:4">
      <c r="A47" s="24" t="s">
        <v>706</v>
      </c>
      <c r="B47" s="25" t="s">
        <v>707</v>
      </c>
    </row>
    <row r="48" spans="1:4">
      <c r="A48" s="24" t="s">
        <v>1048</v>
      </c>
      <c r="B48" s="25" t="s">
        <v>1049</v>
      </c>
    </row>
    <row r="49" spans="1:4">
      <c r="A49" s="24" t="s">
        <v>1054</v>
      </c>
      <c r="B49" s="25" t="s">
        <v>1055</v>
      </c>
    </row>
    <row r="50" spans="1:4">
      <c r="A50" s="24" t="s">
        <v>569</v>
      </c>
      <c r="B50" s="25" t="s">
        <v>707</v>
      </c>
    </row>
    <row r="51" spans="1:4">
      <c r="A51" s="24" t="s">
        <v>1065</v>
      </c>
      <c r="B51" s="25" t="s">
        <v>1066</v>
      </c>
    </row>
    <row r="52" spans="1:4">
      <c r="A52" s="24" t="s">
        <v>1070</v>
      </c>
      <c r="B52" s="25" t="s">
        <v>1071</v>
      </c>
    </row>
    <row r="53" spans="1:4">
      <c r="A53" s="24" t="s">
        <v>605</v>
      </c>
      <c r="B53" s="25" t="s">
        <v>606</v>
      </c>
    </row>
    <row r="54" spans="1:4">
      <c r="A54" s="24" t="s">
        <v>1081</v>
      </c>
      <c r="B54" s="25" t="s">
        <v>1082</v>
      </c>
    </row>
    <row r="55" spans="1:4">
      <c r="A55" s="24" t="s">
        <v>1087</v>
      </c>
      <c r="B55" s="25" t="s">
        <v>1088</v>
      </c>
    </row>
    <row r="56" spans="1:4">
      <c r="A56" s="24" t="s">
        <v>1093</v>
      </c>
      <c r="B56" s="25" t="s">
        <v>1094</v>
      </c>
    </row>
    <row r="57" spans="1:4">
      <c r="A57" s="24" t="s">
        <v>853</v>
      </c>
      <c r="B57" s="25" t="s">
        <v>854</v>
      </c>
    </row>
    <row r="58" spans="1:4">
      <c r="A58" s="24" t="s">
        <v>725</v>
      </c>
      <c r="B58" s="25" t="s">
        <v>726</v>
      </c>
    </row>
    <row r="59" spans="1:4">
      <c r="A59" s="24" t="s">
        <v>731</v>
      </c>
      <c r="B59" s="25" t="s">
        <v>732</v>
      </c>
      <c r="D59" t="s">
        <v>2971</v>
      </c>
    </row>
    <row r="60" spans="1:4">
      <c r="A60" s="24" t="s">
        <v>1113</v>
      </c>
      <c r="B60" s="25" t="s">
        <v>1114</v>
      </c>
    </row>
    <row r="61" spans="1:4">
      <c r="A61" s="24" t="s">
        <v>642</v>
      </c>
      <c r="B61" s="25" t="s">
        <v>643</v>
      </c>
    </row>
    <row r="62" spans="1:4">
      <c r="A62" s="24" t="s">
        <v>1125</v>
      </c>
      <c r="B62" s="25" t="s">
        <v>1126</v>
      </c>
    </row>
    <row r="63" spans="1:4">
      <c r="A63" s="24" t="s">
        <v>1132</v>
      </c>
      <c r="B63" s="25" t="s">
        <v>1133</v>
      </c>
    </row>
    <row r="64" spans="1:4">
      <c r="A64" s="24" t="s">
        <v>1139</v>
      </c>
      <c r="B64" s="25" t="s">
        <v>1140</v>
      </c>
    </row>
    <row r="65" spans="1:4">
      <c r="A65" s="24" t="s">
        <v>600</v>
      </c>
      <c r="B65" s="25" t="s">
        <v>601</v>
      </c>
    </row>
    <row r="66" spans="1:4">
      <c r="A66" s="24" t="s">
        <v>1150</v>
      </c>
      <c r="B66" s="25" t="s">
        <v>1151</v>
      </c>
    </row>
    <row r="67" spans="1:4">
      <c r="A67" s="24" t="s">
        <v>637</v>
      </c>
      <c r="B67" s="25" t="s">
        <v>638</v>
      </c>
      <c r="D67" t="s">
        <v>2972</v>
      </c>
    </row>
    <row r="68" spans="1:4">
      <c r="A68" s="24" t="s">
        <v>1160</v>
      </c>
      <c r="B68" s="25" t="s">
        <v>1161</v>
      </c>
      <c r="D68" t="s">
        <v>2973</v>
      </c>
    </row>
    <row r="69" spans="1:4">
      <c r="A69" s="24" t="s">
        <v>777</v>
      </c>
      <c r="B69" s="25" t="s">
        <v>778</v>
      </c>
    </row>
    <row r="70" spans="1:4">
      <c r="A70" s="24" t="s">
        <v>1170</v>
      </c>
      <c r="B70" s="25" t="s">
        <v>1171</v>
      </c>
    </row>
    <row r="71" spans="1:4">
      <c r="A71" s="24" t="s">
        <v>1176</v>
      </c>
      <c r="B71" s="25" t="s">
        <v>1177</v>
      </c>
    </row>
    <row r="72" spans="1:4">
      <c r="A72" s="24" t="s">
        <v>1183</v>
      </c>
      <c r="B72" s="25" t="s">
        <v>1184</v>
      </c>
      <c r="D72" t="s">
        <v>2974</v>
      </c>
    </row>
    <row r="73" spans="1:4">
      <c r="A73" s="24" t="s">
        <v>739</v>
      </c>
      <c r="B73" s="25" t="s">
        <v>740</v>
      </c>
      <c r="D73" t="s">
        <v>2975</v>
      </c>
    </row>
    <row r="74" spans="1:4">
      <c r="A74" s="24" t="s">
        <v>720</v>
      </c>
      <c r="B74" s="25" t="s">
        <v>721</v>
      </c>
    </row>
    <row r="75" spans="1:4">
      <c r="A75" s="24" t="s">
        <v>563</v>
      </c>
      <c r="B75" s="25" t="s">
        <v>564</v>
      </c>
    </row>
    <row r="76" spans="1:4">
      <c r="A76" s="24" t="s">
        <v>1203</v>
      </c>
      <c r="B76" s="35" t="s">
        <v>1204</v>
      </c>
      <c r="D76" t="s">
        <v>2976</v>
      </c>
    </row>
    <row r="77" spans="1:4">
      <c r="A77" s="24" t="s">
        <v>1209</v>
      </c>
      <c r="B77" s="25" t="s">
        <v>1210</v>
      </c>
    </row>
    <row r="78" spans="1:4">
      <c r="A78" s="24" t="s">
        <v>532</v>
      </c>
      <c r="B78" s="25" t="s">
        <v>533</v>
      </c>
    </row>
    <row r="79" spans="1:4">
      <c r="A79" s="24" t="s">
        <v>770</v>
      </c>
      <c r="B79" s="25" t="s">
        <v>1219</v>
      </c>
    </row>
    <row r="80" spans="1:4">
      <c r="A80" s="24" t="s">
        <v>1225</v>
      </c>
      <c r="B80" s="25" t="s">
        <v>1226</v>
      </c>
    </row>
    <row r="81" spans="1:4">
      <c r="A81" s="24" t="s">
        <v>1232</v>
      </c>
      <c r="B81" s="25" t="s">
        <v>1233</v>
      </c>
    </row>
    <row r="82" spans="1:4">
      <c r="A82" s="24" t="s">
        <v>1239</v>
      </c>
      <c r="B82" s="25" t="s">
        <v>1240</v>
      </c>
    </row>
    <row r="83" spans="1:4">
      <c r="A83" s="24" t="s">
        <v>1243</v>
      </c>
      <c r="B83" s="25" t="s">
        <v>1244</v>
      </c>
    </row>
    <row r="84" spans="1:4">
      <c r="A84" s="24" t="s">
        <v>1247</v>
      </c>
      <c r="B84" s="25" t="s">
        <v>1248</v>
      </c>
    </row>
    <row r="85" spans="1:4">
      <c r="A85" s="24" t="s">
        <v>1251</v>
      </c>
      <c r="B85" s="25" t="s">
        <v>1252</v>
      </c>
    </row>
    <row r="86" spans="1:4">
      <c r="A86" s="24" t="s">
        <v>1254</v>
      </c>
      <c r="B86" s="25" t="s">
        <v>659</v>
      </c>
      <c r="D86" t="s">
        <v>2977</v>
      </c>
    </row>
    <row r="87" spans="1:4">
      <c r="A87" s="24" t="s">
        <v>1255</v>
      </c>
      <c r="B87" s="25" t="s">
        <v>1256</v>
      </c>
    </row>
    <row r="88" spans="1:4">
      <c r="A88" s="24" t="s">
        <v>1257</v>
      </c>
      <c r="B88" s="25" t="s">
        <v>1258</v>
      </c>
    </row>
    <row r="89" spans="1:4">
      <c r="A89" s="24" t="s">
        <v>1260</v>
      </c>
      <c r="B89" s="25" t="s">
        <v>1261</v>
      </c>
    </row>
    <row r="90" spans="1:4">
      <c r="A90" s="24" t="s">
        <v>1264</v>
      </c>
      <c r="B90" s="25" t="s">
        <v>1265</v>
      </c>
    </row>
    <row r="91" spans="1:4">
      <c r="A91" s="24" t="s">
        <v>583</v>
      </c>
      <c r="B91" s="12" t="s">
        <v>584</v>
      </c>
      <c r="D91" t="s">
        <v>2978</v>
      </c>
    </row>
    <row r="92" spans="1:4">
      <c r="A92" s="298"/>
      <c r="B92" s="94"/>
      <c r="C92" s="24"/>
      <c r="D92" s="94"/>
    </row>
    <row r="93" spans="1:4">
      <c r="A93" s="41" t="s">
        <v>4</v>
      </c>
      <c r="B93" s="94" t="s">
        <v>5</v>
      </c>
      <c r="C93" s="24"/>
      <c r="D93" s="94"/>
    </row>
    <row r="94" spans="1:4">
      <c r="A94" s="24" t="s">
        <v>1395</v>
      </c>
      <c r="B94" s="12" t="s">
        <v>1396</v>
      </c>
      <c r="C94" s="24"/>
      <c r="D94" s="299"/>
    </row>
    <row r="95" spans="1:4">
      <c r="A95" s="24" t="s">
        <v>1221</v>
      </c>
      <c r="B95" s="25" t="s">
        <v>1222</v>
      </c>
      <c r="C95" s="24"/>
      <c r="D95" s="299"/>
    </row>
    <row r="96" spans="1:4">
      <c r="A96" s="24" t="s">
        <v>1235</v>
      </c>
      <c r="B96" s="25" t="s">
        <v>1236</v>
      </c>
      <c r="C96" s="24"/>
      <c r="D96" s="299"/>
    </row>
    <row r="97" spans="1:4">
      <c r="A97" s="24" t="s">
        <v>1397</v>
      </c>
      <c r="B97" s="25" t="s">
        <v>1398</v>
      </c>
      <c r="C97" s="24"/>
      <c r="D97" s="299"/>
    </row>
    <row r="98" spans="1:4">
      <c r="A98" s="24" t="s">
        <v>1106</v>
      </c>
      <c r="B98" s="25" t="s">
        <v>1107</v>
      </c>
      <c r="C98" s="24"/>
      <c r="D98" s="299"/>
    </row>
    <row r="99" spans="1:4">
      <c r="A99" s="24" t="s">
        <v>1399</v>
      </c>
      <c r="B99" s="25" t="s">
        <v>1400</v>
      </c>
      <c r="C99" s="24"/>
      <c r="D99" s="299"/>
    </row>
    <row r="100" spans="1:4">
      <c r="A100" s="24" t="s">
        <v>1135</v>
      </c>
      <c r="B100" s="25" t="s">
        <v>1136</v>
      </c>
      <c r="C100" s="24"/>
      <c r="D100" s="299"/>
    </row>
    <row r="101" spans="1:4">
      <c r="A101" s="24" t="s">
        <v>1401</v>
      </c>
      <c r="B101" s="25" t="s">
        <v>1402</v>
      </c>
      <c r="C101" s="24"/>
      <c r="D101" s="299"/>
    </row>
    <row r="102" spans="1:4">
      <c r="A102" s="24" t="s">
        <v>1403</v>
      </c>
      <c r="B102" s="25" t="s">
        <v>1404</v>
      </c>
      <c r="C102" s="24"/>
      <c r="D102" s="299"/>
    </row>
    <row r="103" spans="1:4">
      <c r="A103" s="24" t="s">
        <v>1405</v>
      </c>
      <c r="B103" s="25" t="s">
        <v>1406</v>
      </c>
      <c r="C103" s="24"/>
      <c r="D103" s="299" t="s">
        <v>2979</v>
      </c>
    </row>
    <row r="104" spans="1:4">
      <c r="A104" s="24" t="s">
        <v>1407</v>
      </c>
      <c r="B104" s="25" t="s">
        <v>1408</v>
      </c>
      <c r="C104" s="24"/>
      <c r="D104" s="299"/>
    </row>
    <row r="105" spans="1:4">
      <c r="A105" s="24" t="s">
        <v>1153</v>
      </c>
      <c r="B105" s="25" t="s">
        <v>1154</v>
      </c>
      <c r="C105" s="24"/>
      <c r="D105" s="299" t="s">
        <v>2980</v>
      </c>
    </row>
    <row r="106" spans="1:4">
      <c r="A106" s="24" t="s">
        <v>1409</v>
      </c>
      <c r="B106" s="25">
        <v>7</v>
      </c>
      <c r="C106" s="24"/>
      <c r="D106" s="25"/>
    </row>
    <row r="107" spans="1:4">
      <c r="A107" s="24" t="s">
        <v>1186</v>
      </c>
      <c r="B107" s="25" t="s">
        <v>1187</v>
      </c>
      <c r="C107" s="24"/>
      <c r="D107" s="299" t="s">
        <v>2981</v>
      </c>
    </row>
    <row r="108" spans="1:4">
      <c r="A108" s="24" t="s">
        <v>1044</v>
      </c>
      <c r="B108" s="25" t="s">
        <v>1410</v>
      </c>
      <c r="C108" s="24"/>
      <c r="D108" s="299"/>
    </row>
    <row r="109" spans="1:4">
      <c r="A109" s="24" t="s">
        <v>1411</v>
      </c>
      <c r="B109" s="25" t="s">
        <v>1412</v>
      </c>
      <c r="C109" s="24"/>
      <c r="D109" s="299" t="s">
        <v>2982</v>
      </c>
    </row>
    <row r="110" spans="1:4">
      <c r="A110" s="24" t="s">
        <v>1173</v>
      </c>
      <c r="B110" s="25" t="s">
        <v>1174</v>
      </c>
      <c r="C110" s="24"/>
      <c r="D110" s="299" t="s">
        <v>2983</v>
      </c>
    </row>
    <row r="111" spans="1:4">
      <c r="A111" s="24" t="s">
        <v>1413</v>
      </c>
      <c r="B111" s="25" t="s">
        <v>1414</v>
      </c>
      <c r="C111" s="24"/>
      <c r="D111" s="299"/>
    </row>
    <row r="112" spans="1:4">
      <c r="A112" s="24" t="s">
        <v>1415</v>
      </c>
      <c r="B112" s="25" t="s">
        <v>1416</v>
      </c>
      <c r="C112" s="24"/>
      <c r="D112" s="299"/>
    </row>
    <row r="113" spans="1:4">
      <c r="A113" s="24" t="s">
        <v>1068</v>
      </c>
      <c r="B113" s="25" t="s">
        <v>726</v>
      </c>
      <c r="C113" s="24"/>
      <c r="D113" s="299"/>
    </row>
    <row r="114" spans="1:4">
      <c r="A114" s="24" t="s">
        <v>1417</v>
      </c>
      <c r="B114" s="25" t="s">
        <v>1418</v>
      </c>
      <c r="C114" s="24"/>
      <c r="D114" s="299"/>
    </row>
    <row r="115" spans="1:4">
      <c r="A115" s="24" t="s">
        <v>1419</v>
      </c>
      <c r="B115" s="25" t="s">
        <v>1420</v>
      </c>
      <c r="C115" s="24"/>
      <c r="D115" s="299"/>
    </row>
    <row r="116" spans="1:4">
      <c r="A116" s="24" t="s">
        <v>1421</v>
      </c>
      <c r="B116" s="25" t="s">
        <v>1422</v>
      </c>
      <c r="C116" s="24"/>
      <c r="D116" s="299"/>
    </row>
    <row r="117" spans="1:4">
      <c r="A117" s="24" t="s">
        <v>1051</v>
      </c>
      <c r="B117" s="25" t="s">
        <v>1052</v>
      </c>
      <c r="C117" s="24"/>
      <c r="D117" s="299" t="s">
        <v>2984</v>
      </c>
    </row>
    <row r="118" spans="1:4">
      <c r="A118" s="24" t="s">
        <v>1062</v>
      </c>
      <c r="B118" s="25" t="s">
        <v>1063</v>
      </c>
      <c r="C118" s="24"/>
      <c r="D118" s="299"/>
    </row>
    <row r="119" spans="1:4">
      <c r="A119" s="24" t="s">
        <v>1423</v>
      </c>
      <c r="B119" s="25" t="s">
        <v>1424</v>
      </c>
      <c r="C119" s="24"/>
      <c r="D119" s="299" t="s">
        <v>2985</v>
      </c>
    </row>
    <row r="120" spans="1:4">
      <c r="A120" s="24" t="s">
        <v>1425</v>
      </c>
      <c r="B120" s="25" t="s">
        <v>1426</v>
      </c>
      <c r="C120" s="24"/>
      <c r="D120" s="299"/>
    </row>
    <row r="121" spans="1:4">
      <c r="A121" s="24" t="s">
        <v>1195</v>
      </c>
      <c r="B121" s="25" t="s">
        <v>1196</v>
      </c>
      <c r="C121" s="24"/>
      <c r="D121" s="299"/>
    </row>
    <row r="122" spans="1:4">
      <c r="A122" s="24" t="s">
        <v>1427</v>
      </c>
      <c r="B122" s="25" t="s">
        <v>1428</v>
      </c>
      <c r="C122" s="24"/>
      <c r="D122" s="299"/>
    </row>
    <row r="123" spans="1:4">
      <c r="A123" s="24" t="s">
        <v>1073</v>
      </c>
      <c r="B123" s="25" t="s">
        <v>1074</v>
      </c>
      <c r="C123" s="24"/>
      <c r="D123" s="299" t="s">
        <v>2717</v>
      </c>
    </row>
    <row r="124" spans="1:4">
      <c r="A124" s="24" t="s">
        <v>1429</v>
      </c>
      <c r="B124" s="25" t="s">
        <v>1430</v>
      </c>
      <c r="C124" s="24"/>
      <c r="D124" s="299"/>
    </row>
    <row r="125" spans="1:4">
      <c r="A125" s="24" t="s">
        <v>1190</v>
      </c>
      <c r="B125" s="25" t="s">
        <v>1191</v>
      </c>
      <c r="C125" s="24"/>
      <c r="D125" s="299"/>
    </row>
    <row r="126" spans="1:4">
      <c r="A126" s="24" t="s">
        <v>1147</v>
      </c>
      <c r="B126" s="25" t="s">
        <v>1148</v>
      </c>
      <c r="C126" s="24"/>
      <c r="D126" s="299"/>
    </row>
    <row r="127" spans="1:4">
      <c r="A127" s="24" t="s">
        <v>1121</v>
      </c>
      <c r="B127" s="25" t="s">
        <v>1122</v>
      </c>
      <c r="C127" s="24"/>
      <c r="D127" s="299" t="s">
        <v>2986</v>
      </c>
    </row>
    <row r="128" spans="1:4">
      <c r="A128" s="24" t="s">
        <v>1431</v>
      </c>
      <c r="B128" s="25" t="s">
        <v>1432</v>
      </c>
      <c r="C128" s="24"/>
      <c r="D128" s="299"/>
    </row>
    <row r="129" spans="1:4">
      <c r="A129" s="24" t="s">
        <v>1433</v>
      </c>
      <c r="B129" s="25" t="s">
        <v>1434</v>
      </c>
      <c r="C129" s="24"/>
      <c r="D129" s="299" t="s">
        <v>2987</v>
      </c>
    </row>
    <row r="130" spans="1:4">
      <c r="A130" s="24" t="s">
        <v>1435</v>
      </c>
      <c r="B130" s="25" t="s">
        <v>1436</v>
      </c>
      <c r="C130" s="24"/>
      <c r="D130" s="299"/>
    </row>
    <row r="131" spans="1:4">
      <c r="A131" s="24" t="s">
        <v>1437</v>
      </c>
      <c r="B131" s="25" t="s">
        <v>1438</v>
      </c>
      <c r="C131" s="24"/>
      <c r="D131" s="299"/>
    </row>
    <row r="132" spans="1:4">
      <c r="A132" s="24" t="s">
        <v>1206</v>
      </c>
      <c r="B132" s="25" t="s">
        <v>1207</v>
      </c>
      <c r="C132" s="24"/>
      <c r="D132" s="299"/>
    </row>
    <row r="133" spans="1:4">
      <c r="A133" s="24" t="s">
        <v>1439</v>
      </c>
      <c r="B133" s="25" t="s">
        <v>1440</v>
      </c>
      <c r="C133" s="24"/>
      <c r="D133" s="299"/>
    </row>
    <row r="134" spans="1:4">
      <c r="A134" s="24" t="s">
        <v>1228</v>
      </c>
      <c r="B134" s="42" t="s">
        <v>1229</v>
      </c>
      <c r="C134" s="24"/>
      <c r="D134" s="300"/>
    </row>
    <row r="135" spans="1:4">
      <c r="A135" s="24" t="s">
        <v>1441</v>
      </c>
      <c r="B135" s="25" t="s">
        <v>1442</v>
      </c>
      <c r="C135" s="24"/>
      <c r="D135" s="299" t="s">
        <v>2988</v>
      </c>
    </row>
    <row r="136" spans="1:4">
      <c r="A136" s="24" t="s">
        <v>1163</v>
      </c>
      <c r="B136" s="43" t="s">
        <v>1164</v>
      </c>
      <c r="C136" s="24"/>
      <c r="D136" s="301"/>
    </row>
    <row r="137" spans="1:4">
      <c r="A137" s="24" t="s">
        <v>1443</v>
      </c>
      <c r="B137" s="43" t="s">
        <v>1444</v>
      </c>
      <c r="C137" s="24"/>
      <c r="D137" s="43"/>
    </row>
  </sheetData>
  <phoneticPr fontId="8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KalonTonics AF"/>
  <dimension ref="A1:AB265"/>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9" width="41.5703125" style="1" customWidth="1"/>
    <col min="10" max="10" width="6" style="313" customWidth="1"/>
    <col min="11" max="28" width="12.5703125" style="1" customWidth="1"/>
  </cols>
  <sheetData>
    <row r="1" spans="1:28" ht="30" customHeight="1">
      <c r="A1" s="540" t="s">
        <v>1</v>
      </c>
      <c r="B1" s="543"/>
      <c r="C1" s="543"/>
      <c r="D1" s="543"/>
      <c r="E1" s="543"/>
      <c r="F1" s="543"/>
      <c r="G1" s="543"/>
      <c r="H1" s="550"/>
      <c r="I1" s="543"/>
      <c r="J1" s="2"/>
      <c r="K1" s="581" t="s">
        <v>2</v>
      </c>
      <c r="L1" s="543"/>
      <c r="M1" s="543"/>
      <c r="N1" s="543"/>
      <c r="O1" s="543"/>
      <c r="P1" s="543"/>
      <c r="Q1" s="543"/>
      <c r="R1" s="543"/>
      <c r="S1" s="126"/>
      <c r="T1" s="14"/>
      <c r="U1" s="14"/>
      <c r="V1" s="14"/>
      <c r="W1" s="14"/>
      <c r="X1" s="14"/>
      <c r="Y1" s="14"/>
      <c r="Z1" s="14"/>
      <c r="AA1" s="14"/>
      <c r="AB1" s="14"/>
    </row>
    <row r="2" spans="1:28" ht="27" customHeight="1">
      <c r="A2" s="5" t="s">
        <v>4</v>
      </c>
      <c r="B2" s="6" t="s">
        <v>5</v>
      </c>
      <c r="C2" s="7" t="s">
        <v>6</v>
      </c>
      <c r="D2" s="7" t="s">
        <v>7</v>
      </c>
      <c r="E2" s="7" t="s">
        <v>8</v>
      </c>
      <c r="F2" s="7" t="s">
        <v>9</v>
      </c>
      <c r="G2" s="7" t="s">
        <v>10</v>
      </c>
      <c r="H2" s="7" t="s">
        <v>11</v>
      </c>
      <c r="I2" s="7" t="s">
        <v>12</v>
      </c>
      <c r="J2" s="2"/>
      <c r="K2" s="7" t="s">
        <v>4</v>
      </c>
      <c r="L2" s="89" t="s">
        <v>5</v>
      </c>
      <c r="M2" s="7" t="s">
        <v>6</v>
      </c>
      <c r="N2" s="7" t="s">
        <v>7</v>
      </c>
      <c r="O2" s="7" t="s">
        <v>8</v>
      </c>
      <c r="P2" s="7" t="s">
        <v>9</v>
      </c>
      <c r="Q2" s="7" t="s">
        <v>10</v>
      </c>
      <c r="R2" s="7" t="s">
        <v>11</v>
      </c>
      <c r="S2" s="7" t="s">
        <v>12</v>
      </c>
      <c r="T2" s="14"/>
      <c r="U2" s="14"/>
      <c r="V2" s="14"/>
      <c r="W2" s="14"/>
      <c r="X2" s="14"/>
      <c r="Y2" s="14"/>
      <c r="Z2" s="14"/>
      <c r="AA2" s="14"/>
      <c r="AB2" s="14"/>
    </row>
    <row r="3" spans="1:28" ht="21">
      <c r="A3" s="5" t="s">
        <v>14</v>
      </c>
      <c r="B3" s="5" t="s">
        <v>15</v>
      </c>
      <c r="C3" s="10" t="s">
        <v>16</v>
      </c>
      <c r="D3" s="10" t="s">
        <v>16</v>
      </c>
      <c r="E3" s="10" t="s">
        <v>17</v>
      </c>
      <c r="F3" s="10" t="s">
        <v>17</v>
      </c>
      <c r="G3" s="10" t="str">
        <f>IF(AND(ISNUMBER(MATCH(C3,{"F","E","D","D+","C","C+","B","B+","A","A+","S"},0)),ISNUMBER(MATCH(D3,{"F","E","D","D+","C","C+","B","B+","A","A+","S"},0)),ISNUMBER(MATCH(E3,{"F","E","D","D+","C","C+","B","B+","A","A+","S"},0)),ISNUMBER(MATCH(F3,{"F","E","D","D+","C","C+","B","B+","A","A+","S"},0))),LOOKUP(AVERAGE(_xlfn.SWITCH(C3,"F",0,"E",10,"D",20,"D+",30,"C",40,"C+",50,"B",60,"B+",70,"A",80,"A+",90,"S",100),_xlfn.SWITCH(D3,"F",0,"E",10,"D",20,"D+",30,"C",40,"C+",50,"B",60,"B+",70,"A",80,"A+",90,"S",100),_xlfn.SWITCH(E3,"F",0,"E",10,"D",20,"D+",30,"C",40,"C+",50,"B",60,"B+",70,"A",80,"A+",90,"S",100),_xlfn.SWITCH(F3,"F",0,"E",10,"D",20,"D+",30,"C",40,"C+",50,"B",60,"B+",70,"A",80,"A+",90,"S",100)),{0,15,25,35,45,55,65,75,85,95},{"D","D","D+","C","C+","B","B+","A","A+","S"}),"?")</f>
        <v>B</v>
      </c>
      <c r="I3" s="11" t="s">
        <v>2989</v>
      </c>
      <c r="J3" s="2"/>
      <c r="K3" s="14"/>
      <c r="L3" s="14"/>
      <c r="M3" s="14"/>
      <c r="N3" s="14"/>
      <c r="O3" s="14"/>
      <c r="P3" s="14"/>
      <c r="Q3" s="14"/>
      <c r="R3" s="14"/>
      <c r="S3" s="14"/>
      <c r="T3" s="14"/>
      <c r="U3" s="14"/>
      <c r="V3" s="14"/>
      <c r="W3" s="14"/>
      <c r="X3" s="14"/>
      <c r="Y3" s="14"/>
      <c r="Z3" s="14"/>
      <c r="AA3" s="14"/>
      <c r="AB3" s="14"/>
    </row>
    <row r="4" spans="1:28" ht="21">
      <c r="A4" s="5" t="s">
        <v>26</v>
      </c>
      <c r="B4" s="5" t="s">
        <v>27</v>
      </c>
      <c r="C4" s="10"/>
      <c r="D4" s="10"/>
      <c r="E4" s="10"/>
      <c r="F4" s="10"/>
      <c r="G4" s="10" t="str">
        <f>IF(AND(ISNUMBER(MATCH(C4,{"F","E","D","D+","C","C+","B","B+","A","A+","S"},0)),ISNUMBER(MATCH(D4,{"F","E","D","D+","C","C+","B","B+","A","A+","S"},0)),ISNUMBER(MATCH(E4,{"F","E","D","D+","C","C+","B","B+","A","A+","S"},0)),ISNUMBER(MATCH(F4,{"F","E","D","D+","C","C+","B","B+","A","A+","S"},0))),LOOKUP(AVERAGE(_xlfn.SWITCH(C4,"F",0,"E",10,"D",20,"D+",30,"C",40,"C+",50,"B",60,"B+",70,"A",80,"A+",90,"S",100),_xlfn.SWITCH(D4,"F",0,"E",10,"D",20,"D+",30,"C",40,"C+",50,"B",60,"B+",70,"A",80,"A+",90,"S",100),_xlfn.SWITCH(E4,"F",0,"E",10,"D",20,"D+",30,"C",40,"C+",50,"B",60,"B+",70,"A",80,"A+",90,"S",100),_xlfn.SWITCH(F4,"F",0,"E",10,"D",20,"D+",30,"C",40,"C+",50,"B",60,"B+",70,"A",80,"A+",90,"S",100)),{0,15,25,35,45,55,65,75,85,95},{"D","D","D+","C","C+","B","B+","A","A+","S"}),"?")</f>
        <v>?</v>
      </c>
      <c r="I4" s="11" t="s">
        <v>2990</v>
      </c>
      <c r="J4" s="2"/>
      <c r="K4" s="14"/>
      <c r="L4" s="14"/>
      <c r="M4" s="14"/>
      <c r="N4" s="14"/>
      <c r="O4" s="14"/>
      <c r="P4" s="14"/>
      <c r="Q4" s="14"/>
      <c r="R4" s="14"/>
      <c r="S4" s="14"/>
      <c r="T4" s="14"/>
      <c r="U4" s="14"/>
      <c r="V4" s="14"/>
      <c r="W4" s="14"/>
      <c r="X4" s="14"/>
      <c r="Y4" s="14"/>
      <c r="Z4" s="14"/>
      <c r="AA4" s="14"/>
      <c r="AB4" s="14"/>
    </row>
    <row r="5" spans="1:28" ht="21">
      <c r="A5" s="5" t="s">
        <v>34</v>
      </c>
      <c r="B5" s="5" t="s">
        <v>35</v>
      </c>
      <c r="C5" s="10"/>
      <c r="D5" s="10"/>
      <c r="E5" s="10"/>
      <c r="F5" s="10"/>
      <c r="G5" s="10" t="str">
        <f>IF(AND(ISNUMBER(MATCH(C5,{"F","E","D","D+","C","C+","B","B+","A","A+","S"},0)),ISNUMBER(MATCH(D5,{"F","E","D","D+","C","C+","B","B+","A","A+","S"},0)),ISNUMBER(MATCH(E5,{"F","E","D","D+","C","C+","B","B+","A","A+","S"},0)),ISNUMBER(MATCH(F5,{"F","E","D","D+","C","C+","B","B+","A","A+","S"},0))),LOOKUP(AVERAGE(_xlfn.SWITCH(C5,"F",0,"E",10,"D",20,"D+",30,"C",40,"C+",50,"B",60,"B+",70,"A",80,"A+",90,"S",100),_xlfn.SWITCH(D5,"F",0,"E",10,"D",20,"D+",30,"C",40,"C+",50,"B",60,"B+",70,"A",80,"A+",90,"S",100),_xlfn.SWITCH(E5,"F",0,"E",10,"D",20,"D+",30,"C",40,"C+",50,"B",60,"B+",70,"A",80,"A+",90,"S",100),_xlfn.SWITCH(F5,"F",0,"E",10,"D",20,"D+",30,"C",40,"C+",50,"B",60,"B+",70,"A",80,"A+",90,"S",100)),{0,15,25,35,45,55,65,75,85,95},{"D","D","D+","C","C+","B","B+","A","A+","S"}),"?")</f>
        <v>?</v>
      </c>
      <c r="I5" s="11"/>
      <c r="J5" s="2"/>
      <c r="K5" s="14"/>
      <c r="L5" s="14"/>
      <c r="M5" s="14"/>
      <c r="N5" s="14"/>
      <c r="O5" s="14"/>
      <c r="P5" s="14"/>
      <c r="Q5" s="14"/>
      <c r="R5" s="14"/>
      <c r="S5" s="14"/>
      <c r="T5" s="14"/>
      <c r="U5" s="14"/>
      <c r="V5" s="14"/>
      <c r="W5" s="14"/>
      <c r="X5" s="14"/>
      <c r="Y5" s="14"/>
      <c r="Z5" s="14"/>
      <c r="AA5" s="14"/>
      <c r="AB5" s="14"/>
    </row>
    <row r="6" spans="1:28" ht="21">
      <c r="A6" s="5" t="s">
        <v>41</v>
      </c>
      <c r="B6" s="5" t="s">
        <v>42</v>
      </c>
      <c r="C6" s="10"/>
      <c r="D6" s="10"/>
      <c r="E6" s="10"/>
      <c r="F6" s="10"/>
      <c r="G6" s="10" t="str">
        <f>IF(AND(ISNUMBER(MATCH(C6,{"F","E","D","D+","C","C+","B","B+","A","A+","S"},0)),ISNUMBER(MATCH(D6,{"F","E","D","D+","C","C+","B","B+","A","A+","S"},0)),ISNUMBER(MATCH(E6,{"F","E","D","D+","C","C+","B","B+","A","A+","S"},0)),ISNUMBER(MATCH(F6,{"F","E","D","D+","C","C+","B","B+","A","A+","S"},0))),LOOKUP(AVERAGE(_xlfn.SWITCH(C6,"F",0,"E",10,"D",20,"D+",30,"C",40,"C+",50,"B",60,"B+",70,"A",80,"A+",90,"S",100),_xlfn.SWITCH(D6,"F",0,"E",10,"D",20,"D+",30,"C",40,"C+",50,"B",60,"B+",70,"A",80,"A+",90,"S",100),_xlfn.SWITCH(E6,"F",0,"E",10,"D",20,"D+",30,"C",40,"C+",50,"B",60,"B+",70,"A",80,"A+",90,"S",100),_xlfn.SWITCH(F6,"F",0,"E",10,"D",20,"D+",30,"C",40,"C+",50,"B",60,"B+",70,"A",80,"A+",90,"S",100)),{0,15,25,35,45,55,65,75,85,95},{"D","D","D+","C","C+","B","B+","A","A+","S"}),"?")</f>
        <v>?</v>
      </c>
      <c r="I6" s="11" t="s">
        <v>2991</v>
      </c>
      <c r="J6" s="2"/>
      <c r="K6" s="14"/>
      <c r="L6" s="14"/>
      <c r="M6" s="14"/>
      <c r="N6" s="14"/>
      <c r="O6" s="14"/>
      <c r="P6" s="14"/>
      <c r="Q6" s="14"/>
      <c r="R6" s="14"/>
      <c r="S6" s="14"/>
      <c r="T6" s="14"/>
      <c r="U6" s="14"/>
      <c r="V6" s="14"/>
      <c r="W6" s="14"/>
      <c r="X6" s="14"/>
      <c r="Y6" s="14"/>
      <c r="Z6" s="14"/>
      <c r="AA6" s="14"/>
      <c r="AB6" s="14"/>
    </row>
    <row r="7" spans="1:28" ht="21">
      <c r="A7" s="5" t="s">
        <v>48</v>
      </c>
      <c r="B7" s="5" t="s">
        <v>49</v>
      </c>
      <c r="C7" s="10"/>
      <c r="D7" s="10"/>
      <c r="E7" s="10"/>
      <c r="F7" s="10"/>
      <c r="G7" s="10" t="str">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v>
      </c>
      <c r="I7" s="11"/>
      <c r="J7" s="2"/>
      <c r="K7" s="14"/>
      <c r="L7" s="14"/>
      <c r="M7" s="14"/>
      <c r="N7" s="14"/>
      <c r="O7" s="14"/>
      <c r="P7" s="14"/>
      <c r="Q7" s="14"/>
      <c r="R7" s="14"/>
      <c r="S7" s="14"/>
      <c r="T7" s="14"/>
      <c r="U7" s="14"/>
      <c r="V7" s="14"/>
      <c r="W7" s="14"/>
      <c r="X7" s="14"/>
      <c r="Y7" s="14"/>
      <c r="Z7" s="14"/>
      <c r="AA7" s="14"/>
      <c r="AB7" s="14"/>
    </row>
    <row r="8" spans="1:28" ht="21">
      <c r="A8" s="5" t="s">
        <v>55</v>
      </c>
      <c r="B8" s="5" t="s">
        <v>56</v>
      </c>
      <c r="C8" s="10"/>
      <c r="D8" s="10"/>
      <c r="E8" s="10"/>
      <c r="F8" s="10"/>
      <c r="G8" s="10" t="str">
        <f>IF(AND(ISNUMBER(MATCH(C8,{"F","E","D","D+","C","C+","B","B+","A","A+","S"},0)),ISNUMBER(MATCH(D8,{"F","E","D","D+","C","C+","B","B+","A","A+","S"},0)),ISNUMBER(MATCH(E8,{"F","E","D","D+","C","C+","B","B+","A","A+","S"},0)),ISNUMBER(MATCH(F8,{"F","E","D","D+","C","C+","B","B+","A","A+","S"},0))),LOOKUP(AVERAGE(_xlfn.SWITCH(C8,"F",0,"E",10,"D",20,"D+",30,"C",40,"C+",50,"B",60,"B+",70,"A",80,"A+",90,"S",100),_xlfn.SWITCH(D8,"F",0,"E",10,"D",20,"D+",30,"C",40,"C+",50,"B",60,"B+",70,"A",80,"A+",90,"S",100),_xlfn.SWITCH(E8,"F",0,"E",10,"D",20,"D+",30,"C",40,"C+",50,"B",60,"B+",70,"A",80,"A+",90,"S",100),_xlfn.SWITCH(F8,"F",0,"E",10,"D",20,"D+",30,"C",40,"C+",50,"B",60,"B+",70,"A",80,"A+",90,"S",100)),{0,15,25,35,45,55,65,75,85,95},{"D","D","D+","C","C+","B","B+","A","A+","S"}),"?")</f>
        <v>?</v>
      </c>
      <c r="I8" s="11"/>
      <c r="J8" s="2"/>
      <c r="K8" s="14"/>
      <c r="L8" s="14"/>
      <c r="M8" s="14"/>
      <c r="N8" s="14"/>
      <c r="O8" s="14"/>
      <c r="P8" s="14"/>
      <c r="Q8" s="14"/>
      <c r="R8" s="14"/>
      <c r="S8" s="14"/>
      <c r="T8" s="14"/>
      <c r="U8" s="14"/>
      <c r="V8" s="14"/>
      <c r="W8" s="14"/>
      <c r="X8" s="14"/>
      <c r="Y8" s="14"/>
      <c r="Z8" s="14"/>
      <c r="AA8" s="14"/>
      <c r="AB8" s="14"/>
    </row>
    <row r="9" spans="1:28" ht="21">
      <c r="A9" s="5" t="s">
        <v>62</v>
      </c>
      <c r="B9" s="5" t="s">
        <v>63</v>
      </c>
      <c r="C9" s="10"/>
      <c r="D9" s="10"/>
      <c r="E9" s="10"/>
      <c r="F9" s="10"/>
      <c r="G9" s="10"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v>
      </c>
      <c r="I9" s="11"/>
      <c r="J9" s="2"/>
      <c r="K9" s="14"/>
      <c r="L9" s="14"/>
      <c r="M9" s="14"/>
      <c r="N9" s="14"/>
      <c r="O9" s="14"/>
      <c r="P9" s="14"/>
      <c r="Q9" s="14"/>
      <c r="R9" s="14"/>
      <c r="S9" s="14"/>
      <c r="T9" s="14"/>
      <c r="U9" s="14"/>
      <c r="V9" s="14"/>
      <c r="W9" s="14"/>
      <c r="X9" s="14"/>
      <c r="Y9" s="14"/>
      <c r="Z9" s="14"/>
      <c r="AA9" s="14"/>
      <c r="AB9" s="14"/>
    </row>
    <row r="10" spans="1:28" ht="21">
      <c r="A10" s="5" t="s">
        <v>67</v>
      </c>
      <c r="B10" s="5" t="s">
        <v>68</v>
      </c>
      <c r="C10" s="10"/>
      <c r="D10" s="10"/>
      <c r="E10" s="10"/>
      <c r="F10" s="10"/>
      <c r="G10" s="10"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v>
      </c>
      <c r="I10" s="11"/>
      <c r="J10" s="2"/>
      <c r="K10" s="14"/>
      <c r="L10" s="14"/>
      <c r="M10" s="14"/>
      <c r="N10" s="14"/>
      <c r="O10" s="14"/>
      <c r="P10" s="14"/>
      <c r="Q10" s="14"/>
      <c r="R10" s="14"/>
      <c r="S10" s="14"/>
      <c r="T10" s="14"/>
      <c r="U10" s="14"/>
      <c r="V10" s="14"/>
      <c r="W10" s="14"/>
      <c r="X10" s="14"/>
      <c r="Y10" s="14"/>
      <c r="Z10" s="14"/>
      <c r="AA10" s="14"/>
      <c r="AB10" s="14"/>
    </row>
    <row r="11" spans="1:28" ht="21">
      <c r="A11" s="5" t="s">
        <v>74</v>
      </c>
      <c r="B11" s="5" t="s">
        <v>75</v>
      </c>
      <c r="C11" s="10"/>
      <c r="D11" s="10"/>
      <c r="E11" s="10"/>
      <c r="F11" s="10"/>
      <c r="G11" s="10" t="str">
        <f>IF(AND(ISNUMBER(MATCH(C11,{"F","E","D","D+","C","C+","B","B+","A","A+","S"},0)),ISNUMBER(MATCH(D11,{"F","E","D","D+","C","C+","B","B+","A","A+","S"},0)),ISNUMBER(MATCH(E11,{"F","E","D","D+","C","C+","B","B+","A","A+","S"},0)),ISNUMBER(MATCH(F11,{"F","E","D","D+","C","C+","B","B+","A","A+","S"},0))),LOOKUP(AVERAGE(_xlfn.SWITCH(C11,"F",0,"E",10,"D",20,"D+",30,"C",40,"C+",50,"B",60,"B+",70,"A",80,"A+",90,"S",100),_xlfn.SWITCH(D11,"F",0,"E",10,"D",20,"D+",30,"C",40,"C+",50,"B",60,"B+",70,"A",80,"A+",90,"S",100),_xlfn.SWITCH(E11,"F",0,"E",10,"D",20,"D+",30,"C",40,"C+",50,"B",60,"B+",70,"A",80,"A+",90,"S",100),_xlfn.SWITCH(F11,"F",0,"E",10,"D",20,"D+",30,"C",40,"C+",50,"B",60,"B+",70,"A",80,"A+",90,"S",100)),{0,15,25,35,45,55,65,75,85,95},{"D","D","D+","C","C+","B","B+","A","A+","S"}),"?")</f>
        <v>?</v>
      </c>
      <c r="I11" s="11">
        <v>114514</v>
      </c>
      <c r="J11" s="2"/>
      <c r="K11" s="14"/>
      <c r="L11" s="14"/>
      <c r="M11" s="14"/>
      <c r="N11" s="14"/>
      <c r="O11" s="14"/>
      <c r="P11" s="14"/>
      <c r="Q11" s="14"/>
      <c r="R11" s="14"/>
      <c r="S11" s="14"/>
      <c r="T11" s="14"/>
      <c r="U11" s="14"/>
      <c r="V11" s="14"/>
      <c r="W11" s="14"/>
      <c r="X11" s="14"/>
      <c r="Y11" s="14"/>
      <c r="Z11" s="14"/>
      <c r="AA11" s="14"/>
      <c r="AB11" s="14"/>
    </row>
    <row r="12" spans="1:28" ht="21">
      <c r="A12" s="5" t="s">
        <v>81</v>
      </c>
      <c r="B12" s="5" t="s">
        <v>82</v>
      </c>
      <c r="C12" s="10"/>
      <c r="D12" s="10"/>
      <c r="E12" s="10"/>
      <c r="F12" s="10"/>
      <c r="G12" s="10"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v>
      </c>
      <c r="I12" s="11"/>
      <c r="J12" s="2"/>
      <c r="K12" s="14"/>
      <c r="L12" s="14"/>
      <c r="M12" s="14"/>
      <c r="N12" s="14"/>
      <c r="O12" s="14"/>
      <c r="P12" s="14"/>
      <c r="Q12" s="14"/>
      <c r="R12" s="14"/>
      <c r="S12" s="14"/>
      <c r="T12" s="14"/>
      <c r="U12" s="14"/>
      <c r="V12" s="14"/>
      <c r="W12" s="14"/>
      <c r="X12" s="14"/>
      <c r="Y12" s="14"/>
      <c r="Z12" s="14"/>
      <c r="AA12" s="14"/>
      <c r="AB12" s="14"/>
    </row>
    <row r="13" spans="1:28" ht="21">
      <c r="A13" s="5" t="s">
        <v>88</v>
      </c>
      <c r="B13" s="5" t="s">
        <v>89</v>
      </c>
      <c r="C13" s="10"/>
      <c r="D13" s="10"/>
      <c r="E13" s="10"/>
      <c r="F13" s="10"/>
      <c r="G13" s="10" t="str">
        <f>IF(AND(ISNUMBER(MATCH(C13,{"F","E","D","D+","C","C+","B","B+","A","A+","S"},0)),ISNUMBER(MATCH(D13,{"F","E","D","D+","C","C+","B","B+","A","A+","S"},0)),ISNUMBER(MATCH(E13,{"F","E","D","D+","C","C+","B","B+","A","A+","S"},0)),ISNUMBER(MATCH(F13,{"F","E","D","D+","C","C+","B","B+","A","A+","S"},0))),LOOKUP(AVERAGE(_xlfn.SWITCH(C13,"F",0,"E",10,"D",20,"D+",30,"C",40,"C+",50,"B",60,"B+",70,"A",80,"A+",90,"S",100),_xlfn.SWITCH(D13,"F",0,"E",10,"D",20,"D+",30,"C",40,"C+",50,"B",60,"B+",70,"A",80,"A+",90,"S",100),_xlfn.SWITCH(E13,"F",0,"E",10,"D",20,"D+",30,"C",40,"C+",50,"B",60,"B+",70,"A",80,"A+",90,"S",100),_xlfn.SWITCH(F13,"F",0,"E",10,"D",20,"D+",30,"C",40,"C+",50,"B",60,"B+",70,"A",80,"A+",90,"S",100)),{0,15,25,35,45,55,65,75,85,95},{"D","D","D+","C","C+","B","B+","A","A+","S"}),"?")</f>
        <v>?</v>
      </c>
      <c r="I13" s="11"/>
      <c r="J13" s="2"/>
      <c r="K13" s="14"/>
      <c r="L13" s="14"/>
      <c r="M13" s="14"/>
      <c r="N13" s="14"/>
      <c r="O13" s="14"/>
      <c r="P13" s="14"/>
      <c r="Q13" s="14"/>
      <c r="R13" s="14"/>
      <c r="S13" s="14"/>
      <c r="T13" s="14"/>
      <c r="U13" s="14"/>
      <c r="V13" s="14"/>
      <c r="W13" s="14"/>
      <c r="X13" s="14"/>
      <c r="Y13" s="14"/>
      <c r="Z13" s="14"/>
      <c r="AA13" s="14"/>
      <c r="AB13" s="14"/>
    </row>
    <row r="14" spans="1:28" ht="21">
      <c r="A14" s="5" t="s">
        <v>95</v>
      </c>
      <c r="B14" s="5" t="s">
        <v>96</v>
      </c>
      <c r="C14" s="10"/>
      <c r="D14" s="10"/>
      <c r="E14" s="10"/>
      <c r="F14" s="10"/>
      <c r="G14" s="10"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v>
      </c>
      <c r="I14" s="11"/>
      <c r="J14" s="2"/>
      <c r="K14" s="14"/>
      <c r="L14" s="14"/>
      <c r="M14" s="14"/>
      <c r="N14" s="14"/>
      <c r="O14" s="14"/>
      <c r="P14" s="14"/>
      <c r="Q14" s="14"/>
      <c r="R14" s="14"/>
      <c r="S14" s="14"/>
      <c r="T14" s="14"/>
      <c r="U14" s="14"/>
      <c r="V14" s="14"/>
      <c r="W14" s="14"/>
      <c r="X14" s="14"/>
      <c r="Y14" s="14"/>
      <c r="Z14" s="14"/>
      <c r="AA14" s="14"/>
      <c r="AB14" s="14"/>
    </row>
    <row r="15" spans="1:28" ht="21">
      <c r="A15" s="5" t="s">
        <v>102</v>
      </c>
      <c r="B15" s="5" t="s">
        <v>103</v>
      </c>
      <c r="C15" s="10"/>
      <c r="D15" s="10"/>
      <c r="E15" s="10"/>
      <c r="F15" s="10"/>
      <c r="G15" s="10"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v>
      </c>
      <c r="I15" s="11"/>
      <c r="J15" s="2"/>
      <c r="K15" s="14"/>
      <c r="L15" s="14"/>
      <c r="M15" s="14"/>
      <c r="N15" s="14"/>
      <c r="O15" s="14"/>
      <c r="P15" s="14"/>
      <c r="Q15" s="14"/>
      <c r="R15" s="14"/>
      <c r="S15" s="14"/>
      <c r="T15" s="14"/>
      <c r="U15" s="14"/>
      <c r="V15" s="14"/>
      <c r="W15" s="14"/>
      <c r="X15" s="14"/>
      <c r="Y15" s="14"/>
      <c r="Z15" s="14"/>
      <c r="AA15" s="14"/>
      <c r="AB15" s="14"/>
    </row>
    <row r="16" spans="1:28" ht="21">
      <c r="A16" s="5" t="s">
        <v>109</v>
      </c>
      <c r="B16" s="5" t="s">
        <v>110</v>
      </c>
      <c r="C16" s="10"/>
      <c r="D16" s="10"/>
      <c r="E16" s="10"/>
      <c r="F16" s="10"/>
      <c r="G16" s="10"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v>
      </c>
      <c r="I16" s="11"/>
      <c r="J16" s="2"/>
      <c r="K16" s="14"/>
      <c r="L16" s="14"/>
      <c r="M16" s="14"/>
      <c r="N16" s="14"/>
      <c r="O16" s="14"/>
      <c r="P16" s="14"/>
      <c r="Q16" s="14"/>
      <c r="R16" s="14"/>
      <c r="S16" s="14"/>
      <c r="T16" s="14"/>
      <c r="U16" s="14"/>
      <c r="V16" s="14"/>
      <c r="W16" s="14"/>
      <c r="X16" s="14"/>
      <c r="Y16" s="14"/>
      <c r="Z16" s="14"/>
      <c r="AA16" s="14"/>
      <c r="AB16" s="14"/>
    </row>
    <row r="17" spans="1:28" ht="21">
      <c r="A17" s="5" t="s">
        <v>116</v>
      </c>
      <c r="B17" s="5" t="s">
        <v>117</v>
      </c>
      <c r="C17" s="10"/>
      <c r="D17" s="10"/>
      <c r="E17" s="10"/>
      <c r="F17" s="10"/>
      <c r="G17" s="10"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v>
      </c>
      <c r="I17" s="11"/>
      <c r="J17" s="2"/>
      <c r="K17" s="14"/>
      <c r="L17" s="14"/>
      <c r="M17" s="14"/>
      <c r="N17" s="14"/>
      <c r="O17" s="14"/>
      <c r="P17" s="14"/>
      <c r="Q17" s="14"/>
      <c r="R17" s="14"/>
      <c r="S17" s="14"/>
      <c r="T17" s="14"/>
      <c r="U17" s="14"/>
      <c r="V17" s="14"/>
      <c r="W17" s="14"/>
      <c r="X17" s="14"/>
      <c r="Y17" s="14"/>
      <c r="Z17" s="14"/>
      <c r="AA17" s="14"/>
      <c r="AB17" s="14"/>
    </row>
    <row r="18" spans="1:28" ht="21">
      <c r="A18" s="5" t="s">
        <v>123</v>
      </c>
      <c r="B18" s="5" t="s">
        <v>124</v>
      </c>
      <c r="C18" s="10"/>
      <c r="D18" s="10"/>
      <c r="E18" s="10"/>
      <c r="F18" s="10"/>
      <c r="G18" s="10" t="str">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v>
      </c>
      <c r="I18" s="11">
        <v>111</v>
      </c>
      <c r="J18" s="2"/>
      <c r="K18" s="14"/>
      <c r="L18" s="14"/>
      <c r="M18" s="14"/>
      <c r="N18" s="14"/>
      <c r="O18" s="14"/>
      <c r="P18" s="14"/>
      <c r="Q18" s="14"/>
      <c r="R18" s="14"/>
      <c r="S18" s="14"/>
      <c r="T18" s="14"/>
      <c r="U18" s="14"/>
      <c r="V18" s="14"/>
      <c r="W18" s="14"/>
      <c r="X18" s="14"/>
      <c r="Y18" s="14"/>
      <c r="Z18" s="14"/>
      <c r="AA18" s="14"/>
      <c r="AB18" s="14"/>
    </row>
    <row r="19" spans="1:28" ht="21">
      <c r="A19" s="5" t="s">
        <v>130</v>
      </c>
      <c r="B19" s="5" t="s">
        <v>129</v>
      </c>
      <c r="C19" s="10"/>
      <c r="D19" s="10"/>
      <c r="E19" s="10"/>
      <c r="F19" s="10"/>
      <c r="G19" s="10"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v>
      </c>
      <c r="I19" s="11" t="s">
        <v>2992</v>
      </c>
      <c r="J19" s="2"/>
      <c r="K19" s="14"/>
      <c r="L19" s="14"/>
      <c r="M19" s="14"/>
      <c r="N19" s="14"/>
      <c r="O19" s="14"/>
      <c r="P19" s="14"/>
      <c r="Q19" s="14"/>
      <c r="R19" s="14"/>
      <c r="S19" s="14"/>
      <c r="T19" s="14"/>
      <c r="U19" s="14"/>
      <c r="V19" s="14"/>
      <c r="W19" s="14"/>
      <c r="X19" s="14"/>
      <c r="Y19" s="14"/>
      <c r="Z19" s="14"/>
      <c r="AA19" s="14"/>
      <c r="AB19" s="14"/>
    </row>
    <row r="20" spans="1:28" ht="21">
      <c r="A20" s="5" t="s">
        <v>136</v>
      </c>
      <c r="B20" s="5" t="s">
        <v>137</v>
      </c>
      <c r="C20" s="10"/>
      <c r="D20" s="10"/>
      <c r="E20" s="10"/>
      <c r="F20" s="10"/>
      <c r="G20" s="10"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v>
      </c>
      <c r="I20" s="11" t="s">
        <v>2993</v>
      </c>
      <c r="J20" s="2"/>
      <c r="K20" s="14"/>
      <c r="L20" s="14"/>
      <c r="M20" s="14"/>
      <c r="N20" s="14"/>
      <c r="O20" s="14"/>
      <c r="P20" s="14"/>
      <c r="Q20" s="14"/>
      <c r="R20" s="14"/>
      <c r="S20" s="14"/>
      <c r="T20" s="14"/>
      <c r="U20" s="14"/>
      <c r="V20" s="14"/>
      <c r="W20" s="14"/>
      <c r="X20" s="14"/>
      <c r="Y20" s="14"/>
      <c r="Z20" s="14"/>
      <c r="AA20" s="14"/>
      <c r="AB20" s="14"/>
    </row>
    <row r="21" spans="1:28" ht="21">
      <c r="A21" s="5" t="s">
        <v>143</v>
      </c>
      <c r="B21" s="5" t="s">
        <v>144</v>
      </c>
      <c r="C21" s="10"/>
      <c r="D21" s="10"/>
      <c r="E21" s="10"/>
      <c r="F21" s="10"/>
      <c r="G21" s="10" t="str">
        <f>IF(AND(ISNUMBER(MATCH(C21,{"F","E","D","D+","C","C+","B","B+","A","A+","S"},0)),ISNUMBER(MATCH(D21,{"F","E","D","D+","C","C+","B","B+","A","A+","S"},0)),ISNUMBER(MATCH(E21,{"F","E","D","D+","C","C+","B","B+","A","A+","S"},0)),ISNUMBER(MATCH(F21,{"F","E","D","D+","C","C+","B","B+","A","A+","S"},0))),LOOKUP(AVERAGE(_xlfn.SWITCH(C21,"F",0,"E",10,"D",20,"D+",30,"C",40,"C+",50,"B",60,"B+",70,"A",80,"A+",90,"S",100),_xlfn.SWITCH(D21,"F",0,"E",10,"D",20,"D+",30,"C",40,"C+",50,"B",60,"B+",70,"A",80,"A+",90,"S",100),_xlfn.SWITCH(E21,"F",0,"E",10,"D",20,"D+",30,"C",40,"C+",50,"B",60,"B+",70,"A",80,"A+",90,"S",100),_xlfn.SWITCH(F21,"F",0,"E",10,"D",20,"D+",30,"C",40,"C+",50,"B",60,"B+",70,"A",80,"A+",90,"S",100)),{0,15,25,35,45,55,65,75,85,95},{"D","D","D+","C","C+","B","B+","A","A+","S"}),"?")</f>
        <v>?</v>
      </c>
      <c r="I21" s="11" t="s">
        <v>2994</v>
      </c>
      <c r="J21" s="2"/>
      <c r="K21" s="14"/>
      <c r="L21" s="14"/>
      <c r="M21" s="14"/>
      <c r="N21" s="14"/>
      <c r="O21" s="14"/>
      <c r="P21" s="14"/>
      <c r="Q21" s="14"/>
      <c r="R21" s="14"/>
      <c r="S21" s="14"/>
      <c r="T21" s="14"/>
      <c r="U21" s="14"/>
      <c r="V21" s="14"/>
      <c r="W21" s="14"/>
      <c r="X21" s="14"/>
      <c r="Y21" s="14"/>
      <c r="Z21" s="14"/>
      <c r="AA21" s="14"/>
      <c r="AB21" s="14"/>
    </row>
    <row r="22" spans="1:28" ht="21">
      <c r="A22" s="5" t="s">
        <v>150</v>
      </c>
      <c r="B22" s="5" t="s">
        <v>151</v>
      </c>
      <c r="C22" s="10"/>
      <c r="D22" s="10"/>
      <c r="E22" s="10"/>
      <c r="F22" s="10"/>
      <c r="G22" s="10"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v>
      </c>
      <c r="I22" s="11" t="s">
        <v>2995</v>
      </c>
      <c r="J22" s="2"/>
      <c r="K22" s="14"/>
      <c r="L22" s="14"/>
      <c r="M22" s="14"/>
      <c r="N22" s="14"/>
      <c r="O22" s="14"/>
      <c r="P22" s="14"/>
      <c r="Q22" s="14"/>
      <c r="R22" s="14"/>
      <c r="S22" s="14"/>
      <c r="T22" s="14"/>
      <c r="U22" s="14"/>
      <c r="V22" s="14"/>
      <c r="W22" s="14"/>
      <c r="X22" s="14"/>
      <c r="Y22" s="14"/>
      <c r="Z22" s="14"/>
      <c r="AA22" s="14"/>
      <c r="AB22" s="14"/>
    </row>
    <row r="23" spans="1:28" ht="21">
      <c r="A23" s="5" t="s">
        <v>156</v>
      </c>
      <c r="B23" s="5" t="s">
        <v>157</v>
      </c>
      <c r="C23" s="10"/>
      <c r="D23" s="10"/>
      <c r="E23" s="10"/>
      <c r="F23" s="10"/>
      <c r="G23" s="10"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v>
      </c>
      <c r="H23" s="7"/>
      <c r="I23" s="7"/>
      <c r="J23" s="2"/>
      <c r="K23" s="14"/>
      <c r="L23" s="14"/>
      <c r="M23" s="14"/>
      <c r="N23" s="14"/>
      <c r="O23" s="14"/>
      <c r="P23" s="14"/>
      <c r="Q23" s="14"/>
      <c r="R23" s="14"/>
      <c r="S23" s="14"/>
      <c r="T23" s="14"/>
      <c r="U23" s="14"/>
      <c r="V23" s="14"/>
      <c r="W23" s="14"/>
      <c r="X23" s="14"/>
      <c r="Y23" s="14"/>
      <c r="Z23" s="14"/>
      <c r="AA23" s="14"/>
      <c r="AB23" s="14"/>
    </row>
    <row r="24" spans="1:28" ht="21">
      <c r="A24" s="5" t="s">
        <v>163</v>
      </c>
      <c r="B24" s="5" t="s">
        <v>164</v>
      </c>
      <c r="C24" s="10"/>
      <c r="D24" s="10"/>
      <c r="E24" s="10"/>
      <c r="F24" s="10"/>
      <c r="G24" s="10" t="str">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v>
      </c>
      <c r="H24" s="7"/>
      <c r="I24" s="7"/>
      <c r="J24" s="2"/>
      <c r="K24" s="14"/>
      <c r="L24" s="14"/>
      <c r="M24" s="14"/>
      <c r="N24" s="14"/>
      <c r="O24" s="14"/>
      <c r="P24" s="14"/>
      <c r="Q24" s="14"/>
      <c r="R24" s="14"/>
      <c r="S24" s="14"/>
      <c r="T24" s="14"/>
      <c r="U24" s="14"/>
      <c r="V24" s="14"/>
      <c r="W24" s="14"/>
      <c r="X24" s="14"/>
      <c r="Y24" s="14"/>
      <c r="Z24" s="14"/>
      <c r="AA24" s="14"/>
      <c r="AB24" s="14"/>
    </row>
    <row r="25" spans="1:28" ht="21">
      <c r="A25" s="5" t="s">
        <v>170</v>
      </c>
      <c r="B25" s="5" t="s">
        <v>171</v>
      </c>
      <c r="C25" s="10"/>
      <c r="D25" s="10"/>
      <c r="E25" s="10"/>
      <c r="F25" s="10"/>
      <c r="G25" s="10"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v>
      </c>
      <c r="H25" s="7"/>
      <c r="I25" s="7"/>
      <c r="J25" s="2"/>
      <c r="K25" s="14"/>
      <c r="L25" s="14"/>
      <c r="M25" s="14"/>
      <c r="N25" s="14"/>
      <c r="O25" s="14"/>
      <c r="P25" s="14"/>
      <c r="Q25" s="14"/>
      <c r="R25" s="14"/>
      <c r="S25" s="14"/>
      <c r="T25" s="14"/>
      <c r="U25" s="14"/>
      <c r="V25" s="14"/>
      <c r="W25" s="14"/>
      <c r="X25" s="14"/>
      <c r="Y25" s="14"/>
      <c r="Z25" s="14"/>
      <c r="AA25" s="14"/>
      <c r="AB25" s="14"/>
    </row>
    <row r="26" spans="1:28" ht="21">
      <c r="A26" s="5" t="s">
        <v>177</v>
      </c>
      <c r="B26" s="5" t="s">
        <v>178</v>
      </c>
      <c r="C26" s="10"/>
      <c r="D26" s="10"/>
      <c r="E26" s="10"/>
      <c r="F26" s="10"/>
      <c r="G26" s="10"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v>
      </c>
      <c r="H26" s="7"/>
      <c r="I26" s="7"/>
      <c r="J26" s="2"/>
      <c r="K26" s="14"/>
      <c r="L26" s="14"/>
      <c r="M26" s="14"/>
      <c r="N26" s="14"/>
      <c r="O26" s="14"/>
      <c r="P26" s="14"/>
      <c r="Q26" s="14"/>
      <c r="R26" s="14"/>
      <c r="S26" s="14"/>
      <c r="T26" s="14"/>
      <c r="U26" s="14"/>
      <c r="V26" s="14"/>
      <c r="W26" s="14"/>
      <c r="X26" s="14"/>
      <c r="Y26" s="14"/>
      <c r="Z26" s="14"/>
      <c r="AA26" s="14"/>
      <c r="AB26" s="14"/>
    </row>
    <row r="27" spans="1:28" ht="21">
      <c r="A27" s="5" t="s">
        <v>184</v>
      </c>
      <c r="B27" s="5" t="s">
        <v>185</v>
      </c>
      <c r="C27" s="10"/>
      <c r="D27" s="10"/>
      <c r="E27" s="10"/>
      <c r="F27" s="10"/>
      <c r="G27" s="10"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v>
      </c>
      <c r="H27" s="7"/>
      <c r="I27" s="7"/>
      <c r="J27" s="2"/>
      <c r="K27" s="14"/>
      <c r="L27" s="14"/>
      <c r="M27" s="14"/>
      <c r="N27" s="14"/>
      <c r="O27" s="14"/>
      <c r="P27" s="14"/>
      <c r="Q27" s="14"/>
      <c r="R27" s="14"/>
      <c r="S27" s="14"/>
      <c r="T27" s="14"/>
      <c r="U27" s="14"/>
      <c r="V27" s="14"/>
      <c r="W27" s="14"/>
      <c r="X27" s="14"/>
      <c r="Y27" s="14"/>
      <c r="Z27" s="14"/>
      <c r="AA27" s="14"/>
      <c r="AB27" s="14"/>
    </row>
    <row r="28" spans="1:28" ht="21">
      <c r="A28" s="5" t="s">
        <v>191</v>
      </c>
      <c r="B28" s="5" t="s">
        <v>192</v>
      </c>
      <c r="C28" s="10"/>
      <c r="D28" s="10"/>
      <c r="E28" s="10"/>
      <c r="F28" s="10"/>
      <c r="G28" s="10"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v>
      </c>
      <c r="H28" s="7"/>
      <c r="I28" s="7"/>
      <c r="J28" s="2"/>
      <c r="K28" s="14"/>
      <c r="L28" s="14"/>
      <c r="M28" s="14"/>
      <c r="N28" s="14"/>
      <c r="O28" s="14"/>
      <c r="P28" s="14"/>
      <c r="Q28" s="14"/>
      <c r="R28" s="14"/>
      <c r="S28" s="14"/>
      <c r="T28" s="14"/>
      <c r="U28" s="14"/>
      <c r="V28" s="14"/>
      <c r="W28" s="14"/>
      <c r="X28" s="14"/>
      <c r="Y28" s="14"/>
      <c r="Z28" s="14"/>
      <c r="AA28" s="14"/>
      <c r="AB28" s="14"/>
    </row>
    <row r="29" spans="1:28" ht="21">
      <c r="A29" s="5" t="s">
        <v>198</v>
      </c>
      <c r="B29" s="5" t="s">
        <v>199</v>
      </c>
      <c r="C29" s="10"/>
      <c r="D29" s="10"/>
      <c r="E29" s="10"/>
      <c r="F29" s="10"/>
      <c r="G29" s="10" t="str">
        <f>IF(AND(ISNUMBER(MATCH(C29,{"F","E","D","D+","C","C+","B","B+","A","A+","S"},0)),ISNUMBER(MATCH(D29,{"F","E","D","D+","C","C+","B","B+","A","A+","S"},0)),ISNUMBER(MATCH(E29,{"F","E","D","D+","C","C+","B","B+","A","A+","S"},0)),ISNUMBER(MATCH(F29,{"F","E","D","D+","C","C+","B","B+","A","A+","S"},0))),LOOKUP(AVERAGE(_xlfn.SWITCH(C29,"F",0,"E",10,"D",20,"D+",30,"C",40,"C+",50,"B",60,"B+",70,"A",80,"A+",90,"S",100),_xlfn.SWITCH(D29,"F",0,"E",10,"D",20,"D+",30,"C",40,"C+",50,"B",60,"B+",70,"A",80,"A+",90,"S",100),_xlfn.SWITCH(E29,"F",0,"E",10,"D",20,"D+",30,"C",40,"C+",50,"B",60,"B+",70,"A",80,"A+",90,"S",100),_xlfn.SWITCH(F29,"F",0,"E",10,"D",20,"D+",30,"C",40,"C+",50,"B",60,"B+",70,"A",80,"A+",90,"S",100)),{0,15,25,35,45,55,65,75,85,95},{"D","D","D+","C","C+","B","B+","A","A+","S"}),"?")</f>
        <v>?</v>
      </c>
      <c r="H29" s="7"/>
      <c r="I29" s="7"/>
      <c r="J29" s="2"/>
      <c r="K29" s="14"/>
      <c r="L29" s="14"/>
      <c r="M29" s="14"/>
      <c r="N29" s="14"/>
      <c r="O29" s="14"/>
      <c r="P29" s="14"/>
      <c r="Q29" s="14"/>
      <c r="R29" s="14"/>
      <c r="S29" s="14"/>
      <c r="T29" s="14"/>
      <c r="U29" s="14"/>
      <c r="V29" s="14"/>
      <c r="W29" s="14"/>
      <c r="X29" s="14"/>
      <c r="Y29" s="14"/>
      <c r="Z29" s="14"/>
      <c r="AA29" s="14"/>
      <c r="AB29" s="14"/>
    </row>
    <row r="30" spans="1:28" ht="21">
      <c r="A30" s="5" t="s">
        <v>205</v>
      </c>
      <c r="B30" s="5" t="s">
        <v>206</v>
      </c>
      <c r="C30" s="10"/>
      <c r="D30" s="10"/>
      <c r="E30" s="10"/>
      <c r="F30" s="10"/>
      <c r="G30" s="10"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v>
      </c>
      <c r="H30" s="7"/>
      <c r="I30" s="7"/>
      <c r="J30" s="2"/>
      <c r="K30" s="14"/>
      <c r="L30" s="14"/>
      <c r="M30" s="14"/>
      <c r="N30" s="14"/>
      <c r="O30" s="14"/>
      <c r="P30" s="14"/>
      <c r="Q30" s="14"/>
      <c r="R30" s="14"/>
      <c r="S30" s="14"/>
      <c r="T30" s="14"/>
      <c r="U30" s="14"/>
      <c r="V30" s="14"/>
      <c r="W30" s="14"/>
      <c r="X30" s="14"/>
      <c r="Y30" s="14"/>
      <c r="Z30" s="14"/>
      <c r="AA30" s="14"/>
      <c r="AB30" s="14"/>
    </row>
    <row r="31" spans="1:28" ht="21">
      <c r="A31" s="5" t="s">
        <v>212</v>
      </c>
      <c r="B31" s="5" t="s">
        <v>213</v>
      </c>
      <c r="C31" s="10"/>
      <c r="D31" s="10"/>
      <c r="E31" s="10"/>
      <c r="F31" s="10"/>
      <c r="G31" s="10" t="str">
        <f>IF(AND(ISNUMBER(MATCH(C31,{"F","E","D","D+","C","C+","B","B+","A","A+","S"},0)),ISNUMBER(MATCH(D31,{"F","E","D","D+","C","C+","B","B+","A","A+","S"},0)),ISNUMBER(MATCH(E31,{"F","E","D","D+","C","C+","B","B+","A","A+","S"},0)),ISNUMBER(MATCH(F31,{"F","E","D","D+","C","C+","B","B+","A","A+","S"},0))),LOOKUP(AVERAGE(_xlfn.SWITCH(C31,"F",0,"E",10,"D",20,"D+",30,"C",40,"C+",50,"B",60,"B+",70,"A",80,"A+",90,"S",100),_xlfn.SWITCH(D31,"F",0,"E",10,"D",20,"D+",30,"C",40,"C+",50,"B",60,"B+",70,"A",80,"A+",90,"S",100),_xlfn.SWITCH(E31,"F",0,"E",10,"D",20,"D+",30,"C",40,"C+",50,"B",60,"B+",70,"A",80,"A+",90,"S",100),_xlfn.SWITCH(F31,"F",0,"E",10,"D",20,"D+",30,"C",40,"C+",50,"B",60,"B+",70,"A",80,"A+",90,"S",100)),{0,15,25,35,45,55,65,75,85,95},{"D","D","D+","C","C+","B","B+","A","A+","S"}),"?")</f>
        <v>?</v>
      </c>
      <c r="H31" s="7"/>
      <c r="I31" s="7"/>
      <c r="J31" s="2"/>
      <c r="K31" s="14"/>
      <c r="L31" s="14"/>
      <c r="M31" s="14"/>
      <c r="N31" s="14"/>
      <c r="O31" s="14"/>
      <c r="P31" s="14"/>
      <c r="Q31" s="14"/>
      <c r="R31" s="14"/>
      <c r="S31" s="14"/>
      <c r="T31" s="14"/>
      <c r="U31" s="14"/>
      <c r="V31" s="14"/>
      <c r="W31" s="14"/>
      <c r="X31" s="14"/>
      <c r="Y31" s="14"/>
      <c r="Z31" s="14"/>
      <c r="AA31" s="14"/>
      <c r="AB31" s="14"/>
    </row>
    <row r="32" spans="1:28" ht="21">
      <c r="A32" s="5" t="s">
        <v>218</v>
      </c>
      <c r="B32" s="5" t="s">
        <v>219</v>
      </c>
      <c r="C32" s="10"/>
      <c r="D32" s="10"/>
      <c r="E32" s="10"/>
      <c r="F32" s="10"/>
      <c r="G32" s="10"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v>
      </c>
      <c r="H32" s="7"/>
      <c r="I32" s="7"/>
      <c r="J32" s="2"/>
      <c r="K32" s="14"/>
      <c r="L32" s="14"/>
      <c r="M32" s="14"/>
      <c r="N32" s="14"/>
      <c r="O32" s="14"/>
      <c r="P32" s="14"/>
      <c r="Q32" s="14"/>
      <c r="R32" s="14"/>
      <c r="S32" s="14"/>
      <c r="T32" s="14"/>
      <c r="U32" s="14"/>
      <c r="V32" s="14"/>
      <c r="W32" s="14"/>
      <c r="X32" s="14"/>
      <c r="Y32" s="14"/>
      <c r="Z32" s="14"/>
      <c r="AA32" s="14"/>
      <c r="AB32" s="14"/>
    </row>
    <row r="33" spans="1:28" ht="21">
      <c r="A33" s="5" t="s">
        <v>225</v>
      </c>
      <c r="B33" s="5" t="s">
        <v>226</v>
      </c>
      <c r="C33" s="10"/>
      <c r="D33" s="10"/>
      <c r="E33" s="10"/>
      <c r="F33" s="10"/>
      <c r="G33" s="10"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v>
      </c>
      <c r="H33" s="7"/>
      <c r="I33" s="7"/>
      <c r="J33" s="2"/>
      <c r="K33" s="14"/>
      <c r="L33" s="14"/>
      <c r="M33" s="14"/>
      <c r="N33" s="14"/>
      <c r="O33" s="14"/>
      <c r="P33" s="14"/>
      <c r="Q33" s="14"/>
      <c r="R33" s="14"/>
      <c r="S33" s="14"/>
      <c r="T33" s="14"/>
      <c r="U33" s="14"/>
      <c r="V33" s="14"/>
      <c r="W33" s="14"/>
      <c r="X33" s="14"/>
      <c r="Y33" s="14"/>
      <c r="Z33" s="14"/>
      <c r="AA33" s="14"/>
      <c r="AB33" s="14"/>
    </row>
    <row r="34" spans="1:28" ht="21">
      <c r="A34" s="5" t="s">
        <v>232</v>
      </c>
      <c r="B34" s="5" t="s">
        <v>233</v>
      </c>
      <c r="C34" s="10"/>
      <c r="D34" s="10"/>
      <c r="E34" s="10"/>
      <c r="F34" s="10"/>
      <c r="G34" s="10"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v>
      </c>
      <c r="H34" s="7"/>
      <c r="I34" s="7"/>
      <c r="J34" s="2"/>
      <c r="K34" s="14"/>
      <c r="L34" s="14"/>
      <c r="M34" s="14"/>
      <c r="N34" s="14"/>
      <c r="O34" s="14"/>
      <c r="P34" s="14"/>
      <c r="Q34" s="14"/>
      <c r="R34" s="14"/>
      <c r="S34" s="14"/>
      <c r="T34" s="14"/>
      <c r="U34" s="14"/>
      <c r="V34" s="14"/>
      <c r="W34" s="14"/>
      <c r="X34" s="14"/>
      <c r="Y34" s="14"/>
      <c r="Z34" s="14"/>
      <c r="AA34" s="14"/>
      <c r="AB34" s="14"/>
    </row>
    <row r="35" spans="1:28" ht="21">
      <c r="A35" s="5" t="s">
        <v>238</v>
      </c>
      <c r="B35" s="5" t="s">
        <v>239</v>
      </c>
      <c r="C35" s="10"/>
      <c r="D35" s="10"/>
      <c r="E35" s="10"/>
      <c r="F35" s="10"/>
      <c r="G35" s="10"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v>
      </c>
      <c r="H35" s="7"/>
      <c r="I35" s="7"/>
      <c r="J35" s="2"/>
      <c r="K35" s="14"/>
      <c r="L35" s="14"/>
      <c r="M35" s="14"/>
      <c r="N35" s="14"/>
      <c r="O35" s="14"/>
      <c r="P35" s="14"/>
      <c r="Q35" s="14"/>
      <c r="R35" s="14"/>
      <c r="S35" s="14"/>
      <c r="T35" s="14"/>
      <c r="U35" s="14"/>
      <c r="V35" s="14"/>
      <c r="W35" s="14"/>
      <c r="X35" s="14"/>
      <c r="Y35" s="14"/>
      <c r="Z35" s="14"/>
      <c r="AA35" s="14"/>
      <c r="AB35" s="14"/>
    </row>
    <row r="36" spans="1:28" ht="21">
      <c r="A36" s="5" t="s">
        <v>243</v>
      </c>
      <c r="B36" s="5" t="s">
        <v>244</v>
      </c>
      <c r="C36" s="10"/>
      <c r="D36" s="10"/>
      <c r="E36" s="10"/>
      <c r="F36" s="10"/>
      <c r="G36" s="10"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v>
      </c>
      <c r="H36" s="7"/>
      <c r="I36" s="7"/>
      <c r="J36" s="2"/>
      <c r="K36" s="14"/>
      <c r="L36" s="14"/>
      <c r="M36" s="14"/>
      <c r="N36" s="14"/>
      <c r="O36" s="14"/>
      <c r="P36" s="14"/>
      <c r="Q36" s="14"/>
      <c r="R36" s="14"/>
      <c r="S36" s="14"/>
      <c r="T36" s="14"/>
      <c r="U36" s="14"/>
      <c r="V36" s="14"/>
      <c r="W36" s="14"/>
      <c r="X36" s="14"/>
      <c r="Y36" s="14"/>
      <c r="Z36" s="14"/>
      <c r="AA36" s="14"/>
      <c r="AB36" s="14"/>
    </row>
    <row r="37" spans="1:28" ht="21">
      <c r="A37" s="5" t="s">
        <v>250</v>
      </c>
      <c r="B37" s="5" t="s">
        <v>80</v>
      </c>
      <c r="C37" s="10"/>
      <c r="D37" s="10"/>
      <c r="E37" s="10"/>
      <c r="F37" s="10"/>
      <c r="G37" s="10"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v>
      </c>
      <c r="H37" s="7"/>
      <c r="I37" s="7"/>
      <c r="J37" s="2"/>
      <c r="K37" s="14"/>
      <c r="L37" s="14"/>
      <c r="M37" s="14"/>
      <c r="N37" s="14"/>
      <c r="O37" s="14"/>
      <c r="P37" s="14"/>
      <c r="Q37" s="14"/>
      <c r="R37" s="14"/>
      <c r="S37" s="14"/>
      <c r="T37" s="14"/>
      <c r="U37" s="14"/>
      <c r="V37" s="14"/>
      <c r="W37" s="14"/>
      <c r="X37" s="14"/>
      <c r="Y37" s="14"/>
      <c r="Z37" s="14"/>
      <c r="AA37" s="14"/>
      <c r="AB37" s="14"/>
    </row>
    <row r="38" spans="1:28" ht="21">
      <c r="A38" s="5" t="s">
        <v>256</v>
      </c>
      <c r="B38" s="5" t="s">
        <v>257</v>
      </c>
      <c r="C38" s="10"/>
      <c r="D38" s="10"/>
      <c r="E38" s="10"/>
      <c r="F38" s="10"/>
      <c r="G38" s="10"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v>
      </c>
      <c r="H38" s="7"/>
      <c r="I38" s="7"/>
      <c r="J38" s="2"/>
      <c r="K38" s="14"/>
      <c r="L38" s="14"/>
      <c r="M38" s="14"/>
      <c r="N38" s="14"/>
      <c r="O38" s="14"/>
      <c r="P38" s="14"/>
      <c r="Q38" s="14"/>
      <c r="R38" s="14"/>
      <c r="S38" s="14"/>
      <c r="T38" s="14"/>
      <c r="U38" s="14"/>
      <c r="V38" s="14"/>
      <c r="W38" s="14"/>
      <c r="X38" s="14"/>
      <c r="Y38" s="14"/>
      <c r="Z38" s="14"/>
      <c r="AA38" s="14"/>
      <c r="AB38" s="14"/>
    </row>
    <row r="39" spans="1:28" ht="21">
      <c r="A39" s="5" t="s">
        <v>263</v>
      </c>
      <c r="B39" s="5" t="s">
        <v>264</v>
      </c>
      <c r="C39" s="10"/>
      <c r="D39" s="10"/>
      <c r="E39" s="10"/>
      <c r="F39" s="10"/>
      <c r="G39" s="10"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v>
      </c>
      <c r="H39" s="7"/>
      <c r="I39" s="7"/>
      <c r="J39" s="2"/>
      <c r="K39" s="14"/>
      <c r="L39" s="14"/>
      <c r="M39" s="14"/>
      <c r="N39" s="14"/>
      <c r="O39" s="14"/>
      <c r="P39" s="14"/>
      <c r="Q39" s="14"/>
      <c r="R39" s="14"/>
      <c r="S39" s="14"/>
      <c r="T39" s="14"/>
      <c r="U39" s="14"/>
      <c r="V39" s="14"/>
      <c r="W39" s="14"/>
      <c r="X39" s="14"/>
      <c r="Y39" s="14"/>
      <c r="Z39" s="14"/>
      <c r="AA39" s="14"/>
      <c r="AB39" s="14"/>
    </row>
    <row r="40" spans="1:28" ht="21">
      <c r="A40" s="5" t="s">
        <v>269</v>
      </c>
      <c r="B40" s="8" t="s">
        <v>270</v>
      </c>
      <c r="C40" s="10"/>
      <c r="D40" s="10"/>
      <c r="E40" s="10"/>
      <c r="F40" s="10"/>
      <c r="G40" s="10"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v>
      </c>
      <c r="H40" s="7"/>
      <c r="I40" s="7"/>
      <c r="J40" s="2"/>
      <c r="K40" s="14"/>
      <c r="L40" s="14"/>
      <c r="M40" s="14"/>
      <c r="N40" s="14"/>
      <c r="O40" s="14"/>
      <c r="P40" s="14"/>
      <c r="Q40" s="14"/>
      <c r="R40" s="14"/>
      <c r="S40" s="14"/>
      <c r="T40" s="14"/>
      <c r="U40" s="14"/>
      <c r="V40" s="14"/>
      <c r="W40" s="14"/>
      <c r="X40" s="14"/>
      <c r="Y40" s="14"/>
      <c r="Z40" s="14"/>
      <c r="AA40" s="14"/>
      <c r="AB40" s="14"/>
    </row>
    <row r="41" spans="1:28" ht="21">
      <c r="A41" s="5" t="s">
        <v>274</v>
      </c>
      <c r="B41" s="5" t="s">
        <v>275</v>
      </c>
      <c r="C41" s="10"/>
      <c r="D41" s="10"/>
      <c r="E41" s="10"/>
      <c r="F41" s="10"/>
      <c r="G41" s="10"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v>
      </c>
      <c r="H41" s="7"/>
      <c r="I41" s="7"/>
      <c r="J41" s="2"/>
      <c r="K41" s="14"/>
      <c r="L41" s="14"/>
      <c r="M41" s="14"/>
      <c r="N41" s="14"/>
      <c r="O41" s="14"/>
      <c r="P41" s="14"/>
      <c r="Q41" s="14"/>
      <c r="R41" s="14"/>
      <c r="S41" s="14"/>
      <c r="T41" s="14"/>
      <c r="U41" s="14"/>
      <c r="V41" s="14"/>
      <c r="W41" s="14"/>
      <c r="X41" s="14"/>
      <c r="Y41" s="14"/>
      <c r="Z41" s="14"/>
      <c r="AA41" s="14"/>
      <c r="AB41" s="14"/>
    </row>
    <row r="42" spans="1:28" ht="21">
      <c r="A42" s="5" t="s">
        <v>279</v>
      </c>
      <c r="B42" s="5" t="s">
        <v>280</v>
      </c>
      <c r="C42" s="10"/>
      <c r="D42" s="10"/>
      <c r="E42" s="10"/>
      <c r="F42" s="10"/>
      <c r="G42" s="10"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v>
      </c>
      <c r="H42" s="7"/>
      <c r="I42" s="7"/>
      <c r="J42" s="2"/>
      <c r="K42" s="14"/>
      <c r="L42" s="14"/>
      <c r="M42" s="14"/>
      <c r="N42" s="14"/>
      <c r="O42" s="14"/>
      <c r="P42" s="14"/>
      <c r="Q42" s="14"/>
      <c r="R42" s="14"/>
      <c r="S42" s="14"/>
      <c r="T42" s="14"/>
      <c r="U42" s="14"/>
      <c r="V42" s="14"/>
      <c r="W42" s="14"/>
      <c r="X42" s="14"/>
      <c r="Y42" s="14"/>
      <c r="Z42" s="14"/>
      <c r="AA42" s="14"/>
      <c r="AB42" s="14"/>
    </row>
    <row r="43" spans="1:28" ht="21">
      <c r="A43" s="5" t="s">
        <v>286</v>
      </c>
      <c r="B43" s="5" t="s">
        <v>54</v>
      </c>
      <c r="C43" s="10"/>
      <c r="D43" s="10"/>
      <c r="E43" s="10"/>
      <c r="F43" s="10"/>
      <c r="G43" s="10"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v>
      </c>
      <c r="H43" s="7"/>
      <c r="I43" s="7"/>
      <c r="J43" s="2"/>
      <c r="K43" s="14"/>
      <c r="L43" s="14"/>
      <c r="M43" s="14"/>
      <c r="N43" s="14"/>
      <c r="O43" s="14"/>
      <c r="P43" s="14"/>
      <c r="Q43" s="14"/>
      <c r="R43" s="14"/>
      <c r="S43" s="14"/>
      <c r="T43" s="14"/>
      <c r="U43" s="14"/>
      <c r="V43" s="14"/>
      <c r="W43" s="14"/>
      <c r="X43" s="14"/>
      <c r="Y43" s="14"/>
      <c r="Z43" s="14"/>
      <c r="AA43" s="14"/>
      <c r="AB43" s="14"/>
    </row>
    <row r="44" spans="1:28" ht="21">
      <c r="A44" s="5" t="s">
        <v>292</v>
      </c>
      <c r="B44" s="5" t="s">
        <v>293</v>
      </c>
      <c r="C44" s="10"/>
      <c r="D44" s="10"/>
      <c r="E44" s="10"/>
      <c r="F44" s="10"/>
      <c r="G44" s="10"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v>
      </c>
      <c r="H44" s="7"/>
      <c r="I44" s="7"/>
      <c r="J44" s="2"/>
      <c r="K44" s="14"/>
      <c r="L44" s="14"/>
      <c r="M44" s="14"/>
      <c r="N44" s="14"/>
      <c r="O44" s="14"/>
      <c r="P44" s="14"/>
      <c r="Q44" s="14"/>
      <c r="R44" s="14"/>
      <c r="S44" s="14"/>
      <c r="T44" s="14"/>
      <c r="U44" s="14"/>
      <c r="V44" s="14"/>
      <c r="W44" s="14"/>
      <c r="X44" s="14"/>
      <c r="Y44" s="14"/>
      <c r="Z44" s="14"/>
      <c r="AA44" s="14"/>
      <c r="AB44" s="14"/>
    </row>
    <row r="45" spans="1:28" ht="21">
      <c r="A45" s="5" t="s">
        <v>298</v>
      </c>
      <c r="B45" s="5" t="s">
        <v>299</v>
      </c>
      <c r="C45" s="10"/>
      <c r="D45" s="10"/>
      <c r="E45" s="10"/>
      <c r="F45" s="10"/>
      <c r="G45" s="10"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v>
      </c>
      <c r="H45" s="7"/>
      <c r="I45" s="7"/>
      <c r="J45" s="2"/>
      <c r="K45" s="14"/>
      <c r="L45" s="14"/>
      <c r="M45" s="14"/>
      <c r="N45" s="14"/>
      <c r="O45" s="14"/>
      <c r="P45" s="14"/>
      <c r="Q45" s="14"/>
      <c r="R45" s="14"/>
      <c r="S45" s="14"/>
      <c r="T45" s="14"/>
      <c r="U45" s="14"/>
      <c r="V45" s="14"/>
      <c r="W45" s="14"/>
      <c r="X45" s="14"/>
      <c r="Y45" s="14"/>
      <c r="Z45" s="14"/>
      <c r="AA45" s="14"/>
      <c r="AB45" s="14"/>
    </row>
    <row r="46" spans="1:28" ht="21">
      <c r="A46" s="5" t="s">
        <v>302</v>
      </c>
      <c r="B46" s="5" t="s">
        <v>303</v>
      </c>
      <c r="C46" s="10"/>
      <c r="D46" s="10"/>
      <c r="E46" s="10"/>
      <c r="F46" s="10"/>
      <c r="G46" s="10"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v>
      </c>
      <c r="H46" s="7"/>
      <c r="I46" s="7"/>
      <c r="J46" s="2"/>
      <c r="K46" s="14"/>
      <c r="L46" s="14"/>
      <c r="M46" s="14"/>
      <c r="N46" s="14"/>
      <c r="O46" s="14"/>
      <c r="P46" s="14"/>
      <c r="Q46" s="14"/>
      <c r="R46" s="14"/>
      <c r="S46" s="14"/>
      <c r="T46" s="14"/>
      <c r="U46" s="14"/>
      <c r="V46" s="14"/>
      <c r="W46" s="14"/>
      <c r="X46" s="14"/>
      <c r="Y46" s="14"/>
      <c r="Z46" s="14"/>
      <c r="AA46" s="14"/>
      <c r="AB46" s="14"/>
    </row>
    <row r="47" spans="1:28" ht="21">
      <c r="A47" s="5" t="s">
        <v>309</v>
      </c>
      <c r="B47" s="5" t="s">
        <v>310</v>
      </c>
      <c r="C47" s="10"/>
      <c r="D47" s="10"/>
      <c r="E47" s="10"/>
      <c r="F47" s="10"/>
      <c r="G47" s="10"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v>
      </c>
      <c r="H47" s="7"/>
      <c r="I47" s="7"/>
      <c r="J47" s="2"/>
      <c r="K47" s="14"/>
      <c r="L47" s="14"/>
      <c r="M47" s="14"/>
      <c r="N47" s="14"/>
      <c r="O47" s="14"/>
      <c r="P47" s="14"/>
      <c r="Q47" s="14"/>
      <c r="R47" s="14"/>
      <c r="S47" s="14"/>
      <c r="T47" s="14"/>
      <c r="U47" s="14"/>
      <c r="V47" s="14"/>
      <c r="W47" s="14"/>
      <c r="X47" s="14"/>
      <c r="Y47" s="14"/>
      <c r="Z47" s="14"/>
      <c r="AA47" s="14"/>
      <c r="AB47" s="14"/>
    </row>
    <row r="48" spans="1:28" ht="21">
      <c r="A48" s="5" t="s">
        <v>315</v>
      </c>
      <c r="B48" s="5" t="s">
        <v>316</v>
      </c>
      <c r="C48" s="10"/>
      <c r="D48" s="10"/>
      <c r="E48" s="10"/>
      <c r="F48" s="10"/>
      <c r="G48" s="10"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v>
      </c>
      <c r="H48" s="7"/>
      <c r="I48" s="7"/>
      <c r="J48" s="2"/>
      <c r="K48" s="14"/>
      <c r="L48" s="14"/>
      <c r="M48" s="14"/>
      <c r="N48" s="14"/>
      <c r="O48" s="14"/>
      <c r="P48" s="14"/>
      <c r="Q48" s="14"/>
      <c r="R48" s="14"/>
      <c r="S48" s="14"/>
      <c r="T48" s="14"/>
      <c r="U48" s="14"/>
      <c r="V48" s="14"/>
      <c r="W48" s="14"/>
      <c r="X48" s="14"/>
      <c r="Y48" s="14"/>
      <c r="Z48" s="14"/>
      <c r="AA48" s="14"/>
      <c r="AB48" s="14"/>
    </row>
    <row r="49" spans="1:28" ht="21">
      <c r="A49" s="5" t="s">
        <v>322</v>
      </c>
      <c r="B49" s="5" t="s">
        <v>162</v>
      </c>
      <c r="C49" s="10"/>
      <c r="D49" s="10"/>
      <c r="E49" s="10"/>
      <c r="F49" s="10"/>
      <c r="G49" s="10" t="str">
        <f>IF(AND(ISNUMBER(MATCH(C49,{"F","E","D","D+","C","C+","B","B+","A","A+","S"},0)),ISNUMBER(MATCH(D49,{"F","E","D","D+","C","C+","B","B+","A","A+","S"},0)),ISNUMBER(MATCH(E49,{"F","E","D","D+","C","C+","B","B+","A","A+","S"},0)),ISNUMBER(MATCH(F49,{"F","E","D","D+","C","C+","B","B+","A","A+","S"},0))),LOOKUP(AVERAGE(_xlfn.SWITCH(C49,"F",0,"E",10,"D",20,"D+",30,"C",40,"C+",50,"B",60,"B+",70,"A",80,"A+",90,"S",100),_xlfn.SWITCH(D49,"F",0,"E",10,"D",20,"D+",30,"C",40,"C+",50,"B",60,"B+",70,"A",80,"A+",90,"S",100),_xlfn.SWITCH(E49,"F",0,"E",10,"D",20,"D+",30,"C",40,"C+",50,"B",60,"B+",70,"A",80,"A+",90,"S",100),_xlfn.SWITCH(F49,"F",0,"E",10,"D",20,"D+",30,"C",40,"C+",50,"B",60,"B+",70,"A",80,"A+",90,"S",100)),{0,15,25,35,45,55,65,75,85,95},{"D","D","D+","C","C+","B","B+","A","A+","S"}),"?")</f>
        <v>?</v>
      </c>
      <c r="H49" s="7"/>
      <c r="I49" s="7"/>
      <c r="J49" s="2"/>
      <c r="K49" s="14"/>
      <c r="L49" s="14"/>
      <c r="M49" s="14"/>
      <c r="N49" s="14"/>
      <c r="O49" s="14"/>
      <c r="P49" s="14"/>
      <c r="Q49" s="14"/>
      <c r="R49" s="14"/>
      <c r="S49" s="14"/>
      <c r="T49" s="14"/>
      <c r="U49" s="14"/>
      <c r="V49" s="14"/>
      <c r="W49" s="14"/>
      <c r="X49" s="14"/>
      <c r="Y49" s="14"/>
      <c r="Z49" s="14"/>
      <c r="AA49" s="14"/>
      <c r="AB49" s="14"/>
    </row>
    <row r="50" spans="1:28" ht="21">
      <c r="A50" s="5" t="s">
        <v>326</v>
      </c>
      <c r="B50" s="5" t="s">
        <v>94</v>
      </c>
      <c r="C50" s="10"/>
      <c r="D50" s="10"/>
      <c r="E50" s="10"/>
      <c r="F50" s="10"/>
      <c r="G50" s="10"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v>
      </c>
      <c r="H50" s="7"/>
      <c r="I50" s="7"/>
      <c r="J50" s="2"/>
      <c r="K50" s="14"/>
      <c r="L50" s="14"/>
      <c r="M50" s="14"/>
      <c r="N50" s="14"/>
      <c r="O50" s="14"/>
      <c r="P50" s="14"/>
      <c r="Q50" s="14"/>
      <c r="R50" s="14"/>
      <c r="S50" s="14"/>
      <c r="T50" s="14"/>
      <c r="U50" s="14"/>
      <c r="V50" s="14"/>
      <c r="W50" s="14"/>
      <c r="X50" s="14"/>
      <c r="Y50" s="14"/>
      <c r="Z50" s="14"/>
      <c r="AA50" s="14"/>
      <c r="AB50" s="14"/>
    </row>
    <row r="51" spans="1:28" ht="21">
      <c r="A51" s="5" t="s">
        <v>331</v>
      </c>
      <c r="B51" s="5" t="s">
        <v>332</v>
      </c>
      <c r="C51" s="10"/>
      <c r="D51" s="10"/>
      <c r="E51" s="10"/>
      <c r="F51" s="10"/>
      <c r="G51" s="10"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v>
      </c>
      <c r="H51" s="7"/>
      <c r="I51" s="7"/>
      <c r="J51" s="2"/>
      <c r="K51" s="14"/>
      <c r="L51" s="14"/>
      <c r="M51" s="14"/>
      <c r="N51" s="14"/>
      <c r="O51" s="14"/>
      <c r="P51" s="14"/>
      <c r="Q51" s="14"/>
      <c r="R51" s="14"/>
      <c r="S51" s="14"/>
      <c r="T51" s="14"/>
      <c r="U51" s="14"/>
      <c r="V51" s="14"/>
      <c r="W51" s="14"/>
      <c r="X51" s="14"/>
      <c r="Y51" s="14"/>
      <c r="Z51" s="14"/>
      <c r="AA51" s="14"/>
      <c r="AB51" s="14"/>
    </row>
    <row r="52" spans="1:28" ht="21">
      <c r="A52" s="5" t="s">
        <v>334</v>
      </c>
      <c r="B52" s="5" t="s">
        <v>335</v>
      </c>
      <c r="C52" s="10"/>
      <c r="D52" s="10"/>
      <c r="E52" s="10"/>
      <c r="F52" s="10"/>
      <c r="G52" s="10"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v>
      </c>
      <c r="H52" s="7"/>
      <c r="I52" s="7"/>
      <c r="J52" s="2"/>
      <c r="K52" s="14"/>
      <c r="L52" s="14"/>
      <c r="M52" s="14"/>
      <c r="N52" s="14"/>
      <c r="O52" s="14"/>
      <c r="P52" s="14"/>
      <c r="Q52" s="14"/>
      <c r="R52" s="14"/>
      <c r="S52" s="14"/>
      <c r="T52" s="14"/>
      <c r="U52" s="14"/>
      <c r="V52" s="14"/>
      <c r="W52" s="14"/>
      <c r="X52" s="14"/>
      <c r="Y52" s="14"/>
      <c r="Z52" s="14"/>
      <c r="AA52" s="14"/>
      <c r="AB52" s="14"/>
    </row>
    <row r="53" spans="1:28" ht="21">
      <c r="A53" s="5" t="s">
        <v>339</v>
      </c>
      <c r="B53" s="5" t="s">
        <v>340</v>
      </c>
      <c r="C53" s="10"/>
      <c r="D53" s="10"/>
      <c r="E53" s="10"/>
      <c r="F53" s="10"/>
      <c r="G53" s="10"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v>
      </c>
      <c r="H53" s="7"/>
      <c r="I53" s="7"/>
      <c r="J53" s="2"/>
      <c r="K53" s="14"/>
      <c r="L53" s="14"/>
      <c r="M53" s="14"/>
      <c r="N53" s="14"/>
      <c r="O53" s="14"/>
      <c r="P53" s="14"/>
      <c r="Q53" s="14"/>
      <c r="R53" s="14"/>
      <c r="S53" s="14"/>
      <c r="T53" s="14"/>
      <c r="U53" s="14"/>
      <c r="V53" s="14"/>
      <c r="W53" s="14"/>
      <c r="X53" s="14"/>
      <c r="Y53" s="14"/>
      <c r="Z53" s="14"/>
      <c r="AA53" s="14"/>
      <c r="AB53" s="14"/>
    </row>
    <row r="54" spans="1:28" ht="21">
      <c r="A54" s="5" t="s">
        <v>346</v>
      </c>
      <c r="B54" s="5" t="s">
        <v>347</v>
      </c>
      <c r="C54" s="10"/>
      <c r="D54" s="10"/>
      <c r="E54" s="10"/>
      <c r="F54" s="10"/>
      <c r="G54" s="10"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v>
      </c>
      <c r="H54" s="7"/>
      <c r="I54" s="7"/>
      <c r="J54" s="2"/>
      <c r="K54" s="14"/>
      <c r="L54" s="14"/>
      <c r="M54" s="14"/>
      <c r="N54" s="14"/>
      <c r="O54" s="14"/>
      <c r="P54" s="14"/>
      <c r="Q54" s="14"/>
      <c r="R54" s="14"/>
      <c r="S54" s="14"/>
      <c r="T54" s="14"/>
      <c r="U54" s="14"/>
      <c r="V54" s="14"/>
      <c r="W54" s="14"/>
      <c r="X54" s="14"/>
      <c r="Y54" s="14"/>
      <c r="Z54" s="14"/>
      <c r="AA54" s="14"/>
      <c r="AB54" s="14"/>
    </row>
    <row r="55" spans="1:28" ht="21">
      <c r="A55" s="5" t="s">
        <v>353</v>
      </c>
      <c r="B55" s="5" t="s">
        <v>354</v>
      </c>
      <c r="C55" s="10"/>
      <c r="D55" s="10"/>
      <c r="E55" s="10"/>
      <c r="F55" s="10"/>
      <c r="G55" s="10"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v>
      </c>
      <c r="H55" s="7"/>
      <c r="I55" s="7"/>
      <c r="J55" s="2"/>
      <c r="K55" s="14"/>
      <c r="L55" s="14"/>
      <c r="M55" s="14"/>
      <c r="N55" s="14"/>
      <c r="O55" s="14"/>
      <c r="P55" s="14"/>
      <c r="Q55" s="14"/>
      <c r="R55" s="14"/>
      <c r="S55" s="14"/>
      <c r="T55" s="14"/>
      <c r="U55" s="14"/>
      <c r="V55" s="14"/>
      <c r="W55" s="14"/>
      <c r="X55" s="14"/>
      <c r="Y55" s="14"/>
      <c r="Z55" s="14"/>
      <c r="AA55" s="14"/>
      <c r="AB55" s="14"/>
    </row>
    <row r="56" spans="1:28" ht="21">
      <c r="A56" s="5" t="s">
        <v>358</v>
      </c>
      <c r="B56" s="5" t="s">
        <v>359</v>
      </c>
      <c r="C56" s="10"/>
      <c r="D56" s="10"/>
      <c r="E56" s="10"/>
      <c r="F56" s="10"/>
      <c r="G56" s="10"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7"/>
      <c r="I56" s="7"/>
      <c r="J56" s="2"/>
      <c r="K56" s="14"/>
      <c r="L56" s="14"/>
      <c r="M56" s="14"/>
      <c r="N56" s="14"/>
      <c r="O56" s="14"/>
      <c r="P56" s="14"/>
      <c r="Q56" s="14"/>
      <c r="R56" s="14"/>
      <c r="S56" s="14"/>
      <c r="T56" s="14"/>
      <c r="U56" s="14"/>
      <c r="V56" s="14"/>
      <c r="W56" s="14"/>
      <c r="X56" s="14"/>
      <c r="Y56" s="14"/>
      <c r="Z56" s="14"/>
      <c r="AA56" s="14"/>
      <c r="AB56" s="14"/>
    </row>
    <row r="57" spans="1:28" ht="21">
      <c r="A57" s="5" t="s">
        <v>365</v>
      </c>
      <c r="B57" s="5" t="s">
        <v>366</v>
      </c>
      <c r="C57" s="10"/>
      <c r="D57" s="10"/>
      <c r="E57" s="10"/>
      <c r="F57" s="10"/>
      <c r="G57" s="10"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7"/>
      <c r="I57" s="7"/>
      <c r="J57" s="2"/>
      <c r="K57" s="14"/>
      <c r="L57" s="14"/>
      <c r="M57" s="14"/>
      <c r="N57" s="14"/>
      <c r="O57" s="14"/>
      <c r="P57" s="14"/>
      <c r="Q57" s="14"/>
      <c r="R57" s="14"/>
      <c r="S57" s="14"/>
      <c r="T57" s="14"/>
      <c r="U57" s="14"/>
      <c r="V57" s="14"/>
      <c r="W57" s="14"/>
      <c r="X57" s="14"/>
      <c r="Y57" s="14"/>
      <c r="Z57" s="14"/>
      <c r="AA57" s="14"/>
      <c r="AB57" s="14"/>
    </row>
    <row r="58" spans="1:28" ht="21">
      <c r="A58" s="5" t="s">
        <v>371</v>
      </c>
      <c r="B58" s="5" t="s">
        <v>372</v>
      </c>
      <c r="C58" s="10"/>
      <c r="D58" s="10"/>
      <c r="E58" s="10"/>
      <c r="F58" s="10"/>
      <c r="G58" s="10"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7"/>
      <c r="I58" s="7"/>
      <c r="J58" s="2"/>
      <c r="K58" s="14"/>
      <c r="L58" s="14"/>
      <c r="M58" s="14"/>
      <c r="N58" s="14"/>
      <c r="O58" s="14"/>
      <c r="P58" s="14"/>
      <c r="Q58" s="14"/>
      <c r="R58" s="14"/>
      <c r="S58" s="14"/>
      <c r="T58" s="14"/>
      <c r="U58" s="14"/>
      <c r="V58" s="14"/>
      <c r="W58" s="14"/>
      <c r="X58" s="14"/>
      <c r="Y58" s="14"/>
      <c r="Z58" s="14"/>
      <c r="AA58" s="14"/>
      <c r="AB58" s="14"/>
    </row>
    <row r="59" spans="1:28" ht="21">
      <c r="A59" s="5" t="s">
        <v>376</v>
      </c>
      <c r="B59" s="5" t="s">
        <v>278</v>
      </c>
      <c r="C59" s="10"/>
      <c r="D59" s="10"/>
      <c r="E59" s="10"/>
      <c r="F59" s="10"/>
      <c r="G59" s="10"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7"/>
      <c r="I59" s="7"/>
      <c r="J59" s="2"/>
      <c r="K59" s="14"/>
      <c r="L59" s="14"/>
      <c r="M59" s="14"/>
      <c r="N59" s="14"/>
      <c r="O59" s="14"/>
      <c r="P59" s="14"/>
      <c r="Q59" s="14"/>
      <c r="R59" s="14"/>
      <c r="S59" s="14"/>
      <c r="T59" s="14"/>
      <c r="U59" s="14"/>
      <c r="V59" s="14"/>
      <c r="W59" s="14"/>
      <c r="X59" s="14"/>
      <c r="Y59" s="14"/>
      <c r="Z59" s="14"/>
      <c r="AA59" s="14"/>
      <c r="AB59" s="14"/>
    </row>
    <row r="60" spans="1:28" ht="21">
      <c r="A60" s="5" t="s">
        <v>382</v>
      </c>
      <c r="B60" s="5" t="s">
        <v>383</v>
      </c>
      <c r="C60" s="10"/>
      <c r="D60" s="10"/>
      <c r="E60" s="10"/>
      <c r="F60" s="10"/>
      <c r="G60" s="10"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7"/>
      <c r="I60" s="7"/>
      <c r="J60" s="2"/>
      <c r="K60" s="14"/>
      <c r="L60" s="14"/>
      <c r="M60" s="14"/>
      <c r="N60" s="14"/>
      <c r="O60" s="14"/>
      <c r="P60" s="14"/>
      <c r="Q60" s="14"/>
      <c r="R60" s="14"/>
      <c r="S60" s="14"/>
      <c r="T60" s="14"/>
      <c r="U60" s="14"/>
      <c r="V60" s="14"/>
      <c r="W60" s="14"/>
      <c r="X60" s="14"/>
      <c r="Y60" s="14"/>
      <c r="Z60" s="14"/>
      <c r="AA60" s="14"/>
      <c r="AB60" s="14"/>
    </row>
    <row r="61" spans="1:28" ht="21">
      <c r="A61" s="5" t="s">
        <v>387</v>
      </c>
      <c r="B61" s="5" t="s">
        <v>388</v>
      </c>
      <c r="C61" s="10"/>
      <c r="D61" s="10"/>
      <c r="E61" s="10"/>
      <c r="F61" s="10"/>
      <c r="G61" s="10"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7"/>
      <c r="I61" s="7"/>
      <c r="J61" s="2"/>
      <c r="K61" s="14"/>
      <c r="L61" s="14"/>
      <c r="M61" s="14"/>
      <c r="N61" s="14"/>
      <c r="O61" s="14"/>
      <c r="P61" s="14"/>
      <c r="Q61" s="14"/>
      <c r="R61" s="14"/>
      <c r="S61" s="14"/>
      <c r="T61" s="14"/>
      <c r="U61" s="14"/>
      <c r="V61" s="14"/>
      <c r="W61" s="14"/>
      <c r="X61" s="14"/>
      <c r="Y61" s="14"/>
      <c r="Z61" s="14"/>
      <c r="AA61" s="14"/>
      <c r="AB61" s="14"/>
    </row>
    <row r="62" spans="1:28" ht="21">
      <c r="A62" s="5" t="s">
        <v>393</v>
      </c>
      <c r="B62" s="5" t="s">
        <v>394</v>
      </c>
      <c r="C62" s="10"/>
      <c r="D62" s="10"/>
      <c r="E62" s="10"/>
      <c r="F62" s="10"/>
      <c r="G62" s="10"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7"/>
      <c r="I62" s="7"/>
      <c r="J62" s="2"/>
      <c r="K62" s="14"/>
      <c r="L62" s="14"/>
      <c r="M62" s="14"/>
      <c r="N62" s="14"/>
      <c r="O62" s="14"/>
      <c r="P62" s="14"/>
      <c r="Q62" s="14"/>
      <c r="R62" s="14"/>
      <c r="S62" s="14"/>
      <c r="T62" s="14"/>
      <c r="U62" s="14"/>
      <c r="V62" s="14"/>
      <c r="W62" s="14"/>
      <c r="X62" s="14"/>
      <c r="Y62" s="14"/>
      <c r="Z62" s="14"/>
      <c r="AA62" s="14"/>
      <c r="AB62" s="14"/>
    </row>
    <row r="63" spans="1:28" ht="21">
      <c r="A63" s="5" t="s">
        <v>399</v>
      </c>
      <c r="B63" s="5" t="s">
        <v>400</v>
      </c>
      <c r="C63" s="10"/>
      <c r="D63" s="10"/>
      <c r="E63" s="10"/>
      <c r="F63" s="10"/>
      <c r="G63" s="10"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7"/>
      <c r="I63" s="7"/>
      <c r="J63" s="2"/>
      <c r="K63" s="14"/>
      <c r="L63" s="14"/>
      <c r="M63" s="14"/>
      <c r="N63" s="14"/>
      <c r="O63" s="14"/>
      <c r="P63" s="14"/>
      <c r="Q63" s="14"/>
      <c r="R63" s="14"/>
      <c r="S63" s="14"/>
      <c r="T63" s="14"/>
      <c r="U63" s="14"/>
      <c r="V63" s="14"/>
      <c r="W63" s="14"/>
      <c r="X63" s="14"/>
      <c r="Y63" s="14"/>
      <c r="Z63" s="14"/>
      <c r="AA63" s="14"/>
      <c r="AB63" s="14"/>
    </row>
    <row r="64" spans="1:28" ht="21">
      <c r="A64" s="5" t="s">
        <v>404</v>
      </c>
      <c r="B64" s="5" t="s">
        <v>405</v>
      </c>
      <c r="C64" s="10"/>
      <c r="D64" s="10"/>
      <c r="E64" s="10"/>
      <c r="F64" s="10"/>
      <c r="G64" s="10"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7"/>
      <c r="I64" s="7"/>
      <c r="J64" s="2"/>
      <c r="K64" s="14"/>
      <c r="L64" s="14"/>
      <c r="M64" s="14"/>
      <c r="N64" s="14"/>
      <c r="O64" s="14"/>
      <c r="P64" s="14"/>
      <c r="Q64" s="14"/>
      <c r="R64" s="14"/>
      <c r="S64" s="14"/>
      <c r="T64" s="14"/>
      <c r="U64" s="14"/>
      <c r="V64" s="14"/>
      <c r="W64" s="14"/>
      <c r="X64" s="14"/>
      <c r="Y64" s="14"/>
      <c r="Z64" s="14"/>
      <c r="AA64" s="14"/>
      <c r="AB64" s="14"/>
    </row>
    <row r="65" spans="1:28" ht="21">
      <c r="A65" s="5" t="s">
        <v>409</v>
      </c>
      <c r="B65" s="5" t="s">
        <v>308</v>
      </c>
      <c r="C65" s="10"/>
      <c r="D65" s="10"/>
      <c r="E65" s="10"/>
      <c r="F65" s="10"/>
      <c r="G65" s="10"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7"/>
      <c r="I65" s="7"/>
      <c r="J65" s="2"/>
      <c r="K65" s="14"/>
      <c r="L65" s="14"/>
      <c r="M65" s="14"/>
      <c r="N65" s="14"/>
      <c r="O65" s="14"/>
      <c r="P65" s="14"/>
      <c r="Q65" s="14"/>
      <c r="R65" s="14"/>
      <c r="S65" s="14"/>
      <c r="T65" s="14"/>
      <c r="U65" s="14"/>
      <c r="V65" s="14"/>
      <c r="W65" s="14"/>
      <c r="X65" s="14"/>
      <c r="Y65" s="14"/>
      <c r="Z65" s="14"/>
      <c r="AA65" s="14"/>
      <c r="AB65" s="14"/>
    </row>
    <row r="66" spans="1:28" ht="21">
      <c r="A66" s="5" t="s">
        <v>413</v>
      </c>
      <c r="B66" s="5" t="s">
        <v>414</v>
      </c>
      <c r="C66" s="10"/>
      <c r="D66" s="10"/>
      <c r="E66" s="10"/>
      <c r="F66" s="10"/>
      <c r="G66" s="10"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7"/>
      <c r="I66" s="7"/>
      <c r="J66" s="2"/>
      <c r="K66" s="14"/>
      <c r="L66" s="14"/>
      <c r="M66" s="14"/>
      <c r="N66" s="14"/>
      <c r="O66" s="14"/>
      <c r="P66" s="14"/>
      <c r="Q66" s="14"/>
      <c r="R66" s="14"/>
      <c r="S66" s="14"/>
      <c r="T66" s="14"/>
      <c r="U66" s="14"/>
      <c r="V66" s="14"/>
      <c r="W66" s="14"/>
      <c r="X66" s="14"/>
      <c r="Y66" s="14"/>
      <c r="Z66" s="14"/>
      <c r="AA66" s="14"/>
      <c r="AB66" s="14"/>
    </row>
    <row r="67" spans="1:28" ht="21">
      <c r="A67" s="5" t="s">
        <v>416</v>
      </c>
      <c r="B67" s="5" t="s">
        <v>417</v>
      </c>
      <c r="C67" s="10"/>
      <c r="D67" s="10"/>
      <c r="E67" s="10"/>
      <c r="F67" s="10"/>
      <c r="G67" s="10"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7"/>
      <c r="I67" s="7"/>
      <c r="J67" s="2"/>
      <c r="K67" s="14"/>
      <c r="L67" s="14"/>
      <c r="M67" s="14"/>
      <c r="N67" s="14"/>
      <c r="O67" s="14"/>
      <c r="P67" s="14"/>
      <c r="Q67" s="14"/>
      <c r="R67" s="14"/>
      <c r="S67" s="14"/>
      <c r="T67" s="14"/>
      <c r="U67" s="14"/>
      <c r="V67" s="14"/>
      <c r="W67" s="14"/>
      <c r="X67" s="14"/>
      <c r="Y67" s="14"/>
      <c r="Z67" s="14"/>
      <c r="AA67" s="14"/>
      <c r="AB67" s="14"/>
    </row>
    <row r="68" spans="1:28" ht="21">
      <c r="A68" s="5" t="s">
        <v>421</v>
      </c>
      <c r="B68" s="5" t="s">
        <v>422</v>
      </c>
      <c r="C68" s="10"/>
      <c r="D68" s="10"/>
      <c r="E68" s="10"/>
      <c r="F68" s="10"/>
      <c r="G68" s="10"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7"/>
      <c r="I68" s="7"/>
      <c r="J68" s="2"/>
      <c r="K68" s="14"/>
      <c r="L68" s="14"/>
      <c r="M68" s="14"/>
      <c r="N68" s="14"/>
      <c r="O68" s="14"/>
      <c r="P68" s="14"/>
      <c r="Q68" s="14"/>
      <c r="R68" s="14"/>
      <c r="S68" s="14"/>
      <c r="T68" s="14"/>
      <c r="U68" s="14"/>
      <c r="V68" s="14"/>
      <c r="W68" s="14"/>
      <c r="X68" s="14"/>
      <c r="Y68" s="14"/>
      <c r="Z68" s="14"/>
      <c r="AA68" s="14"/>
      <c r="AB68" s="14"/>
    </row>
    <row r="69" spans="1:28" ht="21">
      <c r="A69" s="5" t="s">
        <v>426</v>
      </c>
      <c r="B69" s="5" t="s">
        <v>427</v>
      </c>
      <c r="C69" s="10"/>
      <c r="D69" s="10"/>
      <c r="E69" s="10"/>
      <c r="F69" s="10"/>
      <c r="G69" s="10"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v>
      </c>
      <c r="H69" s="7"/>
      <c r="I69" s="7"/>
      <c r="J69" s="2"/>
      <c r="K69" s="14"/>
      <c r="L69" s="14"/>
      <c r="M69" s="14"/>
      <c r="N69" s="14"/>
      <c r="O69" s="14"/>
      <c r="P69" s="14"/>
      <c r="Q69" s="14"/>
      <c r="R69" s="14"/>
      <c r="S69" s="14"/>
      <c r="T69" s="14"/>
      <c r="U69" s="14"/>
      <c r="V69" s="14"/>
      <c r="W69" s="14"/>
      <c r="X69" s="14"/>
      <c r="Y69" s="14"/>
      <c r="Z69" s="14"/>
      <c r="AA69" s="14"/>
      <c r="AB69" s="14"/>
    </row>
    <row r="70" spans="1:28" ht="21">
      <c r="A70" s="5" t="s">
        <v>432</v>
      </c>
      <c r="B70" s="5" t="s">
        <v>149</v>
      </c>
      <c r="C70" s="10"/>
      <c r="D70" s="10"/>
      <c r="E70" s="10"/>
      <c r="F70" s="10"/>
      <c r="G70" s="10"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7"/>
      <c r="I70" s="7"/>
      <c r="J70" s="2"/>
      <c r="K70" s="14"/>
      <c r="L70" s="14"/>
      <c r="M70" s="14"/>
      <c r="N70" s="14"/>
      <c r="O70" s="14"/>
      <c r="P70" s="14"/>
      <c r="Q70" s="14"/>
      <c r="R70" s="14"/>
      <c r="S70" s="14"/>
      <c r="T70" s="14"/>
      <c r="U70" s="14"/>
      <c r="V70" s="14"/>
      <c r="W70" s="14"/>
      <c r="X70" s="14"/>
      <c r="Y70" s="14"/>
      <c r="Z70" s="14"/>
      <c r="AA70" s="14"/>
      <c r="AB70" s="14"/>
    </row>
    <row r="71" spans="1:28" ht="21">
      <c r="A71" s="5" t="s">
        <v>435</v>
      </c>
      <c r="B71" s="5" t="s">
        <v>436</v>
      </c>
      <c r="C71" s="10"/>
      <c r="D71" s="10"/>
      <c r="E71" s="10"/>
      <c r="F71" s="10"/>
      <c r="G71" s="10"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v>
      </c>
      <c r="H71" s="7"/>
      <c r="I71" s="7"/>
      <c r="J71" s="2"/>
      <c r="K71" s="14"/>
      <c r="L71" s="14"/>
      <c r="M71" s="14"/>
      <c r="N71" s="14"/>
      <c r="O71" s="14"/>
      <c r="P71" s="14"/>
      <c r="Q71" s="14"/>
      <c r="R71" s="14"/>
      <c r="S71" s="14"/>
      <c r="T71" s="14"/>
      <c r="U71" s="14"/>
      <c r="V71" s="14"/>
      <c r="W71" s="14"/>
      <c r="X71" s="14"/>
      <c r="Y71" s="14"/>
      <c r="Z71" s="14"/>
      <c r="AA71" s="14"/>
      <c r="AB71" s="14"/>
    </row>
    <row r="72" spans="1:28" ht="21">
      <c r="A72" s="5" t="s">
        <v>442</v>
      </c>
      <c r="B72" s="5" t="s">
        <v>443</v>
      </c>
      <c r="C72" s="10"/>
      <c r="D72" s="10"/>
      <c r="E72" s="10"/>
      <c r="F72" s="10"/>
      <c r="G72" s="10"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7"/>
      <c r="I72" s="7"/>
      <c r="J72" s="2"/>
      <c r="K72" s="14"/>
      <c r="L72" s="14"/>
      <c r="M72" s="14"/>
      <c r="N72" s="14"/>
      <c r="O72" s="14"/>
      <c r="P72" s="14"/>
      <c r="Q72" s="14"/>
      <c r="R72" s="14"/>
      <c r="S72" s="14"/>
      <c r="T72" s="14"/>
      <c r="U72" s="14"/>
      <c r="V72" s="14"/>
      <c r="W72" s="14"/>
      <c r="X72" s="14"/>
      <c r="Y72" s="14"/>
      <c r="Z72" s="14"/>
      <c r="AA72" s="14"/>
      <c r="AB72" s="14"/>
    </row>
    <row r="73" spans="1:28" ht="21">
      <c r="A73" s="5" t="s">
        <v>447</v>
      </c>
      <c r="B73" s="5" t="s">
        <v>47</v>
      </c>
      <c r="C73" s="10"/>
      <c r="D73" s="10"/>
      <c r="E73" s="10"/>
      <c r="F73" s="10"/>
      <c r="G73" s="10"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7"/>
      <c r="I73" s="7"/>
      <c r="J73" s="2"/>
      <c r="K73" s="14"/>
      <c r="L73" s="14"/>
      <c r="M73" s="14"/>
      <c r="N73" s="14"/>
      <c r="O73" s="14"/>
      <c r="P73" s="14"/>
      <c r="Q73" s="14"/>
      <c r="R73" s="14"/>
      <c r="S73" s="14"/>
      <c r="T73" s="14"/>
      <c r="U73" s="14"/>
      <c r="V73" s="14"/>
      <c r="W73" s="14"/>
      <c r="X73" s="14"/>
      <c r="Y73" s="14"/>
      <c r="Z73" s="14"/>
      <c r="AA73" s="14"/>
      <c r="AB73" s="14"/>
    </row>
    <row r="74" spans="1:28" ht="21">
      <c r="A74" s="5" t="s">
        <v>451</v>
      </c>
      <c r="B74" s="5" t="s">
        <v>169</v>
      </c>
      <c r="C74" s="10"/>
      <c r="D74" s="10"/>
      <c r="E74" s="10"/>
      <c r="F74" s="10"/>
      <c r="G74" s="10"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7"/>
      <c r="I74" s="7"/>
      <c r="J74" s="2"/>
      <c r="K74" s="14"/>
      <c r="L74" s="14"/>
      <c r="M74" s="14"/>
      <c r="N74" s="14"/>
      <c r="O74" s="14"/>
      <c r="P74" s="14"/>
      <c r="Q74" s="14"/>
      <c r="R74" s="14"/>
      <c r="S74" s="14"/>
      <c r="T74" s="14"/>
      <c r="U74" s="14"/>
      <c r="V74" s="14"/>
      <c r="W74" s="14"/>
      <c r="X74" s="14"/>
      <c r="Y74" s="14"/>
      <c r="Z74" s="14"/>
      <c r="AA74" s="14"/>
      <c r="AB74" s="14"/>
    </row>
    <row r="75" spans="1:28" ht="21">
      <c r="A75" s="5" t="s">
        <v>455</v>
      </c>
      <c r="B75" s="5" t="s">
        <v>197</v>
      </c>
      <c r="C75" s="10"/>
      <c r="D75" s="10"/>
      <c r="E75" s="10"/>
      <c r="F75" s="10"/>
      <c r="G75" s="10"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7"/>
      <c r="I75" s="7"/>
      <c r="J75" s="2"/>
      <c r="K75" s="14"/>
      <c r="L75" s="14"/>
      <c r="M75" s="14"/>
      <c r="N75" s="14"/>
      <c r="O75" s="14"/>
      <c r="P75" s="14"/>
      <c r="Q75" s="14"/>
      <c r="R75" s="14"/>
      <c r="S75" s="14"/>
      <c r="T75" s="14"/>
      <c r="U75" s="14"/>
      <c r="V75" s="14"/>
      <c r="W75" s="14"/>
      <c r="X75" s="14"/>
      <c r="Y75" s="14"/>
      <c r="Z75" s="14"/>
      <c r="AA75" s="14"/>
      <c r="AB75" s="14"/>
    </row>
    <row r="76" spans="1:28" ht="21">
      <c r="A76" s="5" t="s">
        <v>461</v>
      </c>
      <c r="B76" s="6" t="s">
        <v>378</v>
      </c>
      <c r="C76" s="10"/>
      <c r="D76" s="10"/>
      <c r="E76" s="10"/>
      <c r="F76" s="10"/>
      <c r="G76" s="10"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7"/>
      <c r="I76" s="7"/>
      <c r="J76" s="2"/>
      <c r="K76" s="14"/>
      <c r="L76" s="14"/>
      <c r="M76" s="14"/>
      <c r="N76" s="14"/>
      <c r="O76" s="14"/>
      <c r="P76" s="14"/>
      <c r="Q76" s="14"/>
      <c r="R76" s="14"/>
      <c r="S76" s="14"/>
      <c r="T76" s="14"/>
      <c r="U76" s="14"/>
      <c r="V76" s="14"/>
      <c r="W76" s="14"/>
      <c r="X76" s="14"/>
      <c r="Y76" s="14"/>
      <c r="Z76" s="14"/>
      <c r="AA76" s="14"/>
      <c r="AB76" s="14"/>
    </row>
    <row r="77" spans="1:28" ht="21">
      <c r="A77" s="5" t="s">
        <v>467</v>
      </c>
      <c r="B77" s="5" t="s">
        <v>30</v>
      </c>
      <c r="C77" s="10"/>
      <c r="D77" s="10"/>
      <c r="E77" s="10"/>
      <c r="F77" s="10"/>
      <c r="G77" s="10"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7"/>
      <c r="I77" s="7"/>
      <c r="J77" s="2"/>
      <c r="K77" s="14"/>
      <c r="L77" s="14"/>
      <c r="M77" s="14"/>
      <c r="N77" s="14"/>
      <c r="O77" s="14"/>
      <c r="P77" s="14"/>
      <c r="Q77" s="14"/>
      <c r="R77" s="14"/>
      <c r="S77" s="14"/>
      <c r="T77" s="14"/>
      <c r="U77" s="14"/>
      <c r="V77" s="14"/>
      <c r="W77" s="14"/>
      <c r="X77" s="14"/>
      <c r="Y77" s="14"/>
      <c r="Z77" s="14"/>
      <c r="AA77" s="14"/>
      <c r="AB77" s="14"/>
    </row>
    <row r="78" spans="1:28" ht="21">
      <c r="A78" s="5" t="s">
        <v>472</v>
      </c>
      <c r="B78" s="5" t="s">
        <v>473</v>
      </c>
      <c r="C78" s="10"/>
      <c r="D78" s="10"/>
      <c r="E78" s="10"/>
      <c r="F78" s="10"/>
      <c r="G78" s="10" t="str">
        <f>IF(AND(ISNUMBER(MATCH(C78,{"F","E","D","D+","C","C+","B","B+","A","A+","S"},0)),ISNUMBER(MATCH(D78,{"F","E","D","D+","C","C+","B","B+","A","A+","S"},0)),ISNUMBER(MATCH(E78,{"F","E","D","D+","C","C+","B","B+","A","A+","S"},0)),ISNUMBER(MATCH(F78,{"F","E","D","D+","C","C+","B","B+","A","A+","S"},0))),LOOKUP(AVERAGE(_xlfn.SWITCH(C78,"F",0,"E",10,"D",20,"D+",30,"C",40,"C+",50,"B",60,"B+",70,"A",80,"A+",90,"S",100),_xlfn.SWITCH(D78,"F",0,"E",10,"D",20,"D+",30,"C",40,"C+",50,"B",60,"B+",70,"A",80,"A+",90,"S",100),_xlfn.SWITCH(E78,"F",0,"E",10,"D",20,"D+",30,"C",40,"C+",50,"B",60,"B+",70,"A",80,"A+",90,"S",100),_xlfn.SWITCH(F78,"F",0,"E",10,"D",20,"D+",30,"C",40,"C+",50,"B",60,"B+",70,"A",80,"A+",90,"S",100)),{0,15,25,35,45,55,65,75,85,95},{"D","D","D+","C","C+","B","B+","A","A+","S"}),"?")</f>
        <v>?</v>
      </c>
      <c r="H78" s="7"/>
      <c r="I78" s="7"/>
      <c r="J78" s="2"/>
      <c r="K78" s="14"/>
      <c r="L78" s="14"/>
      <c r="M78" s="14"/>
      <c r="N78" s="14"/>
      <c r="O78" s="14"/>
      <c r="P78" s="14"/>
      <c r="Q78" s="14"/>
      <c r="R78" s="14"/>
      <c r="S78" s="14"/>
      <c r="T78" s="14"/>
      <c r="U78" s="14"/>
      <c r="V78" s="14"/>
      <c r="W78" s="14"/>
      <c r="X78" s="14"/>
      <c r="Y78" s="14"/>
      <c r="Z78" s="14"/>
      <c r="AA78" s="14"/>
      <c r="AB78" s="14"/>
    </row>
    <row r="79" spans="1:28" ht="21">
      <c r="A79" s="5" t="s">
        <v>475</v>
      </c>
      <c r="B79" s="5" t="s">
        <v>476</v>
      </c>
      <c r="C79" s="10"/>
      <c r="D79" s="10"/>
      <c r="E79" s="10"/>
      <c r="F79" s="10"/>
      <c r="G79" s="10"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7"/>
      <c r="I79" s="7"/>
      <c r="J79" s="2"/>
      <c r="K79" s="14"/>
      <c r="L79" s="14"/>
      <c r="M79" s="14"/>
      <c r="N79" s="14"/>
      <c r="O79" s="14"/>
      <c r="P79" s="14"/>
      <c r="Q79" s="14"/>
      <c r="R79" s="14"/>
      <c r="S79" s="14"/>
      <c r="T79" s="14"/>
      <c r="U79" s="14"/>
      <c r="V79" s="14"/>
      <c r="W79" s="14"/>
      <c r="X79" s="14"/>
      <c r="Y79" s="14"/>
      <c r="Z79" s="14"/>
      <c r="AA79" s="14"/>
      <c r="AB79" s="14"/>
    </row>
    <row r="80" spans="1:28" ht="21">
      <c r="A80" s="5" t="s">
        <v>478</v>
      </c>
      <c r="B80" s="5" t="s">
        <v>321</v>
      </c>
      <c r="C80" s="10"/>
      <c r="D80" s="10"/>
      <c r="E80" s="10"/>
      <c r="F80" s="10"/>
      <c r="G80" s="10"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7"/>
      <c r="I80" s="7"/>
      <c r="J80" s="2"/>
      <c r="K80" s="14"/>
      <c r="L80" s="14"/>
      <c r="M80" s="14"/>
      <c r="N80" s="14"/>
      <c r="O80" s="14"/>
      <c r="P80" s="14"/>
      <c r="Q80" s="14"/>
      <c r="R80" s="14"/>
      <c r="S80" s="14"/>
      <c r="T80" s="14"/>
      <c r="U80" s="14"/>
      <c r="V80" s="14"/>
      <c r="W80" s="14"/>
      <c r="X80" s="14"/>
      <c r="Y80" s="14"/>
      <c r="Z80" s="14"/>
      <c r="AA80" s="14"/>
      <c r="AB80" s="14"/>
    </row>
    <row r="81" spans="1:28" ht="21">
      <c r="A81" s="5" t="s">
        <v>483</v>
      </c>
      <c r="B81" s="5" t="s">
        <v>484</v>
      </c>
      <c r="C81" s="10"/>
      <c r="D81" s="10"/>
      <c r="E81" s="10"/>
      <c r="F81" s="10"/>
      <c r="G81" s="10"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7"/>
      <c r="I81" s="7"/>
      <c r="J81" s="2"/>
      <c r="K81" s="14"/>
      <c r="L81" s="14"/>
      <c r="M81" s="14"/>
      <c r="N81" s="14"/>
      <c r="O81" s="14"/>
      <c r="P81" s="14"/>
      <c r="Q81" s="14"/>
      <c r="R81" s="14"/>
      <c r="S81" s="14"/>
      <c r="T81" s="14"/>
      <c r="U81" s="14"/>
      <c r="V81" s="14"/>
      <c r="W81" s="14"/>
      <c r="X81" s="14"/>
      <c r="Y81" s="14"/>
      <c r="Z81" s="14"/>
      <c r="AA81" s="14"/>
      <c r="AB81" s="14"/>
    </row>
    <row r="82" spans="1:28" ht="21">
      <c r="A82" s="5" t="s">
        <v>488</v>
      </c>
      <c r="B82" s="5" t="s">
        <v>489</v>
      </c>
      <c r="C82" s="10"/>
      <c r="D82" s="10"/>
      <c r="E82" s="10"/>
      <c r="F82" s="10"/>
      <c r="G82" s="10"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7"/>
      <c r="I82" s="7"/>
      <c r="J82" s="2"/>
      <c r="K82" s="14"/>
      <c r="L82" s="14"/>
      <c r="M82" s="14"/>
      <c r="N82" s="14"/>
      <c r="O82" s="14"/>
      <c r="P82" s="14"/>
      <c r="Q82" s="14"/>
      <c r="R82" s="14"/>
      <c r="S82" s="14"/>
      <c r="T82" s="14"/>
      <c r="U82" s="14"/>
      <c r="V82" s="14"/>
      <c r="W82" s="14"/>
      <c r="X82" s="14"/>
      <c r="Y82" s="14"/>
      <c r="Z82" s="14"/>
      <c r="AA82" s="14"/>
      <c r="AB82" s="14"/>
    </row>
    <row r="83" spans="1:28" ht="21">
      <c r="A83" s="5" t="s">
        <v>494</v>
      </c>
      <c r="B83" s="5" t="s">
        <v>495</v>
      </c>
      <c r="C83" s="10"/>
      <c r="D83" s="10"/>
      <c r="E83" s="10"/>
      <c r="F83" s="10"/>
      <c r="G83" s="10"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7"/>
      <c r="I83" s="7"/>
      <c r="J83" s="2"/>
      <c r="K83" s="14"/>
      <c r="L83" s="14"/>
      <c r="M83" s="14"/>
      <c r="N83" s="14"/>
      <c r="O83" s="14"/>
      <c r="P83" s="14"/>
      <c r="Q83" s="14"/>
      <c r="R83" s="14"/>
      <c r="S83" s="14"/>
      <c r="T83" s="14"/>
      <c r="U83" s="14"/>
      <c r="V83" s="14"/>
      <c r="W83" s="14"/>
      <c r="X83" s="14"/>
      <c r="Y83" s="14"/>
      <c r="Z83" s="14"/>
      <c r="AA83" s="14"/>
      <c r="AB83" s="14"/>
    </row>
    <row r="84" spans="1:28" ht="21">
      <c r="A84" s="5" t="s">
        <v>500</v>
      </c>
      <c r="B84" s="5" t="s">
        <v>501</v>
      </c>
      <c r="C84" s="10"/>
      <c r="D84" s="10"/>
      <c r="E84" s="10"/>
      <c r="F84" s="10"/>
      <c r="G84" s="10"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7"/>
      <c r="I84" s="7"/>
      <c r="J84" s="2"/>
      <c r="K84" s="14"/>
      <c r="L84" s="14"/>
      <c r="M84" s="14"/>
      <c r="N84" s="14"/>
      <c r="O84" s="14"/>
      <c r="P84" s="14"/>
      <c r="Q84" s="14"/>
      <c r="R84" s="14"/>
      <c r="S84" s="14"/>
      <c r="T84" s="14"/>
      <c r="U84" s="14"/>
      <c r="V84" s="14"/>
      <c r="W84" s="14"/>
      <c r="X84" s="14"/>
      <c r="Y84" s="14"/>
      <c r="Z84" s="14"/>
      <c r="AA84" s="14"/>
      <c r="AB84" s="14"/>
    </row>
    <row r="85" spans="1:28" ht="21">
      <c r="A85" s="5" t="s">
        <v>505</v>
      </c>
      <c r="B85" s="5" t="s">
        <v>506</v>
      </c>
      <c r="C85" s="10"/>
      <c r="D85" s="10"/>
      <c r="E85" s="10"/>
      <c r="F85" s="10"/>
      <c r="G85" s="10"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7"/>
      <c r="I85" s="7"/>
      <c r="J85" s="2"/>
      <c r="K85" s="14"/>
      <c r="L85" s="14"/>
      <c r="M85" s="14"/>
      <c r="N85" s="14"/>
      <c r="O85" s="14"/>
      <c r="P85" s="14"/>
      <c r="Q85" s="14"/>
      <c r="R85" s="14"/>
      <c r="S85" s="14"/>
      <c r="T85" s="14"/>
      <c r="U85" s="14"/>
      <c r="V85" s="14"/>
      <c r="W85" s="14"/>
      <c r="X85" s="14"/>
      <c r="Y85" s="14"/>
      <c r="Z85" s="14"/>
      <c r="AA85" s="14"/>
      <c r="AB85" s="14"/>
    </row>
    <row r="86" spans="1:28" ht="21">
      <c r="A86" s="5" t="s">
        <v>509</v>
      </c>
      <c r="B86" s="5" t="s">
        <v>237</v>
      </c>
      <c r="C86" s="10"/>
      <c r="D86" s="10"/>
      <c r="E86" s="10"/>
      <c r="F86" s="10"/>
      <c r="G86" s="10"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7"/>
      <c r="I86" s="7"/>
      <c r="J86" s="2"/>
      <c r="K86" s="14"/>
      <c r="L86" s="14"/>
      <c r="M86" s="14"/>
      <c r="N86" s="14"/>
      <c r="O86" s="14"/>
      <c r="P86" s="14"/>
      <c r="Q86" s="14"/>
      <c r="R86" s="14"/>
      <c r="S86" s="14"/>
      <c r="T86" s="14"/>
      <c r="U86" s="14"/>
      <c r="V86" s="14"/>
      <c r="W86" s="14"/>
      <c r="X86" s="14"/>
      <c r="Y86" s="14"/>
      <c r="Z86" s="14"/>
      <c r="AA86" s="14"/>
      <c r="AB86" s="14"/>
    </row>
    <row r="87" spans="1:28" ht="21">
      <c r="A87" s="5" t="s">
        <v>510</v>
      </c>
      <c r="B87" s="5" t="s">
        <v>511</v>
      </c>
      <c r="C87" s="10"/>
      <c r="D87" s="10"/>
      <c r="E87" s="10"/>
      <c r="F87" s="10"/>
      <c r="G87" s="10"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v>
      </c>
      <c r="H87" s="7"/>
      <c r="I87" s="7"/>
      <c r="J87" s="2"/>
      <c r="K87" s="14"/>
      <c r="L87" s="14"/>
      <c r="M87" s="14"/>
      <c r="N87" s="14"/>
      <c r="O87" s="14"/>
      <c r="P87" s="14"/>
      <c r="Q87" s="14"/>
      <c r="R87" s="14"/>
      <c r="S87" s="14"/>
      <c r="T87" s="14"/>
      <c r="U87" s="14"/>
      <c r="V87" s="14"/>
      <c r="W87" s="14"/>
      <c r="X87" s="14"/>
      <c r="Y87" s="14"/>
      <c r="Z87" s="14"/>
      <c r="AA87" s="14"/>
      <c r="AB87" s="14"/>
    </row>
    <row r="88" spans="1:28" ht="21">
      <c r="A88" s="5" t="s">
        <v>517</v>
      </c>
      <c r="B88" s="5" t="s">
        <v>224</v>
      </c>
      <c r="C88" s="10"/>
      <c r="D88" s="10"/>
      <c r="E88" s="10"/>
      <c r="F88" s="10"/>
      <c r="G88" s="10"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7"/>
      <c r="I88" s="7"/>
      <c r="J88" s="2"/>
      <c r="K88" s="14"/>
      <c r="L88" s="14"/>
      <c r="M88" s="14"/>
      <c r="N88" s="14"/>
      <c r="O88" s="14"/>
      <c r="P88" s="14"/>
      <c r="Q88" s="14"/>
      <c r="R88" s="14"/>
      <c r="S88" s="14"/>
      <c r="T88" s="14"/>
      <c r="U88" s="14"/>
      <c r="V88" s="14"/>
      <c r="W88" s="14"/>
      <c r="X88" s="14"/>
      <c r="Y88" s="14"/>
      <c r="Z88" s="14"/>
      <c r="AA88" s="14"/>
      <c r="AB88" s="14"/>
    </row>
    <row r="89" spans="1:28" ht="21">
      <c r="A89" s="5" t="s">
        <v>523</v>
      </c>
      <c r="B89" s="5" t="s">
        <v>460</v>
      </c>
      <c r="C89" s="10"/>
      <c r="D89" s="10"/>
      <c r="E89" s="10"/>
      <c r="F89" s="10"/>
      <c r="G89" s="10"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7"/>
      <c r="I89" s="7"/>
      <c r="J89" s="2"/>
      <c r="K89" s="14"/>
      <c r="L89" s="14"/>
      <c r="M89" s="14"/>
      <c r="N89" s="14"/>
      <c r="O89" s="14"/>
      <c r="P89" s="14"/>
      <c r="Q89" s="14"/>
      <c r="R89" s="14"/>
      <c r="S89" s="14"/>
      <c r="T89" s="14"/>
      <c r="U89" s="14"/>
      <c r="V89" s="14"/>
      <c r="W89" s="14"/>
      <c r="X89" s="14"/>
      <c r="Y89" s="14"/>
      <c r="Z89" s="14"/>
      <c r="AA89" s="14"/>
      <c r="AB89" s="14"/>
    </row>
    <row r="90" spans="1:28" ht="21">
      <c r="A90" s="5" t="s">
        <v>529</v>
      </c>
      <c r="B90" s="5" t="s">
        <v>530</v>
      </c>
      <c r="C90" s="10"/>
      <c r="D90" s="10"/>
      <c r="E90" s="10"/>
      <c r="F90" s="10"/>
      <c r="G90" s="10"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7"/>
      <c r="I90" s="7"/>
      <c r="J90" s="2"/>
      <c r="K90" s="14"/>
      <c r="L90" s="14"/>
      <c r="M90" s="14"/>
      <c r="N90" s="14"/>
      <c r="O90" s="14"/>
      <c r="P90" s="14"/>
      <c r="Q90" s="14"/>
      <c r="R90" s="14"/>
      <c r="S90" s="14"/>
      <c r="T90" s="14"/>
      <c r="U90" s="14"/>
      <c r="V90" s="14"/>
      <c r="W90" s="14"/>
      <c r="X90" s="14"/>
      <c r="Y90" s="14"/>
      <c r="Z90" s="14"/>
      <c r="AA90" s="14"/>
      <c r="AB90" s="14"/>
    </row>
    <row r="91" spans="1:28" ht="21">
      <c r="A91" s="5" t="s">
        <v>534</v>
      </c>
      <c r="B91" s="5" t="s">
        <v>535</v>
      </c>
      <c r="C91" s="10"/>
      <c r="D91" s="10"/>
      <c r="E91" s="10"/>
      <c r="F91" s="10"/>
      <c r="G91" s="10"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7"/>
      <c r="I91" s="7"/>
      <c r="J91" s="2"/>
      <c r="K91" s="14"/>
      <c r="L91" s="14"/>
      <c r="M91" s="14"/>
      <c r="N91" s="14"/>
      <c r="O91" s="14"/>
      <c r="P91" s="14"/>
      <c r="Q91" s="14"/>
      <c r="R91" s="14"/>
      <c r="S91" s="14"/>
      <c r="T91" s="14"/>
      <c r="U91" s="14"/>
      <c r="V91" s="14"/>
      <c r="W91" s="14"/>
      <c r="X91" s="14"/>
      <c r="Y91" s="14"/>
      <c r="Z91" s="14"/>
      <c r="AA91" s="14"/>
      <c r="AB91" s="14"/>
    </row>
    <row r="92" spans="1:28" ht="21">
      <c r="A92" s="5" t="s">
        <v>541</v>
      </c>
      <c r="B92" s="5" t="s">
        <v>542</v>
      </c>
      <c r="C92" s="10"/>
      <c r="D92" s="10"/>
      <c r="E92" s="10"/>
      <c r="F92" s="10"/>
      <c r="G92" s="10"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7"/>
      <c r="I92" s="7"/>
      <c r="J92" s="2"/>
      <c r="K92" s="14"/>
      <c r="L92" s="14"/>
      <c r="M92" s="14"/>
      <c r="N92" s="14"/>
      <c r="O92" s="14"/>
      <c r="P92" s="14"/>
      <c r="Q92" s="14"/>
      <c r="R92" s="14"/>
      <c r="S92" s="14"/>
      <c r="T92" s="14"/>
      <c r="U92" s="14"/>
      <c r="V92" s="14"/>
      <c r="W92" s="14"/>
      <c r="X92" s="14"/>
      <c r="Y92" s="14"/>
      <c r="Z92" s="14"/>
      <c r="AA92" s="14"/>
      <c r="AB92" s="14"/>
    </row>
    <row r="93" spans="1:28" ht="21">
      <c r="A93" s="5" t="s">
        <v>548</v>
      </c>
      <c r="B93" s="5" t="s">
        <v>549</v>
      </c>
      <c r="C93" s="10"/>
      <c r="D93" s="10"/>
      <c r="E93" s="10"/>
      <c r="F93" s="10"/>
      <c r="G93" s="10"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7"/>
      <c r="I93" s="7"/>
      <c r="J93" s="2"/>
      <c r="K93" s="14"/>
      <c r="L93" s="14"/>
      <c r="M93" s="14"/>
      <c r="N93" s="14"/>
      <c r="O93" s="14"/>
      <c r="P93" s="14"/>
      <c r="Q93" s="14"/>
      <c r="R93" s="14"/>
      <c r="S93" s="14"/>
      <c r="T93" s="14"/>
      <c r="U93" s="14"/>
      <c r="V93" s="14"/>
      <c r="W93" s="14"/>
      <c r="X93" s="14"/>
      <c r="Y93" s="14"/>
      <c r="Z93" s="14"/>
      <c r="AA93" s="14"/>
      <c r="AB93" s="14"/>
    </row>
    <row r="94" spans="1:28" ht="21">
      <c r="A94" s="5" t="s">
        <v>553</v>
      </c>
      <c r="B94" s="5" t="s">
        <v>352</v>
      </c>
      <c r="C94" s="10"/>
      <c r="D94" s="10"/>
      <c r="E94" s="10"/>
      <c r="F94" s="10"/>
      <c r="G94" s="10"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7"/>
      <c r="I94" s="7"/>
      <c r="J94" s="2"/>
      <c r="K94" s="14"/>
      <c r="L94" s="14"/>
      <c r="M94" s="14"/>
      <c r="N94" s="14"/>
      <c r="O94" s="14"/>
      <c r="P94" s="14"/>
      <c r="Q94" s="14"/>
      <c r="R94" s="14"/>
      <c r="S94" s="14"/>
      <c r="T94" s="14"/>
      <c r="U94" s="14"/>
      <c r="V94" s="14"/>
      <c r="W94" s="14"/>
      <c r="X94" s="14"/>
      <c r="Y94" s="14"/>
      <c r="Z94" s="14"/>
      <c r="AA94" s="14"/>
      <c r="AB94" s="14"/>
    </row>
    <row r="95" spans="1:28" ht="21">
      <c r="A95" s="5" t="s">
        <v>559</v>
      </c>
      <c r="B95" s="5" t="s">
        <v>560</v>
      </c>
      <c r="C95" s="10"/>
      <c r="D95" s="10"/>
      <c r="E95" s="10"/>
      <c r="F95" s="10"/>
      <c r="G95" s="10"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7"/>
      <c r="I95" s="7"/>
      <c r="J95" s="2"/>
      <c r="K95" s="14"/>
      <c r="L95" s="14"/>
      <c r="M95" s="14"/>
      <c r="N95" s="14"/>
      <c r="O95" s="14"/>
      <c r="P95" s="14"/>
      <c r="Q95" s="14"/>
      <c r="R95" s="14"/>
      <c r="S95" s="14"/>
      <c r="T95" s="14"/>
      <c r="U95" s="14"/>
      <c r="V95" s="14"/>
      <c r="W95" s="14"/>
      <c r="X95" s="14"/>
      <c r="Y95" s="14"/>
      <c r="Z95" s="14"/>
      <c r="AA95" s="14"/>
      <c r="AB95" s="14"/>
    </row>
    <row r="96" spans="1:28" ht="21">
      <c r="A96" s="5" t="s">
        <v>565</v>
      </c>
      <c r="B96" s="5" t="s">
        <v>441</v>
      </c>
      <c r="C96" s="10"/>
      <c r="D96" s="10"/>
      <c r="E96" s="10"/>
      <c r="F96" s="10"/>
      <c r="G96" s="10"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7"/>
      <c r="I96" s="7"/>
      <c r="J96" s="2"/>
      <c r="K96" s="14"/>
      <c r="L96" s="14"/>
      <c r="M96" s="14"/>
      <c r="N96" s="14"/>
      <c r="O96" s="14"/>
      <c r="P96" s="14"/>
      <c r="Q96" s="14"/>
      <c r="R96" s="14"/>
      <c r="S96" s="14"/>
      <c r="T96" s="14"/>
      <c r="U96" s="14"/>
      <c r="V96" s="14"/>
      <c r="W96" s="14"/>
      <c r="X96" s="14"/>
      <c r="Y96" s="14"/>
      <c r="Z96" s="14"/>
      <c r="AA96" s="14"/>
      <c r="AB96" s="14"/>
    </row>
    <row r="97" spans="1:28" ht="21">
      <c r="A97" s="5" t="s">
        <v>571</v>
      </c>
      <c r="B97" s="5" t="s">
        <v>572</v>
      </c>
      <c r="C97" s="10"/>
      <c r="D97" s="10"/>
      <c r="E97" s="10"/>
      <c r="F97" s="10"/>
      <c r="G97" s="10"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7"/>
      <c r="I97" s="7"/>
      <c r="J97" s="2"/>
      <c r="K97" s="14"/>
      <c r="L97" s="14"/>
      <c r="M97" s="14"/>
      <c r="N97" s="14"/>
      <c r="O97" s="14"/>
      <c r="P97" s="14"/>
      <c r="Q97" s="14"/>
      <c r="R97" s="14"/>
      <c r="S97" s="14"/>
      <c r="T97" s="14"/>
      <c r="U97" s="14"/>
      <c r="V97" s="14"/>
      <c r="W97" s="14"/>
      <c r="X97" s="14"/>
      <c r="Y97" s="14"/>
      <c r="Z97" s="14"/>
      <c r="AA97" s="14"/>
      <c r="AB97" s="14"/>
    </row>
    <row r="98" spans="1:28" ht="21">
      <c r="A98" s="5" t="s">
        <v>578</v>
      </c>
      <c r="B98" s="5" t="s">
        <v>579</v>
      </c>
      <c r="C98" s="10"/>
      <c r="D98" s="10"/>
      <c r="E98" s="10"/>
      <c r="F98" s="10"/>
      <c r="G98" s="10"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7"/>
      <c r="I98" s="7"/>
      <c r="J98" s="2"/>
      <c r="K98" s="14"/>
      <c r="L98" s="14"/>
      <c r="M98" s="14"/>
      <c r="N98" s="14"/>
      <c r="O98" s="14"/>
      <c r="P98" s="14"/>
      <c r="Q98" s="14"/>
      <c r="R98" s="14"/>
      <c r="S98" s="14"/>
      <c r="T98" s="14"/>
      <c r="U98" s="14"/>
      <c r="V98" s="14"/>
      <c r="W98" s="14"/>
      <c r="X98" s="14"/>
      <c r="Y98" s="14"/>
      <c r="Z98" s="14"/>
      <c r="AA98" s="14"/>
      <c r="AB98" s="14"/>
    </row>
    <row r="99" spans="1:28" ht="21">
      <c r="A99" s="5" t="s">
        <v>585</v>
      </c>
      <c r="B99" s="5" t="s">
        <v>586</v>
      </c>
      <c r="C99" s="10"/>
      <c r="D99" s="10"/>
      <c r="E99" s="10"/>
      <c r="F99" s="10"/>
      <c r="G99" s="10"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7"/>
      <c r="I99" s="7"/>
      <c r="J99" s="2"/>
      <c r="K99" s="14"/>
      <c r="L99" s="14"/>
      <c r="M99" s="14"/>
      <c r="N99" s="14"/>
      <c r="O99" s="14"/>
      <c r="P99" s="14"/>
      <c r="Q99" s="14"/>
      <c r="R99" s="14"/>
      <c r="S99" s="14"/>
      <c r="T99" s="14"/>
      <c r="U99" s="14"/>
      <c r="V99" s="14"/>
      <c r="W99" s="14"/>
      <c r="X99" s="14"/>
      <c r="Y99" s="14"/>
      <c r="Z99" s="14"/>
      <c r="AA99" s="14"/>
      <c r="AB99" s="14"/>
    </row>
    <row r="100" spans="1:28" ht="21">
      <c r="A100" s="5" t="s">
        <v>590</v>
      </c>
      <c r="B100" s="5" t="s">
        <v>591</v>
      </c>
      <c r="C100" s="10"/>
      <c r="D100" s="10"/>
      <c r="E100" s="10"/>
      <c r="F100" s="10"/>
      <c r="G100" s="10"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7"/>
      <c r="I100" s="7"/>
      <c r="J100" s="2"/>
      <c r="K100" s="14"/>
      <c r="L100" s="14"/>
      <c r="M100" s="14"/>
      <c r="N100" s="14"/>
      <c r="O100" s="14"/>
      <c r="P100" s="14"/>
      <c r="Q100" s="14"/>
      <c r="R100" s="14"/>
      <c r="S100" s="14"/>
      <c r="T100" s="14"/>
      <c r="U100" s="14"/>
      <c r="V100" s="14"/>
      <c r="W100" s="14"/>
      <c r="X100" s="14"/>
      <c r="Y100" s="14"/>
      <c r="Z100" s="14"/>
      <c r="AA100" s="14"/>
      <c r="AB100" s="14"/>
    </row>
    <row r="101" spans="1:28" ht="21">
      <c r="A101" s="5" t="s">
        <v>595</v>
      </c>
      <c r="B101" s="5" t="s">
        <v>596</v>
      </c>
      <c r="C101" s="10"/>
      <c r="D101" s="10"/>
      <c r="E101" s="10"/>
      <c r="F101" s="10"/>
      <c r="G101" s="10"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7"/>
      <c r="I101" s="7"/>
      <c r="J101" s="2"/>
      <c r="K101" s="14"/>
      <c r="L101" s="14"/>
      <c r="M101" s="14"/>
      <c r="N101" s="14"/>
      <c r="O101" s="14"/>
      <c r="P101" s="14"/>
      <c r="Q101" s="14"/>
      <c r="R101" s="14"/>
      <c r="S101" s="14"/>
      <c r="T101" s="14"/>
      <c r="U101" s="14"/>
      <c r="V101" s="14"/>
      <c r="W101" s="14"/>
      <c r="X101" s="14"/>
      <c r="Y101" s="14"/>
      <c r="Z101" s="14"/>
      <c r="AA101" s="14"/>
      <c r="AB101" s="14"/>
    </row>
    <row r="102" spans="1:28" ht="21">
      <c r="A102" s="5" t="s">
        <v>602</v>
      </c>
      <c r="B102" s="5" t="s">
        <v>603</v>
      </c>
      <c r="C102" s="10"/>
      <c r="D102" s="10"/>
      <c r="E102" s="10"/>
      <c r="F102" s="10"/>
      <c r="G102" s="10"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7"/>
      <c r="I102" s="7"/>
      <c r="J102" s="2"/>
      <c r="K102" s="14"/>
      <c r="L102" s="14"/>
      <c r="M102" s="14"/>
      <c r="N102" s="14"/>
      <c r="O102" s="14"/>
      <c r="P102" s="14"/>
      <c r="Q102" s="14"/>
      <c r="R102" s="14"/>
      <c r="S102" s="14"/>
      <c r="T102" s="14"/>
      <c r="U102" s="14"/>
      <c r="V102" s="14"/>
      <c r="W102" s="14"/>
      <c r="X102" s="14"/>
      <c r="Y102" s="14"/>
      <c r="Z102" s="14"/>
      <c r="AA102" s="14"/>
      <c r="AB102" s="14"/>
    </row>
    <row r="103" spans="1:28" ht="21">
      <c r="A103" s="5" t="s">
        <v>607</v>
      </c>
      <c r="B103" s="5" t="s">
        <v>381</v>
      </c>
      <c r="C103" s="10"/>
      <c r="D103" s="10"/>
      <c r="E103" s="10"/>
      <c r="F103" s="10"/>
      <c r="G103" s="10"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7"/>
      <c r="I103" s="7"/>
      <c r="J103" s="2"/>
      <c r="K103" s="14"/>
      <c r="L103" s="14"/>
      <c r="M103" s="14"/>
      <c r="N103" s="14"/>
      <c r="O103" s="14"/>
      <c r="P103" s="14"/>
      <c r="Q103" s="14"/>
      <c r="R103" s="14"/>
      <c r="S103" s="14"/>
      <c r="T103" s="14"/>
      <c r="U103" s="14"/>
      <c r="V103" s="14"/>
      <c r="W103" s="14"/>
      <c r="X103" s="14"/>
      <c r="Y103" s="14"/>
      <c r="Z103" s="14"/>
      <c r="AA103" s="14"/>
      <c r="AB103" s="14"/>
    </row>
    <row r="104" spans="1:28" ht="21">
      <c r="A104" s="5" t="s">
        <v>613</v>
      </c>
      <c r="B104" s="5" t="s">
        <v>108</v>
      </c>
      <c r="C104" s="10"/>
      <c r="D104" s="10"/>
      <c r="E104" s="10"/>
      <c r="F104" s="10"/>
      <c r="G104" s="10"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v>
      </c>
      <c r="H104" s="7"/>
      <c r="I104" s="7"/>
      <c r="J104" s="2"/>
      <c r="K104" s="14"/>
      <c r="L104" s="14"/>
      <c r="M104" s="14"/>
      <c r="N104" s="14"/>
      <c r="O104" s="14"/>
      <c r="P104" s="14"/>
      <c r="Q104" s="14"/>
      <c r="R104" s="14"/>
      <c r="S104" s="14"/>
      <c r="T104" s="14"/>
      <c r="U104" s="14"/>
      <c r="V104" s="14"/>
      <c r="W104" s="14"/>
      <c r="X104" s="14"/>
      <c r="Y104" s="14"/>
      <c r="Z104" s="14"/>
      <c r="AA104" s="14"/>
      <c r="AB104" s="14"/>
    </row>
    <row r="105" spans="1:28" ht="35.25" customHeight="1">
      <c r="A105" s="540" t="s">
        <v>619</v>
      </c>
      <c r="B105" s="543"/>
      <c r="C105" s="543"/>
      <c r="D105" s="543"/>
      <c r="E105" s="543"/>
      <c r="F105" s="543"/>
      <c r="G105" s="543"/>
      <c r="H105" s="550"/>
      <c r="I105" s="543"/>
      <c r="J105" s="2"/>
      <c r="K105" s="14"/>
      <c r="L105" s="14"/>
      <c r="M105" s="14"/>
      <c r="N105" s="14"/>
      <c r="O105" s="14"/>
      <c r="P105" s="14"/>
      <c r="Q105" s="14"/>
      <c r="R105" s="14"/>
      <c r="S105" s="14"/>
      <c r="T105" s="14"/>
      <c r="U105" s="14"/>
      <c r="V105" s="14"/>
      <c r="W105" s="14"/>
      <c r="X105" s="14"/>
      <c r="Y105" s="14"/>
      <c r="Z105" s="14"/>
      <c r="AA105" s="14"/>
      <c r="AB105" s="14"/>
    </row>
    <row r="106" spans="1:28" ht="21">
      <c r="A106" s="5" t="s">
        <v>4</v>
      </c>
      <c r="B106" s="6" t="s">
        <v>5</v>
      </c>
      <c r="C106" s="7" t="s">
        <v>6</v>
      </c>
      <c r="D106" s="7" t="s">
        <v>7</v>
      </c>
      <c r="E106" s="7" t="s">
        <v>8</v>
      </c>
      <c r="F106" s="7" t="s">
        <v>9</v>
      </c>
      <c r="G106" s="7" t="s">
        <v>10</v>
      </c>
      <c r="H106" s="7" t="s">
        <v>11</v>
      </c>
      <c r="I106" s="11" t="s">
        <v>12</v>
      </c>
      <c r="J106" s="2"/>
      <c r="K106" s="14"/>
      <c r="L106" s="14"/>
      <c r="M106" s="14"/>
      <c r="N106" s="14"/>
      <c r="O106" s="14"/>
      <c r="P106" s="14"/>
      <c r="Q106" s="14"/>
      <c r="R106" s="14"/>
      <c r="S106" s="14"/>
      <c r="T106" s="14"/>
      <c r="U106" s="14"/>
      <c r="V106" s="14"/>
      <c r="W106" s="14"/>
      <c r="X106" s="14"/>
      <c r="Y106" s="14"/>
      <c r="Z106" s="14"/>
      <c r="AA106" s="14"/>
      <c r="AB106" s="14"/>
    </row>
    <row r="107" spans="1:28" ht="21">
      <c r="A107" s="5" t="s">
        <v>633</v>
      </c>
      <c r="B107" s="5" t="s">
        <v>594</v>
      </c>
      <c r="C107" s="13" t="s">
        <v>21</v>
      </c>
      <c r="D107" s="13" t="s">
        <v>21</v>
      </c>
      <c r="E107" s="13" t="s">
        <v>21</v>
      </c>
      <c r="F107" s="13" t="s">
        <v>28</v>
      </c>
      <c r="G107" s="13" t="s">
        <v>21</v>
      </c>
      <c r="H107" s="7" t="s">
        <v>2996</v>
      </c>
      <c r="I107" s="7"/>
      <c r="J107" s="2"/>
      <c r="K107" s="14"/>
      <c r="L107" s="14"/>
      <c r="M107" s="14"/>
      <c r="N107" s="14"/>
      <c r="O107" s="14"/>
      <c r="P107" s="14"/>
      <c r="Q107" s="14"/>
      <c r="R107" s="14"/>
      <c r="S107" s="14"/>
      <c r="T107" s="14"/>
      <c r="U107" s="14"/>
      <c r="V107" s="14"/>
      <c r="W107" s="14"/>
      <c r="X107" s="14"/>
      <c r="Y107" s="14"/>
      <c r="Z107" s="14"/>
      <c r="AA107" s="14"/>
      <c r="AB107" s="14"/>
    </row>
    <row r="108" spans="1:28" ht="21">
      <c r="A108" s="5" t="s">
        <v>639</v>
      </c>
      <c r="B108" s="5" t="s">
        <v>640</v>
      </c>
      <c r="C108" s="13"/>
      <c r="D108" s="13"/>
      <c r="E108" s="13"/>
      <c r="F108" s="13"/>
      <c r="G108" s="13" t="s">
        <v>21</v>
      </c>
      <c r="H108" s="7"/>
      <c r="I108" s="7"/>
      <c r="J108" s="2"/>
      <c r="K108" s="14"/>
      <c r="L108" s="14"/>
      <c r="M108" s="14"/>
      <c r="N108" s="14"/>
      <c r="O108" s="14"/>
      <c r="P108" s="14"/>
      <c r="Q108" s="14"/>
      <c r="R108" s="14"/>
      <c r="S108" s="14"/>
      <c r="T108" s="14"/>
      <c r="U108" s="14"/>
      <c r="V108" s="14"/>
      <c r="W108" s="14"/>
      <c r="X108" s="14"/>
      <c r="Y108" s="14"/>
      <c r="Z108" s="14"/>
      <c r="AA108" s="14"/>
      <c r="AB108" s="14"/>
    </row>
    <row r="109" spans="1:28" ht="21">
      <c r="A109" s="5" t="s">
        <v>644</v>
      </c>
      <c r="B109" s="5" t="s">
        <v>645</v>
      </c>
      <c r="C109" s="13"/>
      <c r="D109" s="13"/>
      <c r="E109" s="13"/>
      <c r="F109" s="13"/>
      <c r="G109" s="13" t="s">
        <v>18</v>
      </c>
      <c r="H109" s="7"/>
      <c r="I109" s="7"/>
      <c r="J109" s="2"/>
      <c r="K109" s="14"/>
      <c r="L109" s="14"/>
      <c r="M109" s="14"/>
      <c r="N109" s="14"/>
      <c r="O109" s="14"/>
      <c r="P109" s="14"/>
      <c r="Q109" s="14"/>
      <c r="R109" s="14"/>
      <c r="S109" s="14"/>
      <c r="T109" s="14"/>
      <c r="U109" s="14"/>
      <c r="V109" s="14"/>
      <c r="W109" s="14"/>
      <c r="X109" s="14"/>
      <c r="Y109" s="14"/>
      <c r="Z109" s="14"/>
      <c r="AA109" s="14"/>
      <c r="AB109" s="14"/>
    </row>
    <row r="110" spans="1:28" ht="21">
      <c r="A110" s="5" t="s">
        <v>651</v>
      </c>
      <c r="B110" s="5" t="s">
        <v>652</v>
      </c>
      <c r="C110" s="13"/>
      <c r="D110" s="13"/>
      <c r="E110" s="13"/>
      <c r="F110" s="13"/>
      <c r="G110" s="13" t="s">
        <v>18</v>
      </c>
      <c r="H110" s="7"/>
      <c r="I110" s="7"/>
      <c r="J110" s="2"/>
      <c r="K110" s="14"/>
      <c r="L110" s="14"/>
      <c r="M110" s="14"/>
      <c r="N110" s="14"/>
      <c r="O110" s="14"/>
      <c r="P110" s="14"/>
      <c r="Q110" s="14"/>
      <c r="R110" s="14"/>
      <c r="S110" s="14"/>
      <c r="T110" s="14"/>
      <c r="U110" s="14"/>
      <c r="V110" s="14"/>
      <c r="W110" s="14"/>
      <c r="X110" s="14"/>
      <c r="Y110" s="14"/>
      <c r="Z110" s="14"/>
      <c r="AA110" s="14"/>
      <c r="AB110" s="14"/>
    </row>
    <row r="111" spans="1:28" ht="21">
      <c r="A111" s="5" t="s">
        <v>658</v>
      </c>
      <c r="B111" s="5" t="s">
        <v>659</v>
      </c>
      <c r="C111" s="13"/>
      <c r="D111" s="13"/>
      <c r="E111" s="13"/>
      <c r="F111" s="13"/>
      <c r="G111" s="13" t="s">
        <v>28</v>
      </c>
      <c r="H111" s="7"/>
      <c r="I111" s="7"/>
      <c r="J111" s="2"/>
      <c r="K111" s="14"/>
      <c r="L111" s="14"/>
      <c r="M111" s="14"/>
      <c r="N111" s="14"/>
      <c r="O111" s="14"/>
      <c r="P111" s="14"/>
      <c r="Q111" s="14"/>
      <c r="R111" s="14"/>
      <c r="S111" s="14"/>
      <c r="T111" s="14"/>
      <c r="U111" s="14"/>
      <c r="V111" s="14"/>
      <c r="W111" s="14"/>
      <c r="X111" s="14"/>
      <c r="Y111" s="14"/>
      <c r="Z111" s="14"/>
      <c r="AA111" s="14"/>
      <c r="AB111" s="14"/>
    </row>
    <row r="112" spans="1:28" ht="21">
      <c r="A112" s="5" t="s">
        <v>663</v>
      </c>
      <c r="B112" s="5" t="s">
        <v>5246</v>
      </c>
      <c r="C112" s="13"/>
      <c r="D112" s="13"/>
      <c r="E112" s="13"/>
      <c r="F112" s="13"/>
      <c r="G112" s="13" t="s">
        <v>21</v>
      </c>
      <c r="H112" s="7"/>
      <c r="I112" s="7"/>
      <c r="J112" s="2"/>
      <c r="K112" s="14"/>
      <c r="L112" s="14"/>
      <c r="M112" s="14"/>
      <c r="N112" s="14"/>
      <c r="O112" s="14"/>
      <c r="P112" s="14"/>
      <c r="Q112" s="14"/>
      <c r="R112" s="14"/>
      <c r="S112" s="14"/>
      <c r="T112" s="14"/>
      <c r="U112" s="14"/>
      <c r="V112" s="14"/>
      <c r="W112" s="14"/>
      <c r="X112" s="14"/>
      <c r="Y112" s="14"/>
      <c r="Z112" s="14"/>
      <c r="AA112" s="14"/>
      <c r="AB112" s="14"/>
    </row>
    <row r="113" spans="1:28" ht="21">
      <c r="A113" s="5" t="s">
        <v>667</v>
      </c>
      <c r="B113" s="23" t="s">
        <v>668</v>
      </c>
      <c r="C113" s="13"/>
      <c r="D113" s="13"/>
      <c r="E113" s="13"/>
      <c r="F113" s="13"/>
      <c r="G113" s="13"/>
      <c r="H113" s="7"/>
      <c r="I113" s="7"/>
      <c r="J113" s="2"/>
      <c r="K113" s="14"/>
      <c r="L113" s="14"/>
      <c r="M113" s="14"/>
      <c r="N113" s="14"/>
      <c r="O113" s="14"/>
      <c r="P113" s="14"/>
      <c r="Q113" s="14"/>
      <c r="R113" s="14"/>
      <c r="S113" s="14"/>
      <c r="T113" s="14"/>
      <c r="U113" s="14"/>
      <c r="V113" s="14"/>
      <c r="W113" s="14"/>
      <c r="X113" s="14"/>
      <c r="Y113" s="14"/>
      <c r="Z113" s="14"/>
      <c r="AA113" s="14"/>
      <c r="AB113" s="14"/>
    </row>
    <row r="114" spans="1:28" ht="21">
      <c r="A114" s="5" t="s">
        <v>674</v>
      </c>
      <c r="B114" s="23" t="s">
        <v>675</v>
      </c>
      <c r="C114" s="13"/>
      <c r="D114" s="13"/>
      <c r="E114" s="13"/>
      <c r="F114" s="13"/>
      <c r="G114" s="13" t="s">
        <v>21</v>
      </c>
      <c r="H114" s="7"/>
      <c r="I114" s="7"/>
      <c r="J114" s="2"/>
      <c r="K114" s="14"/>
      <c r="L114" s="14"/>
      <c r="M114" s="14"/>
      <c r="N114" s="14"/>
      <c r="O114" s="14"/>
      <c r="P114" s="14"/>
      <c r="Q114" s="14"/>
      <c r="R114" s="14"/>
      <c r="S114" s="14"/>
      <c r="T114" s="14"/>
      <c r="U114" s="14"/>
      <c r="V114" s="14"/>
      <c r="W114" s="14"/>
      <c r="X114" s="14"/>
      <c r="Y114" s="14"/>
      <c r="Z114" s="14"/>
      <c r="AA114" s="14"/>
      <c r="AB114" s="14"/>
    </row>
    <row r="115" spans="1:28" ht="21">
      <c r="A115" s="5" t="s">
        <v>681</v>
      </c>
      <c r="B115" s="5" t="s">
        <v>666</v>
      </c>
      <c r="C115" s="13"/>
      <c r="D115" s="13"/>
      <c r="E115" s="13"/>
      <c r="F115" s="13"/>
      <c r="G115" s="13" t="s">
        <v>1567</v>
      </c>
      <c r="H115" s="7"/>
      <c r="I115" s="7"/>
      <c r="J115" s="2"/>
      <c r="K115" s="14"/>
      <c r="L115" s="14"/>
      <c r="M115" s="14"/>
      <c r="N115" s="14"/>
      <c r="O115" s="14"/>
      <c r="P115" s="14"/>
      <c r="Q115" s="14"/>
      <c r="R115" s="14"/>
      <c r="S115" s="14"/>
      <c r="T115" s="14"/>
      <c r="U115" s="14"/>
      <c r="V115" s="14"/>
      <c r="W115" s="14"/>
      <c r="X115" s="14"/>
      <c r="Y115" s="14"/>
      <c r="Z115" s="14"/>
      <c r="AA115" s="14"/>
      <c r="AB115" s="14"/>
    </row>
    <row r="116" spans="1:28" ht="21">
      <c r="A116" s="5" t="s">
        <v>687</v>
      </c>
      <c r="B116" s="5" t="s">
        <v>688</v>
      </c>
      <c r="C116" s="13"/>
      <c r="D116" s="13"/>
      <c r="E116" s="13"/>
      <c r="F116" s="13"/>
      <c r="G116" s="13"/>
      <c r="H116" s="7"/>
      <c r="I116" s="7"/>
      <c r="J116" s="2"/>
      <c r="K116" s="14"/>
      <c r="L116" s="14"/>
      <c r="M116" s="14"/>
      <c r="N116" s="14"/>
      <c r="O116" s="14"/>
      <c r="P116" s="14"/>
      <c r="Q116" s="14"/>
      <c r="R116" s="14"/>
      <c r="S116" s="14"/>
      <c r="T116" s="14"/>
      <c r="U116" s="14"/>
      <c r="V116" s="14"/>
      <c r="W116" s="14"/>
      <c r="X116" s="14"/>
      <c r="Y116" s="14"/>
      <c r="Z116" s="14"/>
      <c r="AA116" s="14"/>
      <c r="AB116" s="14"/>
    </row>
    <row r="117" spans="1:28" ht="21">
      <c r="A117" s="5" t="s">
        <v>694</v>
      </c>
      <c r="B117" s="5" t="s">
        <v>695</v>
      </c>
      <c r="C117" s="13"/>
      <c r="D117" s="13"/>
      <c r="E117" s="13"/>
      <c r="F117" s="13"/>
      <c r="G117" s="13"/>
      <c r="H117" s="7"/>
      <c r="I117" s="7"/>
      <c r="J117" s="2"/>
      <c r="K117" s="14"/>
      <c r="L117" s="14"/>
      <c r="M117" s="14"/>
      <c r="N117" s="14"/>
      <c r="O117" s="14"/>
      <c r="P117" s="14"/>
      <c r="Q117" s="14"/>
      <c r="R117" s="14"/>
      <c r="S117" s="14"/>
      <c r="T117" s="14"/>
      <c r="U117" s="14"/>
      <c r="V117" s="14"/>
      <c r="W117" s="14"/>
      <c r="X117" s="14"/>
      <c r="Y117" s="14"/>
      <c r="Z117" s="14"/>
      <c r="AA117" s="14"/>
      <c r="AB117" s="14"/>
    </row>
    <row r="118" spans="1:28" ht="21">
      <c r="A118" s="5" t="s">
        <v>701</v>
      </c>
      <c r="B118" s="5" t="s">
        <v>702</v>
      </c>
      <c r="C118" s="13"/>
      <c r="D118" s="13"/>
      <c r="E118" s="13"/>
      <c r="F118" s="13"/>
      <c r="G118" s="13"/>
      <c r="H118" s="7"/>
      <c r="I118" s="7"/>
      <c r="J118" s="2"/>
      <c r="K118" s="14"/>
      <c r="L118" s="14"/>
      <c r="M118" s="14"/>
      <c r="N118" s="14"/>
      <c r="O118" s="14"/>
      <c r="P118" s="14"/>
      <c r="Q118" s="14"/>
      <c r="R118" s="14"/>
      <c r="S118" s="14"/>
      <c r="T118" s="14"/>
      <c r="U118" s="14"/>
      <c r="V118" s="14"/>
      <c r="W118" s="14"/>
      <c r="X118" s="14"/>
      <c r="Y118" s="14"/>
      <c r="Z118" s="14"/>
      <c r="AA118" s="14"/>
      <c r="AB118" s="14"/>
    </row>
    <row r="119" spans="1:28" ht="21">
      <c r="A119" s="5" t="s">
        <v>708</v>
      </c>
      <c r="B119" s="5" t="s">
        <v>709</v>
      </c>
      <c r="C119" s="13"/>
      <c r="D119" s="13"/>
      <c r="E119" s="13"/>
      <c r="F119" s="13"/>
      <c r="G119" s="13" t="s">
        <v>1567</v>
      </c>
      <c r="H119" s="7"/>
      <c r="I119" s="7"/>
      <c r="J119" s="2"/>
      <c r="K119" s="14"/>
      <c r="L119" s="14"/>
      <c r="M119" s="14"/>
      <c r="N119" s="14"/>
      <c r="O119" s="14"/>
      <c r="P119" s="14"/>
      <c r="Q119" s="14"/>
      <c r="R119" s="14"/>
      <c r="S119" s="14"/>
      <c r="T119" s="14"/>
      <c r="U119" s="14"/>
      <c r="V119" s="14"/>
      <c r="W119" s="14"/>
      <c r="X119" s="14"/>
      <c r="Y119" s="14"/>
      <c r="Z119" s="14"/>
      <c r="AA119" s="14"/>
      <c r="AB119" s="14"/>
    </row>
    <row r="120" spans="1:28" ht="21">
      <c r="A120" s="5" t="s">
        <v>715</v>
      </c>
      <c r="B120" s="5" t="s">
        <v>716</v>
      </c>
      <c r="C120" s="13"/>
      <c r="D120" s="13"/>
      <c r="E120" s="13"/>
      <c r="F120" s="13"/>
      <c r="G120" s="13"/>
      <c r="H120" s="7"/>
      <c r="I120" s="7"/>
      <c r="J120" s="2"/>
      <c r="K120" s="14"/>
      <c r="L120" s="14"/>
      <c r="M120" s="14"/>
      <c r="N120" s="14"/>
      <c r="O120" s="14"/>
      <c r="P120" s="14"/>
      <c r="Q120" s="14"/>
      <c r="R120" s="14"/>
      <c r="S120" s="14"/>
      <c r="T120" s="14"/>
      <c r="U120" s="14"/>
      <c r="V120" s="14"/>
      <c r="W120" s="14"/>
      <c r="X120" s="14"/>
      <c r="Y120" s="14"/>
      <c r="Z120" s="14"/>
      <c r="AA120" s="14"/>
      <c r="AB120" s="14"/>
    </row>
    <row r="121" spans="1:28" ht="21">
      <c r="A121" s="5" t="s">
        <v>722</v>
      </c>
      <c r="B121" s="5" t="s">
        <v>723</v>
      </c>
      <c r="C121" s="13"/>
      <c r="D121" s="13"/>
      <c r="E121" s="13"/>
      <c r="F121" s="13"/>
      <c r="G121" s="13" t="s">
        <v>1567</v>
      </c>
      <c r="H121" s="7"/>
      <c r="I121" s="7"/>
      <c r="J121" s="2"/>
      <c r="K121" s="14"/>
      <c r="L121" s="14"/>
      <c r="M121" s="14"/>
      <c r="N121" s="14"/>
      <c r="O121" s="14"/>
      <c r="P121" s="14"/>
      <c r="Q121" s="14"/>
      <c r="R121" s="14"/>
      <c r="S121" s="14"/>
      <c r="T121" s="14"/>
      <c r="U121" s="14"/>
      <c r="V121" s="14"/>
      <c r="W121" s="14"/>
      <c r="X121" s="14"/>
      <c r="Y121" s="14"/>
      <c r="Z121" s="14"/>
      <c r="AA121" s="14"/>
      <c r="AB121" s="14"/>
    </row>
    <row r="122" spans="1:28" ht="21">
      <c r="A122" s="5" t="s">
        <v>727</v>
      </c>
      <c r="B122" s="23" t="s">
        <v>558</v>
      </c>
      <c r="C122" s="13"/>
      <c r="D122" s="13"/>
      <c r="E122" s="13"/>
      <c r="F122" s="13"/>
      <c r="G122" s="13" t="s">
        <v>21</v>
      </c>
      <c r="H122" s="7"/>
      <c r="I122" s="7"/>
      <c r="J122" s="2"/>
      <c r="K122" s="14"/>
      <c r="L122" s="14"/>
      <c r="M122" s="14"/>
      <c r="N122" s="14"/>
      <c r="O122" s="14"/>
      <c r="P122" s="14"/>
      <c r="Q122" s="14"/>
      <c r="R122" s="14"/>
      <c r="S122" s="14"/>
      <c r="T122" s="14"/>
      <c r="U122" s="14"/>
      <c r="V122" s="14"/>
      <c r="W122" s="14"/>
      <c r="X122" s="14"/>
      <c r="Y122" s="14"/>
      <c r="Z122" s="14"/>
      <c r="AA122" s="14"/>
      <c r="AB122" s="14"/>
    </row>
    <row r="123" spans="1:28" ht="21">
      <c r="A123" s="5" t="s">
        <v>733</v>
      </c>
      <c r="B123" s="5" t="s">
        <v>686</v>
      </c>
      <c r="C123" s="13"/>
      <c r="D123" s="13"/>
      <c r="E123" s="13"/>
      <c r="F123" s="13"/>
      <c r="G123" s="13"/>
      <c r="H123" s="7"/>
      <c r="I123" s="7"/>
      <c r="J123" s="2"/>
      <c r="K123" s="14"/>
      <c r="L123" s="14"/>
      <c r="M123" s="14"/>
      <c r="N123" s="14"/>
      <c r="O123" s="14"/>
      <c r="P123" s="14"/>
      <c r="Q123" s="14"/>
      <c r="R123" s="14"/>
      <c r="S123" s="14"/>
      <c r="T123" s="14"/>
      <c r="U123" s="14"/>
      <c r="V123" s="14"/>
      <c r="W123" s="14"/>
      <c r="X123" s="14"/>
      <c r="Y123" s="14"/>
      <c r="Z123" s="14"/>
      <c r="AA123" s="14"/>
      <c r="AB123" s="14"/>
    </row>
    <row r="124" spans="1:28" ht="21">
      <c r="A124" s="5" t="s">
        <v>737</v>
      </c>
      <c r="B124" s="5" t="s">
        <v>700</v>
      </c>
      <c r="C124" s="13"/>
      <c r="D124" s="13"/>
      <c r="E124" s="13"/>
      <c r="F124" s="13"/>
      <c r="G124" s="13" t="s">
        <v>28</v>
      </c>
      <c r="H124" s="7"/>
      <c r="I124" s="7"/>
      <c r="J124" s="2"/>
      <c r="K124" s="14"/>
      <c r="L124" s="14"/>
      <c r="M124" s="14"/>
      <c r="N124" s="14"/>
      <c r="O124" s="14"/>
      <c r="P124" s="14"/>
      <c r="Q124" s="14"/>
      <c r="R124" s="14"/>
      <c r="S124" s="14"/>
      <c r="T124" s="14"/>
      <c r="U124" s="14"/>
      <c r="V124" s="14"/>
      <c r="W124" s="14"/>
      <c r="X124" s="14"/>
      <c r="Y124" s="14"/>
      <c r="Z124" s="14"/>
      <c r="AA124" s="14"/>
      <c r="AB124" s="14"/>
    </row>
    <row r="125" spans="1:28">
      <c r="A125" s="5" t="s">
        <v>741</v>
      </c>
      <c r="B125" s="5" t="s">
        <v>742</v>
      </c>
      <c r="C125" s="13"/>
      <c r="D125" s="13"/>
      <c r="E125" s="13"/>
      <c r="F125" s="13"/>
      <c r="G125" s="13"/>
      <c r="H125" s="7"/>
      <c r="I125" s="7"/>
    </row>
    <row r="126" spans="1:28">
      <c r="A126" s="5" t="s">
        <v>746</v>
      </c>
      <c r="B126" s="5" t="s">
        <v>693</v>
      </c>
      <c r="C126" s="13"/>
      <c r="D126" s="13"/>
      <c r="E126" s="13"/>
      <c r="F126" s="13"/>
      <c r="G126" s="13" t="s">
        <v>17</v>
      </c>
      <c r="H126" s="7"/>
      <c r="I126" s="7"/>
    </row>
    <row r="127" spans="1:28">
      <c r="A127" s="5" t="s">
        <v>752</v>
      </c>
      <c r="B127" s="23" t="s">
        <v>753</v>
      </c>
      <c r="C127" s="13"/>
      <c r="D127" s="13"/>
      <c r="E127" s="13"/>
      <c r="F127" s="13"/>
      <c r="G127" s="13" t="s">
        <v>21</v>
      </c>
      <c r="H127" s="7"/>
      <c r="I127" s="7"/>
    </row>
    <row r="128" spans="1:28">
      <c r="A128" s="5" t="s">
        <v>757</v>
      </c>
      <c r="B128" s="5" t="s">
        <v>758</v>
      </c>
      <c r="C128" s="13"/>
      <c r="D128" s="13"/>
      <c r="E128" s="13"/>
      <c r="F128" s="13"/>
      <c r="G128" s="13" t="s">
        <v>21</v>
      </c>
      <c r="H128" s="7"/>
      <c r="I128" s="7"/>
    </row>
    <row r="129" spans="1:9">
      <c r="A129" s="5" t="s">
        <v>762</v>
      </c>
      <c r="B129" s="5" t="s">
        <v>763</v>
      </c>
      <c r="C129" s="13"/>
      <c r="D129" s="13"/>
      <c r="E129" s="13"/>
      <c r="F129" s="13"/>
      <c r="G129" s="13" t="s">
        <v>21</v>
      </c>
      <c r="H129" s="7"/>
      <c r="I129" s="7"/>
    </row>
    <row r="130" spans="1:9">
      <c r="A130" s="5" t="s">
        <v>767</v>
      </c>
      <c r="B130" s="5" t="s">
        <v>768</v>
      </c>
      <c r="C130" s="13"/>
      <c r="D130" s="13"/>
      <c r="E130" s="13"/>
      <c r="F130" s="13"/>
      <c r="G130" s="13"/>
      <c r="H130" s="7"/>
      <c r="I130" s="7"/>
    </row>
    <row r="131" spans="1:9">
      <c r="A131" s="5" t="s">
        <v>772</v>
      </c>
      <c r="B131" s="5" t="s">
        <v>773</v>
      </c>
      <c r="C131" s="13"/>
      <c r="D131" s="13"/>
      <c r="E131" s="13"/>
      <c r="F131" s="13"/>
      <c r="G131" s="13"/>
      <c r="H131" s="7"/>
      <c r="I131" s="7"/>
    </row>
    <row r="132" spans="1:9">
      <c r="A132" s="5" t="s">
        <v>779</v>
      </c>
      <c r="B132" s="5" t="s">
        <v>780</v>
      </c>
      <c r="C132" s="13"/>
      <c r="D132" s="13"/>
      <c r="E132" s="13"/>
      <c r="F132" s="13"/>
      <c r="G132" s="13" t="s">
        <v>28</v>
      </c>
      <c r="H132" s="7"/>
      <c r="I132" s="7"/>
    </row>
    <row r="133" spans="1:9">
      <c r="A133" s="5" t="s">
        <v>785</v>
      </c>
      <c r="B133" s="23" t="s">
        <v>786</v>
      </c>
      <c r="C133" s="13"/>
      <c r="D133" s="13"/>
      <c r="E133" s="13"/>
      <c r="F133" s="13"/>
      <c r="G133" s="13" t="s">
        <v>28</v>
      </c>
      <c r="H133" s="7"/>
      <c r="I133" s="7"/>
    </row>
    <row r="134" spans="1:9">
      <c r="A134" s="5" t="s">
        <v>791</v>
      </c>
      <c r="B134" s="5" t="s">
        <v>792</v>
      </c>
      <c r="C134" s="13"/>
      <c r="D134" s="13"/>
      <c r="E134" s="13"/>
      <c r="F134" s="13"/>
      <c r="G134" s="13"/>
      <c r="H134" s="7"/>
      <c r="I134" s="7"/>
    </row>
    <row r="135" spans="1:9">
      <c r="A135" s="5" t="s">
        <v>796</v>
      </c>
      <c r="B135" s="5" t="s">
        <v>797</v>
      </c>
      <c r="C135" s="13"/>
      <c r="D135" s="13"/>
      <c r="E135" s="13"/>
      <c r="F135" s="13"/>
      <c r="G135" s="13"/>
      <c r="H135" s="7"/>
      <c r="I135" s="7"/>
    </row>
    <row r="136" spans="1:9">
      <c r="A136" s="5" t="s">
        <v>800</v>
      </c>
      <c r="B136" s="23" t="s">
        <v>801</v>
      </c>
      <c r="C136" s="13"/>
      <c r="D136" s="13"/>
      <c r="E136" s="13"/>
      <c r="F136" s="13"/>
      <c r="G136" s="13"/>
      <c r="H136" s="7"/>
      <c r="I136" s="7"/>
    </row>
    <row r="137" spans="1:9">
      <c r="A137" s="5" t="s">
        <v>807</v>
      </c>
      <c r="B137" s="5" t="s">
        <v>808</v>
      </c>
      <c r="C137" s="13"/>
      <c r="D137" s="13"/>
      <c r="E137" s="13"/>
      <c r="F137" s="13"/>
      <c r="G137" s="13"/>
      <c r="H137" s="7"/>
      <c r="I137" s="7"/>
    </row>
    <row r="138" spans="1:9">
      <c r="A138" s="5" t="s">
        <v>814</v>
      </c>
      <c r="B138" s="5" t="s">
        <v>736</v>
      </c>
      <c r="C138" s="13"/>
      <c r="D138" s="13"/>
      <c r="E138" s="13"/>
      <c r="F138" s="13"/>
      <c r="G138" s="13" t="s">
        <v>28</v>
      </c>
      <c r="H138" s="7"/>
      <c r="I138" s="7"/>
    </row>
    <row r="139" spans="1:9">
      <c r="A139" s="5" t="s">
        <v>818</v>
      </c>
      <c r="B139" s="5" t="s">
        <v>819</v>
      </c>
      <c r="C139" s="13"/>
      <c r="D139" s="13"/>
      <c r="E139" s="13"/>
      <c r="F139" s="13"/>
      <c r="G139" s="13"/>
      <c r="H139" s="7"/>
      <c r="I139" s="7"/>
    </row>
    <row r="140" spans="1:9">
      <c r="A140" s="5" t="s">
        <v>825</v>
      </c>
      <c r="B140" s="23" t="s">
        <v>826</v>
      </c>
      <c r="C140" s="13"/>
      <c r="D140" s="13"/>
      <c r="E140" s="13"/>
      <c r="F140" s="13"/>
      <c r="G140" s="13"/>
      <c r="H140" s="7"/>
      <c r="I140" s="7"/>
    </row>
    <row r="141" spans="1:9">
      <c r="A141" s="5" t="s">
        <v>832</v>
      </c>
      <c r="B141" s="5" t="s">
        <v>833</v>
      </c>
      <c r="C141" s="13"/>
      <c r="D141" s="13"/>
      <c r="E141" s="13"/>
      <c r="F141" s="13"/>
      <c r="G141" s="13" t="s">
        <v>21</v>
      </c>
      <c r="H141" s="7"/>
      <c r="I141" s="7"/>
    </row>
    <row r="142" spans="1:9">
      <c r="A142" s="5" t="s">
        <v>837</v>
      </c>
      <c r="B142" s="5" t="s">
        <v>838</v>
      </c>
      <c r="C142" s="13"/>
      <c r="D142" s="13"/>
      <c r="E142" s="13"/>
      <c r="F142" s="13"/>
      <c r="G142" s="13" t="s">
        <v>1567</v>
      </c>
      <c r="H142" s="7"/>
      <c r="I142" s="7"/>
    </row>
    <row r="143" spans="1:9">
      <c r="A143" s="5" t="s">
        <v>844</v>
      </c>
      <c r="B143" s="23" t="s">
        <v>627</v>
      </c>
      <c r="C143" s="13"/>
      <c r="D143" s="13"/>
      <c r="E143" s="13"/>
      <c r="F143" s="13"/>
      <c r="G143" s="13"/>
      <c r="H143" s="7"/>
      <c r="I143" s="7"/>
    </row>
    <row r="144" spans="1:9">
      <c r="A144" s="5" t="s">
        <v>850</v>
      </c>
      <c r="B144" s="5" t="s">
        <v>851</v>
      </c>
      <c r="C144" s="13"/>
      <c r="D144" s="13"/>
      <c r="E144" s="13"/>
      <c r="F144" s="13"/>
      <c r="G144" s="13" t="s">
        <v>1567</v>
      </c>
      <c r="H144" s="7"/>
      <c r="I144" s="7"/>
    </row>
    <row r="145" spans="1:9">
      <c r="A145" s="5" t="s">
        <v>855</v>
      </c>
      <c r="B145" s="23" t="s">
        <v>662</v>
      </c>
      <c r="C145" s="13"/>
      <c r="D145" s="13"/>
      <c r="E145" s="13"/>
      <c r="F145" s="13"/>
      <c r="G145" s="13" t="s">
        <v>28</v>
      </c>
      <c r="H145" s="7"/>
      <c r="I145" s="7"/>
    </row>
    <row r="146" spans="1:9">
      <c r="A146" s="5" t="s">
        <v>859</v>
      </c>
      <c r="B146" s="5" t="s">
        <v>860</v>
      </c>
      <c r="C146" s="13"/>
      <c r="D146" s="13"/>
      <c r="E146" s="13"/>
      <c r="F146" s="13"/>
      <c r="G146" s="13"/>
      <c r="H146" s="7"/>
      <c r="I146" s="7"/>
    </row>
    <row r="147" spans="1:9">
      <c r="A147" s="5" t="s">
        <v>861</v>
      </c>
      <c r="B147" s="5" t="s">
        <v>862</v>
      </c>
      <c r="C147" s="13"/>
      <c r="D147" s="13"/>
      <c r="E147" s="13"/>
      <c r="F147" s="13"/>
      <c r="G147" s="13" t="s">
        <v>1567</v>
      </c>
      <c r="H147" s="7"/>
      <c r="I147" s="7"/>
    </row>
    <row r="148" spans="1:9">
      <c r="A148" s="5" t="s">
        <v>865</v>
      </c>
      <c r="B148" s="5" t="s">
        <v>866</v>
      </c>
      <c r="C148" s="13"/>
      <c r="D148" s="13"/>
      <c r="E148" s="13"/>
      <c r="F148" s="13"/>
      <c r="G148" s="13"/>
      <c r="H148" s="7"/>
      <c r="I148" s="7"/>
    </row>
    <row r="149" spans="1:9">
      <c r="A149" s="5" t="s">
        <v>870</v>
      </c>
      <c r="B149" s="5" t="s">
        <v>843</v>
      </c>
      <c r="C149" s="13"/>
      <c r="D149" s="13"/>
      <c r="E149" s="13"/>
      <c r="F149" s="13"/>
      <c r="G149" s="13" t="s">
        <v>17</v>
      </c>
      <c r="H149" s="7"/>
      <c r="I149" s="7"/>
    </row>
    <row r="150" spans="1:9">
      <c r="A150" s="5" t="s">
        <v>876</v>
      </c>
      <c r="B150" s="23" t="s">
        <v>877</v>
      </c>
      <c r="C150" s="13"/>
      <c r="D150" s="13"/>
      <c r="E150" s="13"/>
      <c r="F150" s="13"/>
      <c r="G150" s="13"/>
      <c r="H150" s="7"/>
      <c r="I150" s="7"/>
    </row>
    <row r="151" spans="1:9">
      <c r="A151" s="5" t="s">
        <v>881</v>
      </c>
      <c r="B151" s="23" t="s">
        <v>882</v>
      </c>
      <c r="C151" s="13"/>
      <c r="D151" s="13"/>
      <c r="E151" s="13"/>
      <c r="F151" s="13"/>
      <c r="G151" s="13"/>
      <c r="H151" s="7"/>
      <c r="I151" s="7"/>
    </row>
    <row r="152" spans="1:9">
      <c r="A152" s="5" t="s">
        <v>888</v>
      </c>
      <c r="B152" s="23" t="s">
        <v>889</v>
      </c>
      <c r="C152" s="13"/>
      <c r="D152" s="13"/>
      <c r="E152" s="13"/>
      <c r="F152" s="13"/>
      <c r="G152" s="13"/>
      <c r="H152" s="7"/>
      <c r="I152" s="7"/>
    </row>
    <row r="153" spans="1:9">
      <c r="A153" s="5" t="s">
        <v>895</v>
      </c>
      <c r="B153" s="23" t="s">
        <v>849</v>
      </c>
      <c r="C153" s="13"/>
      <c r="D153" s="13"/>
      <c r="E153" s="13"/>
      <c r="F153" s="13"/>
      <c r="G153" s="13" t="s">
        <v>28</v>
      </c>
      <c r="H153" s="7"/>
      <c r="I153" s="7"/>
    </row>
    <row r="154" spans="1:9">
      <c r="A154" s="5" t="s">
        <v>898</v>
      </c>
      <c r="B154" s="23" t="s">
        <v>899</v>
      </c>
      <c r="C154" s="13"/>
      <c r="D154" s="13"/>
      <c r="E154" s="13"/>
      <c r="F154" s="13"/>
      <c r="G154" s="13"/>
      <c r="H154" s="7"/>
      <c r="I154" s="7"/>
    </row>
    <row r="155" spans="1:9">
      <c r="A155" s="5" t="s">
        <v>905</v>
      </c>
      <c r="B155" s="5" t="s">
        <v>906</v>
      </c>
      <c r="C155" s="13"/>
      <c r="D155" s="13"/>
      <c r="E155" s="13"/>
      <c r="F155" s="13"/>
      <c r="G155" s="13"/>
      <c r="H155" s="7"/>
      <c r="I155" s="7"/>
    </row>
    <row r="156" spans="1:9">
      <c r="A156" s="5" t="s">
        <v>912</v>
      </c>
      <c r="B156" s="5" t="s">
        <v>913</v>
      </c>
      <c r="C156" s="13"/>
      <c r="D156" s="13"/>
      <c r="E156" s="13"/>
      <c r="F156" s="13"/>
      <c r="G156" s="13"/>
      <c r="H156" s="7"/>
      <c r="I156" s="7"/>
    </row>
    <row r="157" spans="1:9">
      <c r="A157" s="5" t="s">
        <v>919</v>
      </c>
      <c r="B157" s="5" t="s">
        <v>920</v>
      </c>
      <c r="C157" s="13"/>
      <c r="D157" s="13"/>
      <c r="E157" s="13"/>
      <c r="F157" s="13"/>
      <c r="G157" s="13"/>
      <c r="H157" s="7"/>
      <c r="I157" s="7"/>
    </row>
    <row r="158" spans="1:9">
      <c r="A158" s="5" t="s">
        <v>924</v>
      </c>
      <c r="B158" s="5" t="s">
        <v>925</v>
      </c>
      <c r="C158" s="13"/>
      <c r="D158" s="13"/>
      <c r="E158" s="13"/>
      <c r="F158" s="13"/>
      <c r="G158" s="13"/>
      <c r="H158" s="7"/>
      <c r="I158" s="7"/>
    </row>
    <row r="159" spans="1:9">
      <c r="A159" s="5" t="s">
        <v>929</v>
      </c>
      <c r="B159" s="5" t="s">
        <v>930</v>
      </c>
      <c r="C159" s="13"/>
      <c r="D159" s="13"/>
      <c r="E159" s="13"/>
      <c r="F159" s="13"/>
      <c r="G159" s="13" t="s">
        <v>28</v>
      </c>
      <c r="H159" s="7"/>
      <c r="I159" s="7"/>
    </row>
    <row r="160" spans="1:9">
      <c r="A160" s="5" t="s">
        <v>934</v>
      </c>
      <c r="B160" s="5" t="s">
        <v>522</v>
      </c>
      <c r="C160" s="13"/>
      <c r="D160" s="13"/>
      <c r="E160" s="13"/>
      <c r="F160" s="13"/>
      <c r="G160" s="13" t="s">
        <v>21</v>
      </c>
      <c r="H160" s="7"/>
      <c r="I160" s="7"/>
    </row>
    <row r="161" spans="1:9">
      <c r="A161" s="5" t="s">
        <v>937</v>
      </c>
      <c r="B161" s="5" t="s">
        <v>547</v>
      </c>
      <c r="C161" s="13"/>
      <c r="D161" s="13"/>
      <c r="E161" s="13"/>
      <c r="F161" s="13"/>
      <c r="G161" s="13" t="s">
        <v>1567</v>
      </c>
      <c r="H161" s="7"/>
      <c r="I161" s="7"/>
    </row>
    <row r="162" spans="1:9">
      <c r="A162" s="5" t="s">
        <v>943</v>
      </c>
      <c r="B162" s="5" t="s">
        <v>944</v>
      </c>
      <c r="C162" s="13"/>
      <c r="D162" s="13"/>
      <c r="E162" s="13"/>
      <c r="F162" s="13"/>
      <c r="G162" s="13"/>
      <c r="H162" s="7"/>
      <c r="I162" s="7"/>
    </row>
    <row r="163" spans="1:9">
      <c r="A163" s="5" t="s">
        <v>950</v>
      </c>
      <c r="B163" s="5" t="s">
        <v>951</v>
      </c>
      <c r="C163" s="13"/>
      <c r="D163" s="13"/>
      <c r="E163" s="13"/>
      <c r="F163" s="13"/>
      <c r="G163" s="13"/>
      <c r="H163" s="7"/>
      <c r="I163" s="7"/>
    </row>
    <row r="164" spans="1:9">
      <c r="A164" s="5" t="s">
        <v>957</v>
      </c>
      <c r="B164" s="5" t="s">
        <v>958</v>
      </c>
      <c r="C164" s="13"/>
      <c r="D164" s="13"/>
      <c r="E164" s="13"/>
      <c r="F164" s="13"/>
      <c r="G164" s="13" t="s">
        <v>21</v>
      </c>
      <c r="H164" s="7"/>
      <c r="I164" s="7"/>
    </row>
    <row r="165" spans="1:9">
      <c r="A165" s="5" t="s">
        <v>964</v>
      </c>
      <c r="B165" s="5" t="s">
        <v>965</v>
      </c>
      <c r="C165" s="13"/>
      <c r="D165" s="13"/>
      <c r="E165" s="13"/>
      <c r="F165" s="13"/>
      <c r="G165" s="13" t="s">
        <v>21</v>
      </c>
      <c r="H165" s="7"/>
      <c r="I165" s="7"/>
    </row>
    <row r="166" spans="1:9">
      <c r="A166" s="5" t="s">
        <v>971</v>
      </c>
      <c r="B166" s="23" t="s">
        <v>972</v>
      </c>
      <c r="C166" s="13"/>
      <c r="D166" s="13"/>
      <c r="E166" s="13"/>
      <c r="F166" s="13"/>
      <c r="G166" s="13"/>
      <c r="H166" s="7"/>
      <c r="I166" s="7"/>
    </row>
    <row r="167" spans="1:9">
      <c r="A167" s="5" t="s">
        <v>976</v>
      </c>
      <c r="B167" s="5" t="s">
        <v>977</v>
      </c>
      <c r="C167" s="13"/>
      <c r="D167" s="13"/>
      <c r="E167" s="13"/>
      <c r="F167" s="13"/>
      <c r="G167" s="13"/>
      <c r="H167" s="7"/>
      <c r="I167" s="7"/>
    </row>
    <row r="168" spans="1:9">
      <c r="A168" s="5" t="s">
        <v>981</v>
      </c>
      <c r="B168" s="23" t="s">
        <v>624</v>
      </c>
      <c r="C168" s="13"/>
      <c r="D168" s="13"/>
      <c r="E168" s="13"/>
      <c r="F168" s="13"/>
      <c r="G168" s="13" t="s">
        <v>28</v>
      </c>
      <c r="H168" s="7"/>
      <c r="I168" s="7"/>
    </row>
    <row r="169" spans="1:9">
      <c r="A169" s="5" t="s">
        <v>986</v>
      </c>
      <c r="B169" s="23" t="s">
        <v>657</v>
      </c>
      <c r="C169" s="13"/>
      <c r="D169" s="13"/>
      <c r="E169" s="13"/>
      <c r="F169" s="13"/>
      <c r="G169" s="13" t="s">
        <v>17</v>
      </c>
      <c r="H169" s="7"/>
      <c r="I169" s="7"/>
    </row>
    <row r="170" spans="1:9">
      <c r="A170" s="5" t="s">
        <v>990</v>
      </c>
      <c r="B170" s="23" t="s">
        <v>836</v>
      </c>
      <c r="C170" s="13"/>
      <c r="D170" s="13"/>
      <c r="E170" s="13"/>
      <c r="F170" s="13"/>
      <c r="G170" s="13" t="s">
        <v>28</v>
      </c>
      <c r="H170" s="7"/>
      <c r="I170" s="7"/>
    </row>
    <row r="171" spans="1:9">
      <c r="A171" s="5" t="s">
        <v>996</v>
      </c>
      <c r="B171" s="5" t="s">
        <v>806</v>
      </c>
      <c r="C171" s="13"/>
      <c r="D171" s="13"/>
      <c r="E171" s="13"/>
      <c r="F171" s="13"/>
      <c r="G171" s="13" t="s">
        <v>28</v>
      </c>
      <c r="H171" s="7"/>
      <c r="I171" s="7"/>
    </row>
    <row r="172" spans="1:9">
      <c r="A172" s="5" t="s">
        <v>1002</v>
      </c>
      <c r="B172" s="23" t="s">
        <v>1003</v>
      </c>
      <c r="C172" s="13"/>
      <c r="D172" s="13"/>
      <c r="E172" s="13"/>
      <c r="F172" s="13"/>
      <c r="G172" s="13" t="s">
        <v>21</v>
      </c>
      <c r="H172" s="7"/>
      <c r="I172" s="7"/>
    </row>
    <row r="173" spans="1:9">
      <c r="A173" s="5" t="s">
        <v>1009</v>
      </c>
      <c r="B173" s="5" t="s">
        <v>795</v>
      </c>
      <c r="C173" s="13"/>
      <c r="D173" s="13"/>
      <c r="E173" s="13"/>
      <c r="F173" s="13"/>
      <c r="G173" s="13" t="s">
        <v>28</v>
      </c>
      <c r="H173" s="7"/>
      <c r="I173" s="7"/>
    </row>
    <row r="174" spans="1:9">
      <c r="A174" s="5" t="s">
        <v>1013</v>
      </c>
      <c r="B174" s="23" t="s">
        <v>1014</v>
      </c>
      <c r="C174" s="13"/>
      <c r="D174" s="13"/>
      <c r="E174" s="13"/>
      <c r="F174" s="13"/>
      <c r="G174" s="13" t="s">
        <v>1567</v>
      </c>
      <c r="H174" s="13"/>
      <c r="I174" s="7"/>
    </row>
    <row r="175" spans="1:9">
      <c r="A175" s="5" t="s">
        <v>1018</v>
      </c>
      <c r="B175" s="5" t="s">
        <v>1019</v>
      </c>
      <c r="C175" s="13"/>
      <c r="D175" s="13"/>
      <c r="E175" s="13"/>
      <c r="F175" s="13"/>
      <c r="G175" s="13"/>
      <c r="H175" s="7"/>
      <c r="I175" s="7"/>
    </row>
    <row r="176" spans="1:9">
      <c r="A176" s="5" t="s">
        <v>1023</v>
      </c>
      <c r="B176" s="5" t="s">
        <v>540</v>
      </c>
      <c r="C176" s="13"/>
      <c r="D176" s="13"/>
      <c r="E176" s="13"/>
      <c r="F176" s="13"/>
      <c r="G176" s="13" t="s">
        <v>21</v>
      </c>
      <c r="H176" s="7"/>
      <c r="I176" s="7"/>
    </row>
    <row r="177" spans="1:9">
      <c r="A177" s="5" t="s">
        <v>1029</v>
      </c>
      <c r="B177" s="5" t="s">
        <v>1030</v>
      </c>
      <c r="C177" s="13"/>
      <c r="D177" s="13"/>
      <c r="E177" s="13"/>
      <c r="F177" s="13"/>
      <c r="G177" s="13"/>
      <c r="H177" s="7"/>
      <c r="I177" s="7"/>
    </row>
    <row r="178" spans="1:9" ht="39" customHeight="1">
      <c r="A178" s="540" t="s">
        <v>1034</v>
      </c>
      <c r="B178" s="543"/>
      <c r="C178" s="543"/>
      <c r="D178" s="543"/>
      <c r="E178" s="543"/>
      <c r="F178" s="543"/>
      <c r="G178" s="543"/>
      <c r="H178" s="550"/>
      <c r="I178" s="543"/>
    </row>
    <row r="179" spans="1:9">
      <c r="A179" s="5" t="s">
        <v>4</v>
      </c>
      <c r="B179" s="6" t="s">
        <v>5</v>
      </c>
      <c r="C179" s="7" t="s">
        <v>6</v>
      </c>
      <c r="D179" s="7" t="s">
        <v>7</v>
      </c>
      <c r="E179" s="7" t="s">
        <v>8</v>
      </c>
      <c r="F179" s="7" t="s">
        <v>9</v>
      </c>
      <c r="G179" s="7" t="s">
        <v>10</v>
      </c>
      <c r="H179" s="7" t="s">
        <v>11</v>
      </c>
      <c r="I179" s="7" t="s">
        <v>12</v>
      </c>
    </row>
    <row r="180" spans="1:9">
      <c r="A180" s="5" t="s">
        <v>1040</v>
      </c>
      <c r="B180" s="5" t="s">
        <v>1041</v>
      </c>
      <c r="C180" s="13"/>
      <c r="D180" s="13"/>
      <c r="E180" s="13"/>
      <c r="F180" s="13"/>
      <c r="G180" s="13"/>
      <c r="H180" s="7"/>
      <c r="I180" s="7" t="s">
        <v>1042</v>
      </c>
    </row>
    <row r="181" spans="1:9">
      <c r="A181" s="5" t="s">
        <v>1046</v>
      </c>
      <c r="B181" s="5" t="s">
        <v>1047</v>
      </c>
      <c r="C181" s="13"/>
      <c r="D181" s="13"/>
      <c r="E181" s="13"/>
      <c r="F181" s="13"/>
      <c r="G181" s="13"/>
      <c r="H181" s="7"/>
      <c r="I181" s="7"/>
    </row>
    <row r="182" spans="1:9">
      <c r="A182" s="5" t="s">
        <v>1053</v>
      </c>
      <c r="B182" s="5" t="s">
        <v>975</v>
      </c>
      <c r="C182" s="13"/>
      <c r="D182" s="13"/>
      <c r="E182" s="13"/>
      <c r="F182" s="13"/>
      <c r="G182" s="13"/>
      <c r="H182" s="7"/>
      <c r="I182" s="7"/>
    </row>
    <row r="183" spans="1:9">
      <c r="A183" s="5" t="s">
        <v>1059</v>
      </c>
      <c r="B183" s="5" t="s">
        <v>1060</v>
      </c>
      <c r="C183" s="13"/>
      <c r="D183" s="13"/>
      <c r="E183" s="13"/>
      <c r="F183" s="13"/>
      <c r="G183" s="13"/>
      <c r="H183" s="7"/>
      <c r="I183" s="7"/>
    </row>
    <row r="184" spans="1:9">
      <c r="A184" s="5" t="s">
        <v>1064</v>
      </c>
      <c r="B184" s="34" t="s">
        <v>1017</v>
      </c>
      <c r="C184" s="13"/>
      <c r="D184" s="13"/>
      <c r="E184" s="13"/>
      <c r="F184" s="13"/>
      <c r="G184" s="13"/>
      <c r="H184" s="7"/>
      <c r="I184" s="7"/>
    </row>
    <row r="185" spans="1:9">
      <c r="A185" s="5" t="s">
        <v>1069</v>
      </c>
      <c r="B185" s="34" t="s">
        <v>1017</v>
      </c>
      <c r="C185" s="13"/>
      <c r="D185" s="13"/>
      <c r="E185" s="13"/>
      <c r="F185" s="13"/>
      <c r="G185" s="13"/>
      <c r="H185" s="7"/>
      <c r="I185" s="7"/>
    </row>
    <row r="186" spans="1:9">
      <c r="A186" s="5" t="s">
        <v>1075</v>
      </c>
      <c r="B186" s="5" t="s">
        <v>1076</v>
      </c>
      <c r="C186" s="13"/>
      <c r="D186" s="13"/>
      <c r="E186" s="13"/>
      <c r="F186" s="13"/>
      <c r="G186" s="13"/>
      <c r="H186" s="7"/>
      <c r="I186" s="7"/>
    </row>
    <row r="187" spans="1:9">
      <c r="A187" s="5" t="s">
        <v>1080</v>
      </c>
      <c r="B187" s="5" t="s">
        <v>923</v>
      </c>
      <c r="C187" s="13"/>
      <c r="D187" s="13"/>
      <c r="E187" s="13"/>
      <c r="F187" s="13"/>
      <c r="G187" s="13"/>
      <c r="H187" s="7"/>
      <c r="I187" s="7"/>
    </row>
    <row r="188" spans="1:9">
      <c r="A188" s="5" t="s">
        <v>1086</v>
      </c>
      <c r="B188" s="5" t="s">
        <v>918</v>
      </c>
      <c r="C188" s="13"/>
      <c r="D188" s="13"/>
      <c r="E188" s="13"/>
      <c r="F188" s="13"/>
      <c r="G188" s="13"/>
      <c r="H188" s="7"/>
      <c r="I188" s="7"/>
    </row>
    <row r="189" spans="1:9">
      <c r="A189" s="5" t="s">
        <v>1092</v>
      </c>
      <c r="B189" s="5" t="s">
        <v>151</v>
      </c>
      <c r="C189" s="13"/>
      <c r="D189" s="13"/>
      <c r="E189" s="13"/>
      <c r="F189" s="13"/>
      <c r="G189" s="13"/>
      <c r="H189" s="7"/>
      <c r="I189" s="7"/>
    </row>
    <row r="190" spans="1:9">
      <c r="A190" s="5" t="s">
        <v>1098</v>
      </c>
      <c r="B190" s="5" t="s">
        <v>1099</v>
      </c>
      <c r="C190" s="13"/>
      <c r="D190" s="13"/>
      <c r="E190" s="13"/>
      <c r="F190" s="13"/>
      <c r="G190" s="13"/>
      <c r="H190" s="7"/>
      <c r="I190" s="7"/>
    </row>
    <row r="191" spans="1:9">
      <c r="A191" s="5" t="s">
        <v>1103</v>
      </c>
      <c r="B191" s="5" t="s">
        <v>1104</v>
      </c>
      <c r="C191" s="13"/>
      <c r="D191" s="13"/>
      <c r="E191" s="13"/>
      <c r="F191" s="13"/>
      <c r="G191" s="13"/>
      <c r="H191" s="7"/>
      <c r="I191" s="7"/>
    </row>
    <row r="192" spans="1:9">
      <c r="A192" s="5" t="s">
        <v>1108</v>
      </c>
      <c r="B192" s="5" t="s">
        <v>970</v>
      </c>
      <c r="C192" s="13"/>
      <c r="D192" s="13"/>
      <c r="E192" s="13"/>
      <c r="F192" s="13"/>
      <c r="G192" s="13"/>
      <c r="H192" s="7"/>
      <c r="I192" s="7"/>
    </row>
    <row r="193" spans="1:9">
      <c r="A193" s="5" t="s">
        <v>1111</v>
      </c>
      <c r="B193" s="5" t="s">
        <v>1112</v>
      </c>
      <c r="C193" s="13"/>
      <c r="D193" s="13"/>
      <c r="E193" s="13"/>
      <c r="F193" s="13"/>
      <c r="G193" s="13"/>
      <c r="H193" s="7"/>
      <c r="I193" s="7"/>
    </row>
    <row r="194" spans="1:9">
      <c r="A194" s="5" t="s">
        <v>1118</v>
      </c>
      <c r="B194" s="5" t="s">
        <v>1119</v>
      </c>
      <c r="C194" s="13"/>
      <c r="D194" s="13"/>
      <c r="E194" s="13"/>
      <c r="F194" s="13"/>
      <c r="G194" s="13"/>
      <c r="H194" s="7"/>
      <c r="I194" s="7"/>
    </row>
    <row r="195" spans="1:9">
      <c r="A195" s="5" t="s">
        <v>1123</v>
      </c>
      <c r="B195" s="5" t="s">
        <v>1124</v>
      </c>
      <c r="C195" s="13"/>
      <c r="D195" s="13"/>
      <c r="E195" s="13"/>
      <c r="F195" s="13"/>
      <c r="G195" s="13"/>
      <c r="H195" s="7"/>
      <c r="I195" s="7"/>
    </row>
    <row r="196" spans="1:9">
      <c r="A196" s="5" t="s">
        <v>1130</v>
      </c>
      <c r="B196" s="5" t="s">
        <v>1131</v>
      </c>
      <c r="C196" s="13"/>
      <c r="D196" s="13"/>
      <c r="E196" s="13"/>
      <c r="F196" s="13"/>
      <c r="G196" s="13"/>
      <c r="H196" s="7"/>
      <c r="I196" s="7"/>
    </row>
    <row r="197" spans="1:9">
      <c r="A197" s="5" t="s">
        <v>1137</v>
      </c>
      <c r="B197" s="5" t="s">
        <v>1138</v>
      </c>
      <c r="C197" s="13"/>
      <c r="D197" s="13"/>
      <c r="E197" s="13"/>
      <c r="F197" s="13"/>
      <c r="G197" s="13"/>
      <c r="H197" s="7"/>
      <c r="I197" s="7"/>
    </row>
    <row r="198" spans="1:9">
      <c r="A198" s="5" t="s">
        <v>1144</v>
      </c>
      <c r="B198" s="5" t="s">
        <v>1145</v>
      </c>
      <c r="C198" s="13"/>
      <c r="D198" s="13"/>
      <c r="E198" s="13"/>
      <c r="F198" s="13"/>
      <c r="G198" s="13"/>
      <c r="H198" s="7"/>
      <c r="I198" s="7"/>
    </row>
    <row r="199" spans="1:9">
      <c r="A199" s="5" t="s">
        <v>1149</v>
      </c>
      <c r="B199" s="5" t="s">
        <v>918</v>
      </c>
      <c r="C199" s="13"/>
      <c r="D199" s="13"/>
      <c r="E199" s="13"/>
      <c r="F199" s="13"/>
      <c r="G199" s="13"/>
      <c r="H199" s="7"/>
      <c r="I199" s="7"/>
    </row>
    <row r="200" spans="1:9">
      <c r="A200" s="5" t="s">
        <v>1155</v>
      </c>
      <c r="B200" s="5" t="s">
        <v>942</v>
      </c>
      <c r="C200" s="13"/>
      <c r="D200" s="13"/>
      <c r="E200" s="13"/>
      <c r="F200" s="13"/>
      <c r="G200" s="13"/>
      <c r="H200" s="7"/>
      <c r="I200" s="7"/>
    </row>
    <row r="201" spans="1:9">
      <c r="A201" s="5" t="s">
        <v>1159</v>
      </c>
      <c r="B201" s="5" t="s">
        <v>159</v>
      </c>
      <c r="C201" s="13"/>
      <c r="D201" s="13"/>
      <c r="E201" s="13"/>
      <c r="F201" s="13"/>
      <c r="G201" s="13"/>
      <c r="H201" s="7"/>
      <c r="I201" s="7"/>
    </row>
    <row r="202" spans="1:9">
      <c r="A202" s="5" t="s">
        <v>1165</v>
      </c>
      <c r="B202" s="5" t="s">
        <v>288</v>
      </c>
      <c r="C202" s="13"/>
      <c r="D202" s="13"/>
      <c r="E202" s="13"/>
      <c r="F202" s="13"/>
      <c r="G202" s="13"/>
      <c r="H202" s="7"/>
      <c r="I202" s="7"/>
    </row>
    <row r="203" spans="1:9">
      <c r="A203" s="5" t="s">
        <v>1169</v>
      </c>
      <c r="B203" s="5" t="s">
        <v>933</v>
      </c>
      <c r="C203" s="13"/>
      <c r="D203" s="13"/>
      <c r="E203" s="13"/>
      <c r="F203" s="13"/>
      <c r="G203" s="13"/>
      <c r="H203" s="7"/>
      <c r="I203" s="7"/>
    </row>
    <row r="204" spans="1:9">
      <c r="A204" s="5" t="s">
        <v>1175</v>
      </c>
      <c r="B204" s="5" t="s">
        <v>875</v>
      </c>
      <c r="C204" s="13"/>
      <c r="D204" s="13"/>
      <c r="E204" s="13"/>
      <c r="F204" s="13"/>
      <c r="G204" s="13"/>
      <c r="H204" s="7"/>
      <c r="I204" s="7"/>
    </row>
    <row r="205" spans="1:9">
      <c r="A205" s="5" t="s">
        <v>1181</v>
      </c>
      <c r="B205" s="5" t="s">
        <v>1182</v>
      </c>
      <c r="C205" s="13"/>
      <c r="D205" s="13"/>
      <c r="E205" s="13"/>
      <c r="F205" s="13"/>
      <c r="G205" s="13"/>
      <c r="H205" s="7"/>
      <c r="I205" s="7"/>
    </row>
    <row r="206" spans="1:9">
      <c r="A206" s="5" t="s">
        <v>1188</v>
      </c>
      <c r="B206" s="5" t="s">
        <v>911</v>
      </c>
      <c r="C206" s="13"/>
      <c r="D206" s="13"/>
      <c r="E206" s="13"/>
      <c r="F206" s="13"/>
      <c r="G206" s="13"/>
      <c r="H206" s="7"/>
      <c r="I206" s="7"/>
    </row>
    <row r="207" spans="1:9">
      <c r="A207" s="5" t="s">
        <v>1192</v>
      </c>
      <c r="B207" s="5" t="s">
        <v>1193</v>
      </c>
      <c r="C207" s="13"/>
      <c r="D207" s="13"/>
      <c r="E207" s="13"/>
      <c r="F207" s="13"/>
      <c r="G207" s="13"/>
      <c r="H207" s="7"/>
      <c r="I207" s="7"/>
    </row>
    <row r="208" spans="1:9">
      <c r="A208" s="5" t="s">
        <v>1197</v>
      </c>
      <c r="B208" s="5" t="s">
        <v>1198</v>
      </c>
      <c r="C208" s="13"/>
      <c r="D208" s="13"/>
      <c r="E208" s="13"/>
      <c r="F208" s="13"/>
      <c r="G208" s="13"/>
      <c r="H208" s="7"/>
      <c r="I208" s="7"/>
    </row>
    <row r="209" spans="1:9">
      <c r="A209" s="5" t="s">
        <v>1202</v>
      </c>
      <c r="B209" s="5" t="s">
        <v>869</v>
      </c>
      <c r="C209" s="13"/>
      <c r="D209" s="13"/>
      <c r="E209" s="13"/>
      <c r="F209" s="13"/>
      <c r="G209" s="13"/>
      <c r="H209" s="7"/>
      <c r="I209" s="7"/>
    </row>
    <row r="210" spans="1:9">
      <c r="A210" s="5" t="s">
        <v>1208</v>
      </c>
      <c r="B210" s="5" t="s">
        <v>1012</v>
      </c>
      <c r="C210" s="13"/>
      <c r="D210" s="13"/>
      <c r="E210" s="13"/>
      <c r="F210" s="13"/>
      <c r="G210" s="13"/>
      <c r="H210" s="7"/>
      <c r="I210" s="7"/>
    </row>
    <row r="211" spans="1:9">
      <c r="A211" s="5" t="s">
        <v>1214</v>
      </c>
      <c r="B211" s="5" t="s">
        <v>108</v>
      </c>
      <c r="C211" s="13"/>
      <c r="D211" s="13"/>
      <c r="E211" s="13"/>
      <c r="F211" s="13"/>
      <c r="G211" s="13"/>
      <c r="H211" s="7"/>
      <c r="I211" s="7"/>
    </row>
    <row r="212" spans="1:9">
      <c r="A212" s="5" t="s">
        <v>1217</v>
      </c>
      <c r="B212" s="5" t="s">
        <v>1218</v>
      </c>
      <c r="C212" s="13"/>
      <c r="D212" s="13"/>
      <c r="E212" s="13"/>
      <c r="F212" s="13"/>
      <c r="G212" s="13"/>
      <c r="H212" s="7"/>
      <c r="I212" s="7"/>
    </row>
    <row r="213" spans="1:9">
      <c r="A213" s="5" t="s">
        <v>1223</v>
      </c>
      <c r="B213" s="5" t="s">
        <v>1224</v>
      </c>
      <c r="C213" s="13"/>
      <c r="D213" s="13"/>
      <c r="E213" s="13"/>
      <c r="F213" s="13"/>
      <c r="G213" s="13"/>
      <c r="H213" s="7"/>
      <c r="I213" s="7"/>
    </row>
    <row r="214" spans="1:9">
      <c r="A214" s="5" t="s">
        <v>1230</v>
      </c>
      <c r="B214" s="5" t="s">
        <v>1231</v>
      </c>
      <c r="C214" s="13"/>
      <c r="D214" s="13"/>
      <c r="E214" s="13"/>
      <c r="F214" s="13"/>
      <c r="G214" s="13"/>
      <c r="H214" s="7"/>
      <c r="I214" s="7"/>
    </row>
    <row r="215" spans="1:9">
      <c r="A215" s="5" t="s">
        <v>1237</v>
      </c>
      <c r="B215" s="5" t="s">
        <v>1238</v>
      </c>
      <c r="C215" s="13"/>
      <c r="D215" s="13"/>
      <c r="E215" s="13"/>
      <c r="F215" s="13"/>
      <c r="G215" s="13"/>
      <c r="H215" s="7"/>
      <c r="I215" s="7"/>
    </row>
    <row r="216" spans="1:9">
      <c r="A216" s="5" t="s">
        <v>1241</v>
      </c>
      <c r="B216" s="5" t="s">
        <v>1242</v>
      </c>
      <c r="C216" s="13"/>
      <c r="D216" s="13"/>
      <c r="E216" s="13"/>
      <c r="F216" s="13"/>
      <c r="G216" s="13"/>
      <c r="H216" s="7"/>
      <c r="I216" s="7"/>
    </row>
    <row r="217" spans="1:9">
      <c r="A217" s="5" t="s">
        <v>1245</v>
      </c>
      <c r="B217" s="5" t="s">
        <v>1246</v>
      </c>
      <c r="C217" s="13"/>
      <c r="D217" s="13"/>
      <c r="E217" s="13"/>
      <c r="F217" s="13"/>
      <c r="G217" s="13"/>
      <c r="H217" s="7"/>
      <c r="I217" s="7"/>
    </row>
    <row r="218" spans="1:9">
      <c r="A218" s="5" t="s">
        <v>1249</v>
      </c>
      <c r="B218" s="5" t="s">
        <v>1250</v>
      </c>
      <c r="C218" s="13"/>
      <c r="D218" s="13"/>
      <c r="E218" s="13"/>
      <c r="F218" s="13"/>
      <c r="G218" s="13"/>
      <c r="H218" s="7"/>
      <c r="I218" s="7"/>
    </row>
    <row r="219" spans="1:9" ht="37.5" customHeight="1">
      <c r="A219" s="536" t="s">
        <v>1253</v>
      </c>
      <c r="B219" s="543"/>
      <c r="C219" s="543"/>
      <c r="D219" s="543"/>
      <c r="E219" s="543"/>
      <c r="F219" s="543"/>
      <c r="G219" s="543"/>
      <c r="H219" s="550"/>
      <c r="I219" s="543"/>
    </row>
    <row r="220" spans="1:9">
      <c r="A220" s="5" t="s">
        <v>4</v>
      </c>
      <c r="B220" s="6" t="s">
        <v>5</v>
      </c>
      <c r="C220" s="7" t="s">
        <v>6</v>
      </c>
      <c r="D220" s="7" t="s">
        <v>7</v>
      </c>
      <c r="E220" s="7" t="s">
        <v>8</v>
      </c>
      <c r="F220" s="7" t="s">
        <v>9</v>
      </c>
      <c r="G220" s="7" t="s">
        <v>10</v>
      </c>
      <c r="H220" s="7" t="s">
        <v>11</v>
      </c>
      <c r="I220" s="7" t="s">
        <v>12</v>
      </c>
    </row>
    <row r="221" spans="1:9">
      <c r="A221" s="5" t="s">
        <v>1259</v>
      </c>
      <c r="B221" s="5" t="s">
        <v>1201</v>
      </c>
      <c r="C221" s="13"/>
      <c r="D221" s="13"/>
      <c r="E221" s="13"/>
      <c r="F221" s="13"/>
      <c r="G221" s="13"/>
      <c r="H221" s="7"/>
      <c r="I221" s="7"/>
    </row>
    <row r="222" spans="1:9">
      <c r="A222" s="5" t="s">
        <v>1262</v>
      </c>
      <c r="B222" s="5" t="s">
        <v>1263</v>
      </c>
      <c r="C222" s="13"/>
      <c r="D222" s="13"/>
      <c r="E222" s="13"/>
      <c r="F222" s="13"/>
      <c r="G222" s="13"/>
      <c r="H222" s="7"/>
      <c r="I222" s="7"/>
    </row>
    <row r="223" spans="1:9">
      <c r="A223" s="5" t="s">
        <v>1266</v>
      </c>
      <c r="B223" s="23" t="s">
        <v>1267</v>
      </c>
      <c r="C223" s="13"/>
      <c r="D223" s="13"/>
      <c r="E223" s="13"/>
      <c r="F223" s="13"/>
      <c r="G223" s="13"/>
      <c r="H223" s="7"/>
      <c r="I223" s="7"/>
    </row>
    <row r="224" spans="1:9">
      <c r="A224" s="5" t="s">
        <v>1268</v>
      </c>
      <c r="B224" s="5" t="s">
        <v>1269</v>
      </c>
      <c r="C224" s="13"/>
      <c r="D224" s="13"/>
      <c r="E224" s="13"/>
      <c r="F224" s="13"/>
      <c r="G224" s="13"/>
      <c r="H224" s="7"/>
      <c r="I224" s="7"/>
    </row>
    <row r="225" spans="1:9">
      <c r="A225" s="5" t="s">
        <v>1271</v>
      </c>
      <c r="B225" s="5" t="s">
        <v>1272</v>
      </c>
      <c r="C225" s="13"/>
      <c r="D225" s="13"/>
      <c r="E225" s="13"/>
      <c r="F225" s="13"/>
      <c r="G225" s="13"/>
      <c r="H225" s="7"/>
      <c r="I225" s="7"/>
    </row>
    <row r="226" spans="1:9">
      <c r="A226" s="5" t="s">
        <v>1273</v>
      </c>
      <c r="B226" s="23" t="s">
        <v>1274</v>
      </c>
      <c r="C226" s="13"/>
      <c r="D226" s="13"/>
      <c r="E226" s="13"/>
      <c r="F226" s="13"/>
      <c r="G226" s="13"/>
      <c r="H226" s="7"/>
      <c r="I226" s="7"/>
    </row>
    <row r="227" spans="1:9">
      <c r="A227" s="5" t="s">
        <v>1275</v>
      </c>
      <c r="B227" s="5" t="s">
        <v>939</v>
      </c>
      <c r="C227" s="13"/>
      <c r="D227" s="13"/>
      <c r="E227" s="13"/>
      <c r="F227" s="13"/>
      <c r="G227" s="13"/>
      <c r="H227" s="7"/>
      <c r="I227" s="7"/>
    </row>
    <row r="228" spans="1:9">
      <c r="A228" s="5" t="s">
        <v>1278</v>
      </c>
      <c r="B228" s="5" t="s">
        <v>1279</v>
      </c>
      <c r="C228" s="13"/>
      <c r="D228" s="13"/>
      <c r="E228" s="13"/>
      <c r="F228" s="13"/>
      <c r="G228" s="13"/>
      <c r="H228" s="7"/>
      <c r="I228" s="7"/>
    </row>
    <row r="229" spans="1:9">
      <c r="A229" s="5" t="s">
        <v>1282</v>
      </c>
      <c r="B229" s="5" t="s">
        <v>1283</v>
      </c>
      <c r="C229" s="13"/>
      <c r="D229" s="13"/>
      <c r="E229" s="13"/>
      <c r="F229" s="13"/>
      <c r="G229" s="13"/>
      <c r="H229" s="7"/>
      <c r="I229" s="7"/>
    </row>
    <row r="230" spans="1:9">
      <c r="A230" s="5" t="s">
        <v>1284</v>
      </c>
      <c r="B230" s="5" t="s">
        <v>1285</v>
      </c>
      <c r="C230" s="13"/>
      <c r="D230" s="13"/>
      <c r="E230" s="13"/>
      <c r="F230" s="13"/>
      <c r="G230" s="13"/>
      <c r="H230" s="7"/>
      <c r="I230" s="7"/>
    </row>
    <row r="231" spans="1:9">
      <c r="A231" s="5" t="s">
        <v>1288</v>
      </c>
      <c r="B231" s="23" t="s">
        <v>1129</v>
      </c>
      <c r="C231" s="13"/>
      <c r="D231" s="13"/>
      <c r="E231" s="13"/>
      <c r="F231" s="13"/>
      <c r="G231" s="13"/>
      <c r="H231" s="7"/>
      <c r="I231" s="7"/>
    </row>
    <row r="232" spans="1:9">
      <c r="A232" s="5" t="s">
        <v>1290</v>
      </c>
      <c r="B232" s="23" t="s">
        <v>1158</v>
      </c>
      <c r="C232" s="13"/>
      <c r="D232" s="13"/>
      <c r="E232" s="13"/>
      <c r="F232" s="13"/>
      <c r="G232" s="13"/>
      <c r="H232" s="7"/>
      <c r="I232" s="7"/>
    </row>
    <row r="233" spans="1:9">
      <c r="A233" s="5" t="s">
        <v>1292</v>
      </c>
      <c r="B233" s="23" t="s">
        <v>1293</v>
      </c>
      <c r="C233" s="13"/>
      <c r="D233" s="13"/>
      <c r="E233" s="13"/>
      <c r="F233" s="13"/>
      <c r="G233" s="13"/>
      <c r="H233" s="7"/>
      <c r="I233" s="7"/>
    </row>
    <row r="234" spans="1:9">
      <c r="A234" s="5" t="s">
        <v>1294</v>
      </c>
      <c r="B234" s="23" t="s">
        <v>1295</v>
      </c>
      <c r="C234" s="13"/>
      <c r="D234" s="13"/>
      <c r="E234" s="13"/>
      <c r="F234" s="13"/>
      <c r="G234" s="13"/>
      <c r="H234" s="7"/>
      <c r="I234" s="7"/>
    </row>
    <row r="235" spans="1:9">
      <c r="A235" s="5" t="s">
        <v>1297</v>
      </c>
      <c r="B235" s="5" t="s">
        <v>1298</v>
      </c>
      <c r="C235" s="13"/>
      <c r="D235" s="13"/>
      <c r="E235" s="13"/>
      <c r="F235" s="13"/>
      <c r="G235" s="13"/>
      <c r="H235" s="7"/>
      <c r="I235" s="7"/>
    </row>
    <row r="236" spans="1:9">
      <c r="A236" s="5" t="s">
        <v>1301</v>
      </c>
      <c r="B236" s="5" t="s">
        <v>1302</v>
      </c>
      <c r="C236" s="13"/>
      <c r="D236" s="13"/>
      <c r="E236" s="13"/>
      <c r="F236" s="13"/>
      <c r="G236" s="13"/>
      <c r="H236" s="7"/>
      <c r="I236" s="7"/>
    </row>
    <row r="237" spans="1:9">
      <c r="A237" s="5" t="s">
        <v>1305</v>
      </c>
      <c r="B237" s="5" t="s">
        <v>1306</v>
      </c>
      <c r="C237" s="13"/>
      <c r="D237" s="13"/>
      <c r="E237" s="13"/>
      <c r="F237" s="13"/>
      <c r="G237" s="13"/>
      <c r="H237" s="7"/>
      <c r="I237" s="7"/>
    </row>
    <row r="238" spans="1:9">
      <c r="A238" s="5" t="s">
        <v>1307</v>
      </c>
      <c r="B238" s="5" t="s">
        <v>1308</v>
      </c>
      <c r="C238" s="13"/>
      <c r="D238" s="13"/>
      <c r="E238" s="13"/>
      <c r="F238" s="13"/>
      <c r="G238" s="13"/>
      <c r="H238" s="7"/>
      <c r="I238" s="7"/>
    </row>
    <row r="239" spans="1:9">
      <c r="A239" s="5" t="s">
        <v>1310</v>
      </c>
      <c r="B239" s="5" t="s">
        <v>1085</v>
      </c>
      <c r="C239" s="13"/>
      <c r="D239" s="13"/>
      <c r="E239" s="13"/>
      <c r="F239" s="13"/>
      <c r="G239" s="13"/>
      <c r="H239" s="7"/>
      <c r="I239" s="7"/>
    </row>
    <row r="240" spans="1:9">
      <c r="A240" s="5" t="s">
        <v>1313</v>
      </c>
      <c r="B240" s="5" t="s">
        <v>1314</v>
      </c>
      <c r="C240" s="13"/>
      <c r="D240" s="13"/>
      <c r="E240" s="13"/>
      <c r="F240" s="13"/>
      <c r="G240" s="13"/>
      <c r="H240" s="7"/>
      <c r="I240" s="7"/>
    </row>
    <row r="241" spans="1:9">
      <c r="A241" s="5" t="s">
        <v>1315</v>
      </c>
      <c r="B241" s="5" t="s">
        <v>1316</v>
      </c>
      <c r="C241" s="13"/>
      <c r="D241" s="13"/>
      <c r="E241" s="13"/>
      <c r="F241" s="13"/>
      <c r="G241" s="13"/>
      <c r="H241" s="7"/>
      <c r="I241" s="7"/>
    </row>
    <row r="242" spans="1:9">
      <c r="A242" s="5" t="s">
        <v>1319</v>
      </c>
      <c r="B242" s="5" t="s">
        <v>1320</v>
      </c>
      <c r="C242" s="13"/>
      <c r="D242" s="13"/>
      <c r="E242" s="13"/>
      <c r="F242" s="13"/>
      <c r="G242" s="13"/>
      <c r="H242" s="7"/>
      <c r="I242" s="7"/>
    </row>
    <row r="243" spans="1:9">
      <c r="A243" s="5" t="s">
        <v>1323</v>
      </c>
      <c r="B243" s="5" t="s">
        <v>1079</v>
      </c>
      <c r="C243" s="13"/>
      <c r="D243" s="13"/>
      <c r="E243" s="13"/>
      <c r="F243" s="13"/>
      <c r="G243" s="13"/>
      <c r="H243" s="7"/>
      <c r="I243" s="7"/>
    </row>
    <row r="244" spans="1:9">
      <c r="A244" s="5" t="s">
        <v>1324</v>
      </c>
      <c r="B244" s="23" t="s">
        <v>1091</v>
      </c>
      <c r="C244" s="13"/>
      <c r="D244" s="13"/>
      <c r="E244" s="13"/>
      <c r="F244" s="13"/>
      <c r="G244" s="13"/>
      <c r="H244" s="7"/>
      <c r="I244" s="7"/>
    </row>
    <row r="245" spans="1:9">
      <c r="A245" s="5" t="s">
        <v>1327</v>
      </c>
      <c r="B245" s="5" t="s">
        <v>726</v>
      </c>
      <c r="C245" s="13"/>
      <c r="D245" s="13"/>
      <c r="E245" s="13"/>
      <c r="F245" s="13"/>
      <c r="G245" s="13"/>
      <c r="H245" s="7"/>
      <c r="I245" s="7"/>
    </row>
    <row r="246" spans="1:9">
      <c r="A246" s="5" t="s">
        <v>1330</v>
      </c>
      <c r="B246" s="5" t="s">
        <v>1102</v>
      </c>
      <c r="C246" s="13"/>
      <c r="D246" s="13"/>
      <c r="E246" s="13"/>
      <c r="F246" s="13"/>
      <c r="G246" s="13"/>
      <c r="H246" s="7"/>
      <c r="I246" s="7"/>
    </row>
    <row r="247" spans="1:9">
      <c r="A247" s="5" t="s">
        <v>1331</v>
      </c>
      <c r="B247" s="5" t="s">
        <v>1332</v>
      </c>
      <c r="C247" s="13"/>
      <c r="D247" s="13"/>
      <c r="E247" s="13"/>
      <c r="F247" s="13"/>
      <c r="G247" s="13"/>
      <c r="H247" s="7"/>
      <c r="I247" s="7"/>
    </row>
    <row r="248" spans="1:9">
      <c r="A248" s="5" t="s">
        <v>1336</v>
      </c>
      <c r="B248" s="5" t="s">
        <v>1168</v>
      </c>
      <c r="C248" s="13"/>
      <c r="D248" s="13"/>
      <c r="E248" s="13"/>
      <c r="F248" s="13"/>
      <c r="G248" s="13"/>
      <c r="H248" s="7"/>
      <c r="I248" s="7"/>
    </row>
    <row r="249" spans="1:9">
      <c r="A249" s="5" t="s">
        <v>1339</v>
      </c>
      <c r="B249" s="23" t="s">
        <v>1340</v>
      </c>
      <c r="C249" s="13"/>
      <c r="D249" s="13"/>
      <c r="E249" s="13"/>
      <c r="F249" s="13"/>
      <c r="G249" s="13"/>
      <c r="H249" s="7"/>
      <c r="I249" s="7"/>
    </row>
    <row r="250" spans="1:9">
      <c r="A250" s="5" t="s">
        <v>1343</v>
      </c>
      <c r="B250" s="5" t="s">
        <v>1063</v>
      </c>
      <c r="C250" s="13"/>
      <c r="D250" s="13"/>
      <c r="E250" s="13"/>
      <c r="F250" s="13"/>
      <c r="G250" s="13"/>
      <c r="H250" s="7"/>
      <c r="I250" s="7"/>
    </row>
    <row r="251" spans="1:9">
      <c r="A251" s="5" t="s">
        <v>1346</v>
      </c>
      <c r="B251" s="5" t="s">
        <v>1347</v>
      </c>
      <c r="C251" s="13"/>
      <c r="D251" s="13"/>
      <c r="E251" s="13"/>
      <c r="F251" s="13"/>
      <c r="G251" s="13"/>
      <c r="H251" s="7"/>
      <c r="I251" s="7"/>
    </row>
    <row r="252" spans="1:9">
      <c r="A252" s="5" t="s">
        <v>1350</v>
      </c>
      <c r="B252" s="5" t="s">
        <v>601</v>
      </c>
      <c r="C252" s="13"/>
      <c r="D252" s="13"/>
      <c r="E252" s="13"/>
      <c r="F252" s="13"/>
      <c r="G252" s="13"/>
      <c r="H252" s="7"/>
      <c r="I252" s="7"/>
    </row>
    <row r="253" spans="1:9">
      <c r="A253" s="5" t="s">
        <v>1351</v>
      </c>
      <c r="B253" s="5" t="s">
        <v>1352</v>
      </c>
      <c r="C253" s="13"/>
      <c r="D253" s="13"/>
      <c r="E253" s="13"/>
      <c r="F253" s="13"/>
      <c r="G253" s="13"/>
      <c r="H253" s="7"/>
      <c r="I253" s="7"/>
    </row>
    <row r="254" spans="1:9">
      <c r="A254" s="5" t="s">
        <v>1355</v>
      </c>
      <c r="B254" s="5" t="s">
        <v>1356</v>
      </c>
      <c r="C254" s="13"/>
      <c r="D254" s="13"/>
      <c r="E254" s="13"/>
      <c r="F254" s="13"/>
      <c r="G254" s="13"/>
      <c r="H254" s="7"/>
      <c r="I254" s="7"/>
    </row>
    <row r="255" spans="1:9">
      <c r="A255" s="5" t="s">
        <v>1357</v>
      </c>
      <c r="B255" s="5" t="s">
        <v>1358</v>
      </c>
      <c r="C255" s="13"/>
      <c r="D255" s="13"/>
      <c r="E255" s="13"/>
      <c r="F255" s="13"/>
      <c r="G255" s="13"/>
      <c r="H255" s="7"/>
      <c r="I255" s="7"/>
    </row>
    <row r="256" spans="1:9">
      <c r="A256" s="5" t="s">
        <v>1361</v>
      </c>
      <c r="B256" s="23" t="s">
        <v>1097</v>
      </c>
      <c r="C256" s="13"/>
      <c r="D256" s="13"/>
      <c r="E256" s="13"/>
      <c r="F256" s="13"/>
      <c r="G256" s="13"/>
      <c r="H256" s="7"/>
      <c r="I256" s="7"/>
    </row>
    <row r="257" spans="1:9">
      <c r="A257" s="5" t="s">
        <v>1364</v>
      </c>
      <c r="B257" s="5" t="s">
        <v>1117</v>
      </c>
      <c r="C257" s="13"/>
      <c r="D257" s="13"/>
      <c r="E257" s="13"/>
      <c r="F257" s="13"/>
      <c r="G257" s="13"/>
      <c r="H257" s="7"/>
      <c r="I257" s="7"/>
    </row>
    <row r="258" spans="1:9">
      <c r="A258" s="5" t="s">
        <v>1367</v>
      </c>
      <c r="B258" s="5" t="s">
        <v>1368</v>
      </c>
      <c r="C258" s="13"/>
      <c r="D258" s="13"/>
      <c r="E258" s="13"/>
      <c r="F258" s="13"/>
      <c r="G258" s="13"/>
      <c r="H258" s="7"/>
      <c r="I258" s="7"/>
    </row>
    <row r="259" spans="1:9">
      <c r="A259" s="5" t="s">
        <v>1369</v>
      </c>
      <c r="B259" s="5" t="s">
        <v>1370</v>
      </c>
      <c r="C259" s="13"/>
      <c r="D259" s="13"/>
      <c r="E259" s="13"/>
      <c r="F259" s="13"/>
      <c r="G259" s="13"/>
      <c r="H259" s="7"/>
      <c r="I259" s="7"/>
    </row>
    <row r="260" spans="1:9">
      <c r="A260" s="5" t="s">
        <v>1373</v>
      </c>
      <c r="B260" s="5" t="s">
        <v>1180</v>
      </c>
      <c r="C260" s="13"/>
      <c r="D260" s="13"/>
      <c r="E260" s="13"/>
      <c r="F260" s="13"/>
      <c r="G260" s="13"/>
      <c r="H260" s="7"/>
      <c r="I260" s="7"/>
    </row>
    <row r="261" spans="1:9">
      <c r="A261" s="5" t="s">
        <v>1376</v>
      </c>
      <c r="B261" s="5" t="s">
        <v>1143</v>
      </c>
      <c r="C261" s="13"/>
      <c r="D261" s="13"/>
      <c r="E261" s="13"/>
      <c r="F261" s="13"/>
      <c r="G261" s="13"/>
      <c r="H261" s="7"/>
      <c r="I261" s="7"/>
    </row>
    <row r="262" spans="1:9">
      <c r="A262" s="5" t="s">
        <v>1379</v>
      </c>
      <c r="B262" s="5" t="s">
        <v>1380</v>
      </c>
      <c r="C262" s="13"/>
      <c r="D262" s="13"/>
      <c r="E262" s="13"/>
      <c r="F262" s="13"/>
      <c r="G262" s="13"/>
      <c r="H262" s="7"/>
      <c r="I262" s="7"/>
    </row>
    <row r="263" spans="1:9">
      <c r="A263" s="5" t="s">
        <v>1381</v>
      </c>
      <c r="B263" s="5" t="s">
        <v>1039</v>
      </c>
      <c r="C263" s="13"/>
      <c r="D263" s="13"/>
      <c r="E263" s="13"/>
      <c r="F263" s="13"/>
      <c r="G263" s="13"/>
      <c r="H263" s="7"/>
      <c r="I263" s="7"/>
    </row>
    <row r="264" spans="1:9">
      <c r="A264" s="5" t="s">
        <v>1382</v>
      </c>
      <c r="B264" s="5" t="s">
        <v>1213</v>
      </c>
      <c r="C264" s="13"/>
      <c r="D264" s="13"/>
      <c r="E264" s="13"/>
      <c r="F264" s="13"/>
      <c r="G264" s="13"/>
      <c r="H264" s="7"/>
      <c r="I264" s="7"/>
    </row>
    <row r="265" spans="1:9">
      <c r="A265" s="5" t="s">
        <v>1383</v>
      </c>
      <c r="B265" s="5" t="s">
        <v>1384</v>
      </c>
      <c r="C265" s="13"/>
      <c r="D265" s="13"/>
      <c r="E265" s="13"/>
      <c r="F265" s="13"/>
      <c r="G265" s="13"/>
      <c r="H265" s="7"/>
      <c r="I265" s="7"/>
    </row>
  </sheetData>
  <mergeCells count="5">
    <mergeCell ref="A1:I1"/>
    <mergeCell ref="A105:I105"/>
    <mergeCell ref="A219:I219"/>
    <mergeCell ref="A178:I178"/>
    <mergeCell ref="K1:R1"/>
  </mergeCells>
  <phoneticPr fontId="89" type="noConversion"/>
  <dataValidations count="1">
    <dataValidation type="list" allowBlank="1" showInputMessage="1" showErrorMessage="1" sqref="G107:G110 C3:G104 C221:G265 C180:G218 C107:F177" xr:uid="{00000000-0002-0000-1100-000000000000}">
      <formula1>"S,A+,A,B+,B,C+,C,D+,D,?,"</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krvspt"/>
  <dimension ref="A1:AI319"/>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8" width="59.85546875" style="1" customWidth="1"/>
    <col min="9" max="9" width="12" style="1" customWidth="1"/>
    <col min="10" max="10" width="28.85546875" style="1" customWidth="1"/>
    <col min="11" max="11" width="6" style="313" customWidth="1"/>
    <col min="12" max="12" width="12.5703125" style="1" customWidth="1"/>
    <col min="13" max="13" width="36.42578125" style="1" customWidth="1"/>
    <col min="14" max="18" width="12.5703125" style="1" customWidth="1"/>
    <col min="19" max="19" width="77.42578125" style="7" customWidth="1"/>
    <col min="20" max="20" width="12.42578125" style="7" customWidth="1"/>
    <col min="21" max="21" width="49.5703125" style="7" customWidth="1"/>
    <col min="22" max="24" width="12.5703125" style="1" customWidth="1"/>
    <col min="25" max="25" width="59.5703125" style="1" customWidth="1"/>
    <col min="26" max="29" width="12.5703125" style="1" customWidth="1"/>
    <col min="30" max="30" width="11.28515625" customWidth="1"/>
    <col min="31" max="31" width="11.28515625" style="507" customWidth="1"/>
    <col min="32" max="32" width="147.5703125" customWidth="1"/>
    <col min="33" max="33" width="46.7109375" customWidth="1"/>
  </cols>
  <sheetData>
    <row r="1" spans="1:35" ht="76.5" customHeight="1">
      <c r="A1" s="603" t="s">
        <v>2997</v>
      </c>
      <c r="B1" s="518"/>
      <c r="C1" s="518"/>
      <c r="D1" s="518"/>
      <c r="E1" s="518"/>
      <c r="F1" s="518"/>
      <c r="G1" s="518"/>
      <c r="H1" s="518"/>
      <c r="I1" s="518"/>
      <c r="J1" s="524"/>
      <c r="K1" s="2"/>
      <c r="L1" s="553" t="s">
        <v>2998</v>
      </c>
      <c r="M1" s="555"/>
      <c r="N1" s="555"/>
      <c r="O1" s="555"/>
      <c r="P1" s="555"/>
      <c r="Q1" s="555"/>
      <c r="R1" s="555"/>
      <c r="S1" s="555"/>
      <c r="T1" s="563"/>
      <c r="U1" s="555"/>
      <c r="V1" s="2"/>
      <c r="W1" s="599" t="s">
        <v>2999</v>
      </c>
      <c r="X1" s="548"/>
      <c r="Y1" s="548"/>
      <c r="Z1" s="548"/>
      <c r="AA1" s="548"/>
      <c r="AB1" s="548"/>
      <c r="AC1" s="548"/>
      <c r="AD1" s="571"/>
      <c r="AE1" s="600"/>
      <c r="AF1" s="571"/>
      <c r="AG1" s="571"/>
      <c r="AH1" t="e">
        <f>SUM(LEN(AF88:AF146),LEN(AF150:AF178),LEN(AF182:AF218),LEN(S4:S133),LEN(S137:S225),LEN(S228:S273),LEN(S276:S319),LEN(H4:H105),LEN(H108:H178),LEN(H181:H218))</f>
        <v>#VALUE!</v>
      </c>
    </row>
    <row r="2" spans="1:35" ht="30" customHeight="1">
      <c r="A2" s="540" t="s">
        <v>1</v>
      </c>
      <c r="B2" s="543"/>
      <c r="C2" s="543"/>
      <c r="D2" s="543"/>
      <c r="E2" s="543"/>
      <c r="F2" s="543"/>
      <c r="G2" s="543"/>
      <c r="H2" s="543"/>
      <c r="I2" s="4"/>
      <c r="J2" s="4"/>
      <c r="K2" s="2"/>
      <c r="L2" s="540" t="s">
        <v>2</v>
      </c>
      <c r="M2" s="543"/>
      <c r="N2" s="543"/>
      <c r="O2" s="543"/>
      <c r="P2" s="543"/>
      <c r="Q2" s="543"/>
      <c r="R2" s="543"/>
      <c r="S2" s="543"/>
      <c r="T2" s="550"/>
      <c r="U2" s="555"/>
      <c r="V2" s="2"/>
      <c r="W2" s="525" t="s">
        <v>3</v>
      </c>
      <c r="X2" s="548"/>
      <c r="Y2" s="548"/>
      <c r="Z2" s="548"/>
      <c r="AA2" s="548"/>
      <c r="AB2" s="548"/>
      <c r="AC2" s="548"/>
      <c r="AD2" s="571"/>
      <c r="AE2" s="601"/>
      <c r="AF2" s="571"/>
      <c r="AG2" s="571"/>
    </row>
    <row r="3" spans="1:35" ht="27" customHeight="1">
      <c r="A3" s="5" t="s">
        <v>4</v>
      </c>
      <c r="B3" s="6" t="s">
        <v>5</v>
      </c>
      <c r="C3" s="7" t="s">
        <v>6</v>
      </c>
      <c r="D3" s="7" t="s">
        <v>7</v>
      </c>
      <c r="E3" s="7" t="s">
        <v>8</v>
      </c>
      <c r="F3" s="7" t="s">
        <v>9</v>
      </c>
      <c r="G3" s="7" t="s">
        <v>10</v>
      </c>
      <c r="H3" s="7" t="s">
        <v>11</v>
      </c>
      <c r="I3" s="7" t="s">
        <v>3000</v>
      </c>
      <c r="J3" s="7" t="s">
        <v>12</v>
      </c>
      <c r="K3" s="2"/>
      <c r="L3" s="5" t="s">
        <v>4</v>
      </c>
      <c r="M3" s="6" t="s">
        <v>5</v>
      </c>
      <c r="N3" s="7" t="s">
        <v>6</v>
      </c>
      <c r="O3" s="7" t="s">
        <v>7</v>
      </c>
      <c r="P3" s="7" t="s">
        <v>8</v>
      </c>
      <c r="Q3" s="7" t="s">
        <v>9</v>
      </c>
      <c r="R3" s="7" t="s">
        <v>10</v>
      </c>
      <c r="S3" s="7" t="s">
        <v>11</v>
      </c>
      <c r="T3" s="7" t="s">
        <v>3000</v>
      </c>
      <c r="U3" s="7" t="s">
        <v>12</v>
      </c>
      <c r="V3" s="2"/>
      <c r="W3" s="8" t="s">
        <v>4</v>
      </c>
      <c r="X3" s="8" t="s">
        <v>13</v>
      </c>
      <c r="Y3" s="9" t="s">
        <v>5</v>
      </c>
      <c r="Z3" s="7" t="s">
        <v>6</v>
      </c>
      <c r="AA3" s="7" t="s">
        <v>7</v>
      </c>
      <c r="AB3" s="7" t="s">
        <v>8</v>
      </c>
      <c r="AC3" s="7" t="s">
        <v>9</v>
      </c>
      <c r="AD3" s="11" t="s">
        <v>10</v>
      </c>
      <c r="AE3" s="11" t="s">
        <v>3000</v>
      </c>
      <c r="AF3" s="24" t="s">
        <v>11</v>
      </c>
      <c r="AG3" s="24" t="s">
        <v>12</v>
      </c>
      <c r="AH3" s="11"/>
      <c r="AI3" s="11"/>
    </row>
    <row r="4" spans="1:35" ht="21">
      <c r="A4" s="5" t="s">
        <v>14</v>
      </c>
      <c r="B4" s="5" t="s">
        <v>15</v>
      </c>
      <c r="C4" s="10"/>
      <c r="D4" s="10"/>
      <c r="E4" s="10"/>
      <c r="F4" s="10"/>
      <c r="G4" s="10" t="s">
        <v>1562</v>
      </c>
      <c r="H4" s="7"/>
      <c r="I4" s="7"/>
      <c r="J4" s="7"/>
      <c r="K4" s="2"/>
      <c r="L4" s="5" t="s">
        <v>19</v>
      </c>
      <c r="M4" s="12" t="s">
        <v>20</v>
      </c>
      <c r="N4" s="13"/>
      <c r="O4" s="13"/>
      <c r="P4" s="13"/>
      <c r="Q4" s="13"/>
      <c r="R4" s="13" t="s">
        <v>1562</v>
      </c>
      <c r="S4" s="7" t="s">
        <v>2028</v>
      </c>
      <c r="U4" s="14"/>
      <c r="V4" s="2"/>
      <c r="W4" s="8" t="s">
        <v>23</v>
      </c>
      <c r="X4" s="8" t="s">
        <v>24</v>
      </c>
      <c r="Y4" s="302" t="s">
        <v>25</v>
      </c>
      <c r="Z4" s="13"/>
      <c r="AA4" s="13"/>
      <c r="AB4" s="13"/>
      <c r="AC4" s="13"/>
      <c r="AD4" s="19" t="s">
        <v>1562</v>
      </c>
      <c r="AE4" s="303"/>
      <c r="AF4" s="303"/>
      <c r="AG4" s="303"/>
    </row>
    <row r="5" spans="1:35" ht="21">
      <c r="A5" s="5" t="s">
        <v>26</v>
      </c>
      <c r="B5" s="5" t="s">
        <v>27</v>
      </c>
      <c r="C5" s="10"/>
      <c r="D5" s="10"/>
      <c r="E5" s="10"/>
      <c r="F5" s="10"/>
      <c r="G5" s="10" t="s">
        <v>1567</v>
      </c>
      <c r="H5" s="7"/>
      <c r="I5" s="7"/>
      <c r="J5" s="7"/>
      <c r="K5" s="2"/>
      <c r="L5" s="5" t="s">
        <v>29</v>
      </c>
      <c r="M5" s="12" t="s">
        <v>30</v>
      </c>
      <c r="N5" s="13"/>
      <c r="O5" s="13"/>
      <c r="P5" s="13"/>
      <c r="Q5" s="13"/>
      <c r="R5" s="13" t="s">
        <v>18</v>
      </c>
      <c r="S5" s="7" t="s">
        <v>3001</v>
      </c>
      <c r="U5" s="14"/>
      <c r="V5" s="2"/>
      <c r="W5" s="8" t="s">
        <v>31</v>
      </c>
      <c r="X5" s="8" t="s">
        <v>32</v>
      </c>
      <c r="Y5" s="302" t="s">
        <v>33</v>
      </c>
      <c r="Z5" s="13"/>
      <c r="AA5" s="13"/>
      <c r="AB5" s="13"/>
      <c r="AC5" s="13"/>
      <c r="AD5" s="19" t="s">
        <v>1567</v>
      </c>
      <c r="AE5" s="303"/>
      <c r="AF5" s="303"/>
      <c r="AG5" s="303"/>
    </row>
    <row r="6" spans="1:35" ht="21">
      <c r="A6" s="5" t="s">
        <v>34</v>
      </c>
      <c r="B6" s="5" t="s">
        <v>35</v>
      </c>
      <c r="C6" s="10"/>
      <c r="D6" s="10"/>
      <c r="E6" s="10"/>
      <c r="F6" s="10"/>
      <c r="G6" s="10" t="s">
        <v>18</v>
      </c>
      <c r="H6" s="7"/>
      <c r="I6" s="7"/>
      <c r="J6" s="7"/>
      <c r="K6" s="2"/>
      <c r="L6" s="5" t="s">
        <v>36</v>
      </c>
      <c r="M6" s="12" t="s">
        <v>37</v>
      </c>
      <c r="N6" s="13"/>
      <c r="O6" s="13"/>
      <c r="P6" s="13"/>
      <c r="Q6" s="13"/>
      <c r="R6" s="13" t="s">
        <v>18</v>
      </c>
      <c r="U6" s="14"/>
      <c r="V6" s="2"/>
      <c r="W6" s="8" t="s">
        <v>38</v>
      </c>
      <c r="X6" s="8" t="s">
        <v>39</v>
      </c>
      <c r="Y6" s="302" t="s">
        <v>40</v>
      </c>
      <c r="Z6" s="13"/>
      <c r="AA6" s="13"/>
      <c r="AB6" s="13"/>
      <c r="AC6" s="13"/>
      <c r="AD6" s="19" t="s">
        <v>18</v>
      </c>
      <c r="AE6" s="303"/>
      <c r="AF6" s="303"/>
      <c r="AG6" s="303"/>
    </row>
    <row r="7" spans="1:35" ht="21">
      <c r="A7" s="5" t="s">
        <v>41</v>
      </c>
      <c r="B7" s="5" t="s">
        <v>42</v>
      </c>
      <c r="C7" s="10"/>
      <c r="D7" s="10"/>
      <c r="E7" s="10"/>
      <c r="F7" s="10"/>
      <c r="G7" s="10" t="s">
        <v>1574</v>
      </c>
      <c r="H7" s="7"/>
      <c r="I7" s="7"/>
      <c r="J7" s="7"/>
      <c r="K7" s="2"/>
      <c r="L7" s="5" t="s">
        <v>43</v>
      </c>
      <c r="M7" s="12" t="s">
        <v>44</v>
      </c>
      <c r="N7" s="13"/>
      <c r="O7" s="13"/>
      <c r="P7" s="13"/>
      <c r="Q7" s="13"/>
      <c r="R7" s="13" t="s">
        <v>18</v>
      </c>
      <c r="U7" s="14"/>
      <c r="V7" s="2"/>
      <c r="W7" s="8" t="s">
        <v>45</v>
      </c>
      <c r="X7" s="8" t="s">
        <v>46</v>
      </c>
      <c r="Y7" s="302" t="s">
        <v>47</v>
      </c>
      <c r="Z7" s="13"/>
      <c r="AA7" s="13"/>
      <c r="AB7" s="13"/>
      <c r="AC7" s="13"/>
      <c r="AD7" s="19" t="s">
        <v>1567</v>
      </c>
      <c r="AE7" s="303"/>
      <c r="AF7" s="303"/>
      <c r="AG7" s="303"/>
    </row>
    <row r="8" spans="1:35" ht="21">
      <c r="A8" s="5" t="s">
        <v>48</v>
      </c>
      <c r="B8" s="5" t="s">
        <v>49</v>
      </c>
      <c r="C8" s="10"/>
      <c r="D8" s="10"/>
      <c r="E8" s="10"/>
      <c r="F8" s="10"/>
      <c r="G8" s="10" t="s">
        <v>28</v>
      </c>
      <c r="H8" s="7" t="s">
        <v>3002</v>
      </c>
      <c r="I8" s="7">
        <v>3</v>
      </c>
      <c r="J8" s="7"/>
      <c r="K8" s="2"/>
      <c r="L8" s="5" t="s">
        <v>50</v>
      </c>
      <c r="M8" s="12" t="s">
        <v>51</v>
      </c>
      <c r="N8" s="13"/>
      <c r="O8" s="13"/>
      <c r="P8" s="13"/>
      <c r="Q8" s="13"/>
      <c r="R8" s="13" t="s">
        <v>18</v>
      </c>
      <c r="U8" s="14"/>
      <c r="V8" s="2"/>
      <c r="W8" s="8" t="s">
        <v>52</v>
      </c>
      <c r="X8" s="8" t="s">
        <v>53</v>
      </c>
      <c r="Y8" s="302" t="s">
        <v>54</v>
      </c>
      <c r="Z8" s="13"/>
      <c r="AA8" s="13"/>
      <c r="AB8" s="13"/>
      <c r="AC8" s="13"/>
      <c r="AD8" s="19" t="s">
        <v>21</v>
      </c>
      <c r="AE8" s="303">
        <v>3</v>
      </c>
      <c r="AF8" s="303"/>
      <c r="AG8" s="303"/>
    </row>
    <row r="9" spans="1:35" ht="21">
      <c r="A9" s="5" t="s">
        <v>55</v>
      </c>
      <c r="B9" s="5" t="s">
        <v>56</v>
      </c>
      <c r="C9" s="10"/>
      <c r="D9" s="10"/>
      <c r="E9" s="10"/>
      <c r="F9" s="10"/>
      <c r="G9" s="10" t="s">
        <v>28</v>
      </c>
      <c r="H9" s="7" t="s">
        <v>3003</v>
      </c>
      <c r="I9" s="7">
        <v>3</v>
      </c>
      <c r="J9" s="7"/>
      <c r="K9" s="2"/>
      <c r="L9" s="5" t="s">
        <v>57</v>
      </c>
      <c r="M9" s="12" t="s">
        <v>58</v>
      </c>
      <c r="N9" s="13"/>
      <c r="O9" s="13"/>
      <c r="P9" s="13"/>
      <c r="Q9" s="13"/>
      <c r="R9" s="13" t="s">
        <v>18</v>
      </c>
      <c r="U9" s="14"/>
      <c r="V9" s="2"/>
      <c r="W9" s="8" t="s">
        <v>59</v>
      </c>
      <c r="X9" s="8" t="s">
        <v>60</v>
      </c>
      <c r="Y9" s="302" t="s">
        <v>61</v>
      </c>
      <c r="Z9" s="13"/>
      <c r="AA9" s="13"/>
      <c r="AB9" s="13"/>
      <c r="AC9" s="13"/>
      <c r="AD9" s="19" t="s">
        <v>17</v>
      </c>
      <c r="AE9" s="303">
        <v>1</v>
      </c>
      <c r="AF9" s="303"/>
      <c r="AG9" s="303"/>
    </row>
    <row r="10" spans="1:35" ht="21">
      <c r="A10" s="5" t="s">
        <v>62</v>
      </c>
      <c r="B10" s="5" t="s">
        <v>63</v>
      </c>
      <c r="C10" s="10"/>
      <c r="D10" s="10"/>
      <c r="E10" s="10"/>
      <c r="F10" s="10"/>
      <c r="G10" s="10" t="s">
        <v>1562</v>
      </c>
      <c r="H10" s="7"/>
      <c r="I10" s="7"/>
      <c r="J10" s="7"/>
      <c r="K10" s="2"/>
      <c r="L10" s="5" t="s">
        <v>64</v>
      </c>
      <c r="M10" s="12" t="s">
        <v>65</v>
      </c>
      <c r="N10" s="13"/>
      <c r="O10" s="13"/>
      <c r="P10" s="13"/>
      <c r="Q10" s="13"/>
      <c r="R10" s="13" t="s">
        <v>21</v>
      </c>
      <c r="T10" s="7">
        <v>1</v>
      </c>
      <c r="V10" s="2"/>
      <c r="W10" s="8" t="s">
        <v>66</v>
      </c>
      <c r="X10" s="8" t="s">
        <v>29</v>
      </c>
      <c r="Y10" s="302" t="s">
        <v>30</v>
      </c>
      <c r="Z10" s="13"/>
      <c r="AA10" s="13"/>
      <c r="AB10" s="13"/>
      <c r="AC10" s="13"/>
      <c r="AD10" s="19" t="s">
        <v>18</v>
      </c>
      <c r="AE10" s="303"/>
      <c r="AF10" s="303"/>
      <c r="AG10" s="303"/>
    </row>
    <row r="11" spans="1:35" ht="21">
      <c r="A11" s="5" t="s">
        <v>67</v>
      </c>
      <c r="B11" s="5" t="s">
        <v>68</v>
      </c>
      <c r="C11" s="10"/>
      <c r="D11" s="10"/>
      <c r="E11" s="10"/>
      <c r="F11" s="10"/>
      <c r="G11" s="10" t="s">
        <v>1562</v>
      </c>
      <c r="H11" s="7"/>
      <c r="I11" s="7"/>
      <c r="J11" s="7"/>
      <c r="K11" s="2"/>
      <c r="L11" s="5" t="s">
        <v>69</v>
      </c>
      <c r="M11" s="12" t="s">
        <v>70</v>
      </c>
      <c r="N11" s="13"/>
      <c r="O11" s="13"/>
      <c r="P11" s="13"/>
      <c r="Q11" s="13"/>
      <c r="R11" s="13" t="s">
        <v>18</v>
      </c>
      <c r="U11" s="14"/>
      <c r="V11" s="2"/>
      <c r="W11" s="8" t="s">
        <v>71</v>
      </c>
      <c r="X11" s="8" t="s">
        <v>72</v>
      </c>
      <c r="Y11" s="302" t="s">
        <v>73</v>
      </c>
      <c r="Z11" s="13"/>
      <c r="AA11" s="13"/>
      <c r="AB11" s="13"/>
      <c r="AC11" s="13"/>
      <c r="AD11" s="19" t="s">
        <v>21</v>
      </c>
      <c r="AE11" s="303">
        <v>1</v>
      </c>
      <c r="AF11" s="303"/>
      <c r="AG11" s="303"/>
    </row>
    <row r="12" spans="1:35" ht="21">
      <c r="A12" s="5" t="s">
        <v>74</v>
      </c>
      <c r="B12" s="5" t="s">
        <v>75</v>
      </c>
      <c r="C12" s="10"/>
      <c r="D12" s="10"/>
      <c r="E12" s="10"/>
      <c r="F12" s="10"/>
      <c r="G12" s="10" t="s">
        <v>18</v>
      </c>
      <c r="H12" s="7"/>
      <c r="I12" s="7"/>
      <c r="J12" s="7"/>
      <c r="K12" s="2"/>
      <c r="L12" s="5" t="s">
        <v>76</v>
      </c>
      <c r="M12" s="12" t="s">
        <v>77</v>
      </c>
      <c r="N12" s="13"/>
      <c r="O12" s="13"/>
      <c r="P12" s="13"/>
      <c r="Q12" s="13"/>
      <c r="R12" s="13" t="s">
        <v>18</v>
      </c>
      <c r="U12" s="14"/>
      <c r="V12" s="2"/>
      <c r="W12" s="8" t="s">
        <v>78</v>
      </c>
      <c r="X12" s="8" t="s">
        <v>79</v>
      </c>
      <c r="Y12" s="302" t="s">
        <v>80</v>
      </c>
      <c r="Z12" s="13"/>
      <c r="AA12" s="13"/>
      <c r="AB12" s="13"/>
      <c r="AC12" s="13"/>
      <c r="AD12" s="19" t="s">
        <v>21</v>
      </c>
      <c r="AE12" s="303">
        <v>1</v>
      </c>
      <c r="AF12" s="303"/>
      <c r="AG12" s="303"/>
    </row>
    <row r="13" spans="1:35" ht="21">
      <c r="A13" s="5" t="s">
        <v>81</v>
      </c>
      <c r="B13" s="5" t="s">
        <v>82</v>
      </c>
      <c r="C13" s="10"/>
      <c r="D13" s="10"/>
      <c r="E13" s="10"/>
      <c r="F13" s="10"/>
      <c r="G13" s="10" t="s">
        <v>1562</v>
      </c>
      <c r="H13" s="7"/>
      <c r="I13" s="7"/>
      <c r="J13" s="7"/>
      <c r="K13" s="2"/>
      <c r="L13" s="5" t="s">
        <v>83</v>
      </c>
      <c r="M13" s="12" t="s">
        <v>84</v>
      </c>
      <c r="N13" s="13"/>
      <c r="O13" s="13"/>
      <c r="P13" s="13"/>
      <c r="Q13" s="13"/>
      <c r="R13" s="13" t="s">
        <v>18</v>
      </c>
      <c r="U13" s="14"/>
      <c r="V13" s="2"/>
      <c r="W13" s="8" t="s">
        <v>85</v>
      </c>
      <c r="X13" s="8" t="s">
        <v>86</v>
      </c>
      <c r="Y13" s="302" t="s">
        <v>87</v>
      </c>
      <c r="Z13" s="13"/>
      <c r="AA13" s="13"/>
      <c r="AB13" s="13"/>
      <c r="AC13" s="13"/>
      <c r="AD13" s="19" t="s">
        <v>1562</v>
      </c>
      <c r="AE13" s="303"/>
      <c r="AF13" s="303"/>
      <c r="AG13" s="303"/>
    </row>
    <row r="14" spans="1:35" ht="21">
      <c r="A14" s="5" t="s">
        <v>88</v>
      </c>
      <c r="B14" s="5" t="s">
        <v>89</v>
      </c>
      <c r="C14" s="10"/>
      <c r="D14" s="10"/>
      <c r="E14" s="10"/>
      <c r="F14" s="10"/>
      <c r="G14" s="10" t="s">
        <v>1567</v>
      </c>
      <c r="H14" s="7" t="s">
        <v>3004</v>
      </c>
      <c r="I14" s="7"/>
      <c r="J14" s="7"/>
      <c r="K14" s="2"/>
      <c r="L14" s="5" t="s">
        <v>90</v>
      </c>
      <c r="M14" s="12" t="s">
        <v>91</v>
      </c>
      <c r="N14" s="13"/>
      <c r="O14" s="13"/>
      <c r="P14" s="13"/>
      <c r="Q14" s="13"/>
      <c r="R14" s="13" t="s">
        <v>18</v>
      </c>
      <c r="U14" s="14"/>
      <c r="V14" s="2"/>
      <c r="W14" s="8" t="s">
        <v>92</v>
      </c>
      <c r="X14" s="8" t="s">
        <v>93</v>
      </c>
      <c r="Y14" s="302" t="s">
        <v>94</v>
      </c>
      <c r="Z14" s="13"/>
      <c r="AA14" s="13"/>
      <c r="AB14" s="13"/>
      <c r="AC14" s="13"/>
      <c r="AD14" s="19" t="s">
        <v>1562</v>
      </c>
      <c r="AE14" s="303"/>
      <c r="AF14" s="303"/>
      <c r="AG14" s="303"/>
    </row>
    <row r="15" spans="1:35" ht="21">
      <c r="A15" s="5" t="s">
        <v>95</v>
      </c>
      <c r="B15" s="5" t="s">
        <v>96</v>
      </c>
      <c r="C15" s="10"/>
      <c r="D15" s="10"/>
      <c r="E15" s="10"/>
      <c r="F15" s="10"/>
      <c r="G15" s="10" t="s">
        <v>18</v>
      </c>
      <c r="H15" s="7" t="s">
        <v>3005</v>
      </c>
      <c r="I15" s="7">
        <v>1</v>
      </c>
      <c r="J15" s="7"/>
      <c r="K15" s="2"/>
      <c r="L15" s="5" t="s">
        <v>97</v>
      </c>
      <c r="M15" s="12" t="s">
        <v>98</v>
      </c>
      <c r="N15" s="13"/>
      <c r="O15" s="13"/>
      <c r="P15" s="13"/>
      <c r="Q15" s="13"/>
      <c r="R15" s="13" t="s">
        <v>18</v>
      </c>
      <c r="U15" s="14"/>
      <c r="V15" s="2"/>
      <c r="W15" s="8" t="s">
        <v>99</v>
      </c>
      <c r="X15" s="8" t="s">
        <v>100</v>
      </c>
      <c r="Y15" s="302" t="s">
        <v>101</v>
      </c>
      <c r="Z15" s="13"/>
      <c r="AA15" s="13"/>
      <c r="AB15" s="13"/>
      <c r="AC15" s="13"/>
      <c r="AD15" s="19" t="s">
        <v>18</v>
      </c>
      <c r="AE15" s="303"/>
      <c r="AF15" s="303"/>
      <c r="AG15" s="303"/>
    </row>
    <row r="16" spans="1:35" ht="21">
      <c r="A16" s="5" t="s">
        <v>102</v>
      </c>
      <c r="B16" s="5" t="s">
        <v>103</v>
      </c>
      <c r="C16" s="10"/>
      <c r="D16" s="10"/>
      <c r="E16" s="10"/>
      <c r="F16" s="10"/>
      <c r="G16" s="10" t="s">
        <v>21</v>
      </c>
      <c r="H16" s="7" t="s">
        <v>3006</v>
      </c>
      <c r="I16" s="7">
        <v>1</v>
      </c>
      <c r="J16" s="7"/>
      <c r="K16" s="2"/>
      <c r="L16" s="5" t="s">
        <v>104</v>
      </c>
      <c r="M16" s="12" t="s">
        <v>105</v>
      </c>
      <c r="N16" s="13"/>
      <c r="O16" s="13"/>
      <c r="P16" s="13"/>
      <c r="Q16" s="13"/>
      <c r="R16" s="13" t="s">
        <v>28</v>
      </c>
      <c r="T16" s="7">
        <v>1</v>
      </c>
      <c r="V16" s="2"/>
      <c r="W16" s="8" t="s">
        <v>106</v>
      </c>
      <c r="X16" s="8" t="s">
        <v>107</v>
      </c>
      <c r="Y16" s="302" t="s">
        <v>108</v>
      </c>
      <c r="Z16" s="13"/>
      <c r="AA16" s="13"/>
      <c r="AB16" s="13"/>
      <c r="AC16" s="13"/>
      <c r="AD16" s="19" t="s">
        <v>1567</v>
      </c>
      <c r="AE16" s="303"/>
      <c r="AF16" s="303"/>
      <c r="AG16" s="303"/>
    </row>
    <row r="17" spans="1:33" ht="21">
      <c r="A17" s="5" t="s">
        <v>109</v>
      </c>
      <c r="B17" s="5" t="s">
        <v>110</v>
      </c>
      <c r="C17" s="10"/>
      <c r="D17" s="10"/>
      <c r="E17" s="10"/>
      <c r="F17" s="10"/>
      <c r="G17" s="10" t="s">
        <v>28</v>
      </c>
      <c r="H17" s="7" t="s">
        <v>3007</v>
      </c>
      <c r="I17" s="7">
        <v>3</v>
      </c>
      <c r="J17" s="7"/>
      <c r="K17" s="2"/>
      <c r="L17" s="5" t="s">
        <v>111</v>
      </c>
      <c r="M17" s="12" t="s">
        <v>112</v>
      </c>
      <c r="N17" s="13"/>
      <c r="O17" s="13"/>
      <c r="P17" s="13"/>
      <c r="Q17" s="13"/>
      <c r="R17" s="13" t="s">
        <v>18</v>
      </c>
      <c r="U17" s="14"/>
      <c r="V17" s="2"/>
      <c r="W17" s="8" t="s">
        <v>113</v>
      </c>
      <c r="X17" s="8" t="s">
        <v>114</v>
      </c>
      <c r="Y17" s="302" t="s">
        <v>115</v>
      </c>
      <c r="Z17" s="13"/>
      <c r="AA17" s="13"/>
      <c r="AB17" s="13"/>
      <c r="AC17" s="13"/>
      <c r="AD17" s="19" t="s">
        <v>28</v>
      </c>
      <c r="AE17" s="303">
        <v>1</v>
      </c>
      <c r="AF17" s="303"/>
      <c r="AG17" s="303"/>
    </row>
    <row r="18" spans="1:33" ht="21">
      <c r="A18" s="5" t="s">
        <v>116</v>
      </c>
      <c r="B18" s="5" t="s">
        <v>117</v>
      </c>
      <c r="C18" s="10"/>
      <c r="D18" s="10"/>
      <c r="E18" s="10"/>
      <c r="F18" s="10"/>
      <c r="G18" s="10" t="s">
        <v>1562</v>
      </c>
      <c r="H18" s="7"/>
      <c r="I18" s="7"/>
      <c r="J18" s="7"/>
      <c r="K18" s="2"/>
      <c r="L18" s="5" t="s">
        <v>118</v>
      </c>
      <c r="M18" s="12" t="s">
        <v>119</v>
      </c>
      <c r="N18" s="13"/>
      <c r="O18" s="13"/>
      <c r="P18" s="13"/>
      <c r="Q18" s="13"/>
      <c r="R18" s="13" t="s">
        <v>18</v>
      </c>
      <c r="U18" s="14"/>
      <c r="V18" s="2"/>
      <c r="W18" s="8" t="s">
        <v>120</v>
      </c>
      <c r="X18" s="8" t="s">
        <v>121</v>
      </c>
      <c r="Y18" s="302" t="s">
        <v>122</v>
      </c>
      <c r="Z18" s="13"/>
      <c r="AA18" s="13"/>
      <c r="AB18" s="13"/>
      <c r="AC18" s="13"/>
      <c r="AD18" s="19" t="s">
        <v>18</v>
      </c>
      <c r="AE18" s="303"/>
      <c r="AF18" s="303"/>
      <c r="AG18" s="303"/>
    </row>
    <row r="19" spans="1:33" ht="21">
      <c r="A19" s="5" t="s">
        <v>123</v>
      </c>
      <c r="B19" s="5" t="s">
        <v>124</v>
      </c>
      <c r="C19" s="10"/>
      <c r="D19" s="10"/>
      <c r="E19" s="10"/>
      <c r="F19" s="10"/>
      <c r="G19" s="10" t="s">
        <v>21</v>
      </c>
      <c r="H19" s="7" t="s">
        <v>3008</v>
      </c>
      <c r="I19" s="7"/>
      <c r="J19" s="7"/>
      <c r="K19" s="2"/>
      <c r="L19" s="5" t="s">
        <v>125</v>
      </c>
      <c r="M19" s="12" t="s">
        <v>126</v>
      </c>
      <c r="N19" s="13"/>
      <c r="O19" s="13"/>
      <c r="P19" s="13"/>
      <c r="Q19" s="13"/>
      <c r="R19" s="13" t="s">
        <v>18</v>
      </c>
      <c r="U19" s="14"/>
      <c r="V19" s="2"/>
      <c r="W19" s="8" t="s">
        <v>127</v>
      </c>
      <c r="X19" s="8" t="s">
        <v>128</v>
      </c>
      <c r="Y19" s="302" t="s">
        <v>129</v>
      </c>
      <c r="Z19" s="13"/>
      <c r="AA19" s="13"/>
      <c r="AB19" s="13"/>
      <c r="AC19" s="13"/>
      <c r="AD19" s="19" t="s">
        <v>1562</v>
      </c>
      <c r="AE19" s="303"/>
      <c r="AF19" s="303"/>
      <c r="AG19" s="303"/>
    </row>
    <row r="20" spans="1:33" ht="21">
      <c r="A20" s="5" t="s">
        <v>130</v>
      </c>
      <c r="B20" s="5" t="s">
        <v>129</v>
      </c>
      <c r="C20" s="10"/>
      <c r="D20" s="10"/>
      <c r="E20" s="10"/>
      <c r="F20" s="10"/>
      <c r="G20" s="10" t="s">
        <v>18</v>
      </c>
      <c r="H20" s="7"/>
      <c r="I20" s="7"/>
      <c r="J20" s="7"/>
      <c r="K20" s="2"/>
      <c r="L20" s="5" t="s">
        <v>131</v>
      </c>
      <c r="M20" s="12" t="s">
        <v>132</v>
      </c>
      <c r="N20" s="13"/>
      <c r="O20" s="13"/>
      <c r="P20" s="13"/>
      <c r="Q20" s="13"/>
      <c r="R20" s="13" t="s">
        <v>28</v>
      </c>
      <c r="T20" s="7">
        <v>3</v>
      </c>
      <c r="V20" s="2"/>
      <c r="W20" s="8" t="s">
        <v>133</v>
      </c>
      <c r="X20" s="8" t="s">
        <v>134</v>
      </c>
      <c r="Y20" s="302" t="s">
        <v>135</v>
      </c>
      <c r="Z20" s="13"/>
      <c r="AA20" s="13"/>
      <c r="AB20" s="13"/>
      <c r="AC20" s="13"/>
      <c r="AD20" s="19" t="s">
        <v>1567</v>
      </c>
      <c r="AE20" s="303">
        <v>1</v>
      </c>
      <c r="AF20" s="303"/>
      <c r="AG20" s="303"/>
    </row>
    <row r="21" spans="1:33" ht="21">
      <c r="A21" s="5" t="s">
        <v>136</v>
      </c>
      <c r="B21" s="5" t="s">
        <v>137</v>
      </c>
      <c r="C21" s="10"/>
      <c r="D21" s="10"/>
      <c r="E21" s="10"/>
      <c r="F21" s="10"/>
      <c r="G21" s="10" t="s">
        <v>17</v>
      </c>
      <c r="H21" s="7" t="s">
        <v>3009</v>
      </c>
      <c r="I21" s="7">
        <v>3</v>
      </c>
      <c r="J21" s="7"/>
      <c r="K21" s="2"/>
      <c r="L21" s="5" t="s">
        <v>138</v>
      </c>
      <c r="M21" s="12" t="s">
        <v>139</v>
      </c>
      <c r="N21" s="13"/>
      <c r="O21" s="13"/>
      <c r="P21" s="13"/>
      <c r="Q21" s="13"/>
      <c r="R21" s="13" t="s">
        <v>18</v>
      </c>
      <c r="U21" s="14"/>
      <c r="V21" s="2"/>
      <c r="W21" s="8" t="s">
        <v>140</v>
      </c>
      <c r="X21" s="8" t="s">
        <v>141</v>
      </c>
      <c r="Y21" s="302" t="s">
        <v>142</v>
      </c>
      <c r="Z21" s="13"/>
      <c r="AA21" s="13"/>
      <c r="AB21" s="13"/>
      <c r="AC21" s="13"/>
      <c r="AD21" s="19" t="s">
        <v>17</v>
      </c>
      <c r="AE21" s="303">
        <v>3</v>
      </c>
      <c r="AF21" s="303"/>
      <c r="AG21" s="303"/>
    </row>
    <row r="22" spans="1:33" ht="21">
      <c r="A22" s="5" t="s">
        <v>143</v>
      </c>
      <c r="B22" s="5" t="s">
        <v>144</v>
      </c>
      <c r="C22" s="10"/>
      <c r="D22" s="10"/>
      <c r="E22" s="10"/>
      <c r="F22" s="10"/>
      <c r="G22" s="10" t="s">
        <v>18</v>
      </c>
      <c r="H22" s="7"/>
      <c r="I22" s="7"/>
      <c r="J22" s="7"/>
      <c r="K22" s="2"/>
      <c r="L22" s="5" t="s">
        <v>145</v>
      </c>
      <c r="M22" s="12" t="s">
        <v>146</v>
      </c>
      <c r="N22" s="13"/>
      <c r="O22" s="13"/>
      <c r="P22" s="13"/>
      <c r="Q22" s="13"/>
      <c r="R22" s="13" t="s">
        <v>18</v>
      </c>
      <c r="U22" s="14"/>
      <c r="V22" s="2"/>
      <c r="W22" s="8" t="s">
        <v>147</v>
      </c>
      <c r="X22" s="8" t="s">
        <v>148</v>
      </c>
      <c r="Y22" s="302" t="s">
        <v>149</v>
      </c>
      <c r="Z22" s="13"/>
      <c r="AA22" s="13"/>
      <c r="AB22" s="13"/>
      <c r="AC22" s="13"/>
      <c r="AD22" s="19" t="s">
        <v>1562</v>
      </c>
      <c r="AE22" s="303"/>
      <c r="AF22" s="303"/>
      <c r="AG22" s="303"/>
    </row>
    <row r="23" spans="1:33" ht="21">
      <c r="A23" s="5" t="s">
        <v>150</v>
      </c>
      <c r="B23" s="5" t="s">
        <v>151</v>
      </c>
      <c r="C23" s="10"/>
      <c r="D23" s="10"/>
      <c r="E23" s="10"/>
      <c r="F23" s="10"/>
      <c r="G23" s="10" t="s">
        <v>18</v>
      </c>
      <c r="H23" s="7"/>
      <c r="I23" s="7"/>
      <c r="J23" s="7"/>
      <c r="K23" s="2"/>
      <c r="L23" s="5" t="s">
        <v>152</v>
      </c>
      <c r="M23" s="12" t="s">
        <v>30</v>
      </c>
      <c r="N23" s="13"/>
      <c r="O23" s="13"/>
      <c r="P23" s="13"/>
      <c r="Q23" s="13"/>
      <c r="R23" s="13" t="s">
        <v>1567</v>
      </c>
      <c r="U23" s="14"/>
      <c r="V23" s="2"/>
      <c r="W23" s="8" t="s">
        <v>153</v>
      </c>
      <c r="X23" s="8" t="s">
        <v>154</v>
      </c>
      <c r="Y23" s="302" t="s">
        <v>155</v>
      </c>
      <c r="Z23" s="13"/>
      <c r="AA23" s="13"/>
      <c r="AB23" s="13"/>
      <c r="AC23" s="13"/>
      <c r="AD23" s="19" t="s">
        <v>21</v>
      </c>
      <c r="AE23" s="303">
        <v>3</v>
      </c>
      <c r="AF23" s="303"/>
      <c r="AG23" s="303"/>
    </row>
    <row r="24" spans="1:33" ht="21">
      <c r="A24" s="5" t="s">
        <v>156</v>
      </c>
      <c r="B24" s="5" t="s">
        <v>157</v>
      </c>
      <c r="C24" s="10"/>
      <c r="D24" s="10"/>
      <c r="E24" s="10"/>
      <c r="F24" s="10"/>
      <c r="G24" s="10" t="s">
        <v>1562</v>
      </c>
      <c r="H24" s="7" t="s">
        <v>3010</v>
      </c>
      <c r="I24" s="7"/>
      <c r="J24" s="7"/>
      <c r="K24" s="2"/>
      <c r="L24" s="5" t="s">
        <v>158</v>
      </c>
      <c r="M24" s="12" t="s">
        <v>159</v>
      </c>
      <c r="N24" s="13"/>
      <c r="O24" s="13"/>
      <c r="P24" s="13"/>
      <c r="Q24" s="13"/>
      <c r="R24" s="13" t="s">
        <v>28</v>
      </c>
      <c r="T24" s="7">
        <v>1</v>
      </c>
      <c r="V24" s="2"/>
      <c r="W24" s="8" t="s">
        <v>160</v>
      </c>
      <c r="X24" s="8" t="s">
        <v>161</v>
      </c>
      <c r="Y24" s="302" t="s">
        <v>162</v>
      </c>
      <c r="Z24" s="13"/>
      <c r="AA24" s="13"/>
      <c r="AB24" s="13"/>
      <c r="AC24" s="13"/>
      <c r="AD24" s="19" t="s">
        <v>1562</v>
      </c>
      <c r="AE24" s="303"/>
      <c r="AF24" s="303"/>
      <c r="AG24" s="303"/>
    </row>
    <row r="25" spans="1:33" ht="21">
      <c r="A25" s="5" t="s">
        <v>163</v>
      </c>
      <c r="B25" s="5" t="s">
        <v>164</v>
      </c>
      <c r="C25" s="10"/>
      <c r="D25" s="10"/>
      <c r="E25" s="10"/>
      <c r="F25" s="10"/>
      <c r="G25" s="10" t="s">
        <v>18</v>
      </c>
      <c r="H25" s="7"/>
      <c r="I25" s="7"/>
      <c r="J25" s="7"/>
      <c r="K25" s="2"/>
      <c r="L25" s="5" t="s">
        <v>165</v>
      </c>
      <c r="M25" s="12" t="s">
        <v>166</v>
      </c>
      <c r="N25" s="13"/>
      <c r="O25" s="13"/>
      <c r="P25" s="13"/>
      <c r="Q25" s="13"/>
      <c r="R25" s="13" t="s">
        <v>18</v>
      </c>
      <c r="U25" s="14"/>
      <c r="V25" s="2"/>
      <c r="W25" s="8" t="s">
        <v>167</v>
      </c>
      <c r="X25" s="8" t="s">
        <v>168</v>
      </c>
      <c r="Y25" s="302" t="s">
        <v>169</v>
      </c>
      <c r="Z25" s="13"/>
      <c r="AA25" s="13"/>
      <c r="AB25" s="13"/>
      <c r="AC25" s="13"/>
      <c r="AD25" s="19" t="s">
        <v>1574</v>
      </c>
      <c r="AE25" s="303"/>
      <c r="AF25" s="303"/>
      <c r="AG25" s="303"/>
    </row>
    <row r="26" spans="1:33" ht="21">
      <c r="A26" s="5" t="s">
        <v>170</v>
      </c>
      <c r="B26" s="5" t="s">
        <v>171</v>
      </c>
      <c r="C26" s="10"/>
      <c r="D26" s="10"/>
      <c r="E26" s="10"/>
      <c r="F26" s="10"/>
      <c r="G26" s="10" t="s">
        <v>18</v>
      </c>
      <c r="H26" s="7"/>
      <c r="I26" s="7"/>
      <c r="J26" s="7"/>
      <c r="K26" s="2"/>
      <c r="L26" s="5" t="s">
        <v>172</v>
      </c>
      <c r="M26" s="12" t="s">
        <v>173</v>
      </c>
      <c r="N26" s="13"/>
      <c r="O26" s="13"/>
      <c r="P26" s="13"/>
      <c r="Q26" s="13"/>
      <c r="R26" s="13" t="s">
        <v>1567</v>
      </c>
      <c r="T26" s="7">
        <v>1</v>
      </c>
      <c r="V26" s="2"/>
      <c r="W26" s="8" t="s">
        <v>174</v>
      </c>
      <c r="X26" s="8" t="s">
        <v>175</v>
      </c>
      <c r="Y26" s="302" t="s">
        <v>176</v>
      </c>
      <c r="Z26" s="13"/>
      <c r="AA26" s="13"/>
      <c r="AB26" s="13"/>
      <c r="AC26" s="13"/>
      <c r="AD26" s="19" t="s">
        <v>1567</v>
      </c>
      <c r="AE26" s="303"/>
      <c r="AF26" s="303"/>
      <c r="AG26" s="303"/>
    </row>
    <row r="27" spans="1:33" ht="21">
      <c r="A27" s="5" t="s">
        <v>177</v>
      </c>
      <c r="B27" s="5" t="s">
        <v>178</v>
      </c>
      <c r="C27" s="10"/>
      <c r="D27" s="10"/>
      <c r="E27" s="10"/>
      <c r="F27" s="10"/>
      <c r="G27" s="10" t="s">
        <v>1562</v>
      </c>
      <c r="H27" s="7"/>
      <c r="I27" s="7"/>
      <c r="J27" s="7"/>
      <c r="K27" s="2"/>
      <c r="L27" s="5" t="s">
        <v>179</v>
      </c>
      <c r="M27" s="12" t="s">
        <v>180</v>
      </c>
      <c r="N27" s="13"/>
      <c r="O27" s="13"/>
      <c r="P27" s="13"/>
      <c r="Q27" s="13"/>
      <c r="R27" s="13" t="s">
        <v>18</v>
      </c>
      <c r="U27" s="14"/>
      <c r="V27" s="2"/>
      <c r="W27" s="8" t="s">
        <v>181</v>
      </c>
      <c r="X27" s="8" t="s">
        <v>182</v>
      </c>
      <c r="Y27" s="302" t="s">
        <v>183</v>
      </c>
      <c r="Z27" s="13"/>
      <c r="AA27" s="13"/>
      <c r="AB27" s="13"/>
      <c r="AC27" s="13"/>
      <c r="AD27" s="19" t="s">
        <v>18</v>
      </c>
      <c r="AE27" s="303"/>
      <c r="AF27" s="303"/>
      <c r="AG27" s="303"/>
    </row>
    <row r="28" spans="1:33" ht="21">
      <c r="A28" s="5" t="s">
        <v>184</v>
      </c>
      <c r="B28" s="5" t="s">
        <v>185</v>
      </c>
      <c r="C28" s="10"/>
      <c r="D28" s="10"/>
      <c r="E28" s="10"/>
      <c r="F28" s="10"/>
      <c r="G28" s="10" t="s">
        <v>18</v>
      </c>
      <c r="H28" s="7"/>
      <c r="I28" s="7"/>
      <c r="J28" s="7"/>
      <c r="K28" s="2"/>
      <c r="L28" s="5" t="s">
        <v>186</v>
      </c>
      <c r="M28" s="12" t="s">
        <v>187</v>
      </c>
      <c r="N28" s="13"/>
      <c r="O28" s="13"/>
      <c r="P28" s="13"/>
      <c r="Q28" s="13"/>
      <c r="R28" s="13" t="s">
        <v>1567</v>
      </c>
      <c r="T28" s="7">
        <v>1</v>
      </c>
      <c r="V28" s="2"/>
      <c r="W28" s="8" t="s">
        <v>188</v>
      </c>
      <c r="X28" s="8" t="s">
        <v>189</v>
      </c>
      <c r="Y28" s="302" t="s">
        <v>190</v>
      </c>
      <c r="Z28" s="13"/>
      <c r="AA28" s="13"/>
      <c r="AB28" s="13"/>
      <c r="AC28" s="13"/>
      <c r="AD28" s="19" t="s">
        <v>1562</v>
      </c>
      <c r="AE28" s="303"/>
      <c r="AF28" s="303"/>
      <c r="AG28" s="303"/>
    </row>
    <row r="29" spans="1:33" ht="21">
      <c r="A29" s="5" t="s">
        <v>191</v>
      </c>
      <c r="B29" s="5" t="s">
        <v>192</v>
      </c>
      <c r="C29" s="10"/>
      <c r="D29" s="10"/>
      <c r="E29" s="10"/>
      <c r="F29" s="10"/>
      <c r="G29" s="10" t="s">
        <v>1562</v>
      </c>
      <c r="H29" s="7"/>
      <c r="I29" s="7"/>
      <c r="J29" s="7"/>
      <c r="K29" s="2"/>
      <c r="L29" s="5" t="s">
        <v>193</v>
      </c>
      <c r="M29" s="12" t="s">
        <v>194</v>
      </c>
      <c r="N29" s="13"/>
      <c r="O29" s="13"/>
      <c r="P29" s="13"/>
      <c r="Q29" s="13"/>
      <c r="R29" s="13" t="s">
        <v>28</v>
      </c>
      <c r="S29" s="7" t="s">
        <v>1554</v>
      </c>
      <c r="T29" s="7" t="s">
        <v>3011</v>
      </c>
      <c r="V29" s="2"/>
      <c r="W29" s="8" t="s">
        <v>195</v>
      </c>
      <c r="X29" s="8" t="s">
        <v>196</v>
      </c>
      <c r="Y29" s="302" t="s">
        <v>197</v>
      </c>
      <c r="Z29" s="13"/>
      <c r="AA29" s="13"/>
      <c r="AB29" s="13"/>
      <c r="AC29" s="13"/>
      <c r="AD29" s="19" t="s">
        <v>1574</v>
      </c>
      <c r="AE29" s="303"/>
      <c r="AF29" s="303"/>
      <c r="AG29" s="303"/>
    </row>
    <row r="30" spans="1:33" ht="21">
      <c r="A30" s="5" t="s">
        <v>198</v>
      </c>
      <c r="B30" s="5" t="s">
        <v>199</v>
      </c>
      <c r="C30" s="10"/>
      <c r="D30" s="10"/>
      <c r="E30" s="10"/>
      <c r="F30" s="10"/>
      <c r="G30" s="10" t="s">
        <v>1567</v>
      </c>
      <c r="H30" s="7" t="s">
        <v>3012</v>
      </c>
      <c r="I30" s="7">
        <v>1</v>
      </c>
      <c r="J30" s="7"/>
      <c r="K30" s="2"/>
      <c r="L30" s="5" t="s">
        <v>200</v>
      </c>
      <c r="M30" s="12" t="s">
        <v>201</v>
      </c>
      <c r="N30" s="13"/>
      <c r="O30" s="13"/>
      <c r="P30" s="13"/>
      <c r="Q30" s="13"/>
      <c r="R30" s="13" t="s">
        <v>18</v>
      </c>
      <c r="U30" s="14"/>
      <c r="V30" s="2"/>
      <c r="W30" s="8" t="s">
        <v>202</v>
      </c>
      <c r="X30" s="8" t="s">
        <v>203</v>
      </c>
      <c r="Y30" s="302" t="s">
        <v>204</v>
      </c>
      <c r="Z30" s="13"/>
      <c r="AA30" s="13"/>
      <c r="AB30" s="13"/>
      <c r="AC30" s="13"/>
      <c r="AD30" s="19" t="s">
        <v>18</v>
      </c>
      <c r="AE30" s="303"/>
      <c r="AF30" s="303"/>
      <c r="AG30" s="303"/>
    </row>
    <row r="31" spans="1:33" ht="21">
      <c r="A31" s="5" t="s">
        <v>205</v>
      </c>
      <c r="B31" s="5" t="s">
        <v>206</v>
      </c>
      <c r="C31" s="10"/>
      <c r="D31" s="10"/>
      <c r="E31" s="10"/>
      <c r="F31" s="10"/>
      <c r="G31" s="10" t="s">
        <v>18</v>
      </c>
      <c r="H31" s="7"/>
      <c r="I31" s="7"/>
      <c r="J31" s="7"/>
      <c r="K31" s="2"/>
      <c r="L31" s="5" t="s">
        <v>207</v>
      </c>
      <c r="M31" s="12" t="s">
        <v>208</v>
      </c>
      <c r="N31" s="13"/>
      <c r="O31" s="13"/>
      <c r="P31" s="13"/>
      <c r="Q31" s="13"/>
      <c r="R31" s="13" t="s">
        <v>18</v>
      </c>
      <c r="U31" s="14"/>
      <c r="V31" s="2"/>
      <c r="W31" s="8" t="s">
        <v>209</v>
      </c>
      <c r="X31" s="8" t="s">
        <v>210</v>
      </c>
      <c r="Y31" s="302" t="s">
        <v>211</v>
      </c>
      <c r="Z31" s="13"/>
      <c r="AA31" s="13"/>
      <c r="AB31" s="13"/>
      <c r="AC31" s="13"/>
      <c r="AD31" s="19" t="s">
        <v>18</v>
      </c>
      <c r="AE31" s="303"/>
      <c r="AF31" s="303"/>
      <c r="AG31" s="303"/>
    </row>
    <row r="32" spans="1:33" ht="21">
      <c r="A32" s="5" t="s">
        <v>212</v>
      </c>
      <c r="B32" s="5" t="s">
        <v>213</v>
      </c>
      <c r="C32" s="10"/>
      <c r="D32" s="10"/>
      <c r="E32" s="10"/>
      <c r="F32" s="10"/>
      <c r="G32" s="10" t="s">
        <v>18</v>
      </c>
      <c r="H32" s="7"/>
      <c r="I32" s="7"/>
      <c r="J32" s="7"/>
      <c r="K32" s="2"/>
      <c r="L32" s="5" t="s">
        <v>214</v>
      </c>
      <c r="M32" s="12" t="s">
        <v>215</v>
      </c>
      <c r="N32" s="13"/>
      <c r="O32" s="13"/>
      <c r="P32" s="13"/>
      <c r="Q32" s="13"/>
      <c r="R32" s="13" t="s">
        <v>18</v>
      </c>
      <c r="U32" s="14"/>
      <c r="V32" s="2"/>
      <c r="W32" s="8" t="s">
        <v>216</v>
      </c>
      <c r="X32" s="8" t="s">
        <v>217</v>
      </c>
      <c r="Y32" s="302" t="s">
        <v>68</v>
      </c>
      <c r="Z32" s="13"/>
      <c r="AA32" s="13"/>
      <c r="AB32" s="13"/>
      <c r="AC32" s="13"/>
      <c r="AD32" s="19" t="s">
        <v>18</v>
      </c>
      <c r="AE32" s="303"/>
      <c r="AF32" s="303"/>
      <c r="AG32" s="303"/>
    </row>
    <row r="33" spans="1:33" ht="21">
      <c r="A33" s="5" t="s">
        <v>218</v>
      </c>
      <c r="B33" s="5" t="s">
        <v>219</v>
      </c>
      <c r="C33" s="10"/>
      <c r="D33" s="10"/>
      <c r="E33" s="10"/>
      <c r="F33" s="10"/>
      <c r="G33" s="10" t="s">
        <v>18</v>
      </c>
      <c r="H33" s="7"/>
      <c r="I33" s="7"/>
      <c r="J33" s="7"/>
      <c r="K33" s="2"/>
      <c r="L33" s="5" t="s">
        <v>220</v>
      </c>
      <c r="M33" s="12" t="s">
        <v>221</v>
      </c>
      <c r="N33" s="13"/>
      <c r="O33" s="13"/>
      <c r="P33" s="13"/>
      <c r="Q33" s="13"/>
      <c r="R33" s="13" t="s">
        <v>1567</v>
      </c>
      <c r="U33" s="14"/>
      <c r="V33" s="2"/>
      <c r="W33" s="8" t="s">
        <v>222</v>
      </c>
      <c r="X33" s="8" t="s">
        <v>223</v>
      </c>
      <c r="Y33" s="302" t="s">
        <v>224</v>
      </c>
      <c r="Z33" s="13"/>
      <c r="AA33" s="13"/>
      <c r="AB33" s="13"/>
      <c r="AC33" s="13"/>
      <c r="AD33" s="19" t="s">
        <v>1567</v>
      </c>
      <c r="AE33" s="303"/>
      <c r="AF33" s="303"/>
      <c r="AG33" s="303"/>
    </row>
    <row r="34" spans="1:33" ht="21">
      <c r="A34" s="5" t="s">
        <v>225</v>
      </c>
      <c r="B34" s="5" t="s">
        <v>226</v>
      </c>
      <c r="C34" s="10"/>
      <c r="D34" s="10"/>
      <c r="E34" s="10"/>
      <c r="F34" s="10"/>
      <c r="G34" s="10" t="s">
        <v>18</v>
      </c>
      <c r="H34" s="7"/>
      <c r="I34" s="7"/>
      <c r="J34" s="7"/>
      <c r="K34" s="2"/>
      <c r="L34" s="5" t="s">
        <v>227</v>
      </c>
      <c r="M34" s="12" t="s">
        <v>228</v>
      </c>
      <c r="N34" s="13"/>
      <c r="O34" s="13"/>
      <c r="P34" s="13"/>
      <c r="Q34" s="13"/>
      <c r="R34" s="13" t="s">
        <v>1567</v>
      </c>
      <c r="S34" s="7" t="s">
        <v>3013</v>
      </c>
      <c r="U34" s="14"/>
      <c r="V34" s="2"/>
      <c r="W34" s="8" t="s">
        <v>229</v>
      </c>
      <c r="X34" s="8" t="s">
        <v>230</v>
      </c>
      <c r="Y34" s="302" t="s">
        <v>231</v>
      </c>
      <c r="Z34" s="13"/>
      <c r="AA34" s="13"/>
      <c r="AB34" s="13"/>
      <c r="AC34" s="13"/>
      <c r="AD34" s="19" t="s">
        <v>1562</v>
      </c>
      <c r="AE34" s="303"/>
      <c r="AF34" s="303"/>
      <c r="AG34" s="303"/>
    </row>
    <row r="35" spans="1:33" ht="21">
      <c r="A35" s="5" t="s">
        <v>232</v>
      </c>
      <c r="B35" s="5" t="s">
        <v>233</v>
      </c>
      <c r="C35" s="10"/>
      <c r="D35" s="10"/>
      <c r="E35" s="10"/>
      <c r="F35" s="10"/>
      <c r="G35" s="10" t="s">
        <v>1562</v>
      </c>
      <c r="H35" s="7"/>
      <c r="I35" s="7" t="s">
        <v>1554</v>
      </c>
      <c r="J35" s="7"/>
      <c r="K35" s="2"/>
      <c r="L35" s="5" t="s">
        <v>234</v>
      </c>
      <c r="M35" s="12" t="s">
        <v>68</v>
      </c>
      <c r="N35" s="13"/>
      <c r="O35" s="13"/>
      <c r="P35" s="13"/>
      <c r="Q35" s="13"/>
      <c r="R35" s="13" t="s">
        <v>1567</v>
      </c>
      <c r="U35" s="14"/>
      <c r="V35" s="2"/>
      <c r="W35" s="8" t="s">
        <v>235</v>
      </c>
      <c r="X35" s="8" t="s">
        <v>236</v>
      </c>
      <c r="Y35" s="302" t="s">
        <v>237</v>
      </c>
      <c r="Z35" s="13"/>
      <c r="AA35" s="13"/>
      <c r="AB35" s="13"/>
      <c r="AC35" s="13"/>
      <c r="AD35" s="19" t="s">
        <v>1567</v>
      </c>
      <c r="AE35" s="303"/>
      <c r="AF35" s="303"/>
      <c r="AG35" s="303"/>
    </row>
    <row r="36" spans="1:33" ht="21">
      <c r="A36" s="5" t="s">
        <v>238</v>
      </c>
      <c r="B36" s="5" t="s">
        <v>239</v>
      </c>
      <c r="C36" s="10"/>
      <c r="D36" s="10"/>
      <c r="E36" s="10"/>
      <c r="F36" s="10"/>
      <c r="G36" s="10" t="s">
        <v>1567</v>
      </c>
      <c r="H36" s="7" t="s">
        <v>3014</v>
      </c>
      <c r="I36" s="7">
        <v>1</v>
      </c>
      <c r="J36" s="7"/>
      <c r="K36" s="2"/>
      <c r="L36" s="5" t="s">
        <v>240</v>
      </c>
      <c r="M36" s="12" t="s">
        <v>241</v>
      </c>
      <c r="N36" s="13"/>
      <c r="O36" s="13"/>
      <c r="P36" s="13"/>
      <c r="Q36" s="13"/>
      <c r="R36" s="13" t="s">
        <v>1567</v>
      </c>
      <c r="U36" s="14"/>
      <c r="V36" s="2"/>
      <c r="W36" s="8" t="s">
        <v>242</v>
      </c>
      <c r="X36" s="8" t="s">
        <v>131</v>
      </c>
      <c r="Y36" s="302" t="s">
        <v>132</v>
      </c>
      <c r="Z36" s="13"/>
      <c r="AA36" s="13"/>
      <c r="AB36" s="13"/>
      <c r="AC36" s="13"/>
      <c r="AD36" s="19" t="s">
        <v>21</v>
      </c>
      <c r="AE36" s="303">
        <v>3</v>
      </c>
      <c r="AF36" s="303"/>
      <c r="AG36" s="303"/>
    </row>
    <row r="37" spans="1:33" ht="21">
      <c r="A37" s="5" t="s">
        <v>243</v>
      </c>
      <c r="B37" s="5" t="s">
        <v>244</v>
      </c>
      <c r="C37" s="10"/>
      <c r="D37" s="10"/>
      <c r="E37" s="10"/>
      <c r="F37" s="10"/>
      <c r="G37" s="10" t="s">
        <v>18</v>
      </c>
      <c r="H37" s="7"/>
      <c r="I37" s="7"/>
      <c r="J37" s="7"/>
      <c r="K37" s="2"/>
      <c r="L37" s="5" t="s">
        <v>245</v>
      </c>
      <c r="M37" s="12" t="s">
        <v>246</v>
      </c>
      <c r="N37" s="13"/>
      <c r="O37" s="13"/>
      <c r="P37" s="13"/>
      <c r="Q37" s="13"/>
      <c r="R37" s="13" t="s">
        <v>1567</v>
      </c>
      <c r="S37" s="7" t="s">
        <v>3015</v>
      </c>
      <c r="T37" s="7" t="s">
        <v>3016</v>
      </c>
      <c r="V37" s="2"/>
      <c r="W37" s="8" t="s">
        <v>247</v>
      </c>
      <c r="X37" s="8" t="s">
        <v>248</v>
      </c>
      <c r="Y37" s="302" t="s">
        <v>249</v>
      </c>
      <c r="Z37" s="13"/>
      <c r="AA37" s="13"/>
      <c r="AB37" s="13"/>
      <c r="AC37" s="13"/>
      <c r="AD37" s="19" t="s">
        <v>1562</v>
      </c>
      <c r="AE37" s="303"/>
      <c r="AF37" s="303"/>
      <c r="AG37" s="303"/>
    </row>
    <row r="38" spans="1:33" ht="21">
      <c r="A38" s="5" t="s">
        <v>250</v>
      </c>
      <c r="B38" s="5" t="s">
        <v>80</v>
      </c>
      <c r="C38" s="10"/>
      <c r="D38" s="10"/>
      <c r="E38" s="10"/>
      <c r="F38" s="10"/>
      <c r="G38" s="10" t="s">
        <v>28</v>
      </c>
      <c r="H38" s="7" t="s">
        <v>3017</v>
      </c>
      <c r="I38" s="7">
        <v>3</v>
      </c>
      <c r="J38" s="7"/>
      <c r="K38" s="2"/>
      <c r="L38" s="5" t="s">
        <v>251</v>
      </c>
      <c r="M38" s="12" t="s">
        <v>252</v>
      </c>
      <c r="N38" s="13"/>
      <c r="O38" s="13"/>
      <c r="P38" s="13"/>
      <c r="Q38" s="13"/>
      <c r="R38" s="13" t="s">
        <v>18</v>
      </c>
      <c r="U38" s="14"/>
      <c r="V38" s="2"/>
      <c r="W38" s="8" t="s">
        <v>253</v>
      </c>
      <c r="X38" s="8" t="s">
        <v>254</v>
      </c>
      <c r="Y38" s="302" t="s">
        <v>255</v>
      </c>
      <c r="Z38" s="13"/>
      <c r="AA38" s="13"/>
      <c r="AB38" s="13"/>
      <c r="AC38" s="13"/>
      <c r="AD38" s="19" t="s">
        <v>21</v>
      </c>
      <c r="AE38" s="303">
        <v>3</v>
      </c>
      <c r="AF38" s="303"/>
      <c r="AG38" s="303"/>
    </row>
    <row r="39" spans="1:33" ht="21">
      <c r="A39" s="5" t="s">
        <v>256</v>
      </c>
      <c r="B39" s="5" t="s">
        <v>257</v>
      </c>
      <c r="C39" s="10"/>
      <c r="D39" s="10"/>
      <c r="E39" s="10"/>
      <c r="F39" s="10"/>
      <c r="G39" s="10" t="s">
        <v>1562</v>
      </c>
      <c r="H39" s="7"/>
      <c r="I39" s="7"/>
      <c r="J39" s="7"/>
      <c r="K39" s="2"/>
      <c r="L39" s="5" t="s">
        <v>258</v>
      </c>
      <c r="M39" s="12" t="s">
        <v>259</v>
      </c>
      <c r="N39" s="13"/>
      <c r="O39" s="13"/>
      <c r="P39" s="13"/>
      <c r="Q39" s="13"/>
      <c r="R39" s="13" t="s">
        <v>21</v>
      </c>
      <c r="S39" s="7" t="s">
        <v>3018</v>
      </c>
      <c r="T39" s="7">
        <v>1</v>
      </c>
      <c r="V39" s="2"/>
      <c r="W39" s="8" t="s">
        <v>260</v>
      </c>
      <c r="X39" s="8" t="s">
        <v>261</v>
      </c>
      <c r="Y39" s="302" t="s">
        <v>262</v>
      </c>
      <c r="Z39" s="13"/>
      <c r="AA39" s="13"/>
      <c r="AB39" s="13"/>
      <c r="AC39" s="13"/>
      <c r="AD39" s="19" t="s">
        <v>1567</v>
      </c>
      <c r="AE39" s="303">
        <v>1</v>
      </c>
      <c r="AF39" s="303"/>
      <c r="AG39" s="303"/>
    </row>
    <row r="40" spans="1:33" ht="21">
      <c r="A40" s="5" t="s">
        <v>263</v>
      </c>
      <c r="B40" s="5" t="s">
        <v>264</v>
      </c>
      <c r="C40" s="10"/>
      <c r="D40" s="10"/>
      <c r="E40" s="10"/>
      <c r="F40" s="10"/>
      <c r="G40" s="10" t="s">
        <v>18</v>
      </c>
      <c r="H40" s="7"/>
      <c r="I40" s="7" t="s">
        <v>1554</v>
      </c>
      <c r="J40" s="7"/>
      <c r="K40" s="2"/>
      <c r="L40" s="5" t="s">
        <v>265</v>
      </c>
      <c r="M40" s="12" t="s">
        <v>266</v>
      </c>
      <c r="N40" s="13"/>
      <c r="O40" s="13"/>
      <c r="P40" s="13"/>
      <c r="Q40" s="13"/>
      <c r="R40" s="13" t="s">
        <v>18</v>
      </c>
      <c r="U40" s="14"/>
      <c r="V40" s="2"/>
      <c r="W40" s="8" t="s">
        <v>267</v>
      </c>
      <c r="X40" s="8" t="s">
        <v>268</v>
      </c>
      <c r="Y40" s="302" t="s">
        <v>56</v>
      </c>
      <c r="Z40" s="13"/>
      <c r="AA40" s="13"/>
      <c r="AB40" s="13"/>
      <c r="AC40" s="13"/>
      <c r="AD40" s="19" t="s">
        <v>28</v>
      </c>
      <c r="AE40" s="303">
        <v>3</v>
      </c>
      <c r="AF40" s="303"/>
      <c r="AG40" s="303"/>
    </row>
    <row r="41" spans="1:33" ht="21">
      <c r="A41" s="5" t="s">
        <v>269</v>
      </c>
      <c r="B41" s="8" t="s">
        <v>270</v>
      </c>
      <c r="C41" s="10"/>
      <c r="D41" s="10"/>
      <c r="E41" s="10"/>
      <c r="F41" s="10"/>
      <c r="G41" s="10" t="s">
        <v>18</v>
      </c>
      <c r="H41" s="7"/>
      <c r="I41" s="7"/>
      <c r="J41" s="7"/>
      <c r="K41" s="2"/>
      <c r="L41" s="5" t="s">
        <v>271</v>
      </c>
      <c r="M41" s="12" t="s">
        <v>272</v>
      </c>
      <c r="N41" s="13"/>
      <c r="O41" s="13"/>
      <c r="P41" s="13"/>
      <c r="Q41" s="13"/>
      <c r="R41" s="13" t="s">
        <v>1567</v>
      </c>
      <c r="S41" s="7" t="s">
        <v>3019</v>
      </c>
      <c r="T41" s="7">
        <v>1</v>
      </c>
      <c r="V41" s="2"/>
      <c r="W41" s="8" t="s">
        <v>273</v>
      </c>
      <c r="X41" s="8" t="s">
        <v>186</v>
      </c>
      <c r="Y41" s="302" t="s">
        <v>187</v>
      </c>
      <c r="Z41" s="13"/>
      <c r="AA41" s="13"/>
      <c r="AB41" s="13"/>
      <c r="AC41" s="13"/>
      <c r="AD41" s="19" t="s">
        <v>18</v>
      </c>
      <c r="AE41" s="303"/>
      <c r="AF41" s="303"/>
      <c r="AG41" s="303"/>
    </row>
    <row r="42" spans="1:33" ht="21">
      <c r="A42" s="5" t="s">
        <v>274</v>
      </c>
      <c r="B42" s="5" t="s">
        <v>275</v>
      </c>
      <c r="C42" s="10"/>
      <c r="D42" s="10"/>
      <c r="E42" s="10"/>
      <c r="F42" s="10"/>
      <c r="G42" s="10" t="s">
        <v>1562</v>
      </c>
      <c r="H42" s="7"/>
      <c r="I42" s="7"/>
      <c r="J42" s="7"/>
      <c r="K42" s="2"/>
      <c r="L42" s="5" t="s">
        <v>121</v>
      </c>
      <c r="M42" s="12" t="s">
        <v>122</v>
      </c>
      <c r="N42" s="13"/>
      <c r="O42" s="13"/>
      <c r="P42" s="13"/>
      <c r="Q42" s="13"/>
      <c r="R42" s="13" t="s">
        <v>1567</v>
      </c>
      <c r="U42" s="14"/>
      <c r="V42" s="2"/>
      <c r="W42" s="8" t="s">
        <v>276</v>
      </c>
      <c r="X42" s="8" t="s">
        <v>277</v>
      </c>
      <c r="Y42" s="302" t="s">
        <v>278</v>
      </c>
      <c r="Z42" s="13"/>
      <c r="AA42" s="13"/>
      <c r="AB42" s="13"/>
      <c r="AC42" s="13"/>
      <c r="AD42" s="19" t="s">
        <v>1562</v>
      </c>
      <c r="AE42" s="303"/>
      <c r="AF42" s="303"/>
      <c r="AG42" s="303"/>
    </row>
    <row r="43" spans="1:33" ht="21">
      <c r="A43" s="5" t="s">
        <v>279</v>
      </c>
      <c r="B43" s="5" t="s">
        <v>280</v>
      </c>
      <c r="C43" s="10"/>
      <c r="D43" s="10"/>
      <c r="E43" s="10"/>
      <c r="F43" s="10"/>
      <c r="G43" s="10" t="s">
        <v>1567</v>
      </c>
      <c r="H43" s="7" t="s">
        <v>3020</v>
      </c>
      <c r="I43" s="7">
        <v>1</v>
      </c>
      <c r="J43" s="7"/>
      <c r="K43" s="2"/>
      <c r="L43" s="5" t="s">
        <v>281</v>
      </c>
      <c r="M43" s="12" t="s">
        <v>282</v>
      </c>
      <c r="N43" s="13"/>
      <c r="O43" s="13"/>
      <c r="P43" s="13"/>
      <c r="Q43" s="13"/>
      <c r="R43" s="13" t="s">
        <v>18</v>
      </c>
      <c r="U43" s="14"/>
      <c r="V43" s="2"/>
      <c r="W43" s="8" t="s">
        <v>283</v>
      </c>
      <c r="X43" s="8" t="s">
        <v>284</v>
      </c>
      <c r="Y43" s="302" t="s">
        <v>285</v>
      </c>
      <c r="Z43" s="13"/>
      <c r="AA43" s="13"/>
      <c r="AB43" s="13"/>
      <c r="AC43" s="13"/>
      <c r="AD43" s="19" t="s">
        <v>18</v>
      </c>
      <c r="AE43" s="303"/>
      <c r="AF43" s="303"/>
      <c r="AG43" s="303"/>
    </row>
    <row r="44" spans="1:33" ht="21">
      <c r="A44" s="5" t="s">
        <v>286</v>
      </c>
      <c r="B44" s="5" t="s">
        <v>54</v>
      </c>
      <c r="C44" s="10"/>
      <c r="D44" s="10"/>
      <c r="E44" s="10"/>
      <c r="G44" s="10" t="s">
        <v>21</v>
      </c>
      <c r="H44" s="7" t="s">
        <v>2561</v>
      </c>
      <c r="I44" s="7">
        <v>3</v>
      </c>
      <c r="J44" s="7"/>
      <c r="K44" s="2"/>
      <c r="L44" s="5" t="s">
        <v>287</v>
      </c>
      <c r="M44" s="12" t="s">
        <v>288</v>
      </c>
      <c r="N44" s="13"/>
      <c r="O44" s="13"/>
      <c r="P44" s="13"/>
      <c r="Q44" s="13"/>
      <c r="R44" s="13" t="s">
        <v>18</v>
      </c>
      <c r="U44" s="14"/>
      <c r="V44" s="2"/>
      <c r="W44" s="8" t="s">
        <v>289</v>
      </c>
      <c r="X44" s="8" t="s">
        <v>290</v>
      </c>
      <c r="Y44" s="302" t="s">
        <v>291</v>
      </c>
      <c r="Z44" s="13"/>
      <c r="AA44" s="13"/>
      <c r="AB44" s="13"/>
      <c r="AC44" s="13"/>
      <c r="AD44" s="19" t="s">
        <v>1562</v>
      </c>
      <c r="AE44" s="303"/>
      <c r="AF44" s="303"/>
      <c r="AG44" s="303"/>
    </row>
    <row r="45" spans="1:33" ht="21">
      <c r="A45" s="5" t="s">
        <v>292</v>
      </c>
      <c r="B45" s="5" t="s">
        <v>293</v>
      </c>
      <c r="C45" s="10"/>
      <c r="D45" s="10"/>
      <c r="E45" s="10"/>
      <c r="G45" s="10" t="s">
        <v>1567</v>
      </c>
      <c r="H45" s="7" t="s">
        <v>3021</v>
      </c>
      <c r="I45" s="7" t="s">
        <v>1554</v>
      </c>
      <c r="J45" s="7"/>
      <c r="K45" s="2"/>
      <c r="L45" s="5" t="s">
        <v>294</v>
      </c>
      <c r="M45" s="12" t="s">
        <v>295</v>
      </c>
      <c r="N45" s="13"/>
      <c r="O45" s="13"/>
      <c r="P45" s="13"/>
      <c r="Q45" s="13"/>
      <c r="R45" s="13" t="s">
        <v>18</v>
      </c>
      <c r="U45" s="14"/>
      <c r="V45" s="2"/>
      <c r="W45" s="8" t="s">
        <v>296</v>
      </c>
      <c r="X45" s="8" t="s">
        <v>297</v>
      </c>
      <c r="Y45" s="302" t="s">
        <v>280</v>
      </c>
      <c r="Z45" s="13"/>
      <c r="AA45" s="13"/>
      <c r="AB45" s="13"/>
      <c r="AC45" s="13"/>
      <c r="AD45" s="19" t="s">
        <v>18</v>
      </c>
      <c r="AE45" s="303"/>
      <c r="AF45" s="303"/>
      <c r="AG45" s="303"/>
    </row>
    <row r="46" spans="1:33" ht="21">
      <c r="A46" s="5" t="s">
        <v>298</v>
      </c>
      <c r="B46" s="5" t="s">
        <v>299</v>
      </c>
      <c r="C46" s="10"/>
      <c r="D46" s="10"/>
      <c r="E46" s="10"/>
      <c r="G46" s="10" t="s">
        <v>18</v>
      </c>
      <c r="H46" s="7"/>
      <c r="I46" s="7"/>
      <c r="J46" s="7"/>
      <c r="K46" s="2"/>
      <c r="L46" s="5" t="s">
        <v>39</v>
      </c>
      <c r="M46" s="12" t="s">
        <v>40</v>
      </c>
      <c r="N46" s="13"/>
      <c r="O46" s="13"/>
      <c r="P46" s="13"/>
      <c r="Q46" s="13"/>
      <c r="R46" s="13" t="s">
        <v>1567</v>
      </c>
      <c r="U46" s="14"/>
      <c r="V46" s="2"/>
      <c r="W46" s="8" t="s">
        <v>300</v>
      </c>
      <c r="X46" s="8" t="s">
        <v>301</v>
      </c>
      <c r="Y46" s="302" t="s">
        <v>280</v>
      </c>
      <c r="Z46" s="13"/>
      <c r="AA46" s="13"/>
      <c r="AB46" s="13"/>
      <c r="AC46" s="13"/>
      <c r="AD46" s="19" t="s">
        <v>1562</v>
      </c>
      <c r="AE46" s="303"/>
      <c r="AF46" s="303"/>
      <c r="AG46" s="303"/>
    </row>
    <row r="47" spans="1:33" ht="21">
      <c r="A47" s="5" t="s">
        <v>302</v>
      </c>
      <c r="B47" s="5" t="s">
        <v>303</v>
      </c>
      <c r="C47" s="10"/>
      <c r="D47" s="10"/>
      <c r="E47" s="10"/>
      <c r="G47" s="10" t="s">
        <v>18</v>
      </c>
      <c r="H47" s="7"/>
      <c r="I47" s="7"/>
      <c r="J47" s="7"/>
      <c r="K47" s="2"/>
      <c r="L47" s="5" t="s">
        <v>304</v>
      </c>
      <c r="M47" s="12" t="s">
        <v>305</v>
      </c>
      <c r="N47" s="13"/>
      <c r="O47" s="13"/>
      <c r="P47" s="13"/>
      <c r="Q47" s="13"/>
      <c r="R47" s="13" t="s">
        <v>18</v>
      </c>
      <c r="S47" s="7" t="s">
        <v>3022</v>
      </c>
      <c r="U47" s="14"/>
      <c r="V47" s="2"/>
      <c r="W47" s="8" t="s">
        <v>306</v>
      </c>
      <c r="X47" s="8" t="s">
        <v>307</v>
      </c>
      <c r="Y47" s="302" t="s">
        <v>308</v>
      </c>
      <c r="Z47" s="13"/>
      <c r="AA47" s="13"/>
      <c r="AB47" s="13"/>
      <c r="AC47" s="13"/>
      <c r="AD47" s="19" t="s">
        <v>1567</v>
      </c>
      <c r="AE47" s="303"/>
      <c r="AF47" s="303"/>
      <c r="AG47" s="303"/>
    </row>
    <row r="48" spans="1:33" ht="21">
      <c r="A48" s="5" t="s">
        <v>309</v>
      </c>
      <c r="B48" s="5" t="s">
        <v>310</v>
      </c>
      <c r="C48" s="10"/>
      <c r="D48" s="10"/>
      <c r="E48" s="10"/>
      <c r="G48" s="10" t="s">
        <v>18</v>
      </c>
      <c r="H48" s="7"/>
      <c r="I48" s="7"/>
      <c r="J48" s="7"/>
      <c r="K48" s="2"/>
      <c r="L48" s="5" t="s">
        <v>311</v>
      </c>
      <c r="M48" s="12" t="s">
        <v>312</v>
      </c>
      <c r="N48" s="13"/>
      <c r="O48" s="13"/>
      <c r="P48" s="13"/>
      <c r="Q48" s="13"/>
      <c r="R48" s="13" t="s">
        <v>1567</v>
      </c>
      <c r="U48" s="14"/>
      <c r="V48" s="2"/>
      <c r="W48" s="8" t="s">
        <v>313</v>
      </c>
      <c r="X48" s="8" t="s">
        <v>314</v>
      </c>
      <c r="Y48" s="302" t="s">
        <v>103</v>
      </c>
      <c r="Z48" s="13"/>
      <c r="AA48" s="13"/>
      <c r="AB48" s="13"/>
      <c r="AC48" s="13"/>
      <c r="AD48" s="19" t="s">
        <v>1567</v>
      </c>
      <c r="AE48" s="303"/>
      <c r="AF48" s="303"/>
      <c r="AG48" s="303"/>
    </row>
    <row r="49" spans="1:33" ht="21">
      <c r="A49" s="5" t="s">
        <v>315</v>
      </c>
      <c r="B49" s="5" t="s">
        <v>316</v>
      </c>
      <c r="C49" s="10"/>
      <c r="D49" s="10"/>
      <c r="E49" s="10"/>
      <c r="G49" s="10" t="s">
        <v>18</v>
      </c>
      <c r="H49" s="7"/>
      <c r="I49" s="7"/>
      <c r="J49" s="7"/>
      <c r="K49" s="2"/>
      <c r="L49" s="5" t="s">
        <v>317</v>
      </c>
      <c r="M49" s="12" t="s">
        <v>318</v>
      </c>
      <c r="N49" s="13"/>
      <c r="O49" s="13"/>
      <c r="P49" s="13"/>
      <c r="Q49" s="13"/>
      <c r="R49" s="13" t="s">
        <v>21</v>
      </c>
      <c r="S49" s="7" t="s">
        <v>3023</v>
      </c>
      <c r="T49" s="7">
        <v>1</v>
      </c>
      <c r="V49" s="2"/>
      <c r="W49" s="8" t="s">
        <v>319</v>
      </c>
      <c r="X49" s="8" t="s">
        <v>320</v>
      </c>
      <c r="Y49" s="302" t="s">
        <v>321</v>
      </c>
      <c r="Z49" s="13"/>
      <c r="AA49" s="13"/>
      <c r="AB49" s="13"/>
      <c r="AC49" s="13"/>
      <c r="AD49" s="19" t="s">
        <v>18</v>
      </c>
      <c r="AE49" s="303"/>
      <c r="AF49" s="303"/>
      <c r="AG49" s="303"/>
    </row>
    <row r="50" spans="1:33" ht="21">
      <c r="A50" s="5" t="s">
        <v>322</v>
      </c>
      <c r="B50" s="5" t="s">
        <v>162</v>
      </c>
      <c r="C50" s="10"/>
      <c r="D50" s="10"/>
      <c r="E50" s="10"/>
      <c r="G50" s="10" t="s">
        <v>18</v>
      </c>
      <c r="H50" s="7" t="s">
        <v>3024</v>
      </c>
      <c r="I50" s="7"/>
      <c r="J50" s="7"/>
      <c r="K50" s="2"/>
      <c r="L50" s="5" t="s">
        <v>323</v>
      </c>
      <c r="M50" s="12" t="s">
        <v>185</v>
      </c>
      <c r="N50" s="13"/>
      <c r="O50" s="13"/>
      <c r="P50" s="13"/>
      <c r="Q50" s="13"/>
      <c r="R50" s="13" t="s">
        <v>18</v>
      </c>
      <c r="U50" s="14"/>
      <c r="V50" s="2"/>
      <c r="W50" s="8" t="s">
        <v>324</v>
      </c>
      <c r="X50" s="8" t="s">
        <v>325</v>
      </c>
      <c r="Y50" s="302" t="s">
        <v>226</v>
      </c>
      <c r="Z50" s="13"/>
      <c r="AA50" s="13"/>
      <c r="AB50" s="13"/>
      <c r="AC50" s="13"/>
      <c r="AD50" s="19" t="s">
        <v>18</v>
      </c>
      <c r="AE50" s="303"/>
      <c r="AF50" s="303"/>
      <c r="AG50" s="303"/>
    </row>
    <row r="51" spans="1:33" ht="21">
      <c r="A51" s="5" t="s">
        <v>326</v>
      </c>
      <c r="B51" s="5" t="s">
        <v>94</v>
      </c>
      <c r="C51" s="10"/>
      <c r="D51" s="10"/>
      <c r="E51" s="10"/>
      <c r="G51" s="10" t="s">
        <v>1567</v>
      </c>
      <c r="H51" s="7"/>
      <c r="I51" s="7"/>
      <c r="J51" s="7"/>
      <c r="K51" s="2"/>
      <c r="L51" s="5" t="s">
        <v>327</v>
      </c>
      <c r="M51" s="12" t="s">
        <v>328</v>
      </c>
      <c r="N51" s="13"/>
      <c r="O51" s="13"/>
      <c r="P51" s="13"/>
      <c r="Q51" s="13"/>
      <c r="R51" s="13" t="s">
        <v>18</v>
      </c>
      <c r="U51" s="14"/>
      <c r="V51" s="2"/>
      <c r="W51" s="8" t="s">
        <v>329</v>
      </c>
      <c r="X51" s="8" t="s">
        <v>330</v>
      </c>
      <c r="Y51" s="302" t="s">
        <v>124</v>
      </c>
      <c r="Z51" s="13"/>
      <c r="AA51" s="13"/>
      <c r="AB51" s="13"/>
      <c r="AC51" s="13"/>
      <c r="AD51" s="19" t="s">
        <v>28</v>
      </c>
      <c r="AE51" s="303">
        <v>1</v>
      </c>
      <c r="AF51" s="303"/>
      <c r="AG51" s="303"/>
    </row>
    <row r="52" spans="1:33" ht="21">
      <c r="A52" s="5" t="s">
        <v>331</v>
      </c>
      <c r="B52" s="5" t="s">
        <v>332</v>
      </c>
      <c r="C52" s="10"/>
      <c r="D52" s="10"/>
      <c r="E52" s="10"/>
      <c r="G52" s="10" t="s">
        <v>18</v>
      </c>
      <c r="H52" s="7"/>
      <c r="I52" s="7"/>
      <c r="J52" s="7"/>
      <c r="K52" s="2"/>
      <c r="L52" s="5" t="s">
        <v>217</v>
      </c>
      <c r="M52" s="12" t="s">
        <v>68</v>
      </c>
      <c r="N52" s="13"/>
      <c r="O52" s="13"/>
      <c r="P52" s="13"/>
      <c r="Q52" s="13"/>
      <c r="R52" s="13" t="s">
        <v>1567</v>
      </c>
      <c r="U52" s="14"/>
      <c r="V52" s="2"/>
      <c r="W52" s="8" t="s">
        <v>333</v>
      </c>
      <c r="X52" s="8" t="s">
        <v>234</v>
      </c>
      <c r="Y52" s="302" t="s">
        <v>68</v>
      </c>
      <c r="Z52" s="13"/>
      <c r="AA52" s="13"/>
      <c r="AB52" s="13"/>
      <c r="AC52" s="13"/>
      <c r="AD52" s="19" t="s">
        <v>1562</v>
      </c>
      <c r="AE52" s="303"/>
      <c r="AF52" s="303"/>
      <c r="AG52" s="303"/>
    </row>
    <row r="53" spans="1:33" ht="21">
      <c r="A53" s="5" t="s">
        <v>334</v>
      </c>
      <c r="B53" s="5" t="s">
        <v>335</v>
      </c>
      <c r="C53" s="10"/>
      <c r="D53" s="10"/>
      <c r="E53" s="10"/>
      <c r="G53" s="10" t="s">
        <v>1562</v>
      </c>
      <c r="H53" s="7"/>
      <c r="I53" s="7"/>
      <c r="J53" s="7"/>
      <c r="K53" s="2"/>
      <c r="L53" s="5" t="s">
        <v>336</v>
      </c>
      <c r="M53" s="12" t="s">
        <v>337</v>
      </c>
      <c r="N53" s="13"/>
      <c r="O53" s="13"/>
      <c r="P53" s="13"/>
      <c r="Q53" s="13"/>
      <c r="R53" s="13" t="s">
        <v>18</v>
      </c>
      <c r="U53" s="14"/>
      <c r="V53" s="2"/>
      <c r="W53" s="8" t="s">
        <v>338</v>
      </c>
      <c r="X53" s="8" t="s">
        <v>271</v>
      </c>
      <c r="Y53" s="302" t="s">
        <v>272</v>
      </c>
      <c r="Z53" s="13"/>
      <c r="AA53" s="13"/>
      <c r="AB53" s="13"/>
      <c r="AC53" s="13"/>
      <c r="AD53" s="19" t="s">
        <v>18</v>
      </c>
      <c r="AE53" s="303"/>
      <c r="AF53" s="303"/>
      <c r="AG53" s="303"/>
    </row>
    <row r="54" spans="1:33" ht="21">
      <c r="A54" s="5" t="s">
        <v>339</v>
      </c>
      <c r="B54" s="5" t="s">
        <v>340</v>
      </c>
      <c r="C54" s="10"/>
      <c r="D54" s="10"/>
      <c r="E54" s="10"/>
      <c r="G54" s="10" t="s">
        <v>18</v>
      </c>
      <c r="H54" s="7"/>
      <c r="I54" s="7"/>
      <c r="J54" s="7"/>
      <c r="K54" s="2"/>
      <c r="L54" s="5" t="s">
        <v>341</v>
      </c>
      <c r="M54" s="12" t="s">
        <v>342</v>
      </c>
      <c r="N54" s="13"/>
      <c r="O54" s="13"/>
      <c r="P54" s="13"/>
      <c r="Q54" s="13"/>
      <c r="R54" s="13" t="s">
        <v>18</v>
      </c>
      <c r="U54" s="14"/>
      <c r="V54" s="2"/>
      <c r="W54" s="8" t="s">
        <v>343</v>
      </c>
      <c r="X54" s="8" t="s">
        <v>344</v>
      </c>
      <c r="Y54" s="302" t="s">
        <v>345</v>
      </c>
      <c r="Z54" s="13"/>
      <c r="AA54" s="13"/>
      <c r="AB54" s="13"/>
      <c r="AC54" s="13"/>
      <c r="AD54" s="19" t="s">
        <v>18</v>
      </c>
      <c r="AE54" s="303"/>
      <c r="AF54" s="303"/>
      <c r="AG54" s="303"/>
    </row>
    <row r="55" spans="1:33" ht="21">
      <c r="A55" s="5" t="s">
        <v>346</v>
      </c>
      <c r="B55" s="5" t="s">
        <v>347</v>
      </c>
      <c r="C55" s="10"/>
      <c r="D55" s="10"/>
      <c r="E55" s="10"/>
      <c r="G55" s="10" t="s">
        <v>1567</v>
      </c>
      <c r="H55" s="7"/>
      <c r="I55" s="7">
        <v>1</v>
      </c>
      <c r="J55" s="7"/>
      <c r="K55" s="2"/>
      <c r="L55" s="5" t="s">
        <v>348</v>
      </c>
      <c r="M55" s="12" t="s">
        <v>349</v>
      </c>
      <c r="N55" s="13"/>
      <c r="O55" s="13"/>
      <c r="P55" s="13"/>
      <c r="Q55" s="13"/>
      <c r="R55" s="13" t="s">
        <v>1567</v>
      </c>
      <c r="U55" s="14"/>
      <c r="V55" s="2"/>
      <c r="W55" s="8" t="s">
        <v>350</v>
      </c>
      <c r="X55" s="8" t="s">
        <v>351</v>
      </c>
      <c r="Y55" s="302" t="s">
        <v>352</v>
      </c>
      <c r="Z55" s="13"/>
      <c r="AA55" s="13"/>
      <c r="AB55" s="13"/>
      <c r="AC55" s="13"/>
      <c r="AD55" s="19" t="s">
        <v>1562</v>
      </c>
      <c r="AE55" s="303"/>
      <c r="AF55" s="303"/>
      <c r="AG55" s="303"/>
    </row>
    <row r="56" spans="1:33" ht="21">
      <c r="A56" s="5" t="s">
        <v>353</v>
      </c>
      <c r="B56" s="5" t="s">
        <v>354</v>
      </c>
      <c r="C56" s="10"/>
      <c r="D56" s="10"/>
      <c r="E56" s="10"/>
      <c r="G56" s="10" t="s">
        <v>18</v>
      </c>
      <c r="H56" s="7"/>
      <c r="I56" s="7" t="s">
        <v>1554</v>
      </c>
      <c r="J56" s="7"/>
      <c r="K56" s="2"/>
      <c r="L56" s="5" t="s">
        <v>355</v>
      </c>
      <c r="M56" s="12" t="s">
        <v>356</v>
      </c>
      <c r="N56" s="13"/>
      <c r="O56" s="13"/>
      <c r="P56" s="13"/>
      <c r="Q56" s="13"/>
      <c r="R56" s="13" t="s">
        <v>18</v>
      </c>
      <c r="U56" s="14"/>
      <c r="V56" s="2"/>
      <c r="W56" s="8" t="s">
        <v>357</v>
      </c>
      <c r="X56" s="8" t="s">
        <v>50</v>
      </c>
      <c r="Y56" s="302" t="s">
        <v>51</v>
      </c>
      <c r="Z56" s="13"/>
      <c r="AA56" s="13"/>
      <c r="AB56" s="13"/>
      <c r="AC56" s="13"/>
      <c r="AD56" s="19" t="s">
        <v>1562</v>
      </c>
      <c r="AE56" s="303"/>
      <c r="AF56" s="303"/>
      <c r="AG56" s="303"/>
    </row>
    <row r="57" spans="1:33" ht="21">
      <c r="A57" s="5" t="s">
        <v>358</v>
      </c>
      <c r="B57" s="5" t="s">
        <v>359</v>
      </c>
      <c r="C57" s="10"/>
      <c r="D57" s="10"/>
      <c r="E57" s="10"/>
      <c r="G57" s="10" t="s">
        <v>1567</v>
      </c>
      <c r="H57" s="7" t="s">
        <v>3025</v>
      </c>
      <c r="I57" s="7">
        <v>1</v>
      </c>
      <c r="J57" s="7"/>
      <c r="K57" s="2"/>
      <c r="L57" s="5" t="s">
        <v>360</v>
      </c>
      <c r="M57" s="12" t="s">
        <v>361</v>
      </c>
      <c r="N57" s="13"/>
      <c r="O57" s="13"/>
      <c r="P57" s="13"/>
      <c r="Q57" s="13"/>
      <c r="R57" s="13" t="s">
        <v>18</v>
      </c>
      <c r="U57" s="14"/>
      <c r="V57" s="2"/>
      <c r="W57" s="8" t="s">
        <v>362</v>
      </c>
      <c r="X57" s="8" t="s">
        <v>363</v>
      </c>
      <c r="Y57" s="302" t="s">
        <v>364</v>
      </c>
      <c r="Z57" s="13"/>
      <c r="AA57" s="13"/>
      <c r="AB57" s="13"/>
      <c r="AC57" s="13"/>
      <c r="AD57" s="19" t="s">
        <v>1562</v>
      </c>
      <c r="AE57" s="303"/>
      <c r="AF57" s="303"/>
      <c r="AG57" s="303"/>
    </row>
    <row r="58" spans="1:33" ht="21">
      <c r="A58" s="5" t="s">
        <v>365</v>
      </c>
      <c r="B58" s="5" t="s">
        <v>366</v>
      </c>
      <c r="C58" s="10"/>
      <c r="D58" s="10"/>
      <c r="E58" s="10"/>
      <c r="G58" s="10" t="s">
        <v>18</v>
      </c>
      <c r="H58" s="7"/>
      <c r="I58" s="7"/>
      <c r="J58" s="7"/>
      <c r="K58" s="2"/>
      <c r="L58" s="5" t="s">
        <v>367</v>
      </c>
      <c r="M58" s="12" t="s">
        <v>368</v>
      </c>
      <c r="N58" s="13"/>
      <c r="O58" s="13"/>
      <c r="P58" s="13"/>
      <c r="Q58" s="13"/>
      <c r="R58" s="13" t="s">
        <v>18</v>
      </c>
      <c r="U58" s="14"/>
      <c r="V58" s="2"/>
      <c r="W58" s="8" t="s">
        <v>369</v>
      </c>
      <c r="X58" s="8" t="s">
        <v>370</v>
      </c>
      <c r="Y58" s="302" t="s">
        <v>49</v>
      </c>
      <c r="Z58" s="13"/>
      <c r="AA58" s="13"/>
      <c r="AB58" s="13"/>
      <c r="AC58" s="13"/>
      <c r="AD58" s="19" t="s">
        <v>17</v>
      </c>
      <c r="AE58" s="303">
        <v>3</v>
      </c>
      <c r="AF58" s="303"/>
      <c r="AG58" s="303"/>
    </row>
    <row r="59" spans="1:33" ht="21">
      <c r="A59" s="5" t="s">
        <v>371</v>
      </c>
      <c r="B59" s="5" t="s">
        <v>372</v>
      </c>
      <c r="C59" s="10"/>
      <c r="D59" s="10"/>
      <c r="E59" s="10"/>
      <c r="G59" s="10" t="s">
        <v>18</v>
      </c>
      <c r="H59" s="7"/>
      <c r="I59" s="7"/>
      <c r="J59" s="7"/>
      <c r="K59" s="2"/>
      <c r="L59" s="5" t="s">
        <v>210</v>
      </c>
      <c r="M59" s="12" t="s">
        <v>211</v>
      </c>
      <c r="N59" s="13"/>
      <c r="O59" s="13"/>
      <c r="P59" s="13"/>
      <c r="Q59" s="13"/>
      <c r="R59" s="13" t="s">
        <v>1567</v>
      </c>
      <c r="V59" s="2"/>
      <c r="W59" s="8" t="s">
        <v>373</v>
      </c>
      <c r="X59" s="8" t="s">
        <v>374</v>
      </c>
      <c r="Y59" s="302" t="s">
        <v>375</v>
      </c>
      <c r="Z59" s="13"/>
      <c r="AA59" s="13"/>
      <c r="AB59" s="13"/>
      <c r="AC59" s="13"/>
      <c r="AD59" s="19" t="s">
        <v>1562</v>
      </c>
      <c r="AE59" s="303"/>
      <c r="AF59" s="303"/>
      <c r="AG59" s="303"/>
    </row>
    <row r="60" spans="1:33" ht="21">
      <c r="A60" s="5" t="s">
        <v>376</v>
      </c>
      <c r="B60" s="5" t="s">
        <v>278</v>
      </c>
      <c r="C60" s="10"/>
      <c r="D60" s="10"/>
      <c r="E60" s="10"/>
      <c r="G60" s="10" t="s">
        <v>1567</v>
      </c>
      <c r="H60" s="7"/>
      <c r="I60" s="7"/>
      <c r="J60" s="7"/>
      <c r="K60" s="2"/>
      <c r="L60" s="5" t="s">
        <v>377</v>
      </c>
      <c r="M60" s="12" t="s">
        <v>378</v>
      </c>
      <c r="N60" s="13"/>
      <c r="O60" s="13"/>
      <c r="P60" s="13"/>
      <c r="Q60" s="13"/>
      <c r="R60" s="13" t="s">
        <v>18</v>
      </c>
      <c r="U60" s="14"/>
      <c r="V60" s="2"/>
      <c r="W60" s="8" t="s">
        <v>379</v>
      </c>
      <c r="X60" s="8" t="s">
        <v>380</v>
      </c>
      <c r="Y60" s="302" t="s">
        <v>381</v>
      </c>
      <c r="Z60" s="13"/>
      <c r="AA60" s="13"/>
      <c r="AB60" s="13"/>
      <c r="AC60" s="13"/>
      <c r="AD60" s="19" t="s">
        <v>21</v>
      </c>
      <c r="AE60" s="303">
        <v>1</v>
      </c>
      <c r="AF60" s="303"/>
      <c r="AG60" s="303"/>
    </row>
    <row r="61" spans="1:33" ht="21">
      <c r="A61" s="5" t="s">
        <v>382</v>
      </c>
      <c r="B61" s="5" t="s">
        <v>383</v>
      </c>
      <c r="C61" s="10"/>
      <c r="D61" s="10"/>
      <c r="E61" s="10"/>
      <c r="G61" s="10" t="s">
        <v>18</v>
      </c>
      <c r="H61" s="7"/>
      <c r="I61" s="7"/>
      <c r="J61" s="7"/>
      <c r="K61" s="2"/>
      <c r="L61" s="5" t="s">
        <v>384</v>
      </c>
      <c r="M61" s="12" t="s">
        <v>385</v>
      </c>
      <c r="N61" s="13"/>
      <c r="O61" s="13"/>
      <c r="P61" s="13"/>
      <c r="Q61" s="13"/>
      <c r="R61" s="13" t="s">
        <v>18</v>
      </c>
      <c r="U61" s="14"/>
      <c r="V61" s="2"/>
      <c r="W61" s="8" t="s">
        <v>386</v>
      </c>
      <c r="X61" s="8" t="s">
        <v>172</v>
      </c>
      <c r="Y61" s="302" t="s">
        <v>173</v>
      </c>
      <c r="Z61" s="13"/>
      <c r="AA61" s="13"/>
      <c r="AB61" s="13"/>
      <c r="AC61" s="13"/>
      <c r="AD61" s="19" t="s">
        <v>1574</v>
      </c>
      <c r="AE61" s="303"/>
      <c r="AF61" s="303"/>
      <c r="AG61" s="303"/>
    </row>
    <row r="62" spans="1:33" ht="21">
      <c r="A62" s="5" t="s">
        <v>387</v>
      </c>
      <c r="B62" s="5" t="s">
        <v>388</v>
      </c>
      <c r="C62" s="10"/>
      <c r="D62" s="10"/>
      <c r="E62" s="10"/>
      <c r="G62" s="10" t="s">
        <v>18</v>
      </c>
      <c r="H62" s="7"/>
      <c r="I62" s="7"/>
      <c r="J62" s="7"/>
      <c r="K62" s="2"/>
      <c r="L62" s="5" t="s">
        <v>389</v>
      </c>
      <c r="M62" s="12" t="s">
        <v>390</v>
      </c>
      <c r="N62" s="13"/>
      <c r="O62" s="13"/>
      <c r="P62" s="13"/>
      <c r="Q62" s="13"/>
      <c r="R62" s="13" t="s">
        <v>18</v>
      </c>
      <c r="T62" s="7" t="s">
        <v>1554</v>
      </c>
      <c r="V62" s="2"/>
      <c r="W62" s="8" t="s">
        <v>391</v>
      </c>
      <c r="X62" s="8" t="s">
        <v>392</v>
      </c>
      <c r="Y62" s="302" t="s">
        <v>359</v>
      </c>
      <c r="Z62" s="13"/>
      <c r="AA62" s="13"/>
      <c r="AB62" s="13"/>
      <c r="AC62" s="13"/>
      <c r="AD62" s="19" t="s">
        <v>21</v>
      </c>
      <c r="AE62" s="303">
        <v>1</v>
      </c>
      <c r="AF62" s="303"/>
      <c r="AG62" s="303"/>
    </row>
    <row r="63" spans="1:33" ht="21">
      <c r="A63" s="5" t="s">
        <v>393</v>
      </c>
      <c r="B63" s="5" t="s">
        <v>394</v>
      </c>
      <c r="C63" s="10"/>
      <c r="D63" s="10"/>
      <c r="E63" s="10"/>
      <c r="G63" s="10" t="s">
        <v>18</v>
      </c>
      <c r="H63" s="7"/>
      <c r="I63" s="7"/>
      <c r="J63" s="7"/>
      <c r="K63" s="2"/>
      <c r="L63" s="5" t="s">
        <v>395</v>
      </c>
      <c r="M63" s="12" t="s">
        <v>396</v>
      </c>
      <c r="N63" s="13"/>
      <c r="O63" s="13"/>
      <c r="P63" s="13"/>
      <c r="Q63" s="13"/>
      <c r="R63" s="13" t="s">
        <v>18</v>
      </c>
      <c r="U63" s="14"/>
      <c r="V63" s="2"/>
      <c r="W63" s="8" t="s">
        <v>397</v>
      </c>
      <c r="X63" s="8" t="s">
        <v>398</v>
      </c>
      <c r="Y63" s="302" t="s">
        <v>30</v>
      </c>
      <c r="Z63" s="13"/>
      <c r="AA63" s="13"/>
      <c r="AB63" s="13"/>
      <c r="AC63" s="13"/>
      <c r="AD63" s="19" t="s">
        <v>1567</v>
      </c>
      <c r="AE63" s="303"/>
      <c r="AF63" s="303"/>
      <c r="AG63" s="303"/>
    </row>
    <row r="64" spans="1:33" ht="21">
      <c r="A64" s="5" t="s">
        <v>399</v>
      </c>
      <c r="B64" s="5" t="s">
        <v>400</v>
      </c>
      <c r="C64" s="10"/>
      <c r="D64" s="10"/>
      <c r="E64" s="10"/>
      <c r="G64" s="10" t="s">
        <v>18</v>
      </c>
      <c r="H64" s="7"/>
      <c r="I64" s="7"/>
      <c r="J64" s="7"/>
      <c r="K64" s="2"/>
      <c r="L64" s="5" t="s">
        <v>401</v>
      </c>
      <c r="M64" s="12" t="s">
        <v>402</v>
      </c>
      <c r="N64" s="13"/>
      <c r="O64" s="13"/>
      <c r="P64" s="13"/>
      <c r="Q64" s="13"/>
      <c r="R64" s="13" t="s">
        <v>18</v>
      </c>
      <c r="U64" s="14"/>
      <c r="V64" s="2"/>
      <c r="W64" s="8" t="s">
        <v>403</v>
      </c>
      <c r="X64" s="8" t="s">
        <v>258</v>
      </c>
      <c r="Y64" s="302" t="s">
        <v>259</v>
      </c>
      <c r="Z64" s="13"/>
      <c r="AA64" s="13"/>
      <c r="AB64" s="13"/>
      <c r="AC64" s="13"/>
      <c r="AD64" s="19" t="s">
        <v>1562</v>
      </c>
      <c r="AE64" s="303"/>
      <c r="AF64" s="303"/>
      <c r="AG64" s="303"/>
    </row>
    <row r="65" spans="1:33" ht="21">
      <c r="A65" s="5" t="s">
        <v>404</v>
      </c>
      <c r="B65" s="5" t="s">
        <v>405</v>
      </c>
      <c r="C65" s="10"/>
      <c r="D65" s="10"/>
      <c r="E65" s="10"/>
      <c r="G65" s="10" t="s">
        <v>18</v>
      </c>
      <c r="H65" s="7"/>
      <c r="I65" s="7"/>
      <c r="J65" s="7"/>
      <c r="K65" s="2"/>
      <c r="L65" s="5" t="s">
        <v>374</v>
      </c>
      <c r="M65" s="12" t="s">
        <v>375</v>
      </c>
      <c r="N65" s="13"/>
      <c r="O65" s="13"/>
      <c r="P65" s="13"/>
      <c r="Q65" s="13"/>
      <c r="R65" s="13" t="s">
        <v>18</v>
      </c>
      <c r="U65" s="14"/>
      <c r="V65" s="2"/>
      <c r="W65" s="8" t="s">
        <v>406</v>
      </c>
      <c r="X65" s="8" t="s">
        <v>407</v>
      </c>
      <c r="Y65" s="302" t="s">
        <v>408</v>
      </c>
      <c r="Z65" s="13"/>
      <c r="AA65" s="13"/>
      <c r="AB65" s="13"/>
      <c r="AC65" s="13"/>
      <c r="AD65" s="19" t="s">
        <v>18</v>
      </c>
      <c r="AE65" s="303"/>
      <c r="AF65" s="303"/>
      <c r="AG65" s="303"/>
    </row>
    <row r="66" spans="1:33" ht="21">
      <c r="A66" s="5" t="s">
        <v>409</v>
      </c>
      <c r="B66" s="5" t="s">
        <v>308</v>
      </c>
      <c r="C66" s="10"/>
      <c r="D66" s="10"/>
      <c r="E66" s="10"/>
      <c r="G66" s="10" t="s">
        <v>21</v>
      </c>
      <c r="H66" s="7" t="s">
        <v>3026</v>
      </c>
      <c r="I66" s="7">
        <v>1</v>
      </c>
      <c r="J66" s="7"/>
      <c r="K66" s="2"/>
      <c r="L66" s="5" t="s">
        <v>230</v>
      </c>
      <c r="M66" s="12" t="s">
        <v>231</v>
      </c>
      <c r="N66" s="13"/>
      <c r="O66" s="13"/>
      <c r="P66" s="13"/>
      <c r="Q66" s="13"/>
      <c r="R66" s="13" t="s">
        <v>18</v>
      </c>
      <c r="U66" s="14"/>
      <c r="V66" s="2"/>
      <c r="W66" s="8" t="s">
        <v>410</v>
      </c>
      <c r="X66" s="8" t="s">
        <v>411</v>
      </c>
      <c r="Y66" s="302" t="s">
        <v>412</v>
      </c>
      <c r="Z66" s="13"/>
      <c r="AA66" s="13"/>
      <c r="AB66" s="13"/>
      <c r="AC66" s="13"/>
      <c r="AD66" s="19" t="s">
        <v>1562</v>
      </c>
      <c r="AE66" s="303"/>
      <c r="AF66" s="303"/>
      <c r="AG66" s="303"/>
    </row>
    <row r="67" spans="1:33" ht="21">
      <c r="A67" s="5" t="s">
        <v>413</v>
      </c>
      <c r="B67" s="5" t="s">
        <v>414</v>
      </c>
      <c r="C67" s="10"/>
      <c r="D67" s="10"/>
      <c r="E67" s="10"/>
      <c r="G67" s="10" t="s">
        <v>18</v>
      </c>
      <c r="H67" s="7"/>
      <c r="I67" s="7"/>
      <c r="J67" s="7"/>
      <c r="K67" s="2"/>
      <c r="L67" s="5" t="s">
        <v>86</v>
      </c>
      <c r="M67" s="12" t="s">
        <v>87</v>
      </c>
      <c r="N67" s="13"/>
      <c r="O67" s="13"/>
      <c r="P67" s="13"/>
      <c r="Q67" s="13"/>
      <c r="R67" s="13" t="s">
        <v>18</v>
      </c>
      <c r="U67" s="14"/>
      <c r="V67" s="2"/>
      <c r="W67" s="8" t="s">
        <v>415</v>
      </c>
      <c r="X67" s="8" t="s">
        <v>281</v>
      </c>
      <c r="Y67" s="302" t="s">
        <v>282</v>
      </c>
      <c r="Z67" s="13"/>
      <c r="AA67" s="13"/>
      <c r="AB67" s="13"/>
      <c r="AC67" s="13"/>
      <c r="AD67" s="19" t="s">
        <v>1562</v>
      </c>
      <c r="AE67" s="303"/>
      <c r="AF67" s="303"/>
      <c r="AG67" s="303"/>
    </row>
    <row r="68" spans="1:33" ht="21">
      <c r="A68" s="5" t="s">
        <v>416</v>
      </c>
      <c r="B68" s="5" t="s">
        <v>417</v>
      </c>
      <c r="C68" s="10"/>
      <c r="D68" s="10"/>
      <c r="E68" s="10"/>
      <c r="G68" s="10" t="s">
        <v>18</v>
      </c>
      <c r="H68" s="7"/>
      <c r="I68" s="7"/>
      <c r="J68" s="7"/>
      <c r="K68" s="2"/>
      <c r="L68" s="5" t="s">
        <v>100</v>
      </c>
      <c r="M68" s="12" t="s">
        <v>101</v>
      </c>
      <c r="N68" s="13"/>
      <c r="O68" s="13"/>
      <c r="P68" s="13"/>
      <c r="Q68" s="13"/>
      <c r="R68" s="13" t="s">
        <v>1567</v>
      </c>
      <c r="S68" s="7" t="s">
        <v>3027</v>
      </c>
      <c r="T68" s="7">
        <v>1</v>
      </c>
      <c r="V68" s="2"/>
      <c r="W68" s="8" t="s">
        <v>418</v>
      </c>
      <c r="X68" s="8" t="s">
        <v>419</v>
      </c>
      <c r="Y68" s="302" t="s">
        <v>420</v>
      </c>
      <c r="Z68" s="13"/>
      <c r="AA68" s="13"/>
      <c r="AB68" s="13"/>
      <c r="AC68" s="13"/>
      <c r="AD68" s="19" t="s">
        <v>17</v>
      </c>
      <c r="AE68" s="303">
        <v>3</v>
      </c>
      <c r="AF68" s="303"/>
      <c r="AG68" s="303"/>
    </row>
    <row r="69" spans="1:33" ht="21">
      <c r="A69" s="5" t="s">
        <v>421</v>
      </c>
      <c r="B69" s="5" t="s">
        <v>422</v>
      </c>
      <c r="C69" s="10"/>
      <c r="D69" s="10"/>
      <c r="E69" s="10"/>
      <c r="G69" s="10" t="s">
        <v>28</v>
      </c>
      <c r="H69" s="7" t="s">
        <v>3028</v>
      </c>
      <c r="I69" s="7">
        <v>1</v>
      </c>
      <c r="J69" s="7" t="s">
        <v>3029</v>
      </c>
      <c r="K69" s="2"/>
      <c r="L69" s="5" t="s">
        <v>423</v>
      </c>
      <c r="M69" s="12" t="s">
        <v>424</v>
      </c>
      <c r="N69" s="13"/>
      <c r="O69" s="13"/>
      <c r="P69" s="13"/>
      <c r="Q69" s="13"/>
      <c r="R69" s="13" t="s">
        <v>1567</v>
      </c>
      <c r="V69" s="2"/>
      <c r="W69" s="8" t="s">
        <v>425</v>
      </c>
      <c r="X69" s="8" t="s">
        <v>158</v>
      </c>
      <c r="Y69" s="302" t="s">
        <v>159</v>
      </c>
      <c r="Z69" s="13"/>
      <c r="AA69" s="13"/>
      <c r="AB69" s="13"/>
      <c r="AC69" s="13"/>
      <c r="AD69" s="19" t="s">
        <v>21</v>
      </c>
      <c r="AE69" s="303">
        <v>1</v>
      </c>
      <c r="AF69" s="303"/>
      <c r="AG69" s="303"/>
    </row>
    <row r="70" spans="1:33" ht="21">
      <c r="A70" s="5" t="s">
        <v>426</v>
      </c>
      <c r="B70" s="5" t="s">
        <v>427</v>
      </c>
      <c r="C70" s="10"/>
      <c r="D70" s="10"/>
      <c r="E70" s="10"/>
      <c r="F70" s="10"/>
      <c r="G70" s="10" t="s">
        <v>18</v>
      </c>
      <c r="H70" s="7"/>
      <c r="I70" s="7"/>
      <c r="J70" s="7"/>
      <c r="K70" s="2"/>
      <c r="L70" s="5" t="s">
        <v>428</v>
      </c>
      <c r="M70" s="12" t="s">
        <v>429</v>
      </c>
      <c r="N70" s="13"/>
      <c r="O70" s="13"/>
      <c r="P70" s="13"/>
      <c r="Q70" s="13"/>
      <c r="R70" s="13" t="s">
        <v>18</v>
      </c>
      <c r="T70" s="7" t="s">
        <v>1554</v>
      </c>
      <c r="V70" s="2"/>
      <c r="W70" s="8" t="s">
        <v>430</v>
      </c>
      <c r="X70" s="8" t="s">
        <v>431</v>
      </c>
      <c r="Y70" s="302" t="s">
        <v>199</v>
      </c>
      <c r="Z70" s="13"/>
      <c r="AA70" s="13"/>
      <c r="AB70" s="13"/>
      <c r="AC70" s="13"/>
      <c r="AD70" s="19" t="s">
        <v>18</v>
      </c>
      <c r="AE70" s="303"/>
      <c r="AF70" s="303"/>
      <c r="AG70" s="303"/>
    </row>
    <row r="71" spans="1:33" ht="21">
      <c r="A71" s="5" t="s">
        <v>432</v>
      </c>
      <c r="B71" s="5" t="s">
        <v>149</v>
      </c>
      <c r="C71" s="10"/>
      <c r="D71" s="10"/>
      <c r="E71" s="10"/>
      <c r="F71" s="10"/>
      <c r="G71" s="10" t="s">
        <v>18</v>
      </c>
      <c r="H71" s="7" t="s">
        <v>3030</v>
      </c>
      <c r="I71" s="7"/>
      <c r="J71" s="7"/>
      <c r="K71" s="2"/>
      <c r="L71" s="5" t="s">
        <v>261</v>
      </c>
      <c r="M71" s="12" t="s">
        <v>262</v>
      </c>
      <c r="N71" s="13"/>
      <c r="O71" s="13"/>
      <c r="P71" s="13"/>
      <c r="Q71" s="13"/>
      <c r="R71" s="13" t="s">
        <v>1567</v>
      </c>
      <c r="T71" s="7">
        <v>1</v>
      </c>
      <c r="V71" s="2"/>
      <c r="W71" s="8" t="s">
        <v>433</v>
      </c>
      <c r="X71" s="8" t="s">
        <v>434</v>
      </c>
      <c r="Y71" s="302" t="s">
        <v>110</v>
      </c>
      <c r="Z71" s="13"/>
      <c r="AA71" s="13"/>
      <c r="AB71" s="13"/>
      <c r="AC71" s="13"/>
      <c r="AD71" s="19" t="s">
        <v>28</v>
      </c>
      <c r="AE71" s="303">
        <v>3</v>
      </c>
      <c r="AF71" s="303"/>
      <c r="AG71" s="303"/>
    </row>
    <row r="72" spans="1:33" ht="21">
      <c r="A72" s="5" t="s">
        <v>435</v>
      </c>
      <c r="B72" s="5" t="s">
        <v>436</v>
      </c>
      <c r="C72" s="10"/>
      <c r="D72" s="10"/>
      <c r="E72" s="10"/>
      <c r="F72" s="10"/>
      <c r="G72" s="10" t="s">
        <v>18</v>
      </c>
      <c r="H72" s="7"/>
      <c r="I72" s="7"/>
      <c r="J72" s="7"/>
      <c r="K72" s="2"/>
      <c r="L72" s="5" t="s">
        <v>437</v>
      </c>
      <c r="M72" s="12" t="s">
        <v>438</v>
      </c>
      <c r="N72" s="13"/>
      <c r="O72" s="13"/>
      <c r="P72" s="13"/>
      <c r="Q72" s="13"/>
      <c r="R72" s="13" t="s">
        <v>18</v>
      </c>
      <c r="U72" s="14"/>
      <c r="V72" s="2"/>
      <c r="W72" s="8" t="s">
        <v>439</v>
      </c>
      <c r="X72" s="8" t="s">
        <v>440</v>
      </c>
      <c r="Y72" s="302" t="s">
        <v>441</v>
      </c>
      <c r="Z72" s="13"/>
      <c r="AA72" s="13"/>
      <c r="AB72" s="13"/>
      <c r="AC72" s="13"/>
      <c r="AD72" s="19" t="s">
        <v>1562</v>
      </c>
      <c r="AE72" s="303"/>
      <c r="AF72" s="303"/>
      <c r="AG72" s="303"/>
    </row>
    <row r="73" spans="1:33" ht="21">
      <c r="A73" s="5" t="s">
        <v>442</v>
      </c>
      <c r="B73" s="5" t="s">
        <v>443</v>
      </c>
      <c r="C73" s="10"/>
      <c r="D73" s="10"/>
      <c r="E73" s="10"/>
      <c r="F73" s="10"/>
      <c r="G73" s="10" t="s">
        <v>18</v>
      </c>
      <c r="H73" s="7"/>
      <c r="I73" s="7"/>
      <c r="J73" s="7"/>
      <c r="K73" s="2"/>
      <c r="L73" s="5" t="s">
        <v>444</v>
      </c>
      <c r="M73" s="12" t="s">
        <v>445</v>
      </c>
      <c r="N73" s="13"/>
      <c r="O73" s="13"/>
      <c r="P73" s="13"/>
      <c r="Q73" s="13"/>
      <c r="R73" s="13" t="s">
        <v>18</v>
      </c>
      <c r="U73" s="14"/>
      <c r="V73" s="2"/>
      <c r="W73" s="8" t="s">
        <v>446</v>
      </c>
      <c r="X73" s="8" t="s">
        <v>317</v>
      </c>
      <c r="Y73" s="302" t="s">
        <v>318</v>
      </c>
      <c r="Z73" s="13"/>
      <c r="AA73" s="13"/>
      <c r="AB73" s="13"/>
      <c r="AC73" s="13"/>
      <c r="AD73" s="19" t="s">
        <v>21</v>
      </c>
      <c r="AE73" s="303">
        <v>1</v>
      </c>
      <c r="AF73" s="303"/>
      <c r="AG73" s="303"/>
    </row>
    <row r="74" spans="1:33" ht="21">
      <c r="A74" s="5" t="s">
        <v>447</v>
      </c>
      <c r="B74" s="5" t="s">
        <v>47</v>
      </c>
      <c r="C74" s="10"/>
      <c r="D74" s="10"/>
      <c r="E74" s="10"/>
      <c r="F74" s="10"/>
      <c r="G74" s="10" t="s">
        <v>1567</v>
      </c>
      <c r="H74" s="7"/>
      <c r="I74" s="7"/>
      <c r="J74" s="7"/>
      <c r="K74" s="2"/>
      <c r="L74" s="5" t="s">
        <v>448</v>
      </c>
      <c r="M74" s="12" t="s">
        <v>449</v>
      </c>
      <c r="N74" s="13"/>
      <c r="O74" s="13"/>
      <c r="P74" s="13"/>
      <c r="Q74" s="13"/>
      <c r="R74" s="13" t="s">
        <v>1567</v>
      </c>
      <c r="U74" s="14"/>
      <c r="V74" s="2"/>
      <c r="W74" s="8" t="s">
        <v>450</v>
      </c>
      <c r="X74" s="8" t="s">
        <v>193</v>
      </c>
      <c r="Y74" s="302" t="s">
        <v>194</v>
      </c>
      <c r="Z74" s="13"/>
      <c r="AA74" s="13"/>
      <c r="AB74" s="13"/>
      <c r="AC74" s="13"/>
      <c r="AD74" s="19" t="s">
        <v>1567</v>
      </c>
      <c r="AE74" s="303"/>
      <c r="AF74" s="303"/>
      <c r="AG74" s="303"/>
    </row>
    <row r="75" spans="1:33" ht="21">
      <c r="A75" s="5" t="s">
        <v>451</v>
      </c>
      <c r="B75" s="5" t="s">
        <v>169</v>
      </c>
      <c r="C75" s="10"/>
      <c r="D75" s="10"/>
      <c r="E75" s="10"/>
      <c r="F75" s="10"/>
      <c r="G75" s="10" t="s">
        <v>1567</v>
      </c>
      <c r="H75" s="7"/>
      <c r="I75" s="7"/>
      <c r="J75" s="7"/>
      <c r="K75" s="2"/>
      <c r="L75" s="5" t="s">
        <v>452</v>
      </c>
      <c r="M75" s="12" t="s">
        <v>453</v>
      </c>
      <c r="N75" s="13"/>
      <c r="O75" s="13"/>
      <c r="P75" s="13"/>
      <c r="Q75" s="13"/>
      <c r="R75" s="13" t="s">
        <v>1567</v>
      </c>
      <c r="U75" s="14"/>
      <c r="V75" s="2"/>
      <c r="W75" s="8" t="s">
        <v>454</v>
      </c>
      <c r="X75" s="8" t="s">
        <v>423</v>
      </c>
      <c r="Y75" s="302" t="s">
        <v>424</v>
      </c>
      <c r="Z75" s="13"/>
      <c r="AA75" s="13"/>
      <c r="AB75" s="13"/>
      <c r="AC75" s="13"/>
      <c r="AD75" s="19" t="s">
        <v>18</v>
      </c>
      <c r="AE75" s="303"/>
      <c r="AF75" s="303"/>
      <c r="AG75" s="303"/>
    </row>
    <row r="76" spans="1:33" ht="21">
      <c r="A76" s="5" t="s">
        <v>455</v>
      </c>
      <c r="B76" s="5" t="s">
        <v>197</v>
      </c>
      <c r="C76" s="10"/>
      <c r="D76" s="10"/>
      <c r="E76" s="10"/>
      <c r="F76" s="10"/>
      <c r="G76" s="10" t="s">
        <v>18</v>
      </c>
      <c r="H76" s="7"/>
      <c r="I76" s="7"/>
      <c r="J76" s="7"/>
      <c r="K76" s="2"/>
      <c r="L76" s="5" t="s">
        <v>456</v>
      </c>
      <c r="M76" s="12" t="s">
        <v>457</v>
      </c>
      <c r="N76" s="13"/>
      <c r="O76" s="13"/>
      <c r="P76" s="13"/>
      <c r="Q76" s="13"/>
      <c r="R76" s="13" t="s">
        <v>18</v>
      </c>
      <c r="U76" s="14"/>
      <c r="V76" s="2"/>
      <c r="W76" s="8" t="s">
        <v>458</v>
      </c>
      <c r="X76" s="8" t="s">
        <v>459</v>
      </c>
      <c r="Y76" s="302" t="s">
        <v>460</v>
      </c>
      <c r="Z76" s="13"/>
      <c r="AA76" s="13"/>
      <c r="AB76" s="13"/>
      <c r="AC76" s="13"/>
      <c r="AD76" s="19" t="s">
        <v>1562</v>
      </c>
      <c r="AE76" s="303"/>
      <c r="AF76" s="303"/>
      <c r="AG76" s="303"/>
    </row>
    <row r="77" spans="1:33" ht="21">
      <c r="A77" s="5" t="s">
        <v>461</v>
      </c>
      <c r="B77" s="6" t="s">
        <v>378</v>
      </c>
      <c r="C77" s="10"/>
      <c r="D77" s="10"/>
      <c r="E77" s="10"/>
      <c r="F77" s="10"/>
      <c r="G77" s="10" t="s">
        <v>18</v>
      </c>
      <c r="H77" s="7"/>
      <c r="I77" s="7"/>
      <c r="J77" s="7"/>
      <c r="K77" s="2"/>
      <c r="L77" s="5" t="s">
        <v>462</v>
      </c>
      <c r="M77" s="12" t="s">
        <v>463</v>
      </c>
      <c r="N77" s="13"/>
      <c r="O77" s="13"/>
      <c r="P77" s="13"/>
      <c r="Q77" s="13"/>
      <c r="R77" s="13" t="s">
        <v>18</v>
      </c>
      <c r="U77" s="14"/>
      <c r="V77" s="2"/>
      <c r="W77" s="8" t="s">
        <v>464</v>
      </c>
      <c r="X77" s="8" t="s">
        <v>465</v>
      </c>
      <c r="Y77" s="302" t="s">
        <v>466</v>
      </c>
      <c r="Z77" s="13"/>
      <c r="AA77" s="13"/>
      <c r="AB77" s="13"/>
      <c r="AC77" s="13"/>
      <c r="AD77" s="19" t="s">
        <v>1567</v>
      </c>
      <c r="AE77" s="303"/>
      <c r="AF77" s="303"/>
      <c r="AG77" s="303"/>
    </row>
    <row r="78" spans="1:33" ht="21">
      <c r="A78" s="5" t="s">
        <v>467</v>
      </c>
      <c r="B78" s="5" t="s">
        <v>30</v>
      </c>
      <c r="C78" s="10"/>
      <c r="D78" s="10"/>
      <c r="E78" s="10"/>
      <c r="F78" s="10"/>
      <c r="G78" s="10" t="s">
        <v>21</v>
      </c>
      <c r="H78" s="7"/>
      <c r="I78" s="7">
        <v>1</v>
      </c>
      <c r="J78" s="7"/>
      <c r="K78" s="2"/>
      <c r="L78" s="5" t="s">
        <v>468</v>
      </c>
      <c r="M78" s="12" t="s">
        <v>469</v>
      </c>
      <c r="N78" s="13"/>
      <c r="O78" s="13"/>
      <c r="P78" s="13"/>
      <c r="Q78" s="13"/>
      <c r="R78" s="13" t="s">
        <v>18</v>
      </c>
      <c r="U78" s="14"/>
      <c r="V78" s="2"/>
      <c r="W78" s="8" t="s">
        <v>470</v>
      </c>
      <c r="X78" s="8" t="s">
        <v>471</v>
      </c>
      <c r="Y78" s="302" t="s">
        <v>137</v>
      </c>
      <c r="Z78" s="13"/>
      <c r="AA78" s="13"/>
      <c r="AB78" s="13"/>
      <c r="AC78" s="13"/>
      <c r="AD78" s="19" t="s">
        <v>28</v>
      </c>
      <c r="AE78" s="303">
        <v>1</v>
      </c>
      <c r="AF78" s="303"/>
      <c r="AG78" s="303"/>
    </row>
    <row r="79" spans="1:33" ht="21">
      <c r="A79" s="5" t="s">
        <v>472</v>
      </c>
      <c r="B79" s="5" t="s">
        <v>473</v>
      </c>
      <c r="C79" s="10"/>
      <c r="D79" s="10"/>
      <c r="E79" s="10"/>
      <c r="F79" s="10"/>
      <c r="G79" s="10" t="s">
        <v>18</v>
      </c>
      <c r="H79" s="7"/>
      <c r="I79" s="7"/>
      <c r="J79" s="7"/>
      <c r="K79" s="2"/>
      <c r="L79" s="5" t="s">
        <v>175</v>
      </c>
      <c r="M79" s="12" t="s">
        <v>176</v>
      </c>
      <c r="N79" s="13"/>
      <c r="O79" s="13"/>
      <c r="P79" s="13"/>
      <c r="Q79" s="13"/>
      <c r="R79" s="13" t="s">
        <v>21</v>
      </c>
      <c r="S79" s="7" t="s">
        <v>3031</v>
      </c>
      <c r="T79" s="7">
        <v>1</v>
      </c>
      <c r="V79" s="2"/>
      <c r="W79" s="8" t="s">
        <v>474</v>
      </c>
      <c r="X79" s="8" t="s">
        <v>64</v>
      </c>
      <c r="Y79" s="302" t="s">
        <v>65</v>
      </c>
      <c r="Z79" s="13"/>
      <c r="AA79" s="13"/>
      <c r="AB79" s="13"/>
      <c r="AC79" s="13"/>
      <c r="AD79" s="19" t="s">
        <v>1567</v>
      </c>
      <c r="AE79" s="303">
        <v>1</v>
      </c>
      <c r="AF79" s="303"/>
      <c r="AG79" s="303"/>
    </row>
    <row r="80" spans="1:33" ht="21">
      <c r="A80" s="5" t="s">
        <v>475</v>
      </c>
      <c r="B80" s="5" t="s">
        <v>476</v>
      </c>
      <c r="C80" s="10"/>
      <c r="D80" s="10"/>
      <c r="E80" s="10"/>
      <c r="F80" s="10"/>
      <c r="G80" s="10" t="s">
        <v>1567</v>
      </c>
      <c r="H80" s="7"/>
      <c r="I80" s="7" t="s">
        <v>1554</v>
      </c>
      <c r="J80" s="7"/>
      <c r="K80" s="2"/>
      <c r="L80" s="5" t="s">
        <v>189</v>
      </c>
      <c r="M80" s="12" t="s">
        <v>190</v>
      </c>
      <c r="N80" s="13"/>
      <c r="O80" s="13"/>
      <c r="P80" s="13"/>
      <c r="Q80" s="13"/>
      <c r="R80" s="13" t="s">
        <v>1567</v>
      </c>
      <c r="S80" s="7" t="s">
        <v>3032</v>
      </c>
      <c r="T80" s="7">
        <v>1</v>
      </c>
      <c r="V80" s="2"/>
      <c r="W80" s="8" t="s">
        <v>477</v>
      </c>
      <c r="X80" s="8" t="s">
        <v>104</v>
      </c>
      <c r="Y80" s="302" t="s">
        <v>105</v>
      </c>
      <c r="Z80" s="13"/>
      <c r="AA80" s="13"/>
      <c r="AB80" s="13"/>
      <c r="AC80" s="13"/>
      <c r="AD80" s="19" t="s">
        <v>28</v>
      </c>
      <c r="AE80" s="303">
        <v>3</v>
      </c>
      <c r="AF80" s="303"/>
      <c r="AG80" s="303"/>
    </row>
    <row r="81" spans="1:33" ht="21">
      <c r="A81" s="5" t="s">
        <v>478</v>
      </c>
      <c r="B81" s="5" t="s">
        <v>321</v>
      </c>
      <c r="C81" s="10"/>
      <c r="D81" s="10"/>
      <c r="E81" s="10"/>
      <c r="F81" s="10"/>
      <c r="G81" s="10" t="s">
        <v>21</v>
      </c>
      <c r="H81" s="7" t="s">
        <v>3033</v>
      </c>
      <c r="I81" s="7">
        <v>1</v>
      </c>
      <c r="J81" s="7"/>
      <c r="K81" s="2"/>
      <c r="L81" s="5" t="s">
        <v>479</v>
      </c>
      <c r="M81" s="12" t="s">
        <v>480</v>
      </c>
      <c r="N81" s="13"/>
      <c r="O81" s="13"/>
      <c r="P81" s="13"/>
      <c r="Q81" s="13"/>
      <c r="R81" s="13" t="s">
        <v>18</v>
      </c>
      <c r="S81" s="7" t="s">
        <v>3034</v>
      </c>
      <c r="U81" s="14"/>
      <c r="V81" s="2"/>
      <c r="W81" s="8" t="s">
        <v>481</v>
      </c>
      <c r="X81" s="8" t="s">
        <v>482</v>
      </c>
      <c r="Y81" s="302" t="s">
        <v>347</v>
      </c>
      <c r="Z81" s="13"/>
      <c r="AA81" s="13"/>
      <c r="AB81" s="13"/>
      <c r="AC81" s="13"/>
      <c r="AD81" s="19" t="s">
        <v>1574</v>
      </c>
      <c r="AE81" s="303"/>
      <c r="AF81" s="303"/>
      <c r="AG81" s="303"/>
    </row>
    <row r="82" spans="1:33" ht="21">
      <c r="A82" s="5" t="s">
        <v>483</v>
      </c>
      <c r="B82" s="5" t="s">
        <v>484</v>
      </c>
      <c r="C82" s="10"/>
      <c r="D82" s="10"/>
      <c r="E82" s="10"/>
      <c r="F82" s="10"/>
      <c r="G82" s="10" t="s">
        <v>18</v>
      </c>
      <c r="H82" s="7"/>
      <c r="I82" s="7"/>
      <c r="J82" s="7"/>
      <c r="K82" s="2"/>
      <c r="L82" s="5" t="s">
        <v>485</v>
      </c>
      <c r="M82" s="12" t="s">
        <v>486</v>
      </c>
      <c r="N82" s="13"/>
      <c r="O82" s="13"/>
      <c r="P82" s="13"/>
      <c r="Q82" s="13"/>
      <c r="R82" s="13" t="s">
        <v>18</v>
      </c>
      <c r="U82" s="14"/>
      <c r="V82" s="2"/>
      <c r="W82" s="8" t="s">
        <v>487</v>
      </c>
      <c r="X82" s="8" t="s">
        <v>348</v>
      </c>
      <c r="Y82" s="302" t="s">
        <v>349</v>
      </c>
      <c r="Z82" s="13"/>
      <c r="AA82" s="13"/>
      <c r="AB82" s="13"/>
      <c r="AC82" s="13"/>
      <c r="AD82" s="19" t="s">
        <v>18</v>
      </c>
      <c r="AE82" s="303"/>
      <c r="AF82" s="303"/>
      <c r="AG82" s="303"/>
    </row>
    <row r="83" spans="1:33" ht="21">
      <c r="A83" s="5" t="s">
        <v>488</v>
      </c>
      <c r="B83" s="5" t="s">
        <v>489</v>
      </c>
      <c r="C83" s="10"/>
      <c r="D83" s="10"/>
      <c r="E83" s="10"/>
      <c r="F83" s="10"/>
      <c r="G83" s="10" t="s">
        <v>18</v>
      </c>
      <c r="H83" s="7"/>
      <c r="I83" s="7"/>
      <c r="J83" s="7"/>
      <c r="K83" s="2"/>
      <c r="L83" s="5" t="s">
        <v>490</v>
      </c>
      <c r="M83" s="12" t="s">
        <v>491</v>
      </c>
      <c r="N83" s="13"/>
      <c r="O83" s="13"/>
      <c r="P83" s="13"/>
      <c r="Q83" s="13"/>
      <c r="R83" s="13" t="s">
        <v>18</v>
      </c>
      <c r="U83" s="14"/>
      <c r="V83" s="2"/>
      <c r="W83" s="8" t="s">
        <v>492</v>
      </c>
      <c r="X83" s="8" t="s">
        <v>493</v>
      </c>
      <c r="Y83" s="302" t="s">
        <v>89</v>
      </c>
      <c r="Z83" s="13"/>
      <c r="AA83" s="13"/>
      <c r="AB83" s="13"/>
      <c r="AC83" s="13"/>
      <c r="AD83" s="19" t="s">
        <v>1562</v>
      </c>
      <c r="AE83" s="303"/>
      <c r="AF83" s="303"/>
      <c r="AG83" s="303"/>
    </row>
    <row r="84" spans="1:33" ht="21">
      <c r="A84" s="5" t="s">
        <v>494</v>
      </c>
      <c r="B84" s="5" t="s">
        <v>495</v>
      </c>
      <c r="C84" s="10"/>
      <c r="D84" s="10"/>
      <c r="E84" s="10"/>
      <c r="F84" s="10"/>
      <c r="G84" s="10" t="s">
        <v>18</v>
      </c>
      <c r="H84" s="7"/>
      <c r="I84" s="7"/>
      <c r="J84" s="7"/>
      <c r="K84" s="2"/>
      <c r="L84" s="5" t="s">
        <v>496</v>
      </c>
      <c r="M84" s="12" t="s">
        <v>497</v>
      </c>
      <c r="N84" s="13"/>
      <c r="O84" s="13"/>
      <c r="P84" s="13"/>
      <c r="Q84" s="13"/>
      <c r="R84" s="13" t="s">
        <v>18</v>
      </c>
      <c r="U84" s="14"/>
      <c r="V84" s="2"/>
      <c r="W84" s="8" t="s">
        <v>498</v>
      </c>
      <c r="X84" s="8" t="s">
        <v>499</v>
      </c>
      <c r="Y84" s="302" t="s">
        <v>244</v>
      </c>
      <c r="Z84" s="13"/>
      <c r="AA84" s="13"/>
      <c r="AB84" s="13"/>
      <c r="AC84" s="13"/>
      <c r="AD84" s="19" t="s">
        <v>1562</v>
      </c>
      <c r="AE84" s="303"/>
      <c r="AF84" s="303"/>
      <c r="AG84" s="303"/>
    </row>
    <row r="85" spans="1:33" ht="21">
      <c r="A85" s="5" t="s">
        <v>500</v>
      </c>
      <c r="B85" s="5" t="s">
        <v>501</v>
      </c>
      <c r="C85" s="10"/>
      <c r="D85" s="10"/>
      <c r="E85" s="10"/>
      <c r="F85" s="10"/>
      <c r="G85" s="10" t="s">
        <v>18</v>
      </c>
      <c r="H85" s="7"/>
      <c r="I85" s="7"/>
      <c r="J85" s="7"/>
      <c r="K85" s="2"/>
      <c r="L85" s="5" t="s">
        <v>502</v>
      </c>
      <c r="M85" s="12" t="s">
        <v>503</v>
      </c>
      <c r="N85" s="13"/>
      <c r="O85" s="13"/>
      <c r="P85" s="13"/>
      <c r="Q85" s="13"/>
      <c r="R85" s="13" t="s">
        <v>18</v>
      </c>
      <c r="U85" s="14"/>
      <c r="V85" s="2"/>
      <c r="W85" s="525" t="s">
        <v>504</v>
      </c>
      <c r="X85" s="548"/>
      <c r="Y85" s="548"/>
      <c r="Z85" s="548"/>
      <c r="AA85" s="548"/>
      <c r="AB85" s="548"/>
      <c r="AC85" s="548"/>
      <c r="AD85" s="571"/>
      <c r="AE85" s="601"/>
      <c r="AF85" s="571"/>
      <c r="AG85" s="571"/>
    </row>
    <row r="86" spans="1:33" ht="21">
      <c r="A86" s="5" t="s">
        <v>505</v>
      </c>
      <c r="B86" s="5" t="s">
        <v>506</v>
      </c>
      <c r="C86" s="10"/>
      <c r="D86" s="10"/>
      <c r="E86" s="10"/>
      <c r="F86" s="10"/>
      <c r="G86" s="10" t="s">
        <v>18</v>
      </c>
      <c r="H86" s="7"/>
      <c r="I86" s="7"/>
      <c r="J86" s="7"/>
      <c r="K86" s="2"/>
      <c r="L86" s="5" t="s">
        <v>507</v>
      </c>
      <c r="M86" s="12" t="s">
        <v>508</v>
      </c>
      <c r="N86" s="13"/>
      <c r="O86" s="13"/>
      <c r="P86" s="13"/>
      <c r="Q86" s="13"/>
      <c r="R86" s="13" t="s">
        <v>1567</v>
      </c>
      <c r="T86" s="7">
        <v>1</v>
      </c>
      <c r="V86" s="2"/>
      <c r="W86" s="548"/>
      <c r="X86" s="548"/>
      <c r="Y86" s="548"/>
      <c r="Z86" s="548"/>
      <c r="AA86" s="548"/>
      <c r="AB86" s="548"/>
      <c r="AC86" s="548"/>
      <c r="AD86" s="571"/>
      <c r="AE86" s="601"/>
      <c r="AF86" s="571"/>
      <c r="AG86" s="571"/>
    </row>
    <row r="87" spans="1:33" ht="21">
      <c r="A87" s="5" t="s">
        <v>509</v>
      </c>
      <c r="B87" s="5" t="s">
        <v>237</v>
      </c>
      <c r="C87" s="10"/>
      <c r="D87" s="10"/>
      <c r="E87" s="10"/>
      <c r="F87" s="10"/>
      <c r="G87" s="10" t="s">
        <v>1567</v>
      </c>
      <c r="H87" s="7" t="s">
        <v>3035</v>
      </c>
      <c r="I87" s="7">
        <v>1</v>
      </c>
      <c r="J87" s="7"/>
      <c r="K87" s="2"/>
      <c r="L87" s="5" t="s">
        <v>182</v>
      </c>
      <c r="M87" s="12" t="s">
        <v>183</v>
      </c>
      <c r="N87" s="13"/>
      <c r="O87" s="13"/>
      <c r="P87" s="13"/>
      <c r="Q87" s="13"/>
      <c r="R87" s="13" t="s">
        <v>18</v>
      </c>
      <c r="U87" s="14"/>
      <c r="V87" s="2"/>
      <c r="W87" s="8" t="s">
        <v>4</v>
      </c>
      <c r="X87" s="8" t="s">
        <v>13</v>
      </c>
      <c r="Y87" s="9" t="s">
        <v>5</v>
      </c>
      <c r="Z87" s="7" t="s">
        <v>6</v>
      </c>
      <c r="AA87" s="7" t="s">
        <v>7</v>
      </c>
      <c r="AB87" s="7" t="s">
        <v>8</v>
      </c>
      <c r="AC87" s="7" t="s">
        <v>9</v>
      </c>
      <c r="AD87" s="11" t="s">
        <v>10</v>
      </c>
      <c r="AE87" s="303"/>
      <c r="AF87" s="24" t="s">
        <v>11</v>
      </c>
      <c r="AG87" s="24" t="s">
        <v>12</v>
      </c>
    </row>
    <row r="88" spans="1:33" ht="21">
      <c r="A88" s="5" t="s">
        <v>510</v>
      </c>
      <c r="B88" s="5" t="s">
        <v>511</v>
      </c>
      <c r="C88" s="10"/>
      <c r="D88" s="10"/>
      <c r="E88" s="10"/>
      <c r="F88" s="10"/>
      <c r="G88" s="10" t="s">
        <v>18</v>
      </c>
      <c r="H88" s="7"/>
      <c r="I88" s="7"/>
      <c r="J88" s="7"/>
      <c r="K88" s="2"/>
      <c r="L88" s="5" t="s">
        <v>512</v>
      </c>
      <c r="M88" s="12" t="s">
        <v>513</v>
      </c>
      <c r="N88" s="13"/>
      <c r="O88" s="13"/>
      <c r="P88" s="13"/>
      <c r="Q88" s="13"/>
      <c r="R88" s="13" t="s">
        <v>1567</v>
      </c>
      <c r="U88" s="14"/>
      <c r="V88" s="2"/>
      <c r="W88" s="8" t="s">
        <v>514</v>
      </c>
      <c r="X88" s="8" t="s">
        <v>515</v>
      </c>
      <c r="Y88" s="302" t="s">
        <v>516</v>
      </c>
      <c r="Z88" s="13"/>
      <c r="AA88" s="13"/>
      <c r="AB88" s="13"/>
      <c r="AC88" s="13"/>
      <c r="AD88" s="19" t="s">
        <v>18</v>
      </c>
      <c r="AE88" s="303"/>
      <c r="AF88" s="303" t="s">
        <v>3036</v>
      </c>
      <c r="AG88" s="303"/>
    </row>
    <row r="89" spans="1:33" ht="21">
      <c r="A89" s="5" t="s">
        <v>517</v>
      </c>
      <c r="B89" s="5" t="s">
        <v>224</v>
      </c>
      <c r="C89" s="10"/>
      <c r="D89" s="10"/>
      <c r="E89" s="10"/>
      <c r="F89" s="10"/>
      <c r="G89" s="10" t="s">
        <v>18</v>
      </c>
      <c r="H89" s="7"/>
      <c r="I89" s="7"/>
      <c r="J89" s="7"/>
      <c r="K89" s="2"/>
      <c r="L89" s="5" t="s">
        <v>518</v>
      </c>
      <c r="M89" s="12" t="s">
        <v>519</v>
      </c>
      <c r="N89" s="13"/>
      <c r="O89" s="13"/>
      <c r="P89" s="13"/>
      <c r="Q89" s="13"/>
      <c r="R89" s="13" t="s">
        <v>18</v>
      </c>
      <c r="U89" s="14"/>
      <c r="V89" s="2"/>
      <c r="W89" s="8" t="s">
        <v>520</v>
      </c>
      <c r="X89" s="8" t="s">
        <v>521</v>
      </c>
      <c r="Y89" s="302" t="s">
        <v>522</v>
      </c>
      <c r="Z89" s="13"/>
      <c r="AA89" s="13"/>
      <c r="AB89" s="13"/>
      <c r="AC89" s="13"/>
      <c r="AD89" s="19" t="s">
        <v>1567</v>
      </c>
      <c r="AE89" s="303">
        <v>1</v>
      </c>
      <c r="AF89" s="303" t="s">
        <v>3037</v>
      </c>
      <c r="AG89" s="303"/>
    </row>
    <row r="90" spans="1:33" ht="21">
      <c r="A90" s="5" t="s">
        <v>523</v>
      </c>
      <c r="B90" s="5" t="s">
        <v>460</v>
      </c>
      <c r="C90" s="10"/>
      <c r="D90" s="10"/>
      <c r="E90" s="10"/>
      <c r="F90" s="10"/>
      <c r="G90" s="10" t="s">
        <v>28</v>
      </c>
      <c r="H90" s="7" t="s">
        <v>3027</v>
      </c>
      <c r="I90" s="7">
        <v>1</v>
      </c>
      <c r="J90" s="7"/>
      <c r="K90" s="2"/>
      <c r="L90" s="5" t="s">
        <v>524</v>
      </c>
      <c r="M90" s="12" t="s">
        <v>525</v>
      </c>
      <c r="N90" s="13"/>
      <c r="O90" s="13"/>
      <c r="P90" s="13"/>
      <c r="Q90" s="13"/>
      <c r="R90" s="13" t="s">
        <v>18</v>
      </c>
      <c r="S90" s="7" t="s">
        <v>3038</v>
      </c>
      <c r="V90" s="2"/>
      <c r="W90" s="8" t="s">
        <v>526</v>
      </c>
      <c r="X90" s="8" t="s">
        <v>527</v>
      </c>
      <c r="Y90" s="302" t="s">
        <v>528</v>
      </c>
      <c r="Z90" s="13"/>
      <c r="AA90" s="13"/>
      <c r="AB90" s="13"/>
      <c r="AC90" s="13"/>
      <c r="AD90" s="19" t="s">
        <v>1567</v>
      </c>
      <c r="AE90" s="303">
        <v>1</v>
      </c>
      <c r="AF90" s="303" t="s">
        <v>3039</v>
      </c>
      <c r="AG90" s="303"/>
    </row>
    <row r="91" spans="1:33" ht="21">
      <c r="A91" s="5" t="s">
        <v>529</v>
      </c>
      <c r="B91" s="5" t="s">
        <v>530</v>
      </c>
      <c r="C91" s="10"/>
      <c r="D91" s="10"/>
      <c r="E91" s="10"/>
      <c r="F91" s="10"/>
      <c r="G91" s="10" t="s">
        <v>1567</v>
      </c>
      <c r="H91" s="7"/>
      <c r="I91" s="7"/>
      <c r="J91" s="7"/>
      <c r="K91" s="2"/>
      <c r="L91" s="5" t="s">
        <v>72</v>
      </c>
      <c r="M91" s="12" t="s">
        <v>73</v>
      </c>
      <c r="N91" s="13"/>
      <c r="O91" s="13"/>
      <c r="P91" s="13"/>
      <c r="Q91" s="13"/>
      <c r="R91" s="13" t="s">
        <v>21</v>
      </c>
      <c r="T91" s="7">
        <v>1</v>
      </c>
      <c r="V91" s="2"/>
      <c r="W91" s="8" t="s">
        <v>531</v>
      </c>
      <c r="X91" s="8" t="s">
        <v>532</v>
      </c>
      <c r="Y91" s="302" t="s">
        <v>533</v>
      </c>
      <c r="Z91" s="13"/>
      <c r="AA91" s="13"/>
      <c r="AB91" s="13"/>
      <c r="AC91" s="13"/>
      <c r="AD91" s="19" t="s">
        <v>1567</v>
      </c>
      <c r="AE91" s="303">
        <v>1</v>
      </c>
      <c r="AF91" s="303" t="s">
        <v>3040</v>
      </c>
      <c r="AG91" s="303"/>
    </row>
    <row r="92" spans="1:33" ht="21">
      <c r="A92" s="5" t="s">
        <v>534</v>
      </c>
      <c r="B92" s="5" t="s">
        <v>535</v>
      </c>
      <c r="C92" s="10"/>
      <c r="D92" s="10"/>
      <c r="E92" s="10"/>
      <c r="F92" s="10"/>
      <c r="G92" s="10" t="s">
        <v>18</v>
      </c>
      <c r="H92" s="7"/>
      <c r="I92" s="7"/>
      <c r="J92" s="7"/>
      <c r="K92" s="2"/>
      <c r="L92" s="5" t="s">
        <v>536</v>
      </c>
      <c r="M92" s="12" t="s">
        <v>537</v>
      </c>
      <c r="N92" s="13"/>
      <c r="O92" s="13"/>
      <c r="P92" s="13"/>
      <c r="Q92" s="13"/>
      <c r="R92" s="13" t="s">
        <v>18</v>
      </c>
      <c r="U92" s="14"/>
      <c r="V92" s="2"/>
      <c r="W92" s="8" t="s">
        <v>538</v>
      </c>
      <c r="X92" s="8" t="s">
        <v>539</v>
      </c>
      <c r="Y92" s="302" t="s">
        <v>540</v>
      </c>
      <c r="Z92" s="13"/>
      <c r="AA92" s="13"/>
      <c r="AB92" s="13"/>
      <c r="AC92" s="13"/>
      <c r="AD92" s="19" t="s">
        <v>1562</v>
      </c>
      <c r="AE92" s="303"/>
      <c r="AF92" s="303"/>
      <c r="AG92" s="303"/>
    </row>
    <row r="93" spans="1:33" ht="21">
      <c r="A93" s="5" t="s">
        <v>541</v>
      </c>
      <c r="B93" s="5" t="s">
        <v>542</v>
      </c>
      <c r="C93" s="10"/>
      <c r="D93" s="10"/>
      <c r="E93" s="10"/>
      <c r="F93" s="10"/>
      <c r="G93" s="10" t="s">
        <v>1574</v>
      </c>
      <c r="H93" s="7" t="s">
        <v>3041</v>
      </c>
      <c r="I93" s="7"/>
      <c r="J93" s="7"/>
      <c r="K93" s="2"/>
      <c r="L93" s="5" t="s">
        <v>543</v>
      </c>
      <c r="M93" s="12" t="s">
        <v>544</v>
      </c>
      <c r="N93" s="13"/>
      <c r="O93" s="13"/>
      <c r="P93" s="13"/>
      <c r="Q93" s="13"/>
      <c r="R93" s="13" t="s">
        <v>1567</v>
      </c>
      <c r="U93" s="14"/>
      <c r="V93" s="2"/>
      <c r="W93" s="8" t="s">
        <v>545</v>
      </c>
      <c r="X93" s="8" t="s">
        <v>546</v>
      </c>
      <c r="Y93" s="302" t="s">
        <v>547</v>
      </c>
      <c r="Z93" s="13"/>
      <c r="AA93" s="13"/>
      <c r="AB93" s="13"/>
      <c r="AC93" s="13"/>
      <c r="AD93" s="19" t="s">
        <v>18</v>
      </c>
      <c r="AE93" s="303"/>
      <c r="AF93" s="303" t="s">
        <v>3042</v>
      </c>
      <c r="AG93" s="303"/>
    </row>
    <row r="94" spans="1:33" ht="21">
      <c r="A94" s="5" t="s">
        <v>548</v>
      </c>
      <c r="B94" s="5" t="s">
        <v>549</v>
      </c>
      <c r="C94" s="10"/>
      <c r="D94" s="10"/>
      <c r="E94" s="10"/>
      <c r="F94" s="10"/>
      <c r="G94" s="10" t="s">
        <v>18</v>
      </c>
      <c r="H94" s="7"/>
      <c r="I94" s="7"/>
      <c r="J94" s="7"/>
      <c r="K94" s="2"/>
      <c r="L94" s="5" t="s">
        <v>363</v>
      </c>
      <c r="M94" s="12" t="s">
        <v>364</v>
      </c>
      <c r="N94" s="13"/>
      <c r="O94" s="13"/>
      <c r="P94" s="13"/>
      <c r="Q94" s="13"/>
      <c r="R94" s="13" t="s">
        <v>18</v>
      </c>
      <c r="U94" s="14"/>
      <c r="V94" s="2"/>
      <c r="W94" s="8" t="s">
        <v>550</v>
      </c>
      <c r="X94" s="8" t="s">
        <v>551</v>
      </c>
      <c r="Y94" s="302" t="s">
        <v>552</v>
      </c>
      <c r="Z94" s="13"/>
      <c r="AA94" s="13"/>
      <c r="AB94" s="13"/>
      <c r="AC94" s="13"/>
      <c r="AD94" s="19" t="s">
        <v>1567</v>
      </c>
      <c r="AE94" s="303"/>
      <c r="AF94" s="303" t="s">
        <v>3043</v>
      </c>
      <c r="AG94" s="303"/>
    </row>
    <row r="95" spans="1:33" ht="21">
      <c r="A95" s="5" t="s">
        <v>553</v>
      </c>
      <c r="B95" s="5" t="s">
        <v>352</v>
      </c>
      <c r="C95" s="10"/>
      <c r="D95" s="10"/>
      <c r="E95" s="10"/>
      <c r="F95" s="10"/>
      <c r="G95" s="10" t="s">
        <v>18</v>
      </c>
      <c r="H95" s="7"/>
      <c r="I95" s="7">
        <v>1</v>
      </c>
      <c r="J95" s="7"/>
      <c r="K95" s="2"/>
      <c r="L95" s="5" t="s">
        <v>554</v>
      </c>
      <c r="M95" s="12" t="s">
        <v>555</v>
      </c>
      <c r="N95" s="13"/>
      <c r="O95" s="13"/>
      <c r="P95" s="13"/>
      <c r="Q95" s="13"/>
      <c r="R95" s="13" t="s">
        <v>1567</v>
      </c>
      <c r="S95" s="7" t="s">
        <v>3044</v>
      </c>
      <c r="T95" s="7">
        <v>1</v>
      </c>
      <c r="V95" s="2"/>
      <c r="W95" s="8" t="s">
        <v>556</v>
      </c>
      <c r="X95" s="8" t="s">
        <v>557</v>
      </c>
      <c r="Y95" s="302" t="s">
        <v>558</v>
      </c>
      <c r="Z95" s="13"/>
      <c r="AA95" s="13"/>
      <c r="AB95" s="13"/>
      <c r="AC95" s="13"/>
      <c r="AD95" s="19" t="s">
        <v>1567</v>
      </c>
      <c r="AE95" s="303">
        <v>1</v>
      </c>
      <c r="AF95" s="303" t="s">
        <v>3045</v>
      </c>
      <c r="AG95" s="303"/>
    </row>
    <row r="96" spans="1:33" ht="21">
      <c r="A96" s="5" t="s">
        <v>559</v>
      </c>
      <c r="B96" s="5" t="s">
        <v>560</v>
      </c>
      <c r="C96" s="10"/>
      <c r="D96" s="10"/>
      <c r="E96" s="10"/>
      <c r="F96" s="10"/>
      <c r="G96" s="10" t="s">
        <v>18</v>
      </c>
      <c r="H96" s="7"/>
      <c r="I96" s="7"/>
      <c r="J96" s="7"/>
      <c r="K96" s="2"/>
      <c r="L96" s="5" t="s">
        <v>566</v>
      </c>
      <c r="M96" s="12" t="s">
        <v>567</v>
      </c>
      <c r="N96" s="13"/>
      <c r="O96" s="13"/>
      <c r="P96" s="13"/>
      <c r="Q96" s="13"/>
      <c r="R96" s="13" t="s">
        <v>18</v>
      </c>
      <c r="U96" s="14"/>
      <c r="V96" s="2"/>
      <c r="W96" s="8" t="s">
        <v>562</v>
      </c>
      <c r="X96" s="8" t="s">
        <v>563</v>
      </c>
      <c r="Y96" s="302" t="s">
        <v>564</v>
      </c>
      <c r="Z96" s="13"/>
      <c r="AA96" s="13"/>
      <c r="AB96" s="13"/>
      <c r="AC96" s="13"/>
      <c r="AD96" s="19" t="s">
        <v>1574</v>
      </c>
      <c r="AE96" s="303"/>
      <c r="AF96" s="303"/>
      <c r="AG96" s="303"/>
    </row>
    <row r="97" spans="1:33" ht="21">
      <c r="A97" s="5" t="s">
        <v>565</v>
      </c>
      <c r="B97" s="5" t="s">
        <v>441</v>
      </c>
      <c r="C97" s="10"/>
      <c r="D97" s="10"/>
      <c r="E97" s="10"/>
      <c r="F97" s="10"/>
      <c r="G97" s="10" t="s">
        <v>1567</v>
      </c>
      <c r="H97" s="7"/>
      <c r="I97" s="7"/>
      <c r="J97" s="7"/>
      <c r="K97" s="2"/>
      <c r="L97" s="5" t="s">
        <v>573</v>
      </c>
      <c r="M97" s="12" t="s">
        <v>574</v>
      </c>
      <c r="N97" s="13"/>
      <c r="O97" s="13"/>
      <c r="P97" s="13"/>
      <c r="Q97" s="13"/>
      <c r="R97" s="13" t="s">
        <v>18</v>
      </c>
      <c r="U97" s="14"/>
      <c r="V97" s="2"/>
      <c r="W97" s="8" t="s">
        <v>568</v>
      </c>
      <c r="X97" s="8" t="s">
        <v>569</v>
      </c>
      <c r="Y97" s="302" t="s">
        <v>570</v>
      </c>
      <c r="Z97" s="13"/>
      <c r="AA97" s="13"/>
      <c r="AB97" s="13"/>
      <c r="AC97" s="13"/>
      <c r="AD97" s="19" t="s">
        <v>18</v>
      </c>
      <c r="AE97" s="303"/>
      <c r="AF97" s="303" t="s">
        <v>3046</v>
      </c>
      <c r="AG97" s="303"/>
    </row>
    <row r="98" spans="1:33" ht="21">
      <c r="A98" s="5" t="s">
        <v>571</v>
      </c>
      <c r="B98" s="5" t="s">
        <v>572</v>
      </c>
      <c r="C98" s="10"/>
      <c r="D98" s="10"/>
      <c r="E98" s="10"/>
      <c r="F98" s="10"/>
      <c r="G98" s="10" t="s">
        <v>1567</v>
      </c>
      <c r="H98" s="7"/>
      <c r="I98" s="7"/>
      <c r="J98" s="7"/>
      <c r="K98" s="2"/>
      <c r="L98" s="5" t="s">
        <v>580</v>
      </c>
      <c r="M98" s="12" t="s">
        <v>581</v>
      </c>
      <c r="N98" s="13"/>
      <c r="O98" s="13"/>
      <c r="P98" s="13"/>
      <c r="Q98" s="13"/>
      <c r="R98" s="13" t="s">
        <v>18</v>
      </c>
      <c r="U98" s="14"/>
      <c r="V98" s="2"/>
      <c r="W98" s="8" t="s">
        <v>575</v>
      </c>
      <c r="X98" s="8" t="s">
        <v>576</v>
      </c>
      <c r="Y98" s="302" t="s">
        <v>577</v>
      </c>
      <c r="Z98" s="13"/>
      <c r="AA98" s="13"/>
      <c r="AB98" s="13"/>
      <c r="AC98" s="13"/>
      <c r="AD98" s="19" t="s">
        <v>1574</v>
      </c>
      <c r="AE98" s="303"/>
      <c r="AF98" s="303"/>
      <c r="AG98" s="303"/>
    </row>
    <row r="99" spans="1:33" ht="21">
      <c r="A99" s="5" t="s">
        <v>578</v>
      </c>
      <c r="B99" s="5" t="s">
        <v>579</v>
      </c>
      <c r="C99" s="10"/>
      <c r="D99" s="10"/>
      <c r="E99" s="10"/>
      <c r="F99" s="10"/>
      <c r="G99" s="10" t="s">
        <v>1567</v>
      </c>
      <c r="H99" s="7"/>
      <c r="I99" s="7"/>
      <c r="J99" s="7"/>
      <c r="K99" s="2"/>
      <c r="L99" s="5" t="s">
        <v>154</v>
      </c>
      <c r="M99" s="12" t="s">
        <v>155</v>
      </c>
      <c r="N99" s="13"/>
      <c r="O99" s="13"/>
      <c r="P99" s="13"/>
      <c r="Q99" s="13"/>
      <c r="R99" s="13" t="s">
        <v>28</v>
      </c>
      <c r="S99" s="7" t="s">
        <v>3027</v>
      </c>
      <c r="T99" s="7">
        <v>3</v>
      </c>
      <c r="V99" s="2"/>
      <c r="W99" s="8" t="s">
        <v>582</v>
      </c>
      <c r="X99" s="8" t="s">
        <v>583</v>
      </c>
      <c r="Y99" s="302" t="s">
        <v>584</v>
      </c>
      <c r="Z99" s="13"/>
      <c r="AA99" s="13"/>
      <c r="AB99" s="13"/>
      <c r="AC99" s="13"/>
      <c r="AD99" s="19" t="s">
        <v>1567</v>
      </c>
      <c r="AE99" s="303"/>
      <c r="AF99" s="303" t="s">
        <v>3047</v>
      </c>
      <c r="AG99" s="303"/>
    </row>
    <row r="100" spans="1:33" ht="21">
      <c r="A100" s="5" t="s">
        <v>585</v>
      </c>
      <c r="B100" s="5" t="s">
        <v>586</v>
      </c>
      <c r="C100" s="10"/>
      <c r="D100" s="10"/>
      <c r="E100" s="10"/>
      <c r="F100" s="10"/>
      <c r="G100" s="10" t="s">
        <v>18</v>
      </c>
      <c r="H100" s="7"/>
      <c r="I100" s="7"/>
      <c r="J100" s="7"/>
      <c r="K100" s="2"/>
      <c r="L100" s="5" t="s">
        <v>248</v>
      </c>
      <c r="M100" s="12" t="s">
        <v>249</v>
      </c>
      <c r="N100" s="13"/>
      <c r="O100" s="13"/>
      <c r="P100" s="13"/>
      <c r="Q100" s="13"/>
      <c r="R100" s="13" t="s">
        <v>18</v>
      </c>
      <c r="U100" s="14"/>
      <c r="V100" s="2"/>
      <c r="W100" s="8" t="s">
        <v>587</v>
      </c>
      <c r="X100" s="8" t="s">
        <v>588</v>
      </c>
      <c r="Y100" s="302" t="s">
        <v>589</v>
      </c>
      <c r="Z100" s="13"/>
      <c r="AA100" s="13"/>
      <c r="AB100" s="13"/>
      <c r="AC100" s="13"/>
      <c r="AD100" s="19" t="s">
        <v>1562</v>
      </c>
      <c r="AE100" s="303"/>
      <c r="AF100" s="303" t="s">
        <v>3048</v>
      </c>
      <c r="AG100" s="303"/>
    </row>
    <row r="101" spans="1:33" ht="21">
      <c r="A101" s="5" t="s">
        <v>590</v>
      </c>
      <c r="B101" s="5" t="s">
        <v>591</v>
      </c>
      <c r="C101" s="10"/>
      <c r="D101" s="10"/>
      <c r="E101" s="10"/>
      <c r="F101" s="10"/>
      <c r="G101" s="10" t="s">
        <v>18</v>
      </c>
      <c r="H101" s="7"/>
      <c r="I101" s="7"/>
      <c r="J101" s="7"/>
      <c r="K101" s="2"/>
      <c r="L101" s="5" t="s">
        <v>597</v>
      </c>
      <c r="M101" s="12" t="s">
        <v>598</v>
      </c>
      <c r="N101" s="13"/>
      <c r="O101" s="13"/>
      <c r="P101" s="13"/>
      <c r="Q101" s="13"/>
      <c r="R101" s="13" t="s">
        <v>18</v>
      </c>
      <c r="U101" s="14"/>
      <c r="V101" s="2"/>
      <c r="W101" s="8" t="s">
        <v>592</v>
      </c>
      <c r="X101" s="8" t="s">
        <v>593</v>
      </c>
      <c r="Y101" s="302" t="s">
        <v>594</v>
      </c>
      <c r="Z101" s="13"/>
      <c r="AA101" s="13"/>
      <c r="AB101" s="13"/>
      <c r="AC101" s="13"/>
      <c r="AD101" s="19" t="s">
        <v>1574</v>
      </c>
      <c r="AE101" s="303"/>
      <c r="AF101" s="303" t="s">
        <v>3049</v>
      </c>
      <c r="AG101" s="303"/>
    </row>
    <row r="102" spans="1:33" ht="21">
      <c r="A102" s="5" t="s">
        <v>595</v>
      </c>
      <c r="B102" s="5" t="s">
        <v>596</v>
      </c>
      <c r="C102" s="10"/>
      <c r="D102" s="10"/>
      <c r="E102" s="10"/>
      <c r="F102" s="10"/>
      <c r="G102" s="10" t="s">
        <v>1562</v>
      </c>
      <c r="H102" s="7" t="s">
        <v>3050</v>
      </c>
      <c r="I102" s="7"/>
      <c r="J102" s="7"/>
      <c r="K102" s="2"/>
      <c r="L102" s="5" t="s">
        <v>141</v>
      </c>
      <c r="M102" s="12" t="s">
        <v>142</v>
      </c>
      <c r="N102" s="13"/>
      <c r="O102" s="13"/>
      <c r="P102" s="13"/>
      <c r="Q102" s="13"/>
      <c r="R102" s="13" t="s">
        <v>17</v>
      </c>
      <c r="S102" s="7" t="s">
        <v>3051</v>
      </c>
      <c r="T102" s="7">
        <v>3</v>
      </c>
      <c r="V102" s="2"/>
      <c r="W102" s="8" t="s">
        <v>599</v>
      </c>
      <c r="X102" s="8" t="s">
        <v>600</v>
      </c>
      <c r="Y102" s="302" t="s">
        <v>601</v>
      </c>
      <c r="Z102" s="13"/>
      <c r="AA102" s="13"/>
      <c r="AB102" s="13"/>
      <c r="AC102" s="13"/>
      <c r="AD102" s="19" t="s">
        <v>1567</v>
      </c>
      <c r="AE102" s="303">
        <v>1</v>
      </c>
      <c r="AF102" s="303" t="s">
        <v>3052</v>
      </c>
      <c r="AG102" s="303"/>
    </row>
    <row r="103" spans="1:33" ht="21">
      <c r="A103" s="5" t="s">
        <v>602</v>
      </c>
      <c r="B103" s="5" t="s">
        <v>603</v>
      </c>
      <c r="C103" s="10"/>
      <c r="D103" s="10"/>
      <c r="E103" s="10"/>
      <c r="F103" s="10"/>
      <c r="G103" s="10" t="s">
        <v>1562</v>
      </c>
      <c r="H103" s="7" t="s">
        <v>3053</v>
      </c>
      <c r="I103" s="7"/>
      <c r="J103" s="7"/>
      <c r="K103" s="2"/>
      <c r="L103" s="5" t="s">
        <v>608</v>
      </c>
      <c r="M103" s="12" t="s">
        <v>609</v>
      </c>
      <c r="N103" s="13"/>
      <c r="O103" s="13"/>
      <c r="P103" s="13"/>
      <c r="Q103" s="13"/>
      <c r="R103" s="13" t="s">
        <v>18</v>
      </c>
      <c r="T103" s="7" t="s">
        <v>1554</v>
      </c>
      <c r="V103" s="2"/>
      <c r="W103" s="8" t="s">
        <v>604</v>
      </c>
      <c r="X103" s="8" t="s">
        <v>605</v>
      </c>
      <c r="Y103" s="302" t="s">
        <v>606</v>
      </c>
      <c r="Z103" s="13"/>
      <c r="AA103" s="13"/>
      <c r="AB103" s="13"/>
      <c r="AC103" s="13"/>
      <c r="AD103" s="19" t="s">
        <v>18</v>
      </c>
      <c r="AE103" s="303"/>
      <c r="AF103" s="303" t="s">
        <v>3054</v>
      </c>
      <c r="AG103" s="303"/>
    </row>
    <row r="104" spans="1:33" ht="21">
      <c r="A104" s="5" t="s">
        <v>607</v>
      </c>
      <c r="B104" s="5" t="s">
        <v>381</v>
      </c>
      <c r="C104" s="10"/>
      <c r="D104" s="10"/>
      <c r="E104" s="10"/>
      <c r="F104" s="10"/>
      <c r="G104" s="10" t="s">
        <v>21</v>
      </c>
      <c r="H104" s="7" t="s">
        <v>3055</v>
      </c>
      <c r="I104" s="7">
        <v>1</v>
      </c>
      <c r="J104" s="7"/>
      <c r="K104" s="2"/>
      <c r="L104" s="5" t="s">
        <v>614</v>
      </c>
      <c r="M104" s="12" t="s">
        <v>615</v>
      </c>
      <c r="N104" s="13"/>
      <c r="O104" s="13"/>
      <c r="P104" s="13"/>
      <c r="Q104" s="13"/>
      <c r="R104" s="13" t="s">
        <v>1567</v>
      </c>
      <c r="U104" s="14"/>
      <c r="V104" s="2"/>
      <c r="W104" s="8" t="s">
        <v>610</v>
      </c>
      <c r="X104" s="8" t="s">
        <v>611</v>
      </c>
      <c r="Y104" s="302" t="s">
        <v>612</v>
      </c>
      <c r="Z104" s="13"/>
      <c r="AA104" s="13"/>
      <c r="AB104" s="13"/>
      <c r="AC104" s="13"/>
      <c r="AD104" s="19" t="s">
        <v>1574</v>
      </c>
      <c r="AE104" s="303"/>
      <c r="AF104" s="303" t="s">
        <v>3056</v>
      </c>
      <c r="AG104" s="303"/>
    </row>
    <row r="105" spans="1:33" ht="21">
      <c r="A105" s="5" t="s">
        <v>613</v>
      </c>
      <c r="B105" s="5" t="s">
        <v>108</v>
      </c>
      <c r="C105" s="10"/>
      <c r="D105" s="10"/>
      <c r="E105" s="10"/>
      <c r="F105" s="10"/>
      <c r="G105" s="10" t="s">
        <v>1567</v>
      </c>
      <c r="H105" s="7" t="s">
        <v>3057</v>
      </c>
      <c r="I105" s="7">
        <v>1</v>
      </c>
      <c r="J105" s="7"/>
      <c r="K105" s="2"/>
      <c r="L105" s="5" t="s">
        <v>620</v>
      </c>
      <c r="M105" s="12" t="s">
        <v>621</v>
      </c>
      <c r="N105" s="13"/>
      <c r="O105" s="13"/>
      <c r="P105" s="13"/>
      <c r="Q105" s="13"/>
      <c r="R105" s="13" t="s">
        <v>1567</v>
      </c>
      <c r="U105" s="14"/>
      <c r="V105" s="2"/>
      <c r="W105" s="8" t="s">
        <v>616</v>
      </c>
      <c r="X105" s="8" t="s">
        <v>617</v>
      </c>
      <c r="Y105" s="302" t="s">
        <v>618</v>
      </c>
      <c r="Z105" s="13"/>
      <c r="AA105" s="13"/>
      <c r="AB105" s="13"/>
      <c r="AC105" s="13"/>
      <c r="AD105" s="19" t="s">
        <v>18</v>
      </c>
      <c r="AE105" s="303"/>
      <c r="AF105" s="303" t="s">
        <v>3058</v>
      </c>
      <c r="AG105" s="303"/>
    </row>
    <row r="106" spans="1:33" ht="35.25" customHeight="1">
      <c r="A106" s="540" t="s">
        <v>619</v>
      </c>
      <c r="B106" s="543"/>
      <c r="C106" s="543"/>
      <c r="D106" s="543"/>
      <c r="E106" s="543"/>
      <c r="F106" s="543"/>
      <c r="G106" s="543"/>
      <c r="H106" s="543"/>
      <c r="I106" s="4"/>
      <c r="J106" s="4"/>
      <c r="K106" s="2"/>
      <c r="L106" s="5" t="s">
        <v>419</v>
      </c>
      <c r="M106" s="12" t="s">
        <v>420</v>
      </c>
      <c r="N106" s="13"/>
      <c r="O106" s="13"/>
      <c r="P106" s="13"/>
      <c r="Q106" s="13"/>
      <c r="R106" s="13" t="s">
        <v>17</v>
      </c>
      <c r="S106" s="7" t="s">
        <v>3059</v>
      </c>
      <c r="T106" s="7">
        <v>3</v>
      </c>
      <c r="V106" s="2"/>
      <c r="W106" s="8" t="s">
        <v>622</v>
      </c>
      <c r="X106" s="8" t="s">
        <v>623</v>
      </c>
      <c r="Y106" s="302" t="s">
        <v>624</v>
      </c>
      <c r="Z106" s="13"/>
      <c r="AA106" s="13"/>
      <c r="AB106" s="13"/>
      <c r="AC106" s="13"/>
      <c r="AD106" s="19" t="s">
        <v>1567</v>
      </c>
      <c r="AE106" s="303">
        <v>1</v>
      </c>
      <c r="AF106" s="303" t="s">
        <v>3060</v>
      </c>
      <c r="AG106" s="303"/>
    </row>
    <row r="107" spans="1:33" ht="21">
      <c r="A107" s="5" t="s">
        <v>4</v>
      </c>
      <c r="B107" s="6" t="s">
        <v>5</v>
      </c>
      <c r="C107" s="7" t="s">
        <v>6</v>
      </c>
      <c r="D107" s="7" t="s">
        <v>7</v>
      </c>
      <c r="E107" s="7" t="s">
        <v>8</v>
      </c>
      <c r="F107" s="7" t="s">
        <v>9</v>
      </c>
      <c r="G107" s="7" t="s">
        <v>10</v>
      </c>
      <c r="H107" s="7" t="s">
        <v>11</v>
      </c>
      <c r="I107" s="7"/>
      <c r="J107" s="7"/>
      <c r="K107" s="2"/>
      <c r="L107" s="5" t="s">
        <v>628</v>
      </c>
      <c r="M107" s="12" t="s">
        <v>629</v>
      </c>
      <c r="N107" s="13"/>
      <c r="O107" s="13"/>
      <c r="P107" s="13"/>
      <c r="Q107" s="13"/>
      <c r="R107" s="13" t="s">
        <v>18</v>
      </c>
      <c r="S107" s="7" t="s">
        <v>3061</v>
      </c>
      <c r="U107" s="14"/>
      <c r="V107" s="2"/>
      <c r="W107" s="8" t="s">
        <v>625</v>
      </c>
      <c r="X107" s="8" t="s">
        <v>626</v>
      </c>
      <c r="Y107" s="302" t="s">
        <v>627</v>
      </c>
      <c r="Z107" s="13"/>
      <c r="AA107" s="13"/>
      <c r="AB107" s="13"/>
      <c r="AC107" s="13"/>
      <c r="AD107" s="19" t="s">
        <v>1567</v>
      </c>
      <c r="AE107" s="303"/>
      <c r="AF107" s="303"/>
      <c r="AG107" s="303"/>
    </row>
    <row r="108" spans="1:33" ht="21">
      <c r="A108" s="5" t="s">
        <v>633</v>
      </c>
      <c r="B108" s="5" t="s">
        <v>594</v>
      </c>
      <c r="C108" s="13"/>
      <c r="D108" s="13"/>
      <c r="E108" s="13"/>
      <c r="F108" s="13"/>
      <c r="G108" s="13" t="s">
        <v>18</v>
      </c>
      <c r="H108" s="7"/>
      <c r="I108" s="7"/>
      <c r="J108" s="7"/>
      <c r="K108" s="2"/>
      <c r="L108" s="5" t="s">
        <v>634</v>
      </c>
      <c r="M108" s="12" t="s">
        <v>635</v>
      </c>
      <c r="N108" s="13"/>
      <c r="O108" s="13"/>
      <c r="P108" s="13"/>
      <c r="Q108" s="13"/>
      <c r="R108" s="13" t="s">
        <v>18</v>
      </c>
      <c r="U108" s="14"/>
      <c r="V108" s="2"/>
      <c r="W108" s="8" t="s">
        <v>630</v>
      </c>
      <c r="X108" s="8" t="s">
        <v>631</v>
      </c>
      <c r="Y108" s="302" t="s">
        <v>632</v>
      </c>
      <c r="Z108" s="13"/>
      <c r="AA108" s="13"/>
      <c r="AB108" s="13"/>
      <c r="AC108" s="13"/>
      <c r="AD108" s="19" t="s">
        <v>1567</v>
      </c>
      <c r="AE108" s="303"/>
      <c r="AF108" s="303"/>
      <c r="AG108" s="303"/>
    </row>
    <row r="109" spans="1:33" ht="21">
      <c r="A109" s="5" t="s">
        <v>639</v>
      </c>
      <c r="B109" s="5" t="s">
        <v>640</v>
      </c>
      <c r="C109" s="13"/>
      <c r="D109" s="13"/>
      <c r="E109" s="13"/>
      <c r="F109" s="13"/>
      <c r="G109" s="13" t="s">
        <v>18</v>
      </c>
      <c r="H109" s="7"/>
      <c r="I109" s="7"/>
      <c r="J109" s="7"/>
      <c r="K109" s="2"/>
      <c r="L109" s="5" t="s">
        <v>284</v>
      </c>
      <c r="M109" s="12" t="s">
        <v>285</v>
      </c>
      <c r="N109" s="13"/>
      <c r="O109" s="13"/>
      <c r="P109" s="13"/>
      <c r="Q109" s="13"/>
      <c r="R109" s="13" t="s">
        <v>1567</v>
      </c>
      <c r="U109" s="14"/>
      <c r="V109" s="2"/>
      <c r="W109" s="8" t="s">
        <v>636</v>
      </c>
      <c r="X109" s="8" t="s">
        <v>637</v>
      </c>
      <c r="Y109" s="302" t="s">
        <v>638</v>
      </c>
      <c r="Z109" s="13"/>
      <c r="AA109" s="13"/>
      <c r="AB109" s="13"/>
      <c r="AC109" s="13"/>
      <c r="AD109" s="19" t="s">
        <v>1567</v>
      </c>
      <c r="AE109" s="303">
        <v>1</v>
      </c>
      <c r="AF109" s="303" t="s">
        <v>3062</v>
      </c>
      <c r="AG109" s="303"/>
    </row>
    <row r="110" spans="1:33" ht="21">
      <c r="A110" s="5" t="s">
        <v>644</v>
      </c>
      <c r="B110" s="5" t="s">
        <v>645</v>
      </c>
      <c r="C110" s="13"/>
      <c r="D110" s="13"/>
      <c r="E110" s="13"/>
      <c r="F110" s="13"/>
      <c r="G110" s="13" t="s">
        <v>18</v>
      </c>
      <c r="H110" s="7"/>
      <c r="I110" s="7"/>
      <c r="J110" s="7"/>
      <c r="K110" s="2"/>
      <c r="L110" s="5" t="s">
        <v>646</v>
      </c>
      <c r="M110" s="12" t="s">
        <v>647</v>
      </c>
      <c r="N110" s="13"/>
      <c r="O110" s="13"/>
      <c r="P110" s="13"/>
      <c r="Q110" s="13"/>
      <c r="R110" s="13" t="s">
        <v>1567</v>
      </c>
      <c r="S110" s="7" t="s">
        <v>3063</v>
      </c>
      <c r="T110" s="7">
        <v>1</v>
      </c>
      <c r="V110" s="2"/>
      <c r="W110" s="8" t="s">
        <v>641</v>
      </c>
      <c r="X110" s="8" t="s">
        <v>642</v>
      </c>
      <c r="Y110" s="302" t="s">
        <v>643</v>
      </c>
      <c r="Z110" s="13"/>
      <c r="AA110" s="13"/>
      <c r="AB110" s="13"/>
      <c r="AC110" s="13"/>
      <c r="AD110" s="19" t="s">
        <v>1567</v>
      </c>
      <c r="AE110" s="303">
        <v>1</v>
      </c>
      <c r="AF110" s="303" t="s">
        <v>3064</v>
      </c>
      <c r="AG110" s="303"/>
    </row>
    <row r="111" spans="1:33" ht="21">
      <c r="A111" s="5" t="s">
        <v>651</v>
      </c>
      <c r="B111" s="5" t="s">
        <v>652</v>
      </c>
      <c r="C111" s="13"/>
      <c r="D111" s="13"/>
      <c r="E111" s="13"/>
      <c r="F111" s="13"/>
      <c r="G111" s="13" t="s">
        <v>18</v>
      </c>
      <c r="H111" s="7" t="s">
        <v>3065</v>
      </c>
      <c r="I111" s="7"/>
      <c r="J111" s="7"/>
      <c r="K111" s="2"/>
      <c r="L111" s="5" t="s">
        <v>653</v>
      </c>
      <c r="M111" s="12" t="s">
        <v>654</v>
      </c>
      <c r="N111" s="13"/>
      <c r="O111" s="13"/>
      <c r="P111" s="13"/>
      <c r="Q111" s="13"/>
      <c r="R111" s="13" t="s">
        <v>18</v>
      </c>
      <c r="S111" s="7" t="s">
        <v>3066</v>
      </c>
      <c r="U111" s="14"/>
      <c r="V111" s="2"/>
      <c r="W111" s="8" t="s">
        <v>648</v>
      </c>
      <c r="X111" s="8" t="s">
        <v>649</v>
      </c>
      <c r="Y111" s="302" t="s">
        <v>650</v>
      </c>
      <c r="Z111" s="13"/>
      <c r="AA111" s="13"/>
      <c r="AB111" s="13"/>
      <c r="AC111" s="13"/>
      <c r="AD111" s="19" t="s">
        <v>1574</v>
      </c>
      <c r="AE111" s="303"/>
      <c r="AF111" s="303" t="s">
        <v>3067</v>
      </c>
      <c r="AG111" s="303"/>
    </row>
    <row r="112" spans="1:33" ht="21">
      <c r="A112" s="5" t="s">
        <v>658</v>
      </c>
      <c r="B112" s="5" t="s">
        <v>659</v>
      </c>
      <c r="C112" s="13"/>
      <c r="D112" s="13"/>
      <c r="E112" s="13"/>
      <c r="F112" s="13"/>
      <c r="G112" s="13" t="s">
        <v>18</v>
      </c>
      <c r="H112" s="7" t="s">
        <v>3068</v>
      </c>
      <c r="I112" s="7"/>
      <c r="J112" s="7"/>
      <c r="K112" s="2"/>
      <c r="L112" s="5" t="s">
        <v>203</v>
      </c>
      <c r="M112" s="12" t="s">
        <v>204</v>
      </c>
      <c r="N112" s="13"/>
      <c r="O112" s="13"/>
      <c r="P112" s="13"/>
      <c r="Q112" s="13"/>
      <c r="R112" s="13" t="s">
        <v>1567</v>
      </c>
      <c r="T112" s="7" t="s">
        <v>1554</v>
      </c>
      <c r="U112" s="14"/>
      <c r="V112" s="2"/>
      <c r="W112" s="8" t="s">
        <v>655</v>
      </c>
      <c r="X112" s="8" t="s">
        <v>656</v>
      </c>
      <c r="Y112" s="302" t="s">
        <v>657</v>
      </c>
      <c r="Z112" s="13"/>
      <c r="AA112" s="13"/>
      <c r="AB112" s="13"/>
      <c r="AC112" s="13"/>
      <c r="AD112" s="19" t="s">
        <v>17</v>
      </c>
      <c r="AE112" s="303">
        <v>3</v>
      </c>
      <c r="AF112" s="303" t="s">
        <v>3069</v>
      </c>
      <c r="AG112" s="303"/>
    </row>
    <row r="113" spans="1:33" ht="21">
      <c r="A113" s="5" t="s">
        <v>663</v>
      </c>
      <c r="B113" s="5" t="s">
        <v>5246</v>
      </c>
      <c r="C113" s="13"/>
      <c r="D113" s="13"/>
      <c r="E113" s="13"/>
      <c r="F113" s="13"/>
      <c r="G113" s="13" t="s">
        <v>18</v>
      </c>
      <c r="H113" s="7"/>
      <c r="I113" s="7"/>
      <c r="J113" s="7"/>
      <c r="K113" s="2"/>
      <c r="L113" s="5" t="s">
        <v>60</v>
      </c>
      <c r="M113" s="12" t="s">
        <v>61</v>
      </c>
      <c r="N113" s="13"/>
      <c r="O113" s="13"/>
      <c r="P113" s="13"/>
      <c r="Q113" s="13"/>
      <c r="R113" s="13" t="s">
        <v>17</v>
      </c>
      <c r="S113" s="7" t="s">
        <v>3070</v>
      </c>
      <c r="T113" s="7">
        <v>1</v>
      </c>
      <c r="V113" s="2"/>
      <c r="W113" s="8" t="s">
        <v>660</v>
      </c>
      <c r="X113" s="8" t="s">
        <v>661</v>
      </c>
      <c r="Y113" s="302" t="s">
        <v>662</v>
      </c>
      <c r="Z113" s="13"/>
      <c r="AA113" s="13"/>
      <c r="AB113" s="13"/>
      <c r="AC113" s="13"/>
      <c r="AD113" s="19" t="s">
        <v>1567</v>
      </c>
      <c r="AE113" s="303">
        <v>1</v>
      </c>
      <c r="AF113" s="303" t="s">
        <v>3071</v>
      </c>
      <c r="AG113" s="303"/>
    </row>
    <row r="114" spans="1:33" ht="21">
      <c r="A114" s="5" t="s">
        <v>667</v>
      </c>
      <c r="B114" s="23" t="s">
        <v>668</v>
      </c>
      <c r="C114" s="13"/>
      <c r="D114" s="13"/>
      <c r="E114" s="13"/>
      <c r="F114" s="13"/>
      <c r="G114" s="13" t="s">
        <v>18</v>
      </c>
      <c r="H114" s="7"/>
      <c r="I114" s="7"/>
      <c r="J114" s="7"/>
      <c r="K114" s="2"/>
      <c r="L114" s="5" t="s">
        <v>669</v>
      </c>
      <c r="M114" s="12" t="s">
        <v>670</v>
      </c>
      <c r="N114" s="13"/>
      <c r="O114" s="13"/>
      <c r="P114" s="13"/>
      <c r="Q114" s="13"/>
      <c r="R114" s="13" t="s">
        <v>18</v>
      </c>
      <c r="T114" s="7" t="s">
        <v>1554</v>
      </c>
      <c r="V114" s="2"/>
      <c r="W114" s="8" t="s">
        <v>664</v>
      </c>
      <c r="X114" s="8" t="s">
        <v>665</v>
      </c>
      <c r="Y114" s="302" t="s">
        <v>666</v>
      </c>
      <c r="Z114" s="13"/>
      <c r="AA114" s="13"/>
      <c r="AB114" s="13"/>
      <c r="AC114" s="13"/>
      <c r="AD114" s="19" t="s">
        <v>1574</v>
      </c>
      <c r="AE114" s="303"/>
      <c r="AF114" s="303" t="s">
        <v>3072</v>
      </c>
      <c r="AG114" s="303"/>
    </row>
    <row r="115" spans="1:33" ht="21">
      <c r="A115" s="5" t="s">
        <v>674</v>
      </c>
      <c r="B115" s="23" t="s">
        <v>675</v>
      </c>
      <c r="C115" s="13"/>
      <c r="D115" s="13"/>
      <c r="E115" s="13"/>
      <c r="F115" s="13"/>
      <c r="G115" s="13" t="s">
        <v>1567</v>
      </c>
      <c r="H115" s="7" t="s">
        <v>3073</v>
      </c>
      <c r="I115" s="7">
        <v>1</v>
      </c>
      <c r="J115" s="7"/>
      <c r="K115" s="2"/>
      <c r="L115" s="5" t="s">
        <v>676</v>
      </c>
      <c r="M115" s="12" t="s">
        <v>677</v>
      </c>
      <c r="N115" s="13"/>
      <c r="O115" s="13"/>
      <c r="P115" s="13"/>
      <c r="Q115" s="13"/>
      <c r="R115" s="13" t="s">
        <v>21</v>
      </c>
      <c r="S115" s="7" t="s">
        <v>3074</v>
      </c>
      <c r="T115" s="7" t="s">
        <v>3016</v>
      </c>
      <c r="U115" s="7" t="s">
        <v>3075</v>
      </c>
      <c r="V115" s="2" t="s">
        <v>3076</v>
      </c>
      <c r="W115" s="8" t="s">
        <v>671</v>
      </c>
      <c r="X115" s="8" t="s">
        <v>672</v>
      </c>
      <c r="Y115" s="302" t="s">
        <v>673</v>
      </c>
      <c r="Z115" s="13"/>
      <c r="AA115" s="13"/>
      <c r="AB115" s="13"/>
      <c r="AC115" s="13"/>
      <c r="AD115" s="19" t="s">
        <v>18</v>
      </c>
      <c r="AE115" s="303"/>
      <c r="AF115" s="303"/>
      <c r="AG115" s="303"/>
    </row>
    <row r="116" spans="1:33" ht="21">
      <c r="A116" s="5" t="s">
        <v>681</v>
      </c>
      <c r="B116" s="5" t="s">
        <v>666</v>
      </c>
      <c r="C116" s="13"/>
      <c r="D116" s="13"/>
      <c r="E116" s="13"/>
      <c r="F116" s="13"/>
      <c r="G116" s="13" t="s">
        <v>18</v>
      </c>
      <c r="H116" s="304"/>
      <c r="I116" s="7"/>
      <c r="J116" s="7"/>
      <c r="K116" s="2"/>
      <c r="L116" s="5" t="s">
        <v>682</v>
      </c>
      <c r="M116" s="12" t="s">
        <v>683</v>
      </c>
      <c r="N116" s="13"/>
      <c r="O116" s="13"/>
      <c r="P116" s="13"/>
      <c r="Q116" s="13"/>
      <c r="R116" s="13" t="s">
        <v>18</v>
      </c>
      <c r="U116" s="14"/>
      <c r="V116" s="2"/>
      <c r="W116" s="8" t="s">
        <v>678</v>
      </c>
      <c r="X116" s="8" t="s">
        <v>679</v>
      </c>
      <c r="Y116" s="302" t="s">
        <v>680</v>
      </c>
      <c r="Z116" s="13"/>
      <c r="AA116" s="13"/>
      <c r="AB116" s="13"/>
      <c r="AC116" s="13"/>
      <c r="AD116" s="19" t="s">
        <v>18</v>
      </c>
      <c r="AE116" s="303"/>
      <c r="AF116" s="303" t="s">
        <v>3077</v>
      </c>
      <c r="AG116" s="303"/>
    </row>
    <row r="117" spans="1:33" ht="21">
      <c r="A117" s="5" t="s">
        <v>687</v>
      </c>
      <c r="B117" s="5" t="s">
        <v>688</v>
      </c>
      <c r="C117" s="13"/>
      <c r="D117" s="13"/>
      <c r="E117" s="13"/>
      <c r="F117" s="13"/>
      <c r="G117" s="13" t="s">
        <v>18</v>
      </c>
      <c r="H117" s="7"/>
      <c r="I117" s="7"/>
      <c r="J117" s="7"/>
      <c r="K117" s="2"/>
      <c r="L117" s="5" t="s">
        <v>689</v>
      </c>
      <c r="M117" s="12" t="s">
        <v>690</v>
      </c>
      <c r="N117" s="13"/>
      <c r="O117" s="13"/>
      <c r="P117" s="13"/>
      <c r="Q117" s="13"/>
      <c r="R117" s="13" t="s">
        <v>18</v>
      </c>
      <c r="U117" s="14"/>
      <c r="V117" s="2"/>
      <c r="W117" s="8" t="s">
        <v>684</v>
      </c>
      <c r="X117" s="8" t="s">
        <v>685</v>
      </c>
      <c r="Y117" s="302" t="s">
        <v>686</v>
      </c>
      <c r="Z117" s="13"/>
      <c r="AA117" s="13"/>
      <c r="AB117" s="13"/>
      <c r="AC117" s="13"/>
      <c r="AD117" s="19" t="s">
        <v>1562</v>
      </c>
      <c r="AE117" s="303"/>
      <c r="AF117" s="303" t="s">
        <v>3078</v>
      </c>
      <c r="AG117" s="303"/>
    </row>
    <row r="118" spans="1:33" ht="21">
      <c r="A118" s="5" t="s">
        <v>694</v>
      </c>
      <c r="B118" s="5" t="s">
        <v>695</v>
      </c>
      <c r="C118" s="13"/>
      <c r="D118" s="13"/>
      <c r="E118" s="13"/>
      <c r="F118" s="13"/>
      <c r="G118" s="13" t="s">
        <v>18</v>
      </c>
      <c r="H118" s="7"/>
      <c r="I118" s="7"/>
      <c r="J118" s="7"/>
      <c r="K118" s="2"/>
      <c r="L118" s="5" t="s">
        <v>696</v>
      </c>
      <c r="M118" s="12" t="s">
        <v>697</v>
      </c>
      <c r="N118" s="13"/>
      <c r="O118" s="13"/>
      <c r="P118" s="13"/>
      <c r="Q118" s="13"/>
      <c r="R118" s="13" t="s">
        <v>18</v>
      </c>
      <c r="U118" s="14"/>
      <c r="V118" s="2"/>
      <c r="W118" s="8" t="s">
        <v>691</v>
      </c>
      <c r="X118" s="8" t="s">
        <v>692</v>
      </c>
      <c r="Y118" s="302" t="s">
        <v>693</v>
      </c>
      <c r="Z118" s="13"/>
      <c r="AA118" s="13"/>
      <c r="AB118" s="13"/>
      <c r="AC118" s="13"/>
      <c r="AD118" s="19" t="s">
        <v>17</v>
      </c>
      <c r="AE118" s="303">
        <v>3</v>
      </c>
      <c r="AF118" s="303" t="s">
        <v>3069</v>
      </c>
      <c r="AG118" s="303"/>
    </row>
    <row r="119" spans="1:33" ht="21">
      <c r="A119" s="5" t="s">
        <v>701</v>
      </c>
      <c r="B119" s="5" t="s">
        <v>702</v>
      </c>
      <c r="C119" s="13"/>
      <c r="D119" s="13"/>
      <c r="E119" s="13"/>
      <c r="F119" s="13"/>
      <c r="G119" s="13" t="s">
        <v>1562</v>
      </c>
      <c r="H119" s="7"/>
      <c r="I119" s="7"/>
      <c r="J119" s="7"/>
      <c r="K119" s="2"/>
      <c r="L119" s="5" t="s">
        <v>703</v>
      </c>
      <c r="M119" s="12" t="s">
        <v>704</v>
      </c>
      <c r="N119" s="13"/>
      <c r="O119" s="13"/>
      <c r="P119" s="13"/>
      <c r="Q119" s="13"/>
      <c r="R119" s="13" t="s">
        <v>18</v>
      </c>
      <c r="U119" s="14"/>
      <c r="V119" s="2"/>
      <c r="W119" s="8" t="s">
        <v>698</v>
      </c>
      <c r="X119" s="8" t="s">
        <v>699</v>
      </c>
      <c r="Y119" s="302" t="s">
        <v>700</v>
      </c>
      <c r="Z119" s="13"/>
      <c r="AA119" s="13"/>
      <c r="AB119" s="13"/>
      <c r="AC119" s="13"/>
      <c r="AD119" s="19" t="s">
        <v>18</v>
      </c>
      <c r="AE119" s="303"/>
      <c r="AF119" s="303" t="s">
        <v>3079</v>
      </c>
      <c r="AG119" s="303"/>
    </row>
    <row r="120" spans="1:33" ht="21">
      <c r="A120" s="5" t="s">
        <v>708</v>
      </c>
      <c r="B120" s="5" t="s">
        <v>709</v>
      </c>
      <c r="C120" s="13"/>
      <c r="D120" s="13"/>
      <c r="E120" s="13"/>
      <c r="F120" s="13"/>
      <c r="G120" s="13" t="s">
        <v>1562</v>
      </c>
      <c r="H120" s="7" t="s">
        <v>3080</v>
      </c>
      <c r="I120" s="7"/>
      <c r="J120" s="7"/>
      <c r="K120" s="2"/>
      <c r="L120" s="5" t="s">
        <v>710</v>
      </c>
      <c r="M120" s="12" t="s">
        <v>711</v>
      </c>
      <c r="N120" s="13"/>
      <c r="O120" s="13"/>
      <c r="P120" s="13"/>
      <c r="Q120" s="13"/>
      <c r="R120" s="13" t="s">
        <v>1567</v>
      </c>
      <c r="U120" s="14"/>
      <c r="V120" s="2"/>
      <c r="W120" s="8" t="s">
        <v>705</v>
      </c>
      <c r="X120" s="8" t="s">
        <v>706</v>
      </c>
      <c r="Y120" s="302" t="s">
        <v>707</v>
      </c>
      <c r="Z120" s="13"/>
      <c r="AA120" s="13"/>
      <c r="AB120" s="13"/>
      <c r="AC120" s="13"/>
      <c r="AD120" s="19" t="s">
        <v>21</v>
      </c>
      <c r="AE120" s="303">
        <v>3</v>
      </c>
      <c r="AF120" s="303" t="s">
        <v>3081</v>
      </c>
      <c r="AG120" s="303"/>
    </row>
    <row r="121" spans="1:33" ht="21">
      <c r="A121" s="5" t="s">
        <v>715</v>
      </c>
      <c r="B121" s="5" t="s">
        <v>716</v>
      </c>
      <c r="C121" s="13"/>
      <c r="D121" s="13"/>
      <c r="E121" s="13"/>
      <c r="F121" s="13"/>
      <c r="G121" s="13" t="s">
        <v>1562</v>
      </c>
      <c r="H121" s="7" t="s">
        <v>3082</v>
      </c>
      <c r="I121" s="7"/>
      <c r="J121" s="7"/>
      <c r="K121" s="2"/>
      <c r="L121" s="5" t="s">
        <v>717</v>
      </c>
      <c r="M121" s="12" t="s">
        <v>718</v>
      </c>
      <c r="N121" s="13"/>
      <c r="O121" s="13"/>
      <c r="P121" s="13"/>
      <c r="Q121" s="13"/>
      <c r="R121" s="13" t="s">
        <v>18</v>
      </c>
      <c r="U121" s="14"/>
      <c r="V121" s="2"/>
      <c r="W121" s="8" t="s">
        <v>712</v>
      </c>
      <c r="X121" s="8" t="s">
        <v>713</v>
      </c>
      <c r="Y121" s="302" t="s">
        <v>714</v>
      </c>
      <c r="Z121" s="13"/>
      <c r="AA121" s="13"/>
      <c r="AB121" s="13"/>
      <c r="AC121" s="13"/>
      <c r="AD121" s="19" t="s">
        <v>1567</v>
      </c>
      <c r="AE121" s="303">
        <v>1</v>
      </c>
      <c r="AF121" s="303" t="s">
        <v>3083</v>
      </c>
      <c r="AG121" s="303"/>
    </row>
    <row r="122" spans="1:33" ht="21">
      <c r="A122" s="5" t="s">
        <v>722</v>
      </c>
      <c r="B122" s="5" t="s">
        <v>723</v>
      </c>
      <c r="C122" s="13"/>
      <c r="D122" s="13"/>
      <c r="E122" s="13"/>
      <c r="F122" s="13"/>
      <c r="G122" s="13" t="s">
        <v>1562</v>
      </c>
      <c r="H122" s="7"/>
      <c r="I122" s="7"/>
      <c r="J122" s="7"/>
      <c r="K122" s="2"/>
      <c r="L122" s="5" t="s">
        <v>134</v>
      </c>
      <c r="M122" s="12" t="s">
        <v>135</v>
      </c>
      <c r="N122" s="13"/>
      <c r="O122" s="13"/>
      <c r="P122" s="13"/>
      <c r="Q122" s="13"/>
      <c r="R122" s="13" t="s">
        <v>28</v>
      </c>
      <c r="T122" s="7">
        <v>3</v>
      </c>
      <c r="V122" s="2"/>
      <c r="W122" s="8" t="s">
        <v>719</v>
      </c>
      <c r="X122" s="8" t="s">
        <v>720</v>
      </c>
      <c r="Y122" s="302" t="s">
        <v>721</v>
      </c>
      <c r="Z122" s="13"/>
      <c r="AA122" s="13"/>
      <c r="AB122" s="13"/>
      <c r="AC122" s="13"/>
      <c r="AD122" s="19" t="s">
        <v>18</v>
      </c>
      <c r="AE122" s="303"/>
      <c r="AF122" s="303"/>
      <c r="AG122" s="303"/>
    </row>
    <row r="123" spans="1:33" ht="21">
      <c r="A123" s="5" t="s">
        <v>727</v>
      </c>
      <c r="B123" s="23" t="s">
        <v>558</v>
      </c>
      <c r="C123" s="13"/>
      <c r="D123" s="13"/>
      <c r="E123" s="13"/>
      <c r="F123" s="13"/>
      <c r="G123" s="13" t="s">
        <v>21</v>
      </c>
      <c r="H123" s="7" t="s">
        <v>3084</v>
      </c>
      <c r="I123" s="7">
        <v>1</v>
      </c>
      <c r="J123" s="7"/>
      <c r="K123" s="2"/>
      <c r="L123" s="5" t="s">
        <v>728</v>
      </c>
      <c r="M123" s="12" t="s">
        <v>729</v>
      </c>
      <c r="N123" s="13"/>
      <c r="O123" s="13"/>
      <c r="P123" s="13"/>
      <c r="Q123" s="13"/>
      <c r="R123" s="13" t="s">
        <v>18</v>
      </c>
      <c r="U123" s="14"/>
      <c r="V123" s="2"/>
      <c r="W123" s="8" t="s">
        <v>724</v>
      </c>
      <c r="X123" s="8" t="s">
        <v>725</v>
      </c>
      <c r="Y123" s="302" t="s">
        <v>726</v>
      </c>
      <c r="Z123" s="13"/>
      <c r="AA123" s="13"/>
      <c r="AB123" s="13"/>
      <c r="AC123" s="13"/>
      <c r="AD123" s="19" t="s">
        <v>1567</v>
      </c>
      <c r="AE123" s="303">
        <v>1</v>
      </c>
      <c r="AF123" s="303" t="s">
        <v>3085</v>
      </c>
      <c r="AG123" s="303"/>
    </row>
    <row r="124" spans="1:33" ht="21">
      <c r="A124" s="5" t="s">
        <v>733</v>
      </c>
      <c r="B124" s="5" t="s">
        <v>686</v>
      </c>
      <c r="C124" s="13"/>
      <c r="D124" s="13"/>
      <c r="E124" s="13"/>
      <c r="F124" s="13"/>
      <c r="G124" s="13" t="s">
        <v>18</v>
      </c>
      <c r="H124" s="7"/>
      <c r="I124" s="7"/>
      <c r="J124" s="7"/>
      <c r="K124" s="2"/>
      <c r="L124" s="5" t="s">
        <v>290</v>
      </c>
      <c r="M124" s="12" t="s">
        <v>291</v>
      </c>
      <c r="N124" s="13"/>
      <c r="O124" s="13"/>
      <c r="P124" s="13"/>
      <c r="Q124" s="13"/>
      <c r="R124" s="13" t="s">
        <v>18</v>
      </c>
      <c r="U124" s="14"/>
      <c r="V124" s="2"/>
      <c r="W124" s="8" t="s">
        <v>730</v>
      </c>
      <c r="X124" s="8" t="s">
        <v>731</v>
      </c>
      <c r="Y124" s="302" t="s">
        <v>732</v>
      </c>
      <c r="Z124" s="13"/>
      <c r="AA124" s="13"/>
      <c r="AB124" s="13"/>
      <c r="AC124" s="13"/>
      <c r="AD124" s="19" t="s">
        <v>17</v>
      </c>
      <c r="AE124" s="303">
        <v>3</v>
      </c>
      <c r="AF124" s="303"/>
      <c r="AG124" s="303"/>
    </row>
    <row r="125" spans="1:33" ht="21">
      <c r="A125" s="5" t="s">
        <v>737</v>
      </c>
      <c r="B125" s="5" t="s">
        <v>700</v>
      </c>
      <c r="C125" s="13"/>
      <c r="D125" s="13"/>
      <c r="E125" s="13"/>
      <c r="F125" s="13"/>
      <c r="G125" s="13" t="s">
        <v>1567</v>
      </c>
      <c r="H125" s="7"/>
      <c r="I125" s="7"/>
      <c r="J125" s="7"/>
      <c r="K125" s="2"/>
      <c r="L125" s="5" t="s">
        <v>254</v>
      </c>
      <c r="M125" s="12" t="s">
        <v>255</v>
      </c>
      <c r="N125" s="13"/>
      <c r="O125" s="13"/>
      <c r="P125" s="13"/>
      <c r="Q125" s="13"/>
      <c r="R125" s="13" t="s">
        <v>28</v>
      </c>
      <c r="T125" s="7">
        <v>3</v>
      </c>
      <c r="V125" s="2"/>
      <c r="W125" s="8" t="s">
        <v>734</v>
      </c>
      <c r="X125" s="8" t="s">
        <v>735</v>
      </c>
      <c r="Y125" s="302" t="s">
        <v>736</v>
      </c>
      <c r="Z125" s="13"/>
      <c r="AA125" s="13"/>
      <c r="AB125" s="13"/>
      <c r="AC125" s="13"/>
      <c r="AD125" s="19" t="s">
        <v>28</v>
      </c>
      <c r="AE125" s="303">
        <v>3</v>
      </c>
      <c r="AF125" s="303"/>
      <c r="AG125" s="303"/>
    </row>
    <row r="126" spans="1:33" ht="21">
      <c r="A126" s="5" t="s">
        <v>741</v>
      </c>
      <c r="B126" s="5" t="s">
        <v>742</v>
      </c>
      <c r="C126" s="13"/>
      <c r="D126" s="13"/>
      <c r="E126" s="13"/>
      <c r="F126" s="13"/>
      <c r="G126" s="13" t="s">
        <v>18</v>
      </c>
      <c r="H126" s="7" t="s">
        <v>3086</v>
      </c>
      <c r="I126" s="7"/>
      <c r="J126" s="7"/>
      <c r="L126" s="24" t="s">
        <v>407</v>
      </c>
      <c r="M126" s="12" t="s">
        <v>408</v>
      </c>
      <c r="N126" s="19"/>
      <c r="O126" s="19"/>
      <c r="P126" s="19"/>
      <c r="Q126" s="19"/>
      <c r="R126" s="19" t="s">
        <v>18</v>
      </c>
      <c r="S126" s="305"/>
      <c r="T126" s="305"/>
      <c r="U126" s="305"/>
      <c r="V126" s="306"/>
      <c r="W126" s="111" t="s">
        <v>738</v>
      </c>
      <c r="X126" s="111" t="s">
        <v>739</v>
      </c>
      <c r="Y126" s="307" t="s">
        <v>740</v>
      </c>
      <c r="Z126" s="19"/>
      <c r="AA126" s="19"/>
      <c r="AB126" s="19"/>
      <c r="AC126" s="19"/>
      <c r="AD126" s="19" t="s">
        <v>1562</v>
      </c>
      <c r="AE126" s="303"/>
      <c r="AF126" s="303"/>
      <c r="AG126" s="303"/>
    </row>
    <row r="127" spans="1:33" ht="21">
      <c r="A127" s="5" t="s">
        <v>746</v>
      </c>
      <c r="B127" s="5" t="s">
        <v>693</v>
      </c>
      <c r="C127" s="13"/>
      <c r="D127" s="13"/>
      <c r="E127" s="13"/>
      <c r="F127" s="13"/>
      <c r="G127" s="13" t="s">
        <v>17</v>
      </c>
      <c r="H127" s="7" t="s">
        <v>3087</v>
      </c>
      <c r="I127" s="7">
        <v>1</v>
      </c>
      <c r="J127" s="7"/>
      <c r="L127" s="24" t="s">
        <v>747</v>
      </c>
      <c r="M127" s="25" t="s">
        <v>748</v>
      </c>
      <c r="N127" s="19"/>
      <c r="O127" s="19"/>
      <c r="P127" s="19"/>
      <c r="Q127" s="19"/>
      <c r="R127" s="19" t="s">
        <v>18</v>
      </c>
      <c r="V127" s="123"/>
      <c r="W127" s="111" t="s">
        <v>743</v>
      </c>
      <c r="X127" s="111" t="s">
        <v>744</v>
      </c>
      <c r="Y127" s="307" t="s">
        <v>745</v>
      </c>
      <c r="Z127" s="19"/>
      <c r="AA127" s="19"/>
      <c r="AB127" s="19"/>
      <c r="AC127" s="19"/>
      <c r="AD127" s="19" t="s">
        <v>18</v>
      </c>
      <c r="AE127" s="303"/>
      <c r="AF127" s="303"/>
      <c r="AG127" s="303"/>
    </row>
    <row r="128" spans="1:33" ht="21">
      <c r="A128" s="5" t="s">
        <v>752</v>
      </c>
      <c r="B128" s="23" t="s">
        <v>753</v>
      </c>
      <c r="C128" s="13"/>
      <c r="D128" s="13"/>
      <c r="E128" s="13"/>
      <c r="F128" s="13"/>
      <c r="G128" s="13" t="s">
        <v>1567</v>
      </c>
      <c r="H128" s="7" t="s">
        <v>3088</v>
      </c>
      <c r="I128" s="7"/>
      <c r="J128" s="7"/>
      <c r="L128" s="24" t="s">
        <v>411</v>
      </c>
      <c r="M128" s="25" t="s">
        <v>412</v>
      </c>
      <c r="N128" s="19"/>
      <c r="O128" s="19"/>
      <c r="P128" s="19"/>
      <c r="Q128" s="19"/>
      <c r="R128" s="19" t="s">
        <v>18</v>
      </c>
      <c r="V128" s="123"/>
      <c r="W128" s="111" t="s">
        <v>749</v>
      </c>
      <c r="X128" s="111" t="s">
        <v>750</v>
      </c>
      <c r="Y128" s="307" t="s">
        <v>751</v>
      </c>
      <c r="Z128" s="19"/>
      <c r="AA128" s="19"/>
      <c r="AB128" s="19"/>
      <c r="AC128" s="19"/>
      <c r="AD128" s="19" t="s">
        <v>1562</v>
      </c>
      <c r="AE128" s="303"/>
      <c r="AF128" s="303"/>
      <c r="AG128" s="303"/>
    </row>
    <row r="129" spans="1:33" ht="21">
      <c r="A129" s="5" t="s">
        <v>757</v>
      </c>
      <c r="B129" s="5" t="s">
        <v>758</v>
      </c>
      <c r="C129" s="13"/>
      <c r="D129" s="13"/>
      <c r="E129" s="13"/>
      <c r="F129" s="13"/>
      <c r="G129" s="13" t="s">
        <v>18</v>
      </c>
      <c r="H129" s="7"/>
      <c r="I129" s="7"/>
      <c r="J129" s="7"/>
      <c r="L129" s="24" t="s">
        <v>32</v>
      </c>
      <c r="M129" s="25" t="s">
        <v>33</v>
      </c>
      <c r="N129" s="19"/>
      <c r="O129" s="19"/>
      <c r="P129" s="19"/>
      <c r="Q129" s="19"/>
      <c r="R129" s="19" t="s">
        <v>21</v>
      </c>
      <c r="T129" s="7">
        <v>1</v>
      </c>
      <c r="V129" s="123"/>
      <c r="W129" s="111" t="s">
        <v>754</v>
      </c>
      <c r="X129" s="111" t="s">
        <v>755</v>
      </c>
      <c r="Y129" s="307" t="s">
        <v>756</v>
      </c>
      <c r="Z129" s="19"/>
      <c r="AA129" s="19"/>
      <c r="AB129" s="19"/>
      <c r="AC129" s="19"/>
      <c r="AD129" s="19" t="s">
        <v>18</v>
      </c>
      <c r="AE129" s="303"/>
      <c r="AF129" s="303" t="s">
        <v>3089</v>
      </c>
      <c r="AG129" s="303"/>
    </row>
    <row r="130" spans="1:33" ht="21">
      <c r="A130" s="5" t="s">
        <v>762</v>
      </c>
      <c r="B130" s="5" t="s">
        <v>763</v>
      </c>
      <c r="C130" s="13"/>
      <c r="D130" s="13"/>
      <c r="E130" s="13"/>
      <c r="F130" s="13"/>
      <c r="G130" s="13" t="s">
        <v>18</v>
      </c>
      <c r="H130" s="7"/>
      <c r="I130" s="7"/>
      <c r="J130" s="7"/>
      <c r="L130" s="24" t="s">
        <v>301</v>
      </c>
      <c r="M130" s="25" t="s">
        <v>280</v>
      </c>
      <c r="N130" s="19"/>
      <c r="O130" s="19"/>
      <c r="P130" s="19"/>
      <c r="Q130" s="19"/>
      <c r="R130" s="19" t="s">
        <v>18</v>
      </c>
      <c r="V130" s="123"/>
      <c r="W130" s="111" t="s">
        <v>759</v>
      </c>
      <c r="X130" s="111" t="s">
        <v>760</v>
      </c>
      <c r="Y130" s="307" t="s">
        <v>761</v>
      </c>
      <c r="Z130" s="19"/>
      <c r="AA130" s="19"/>
      <c r="AB130" s="19"/>
      <c r="AC130" s="19"/>
      <c r="AD130" s="19" t="s">
        <v>18</v>
      </c>
      <c r="AE130" s="303"/>
      <c r="AF130" s="303" t="s">
        <v>3078</v>
      </c>
      <c r="AG130" s="303"/>
    </row>
    <row r="131" spans="1:33" ht="21">
      <c r="A131" s="5" t="s">
        <v>767</v>
      </c>
      <c r="B131" s="5" t="s">
        <v>768</v>
      </c>
      <c r="C131" s="13"/>
      <c r="D131" s="13"/>
      <c r="E131" s="13"/>
      <c r="F131" s="13"/>
      <c r="G131" s="13" t="s">
        <v>18</v>
      </c>
      <c r="H131" s="7"/>
      <c r="I131" s="7"/>
      <c r="J131" s="7"/>
      <c r="L131" s="24" t="s">
        <v>344</v>
      </c>
      <c r="M131" s="25" t="s">
        <v>345</v>
      </c>
      <c r="N131" s="19"/>
      <c r="O131" s="19"/>
      <c r="P131" s="19"/>
      <c r="Q131" s="19"/>
      <c r="R131" s="19" t="s">
        <v>1567</v>
      </c>
      <c r="V131" s="123"/>
      <c r="W131" s="111" t="s">
        <v>764</v>
      </c>
      <c r="X131" s="111" t="s">
        <v>765</v>
      </c>
      <c r="Y131" s="307" t="s">
        <v>766</v>
      </c>
      <c r="Z131" s="19"/>
      <c r="AA131" s="19"/>
      <c r="AB131" s="19"/>
      <c r="AC131" s="19"/>
      <c r="AD131" s="19" t="s">
        <v>18</v>
      </c>
      <c r="AE131" s="303"/>
      <c r="AF131" s="303" t="s">
        <v>3090</v>
      </c>
      <c r="AG131" s="303"/>
    </row>
    <row r="132" spans="1:33" ht="21">
      <c r="A132" s="5" t="s">
        <v>772</v>
      </c>
      <c r="B132" s="5" t="s">
        <v>773</v>
      </c>
      <c r="C132" s="13"/>
      <c r="D132" s="13"/>
      <c r="E132" s="13"/>
      <c r="F132" s="13"/>
      <c r="G132" s="13" t="s">
        <v>18</v>
      </c>
      <c r="H132" s="7"/>
      <c r="I132" s="7"/>
      <c r="J132" s="7"/>
      <c r="L132" s="24" t="s">
        <v>774</v>
      </c>
      <c r="M132" s="25" t="s">
        <v>775</v>
      </c>
      <c r="N132" s="19"/>
      <c r="O132" s="19"/>
      <c r="P132" s="19"/>
      <c r="Q132" s="19"/>
      <c r="R132" s="19" t="s">
        <v>18</v>
      </c>
      <c r="V132" s="123"/>
      <c r="W132" s="111" t="s">
        <v>769</v>
      </c>
      <c r="X132" s="111" t="s">
        <v>770</v>
      </c>
      <c r="Y132" s="307" t="s">
        <v>771</v>
      </c>
      <c r="Z132" s="19"/>
      <c r="AA132" s="19"/>
      <c r="AB132" s="19"/>
      <c r="AC132" s="19"/>
      <c r="AD132" s="19" t="s">
        <v>1567</v>
      </c>
      <c r="AE132" s="303">
        <v>1</v>
      </c>
      <c r="AF132" s="303"/>
      <c r="AG132" s="303"/>
    </row>
    <row r="133" spans="1:33" ht="21">
      <c r="A133" s="5" t="s">
        <v>779</v>
      </c>
      <c r="B133" s="5" t="s">
        <v>780</v>
      </c>
      <c r="C133" s="13"/>
      <c r="D133" s="13"/>
      <c r="E133" s="13"/>
      <c r="F133" s="13"/>
      <c r="G133" s="13" t="s">
        <v>18</v>
      </c>
      <c r="H133" s="7"/>
      <c r="I133" s="7"/>
      <c r="J133" s="7"/>
      <c r="L133" s="24" t="s">
        <v>781</v>
      </c>
      <c r="M133" s="25" t="s">
        <v>544</v>
      </c>
      <c r="N133" s="19"/>
      <c r="O133" s="19"/>
      <c r="P133" s="19"/>
      <c r="Q133" s="19"/>
      <c r="R133" s="19" t="s">
        <v>1567</v>
      </c>
      <c r="V133" s="123"/>
      <c r="W133" s="111" t="s">
        <v>776</v>
      </c>
      <c r="X133" s="111" t="s">
        <v>777</v>
      </c>
      <c r="Y133" s="307" t="s">
        <v>778</v>
      </c>
      <c r="Z133" s="19"/>
      <c r="AA133" s="19"/>
      <c r="AB133" s="19"/>
      <c r="AC133" s="19"/>
      <c r="AD133" s="19" t="s">
        <v>1574</v>
      </c>
      <c r="AE133" s="303"/>
      <c r="AF133" s="303"/>
      <c r="AG133" s="303"/>
    </row>
    <row r="134" spans="1:33" ht="21">
      <c r="A134" s="5" t="s">
        <v>785</v>
      </c>
      <c r="B134" s="23" t="s">
        <v>786</v>
      </c>
      <c r="C134" s="13"/>
      <c r="D134" s="13"/>
      <c r="E134" s="13"/>
      <c r="F134" s="13"/>
      <c r="G134" s="13" t="s">
        <v>18</v>
      </c>
      <c r="H134" s="7"/>
      <c r="I134" s="7"/>
      <c r="J134" s="7"/>
      <c r="L134" s="549" t="s">
        <v>787</v>
      </c>
      <c r="M134" s="547"/>
      <c r="N134" s="548"/>
      <c r="O134" s="548"/>
      <c r="P134" s="548"/>
      <c r="Q134" s="548"/>
      <c r="R134" s="548"/>
      <c r="S134" s="597"/>
      <c r="T134" s="549"/>
      <c r="U134" s="597"/>
      <c r="V134" s="123"/>
      <c r="W134" s="111" t="s">
        <v>782</v>
      </c>
      <c r="X134" s="111" t="s">
        <v>783</v>
      </c>
      <c r="Y134" s="307" t="s">
        <v>784</v>
      </c>
      <c r="Z134" s="19"/>
      <c r="AA134" s="19"/>
      <c r="AB134" s="19"/>
      <c r="AC134" s="19"/>
      <c r="AD134" s="19" t="s">
        <v>21</v>
      </c>
      <c r="AE134" s="303">
        <v>1</v>
      </c>
      <c r="AF134" s="303" t="s">
        <v>3091</v>
      </c>
      <c r="AG134" s="303"/>
    </row>
    <row r="135" spans="1:33" ht="21">
      <c r="A135" s="5" t="s">
        <v>791</v>
      </c>
      <c r="B135" s="5" t="s">
        <v>792</v>
      </c>
      <c r="C135" s="13"/>
      <c r="D135" s="13"/>
      <c r="E135" s="13"/>
      <c r="F135" s="13"/>
      <c r="G135" s="13" t="s">
        <v>1562</v>
      </c>
      <c r="H135" s="7"/>
      <c r="I135" s="7"/>
      <c r="J135" s="7"/>
      <c r="L135" s="598"/>
      <c r="M135" s="543"/>
      <c r="N135" s="543"/>
      <c r="O135" s="543"/>
      <c r="P135" s="543"/>
      <c r="Q135" s="543"/>
      <c r="R135" s="543"/>
      <c r="S135" s="597"/>
      <c r="T135" s="566"/>
      <c r="U135" s="597"/>
      <c r="V135" s="123"/>
      <c r="W135" s="111" t="s">
        <v>788</v>
      </c>
      <c r="X135" s="111" t="s">
        <v>789</v>
      </c>
      <c r="Y135" s="307" t="s">
        <v>790</v>
      </c>
      <c r="Z135" s="19"/>
      <c r="AA135" s="19"/>
      <c r="AB135" s="19"/>
      <c r="AC135" s="19"/>
      <c r="AD135" s="19" t="s">
        <v>18</v>
      </c>
      <c r="AE135" s="303"/>
      <c r="AF135" s="303" t="s">
        <v>3092</v>
      </c>
      <c r="AG135" s="303"/>
    </row>
    <row r="136" spans="1:33" ht="21">
      <c r="A136" s="5" t="s">
        <v>796</v>
      </c>
      <c r="B136" s="5" t="s">
        <v>797</v>
      </c>
      <c r="C136" s="13"/>
      <c r="D136" s="13"/>
      <c r="E136" s="13"/>
      <c r="F136" s="13"/>
      <c r="G136" s="13" t="s">
        <v>18</v>
      </c>
      <c r="H136" s="7"/>
      <c r="I136" s="7"/>
      <c r="J136" s="7"/>
      <c r="L136" s="24" t="s">
        <v>802</v>
      </c>
      <c r="M136" s="66" t="s">
        <v>803</v>
      </c>
      <c r="N136" s="19"/>
      <c r="O136" s="19"/>
      <c r="P136" s="19"/>
      <c r="Q136" s="19"/>
      <c r="R136" s="19" t="s">
        <v>18</v>
      </c>
      <c r="S136" s="11"/>
      <c r="T136" s="163"/>
      <c r="V136" s="123"/>
      <c r="W136" s="111" t="s">
        <v>793</v>
      </c>
      <c r="X136" s="111" t="s">
        <v>794</v>
      </c>
      <c r="Y136" s="307" t="s">
        <v>795</v>
      </c>
      <c r="Z136" s="19"/>
      <c r="AA136" s="19"/>
      <c r="AB136" s="19"/>
      <c r="AC136" s="19"/>
      <c r="AD136" s="19" t="s">
        <v>18</v>
      </c>
      <c r="AE136" s="303"/>
      <c r="AF136" s="303" t="s">
        <v>3093</v>
      </c>
      <c r="AG136" s="303"/>
    </row>
    <row r="137" spans="1:33" ht="21">
      <c r="A137" s="5" t="s">
        <v>800</v>
      </c>
      <c r="B137" s="23" t="s">
        <v>801</v>
      </c>
      <c r="C137" s="13"/>
      <c r="D137" s="13"/>
      <c r="E137" s="13"/>
      <c r="F137" s="13"/>
      <c r="G137" s="13" t="s">
        <v>1661</v>
      </c>
      <c r="H137" s="7" t="s">
        <v>3094</v>
      </c>
      <c r="I137" s="7"/>
      <c r="J137" s="7"/>
      <c r="L137" s="308" t="s">
        <v>809</v>
      </c>
      <c r="M137" s="35" t="s">
        <v>810</v>
      </c>
      <c r="N137" s="19"/>
      <c r="O137" s="19"/>
      <c r="P137" s="19"/>
      <c r="Q137" s="19"/>
      <c r="R137" s="19" t="s">
        <v>18</v>
      </c>
      <c r="V137" s="123"/>
      <c r="W137" s="111" t="s">
        <v>798</v>
      </c>
      <c r="X137" s="111" t="s">
        <v>799</v>
      </c>
      <c r="Y137" s="307" t="s">
        <v>659</v>
      </c>
      <c r="Z137" s="19"/>
      <c r="AA137" s="19"/>
      <c r="AB137" s="19"/>
      <c r="AC137" s="19"/>
      <c r="AD137" s="19" t="s">
        <v>1562</v>
      </c>
      <c r="AE137" s="303"/>
      <c r="AF137" s="303" t="s">
        <v>3095</v>
      </c>
      <c r="AG137" s="303"/>
    </row>
    <row r="138" spans="1:33" ht="21">
      <c r="A138" s="5" t="s">
        <v>807</v>
      </c>
      <c r="B138" s="5" t="s">
        <v>808</v>
      </c>
      <c r="C138" s="13"/>
      <c r="D138" s="13"/>
      <c r="E138" s="13"/>
      <c r="F138" s="13"/>
      <c r="G138" s="13" t="s">
        <v>18</v>
      </c>
      <c r="H138" s="7"/>
      <c r="I138" s="7"/>
      <c r="J138" s="7"/>
      <c r="L138" s="24" t="s">
        <v>755</v>
      </c>
      <c r="M138" s="25" t="s">
        <v>756</v>
      </c>
      <c r="N138" s="19"/>
      <c r="O138" s="19"/>
      <c r="P138" s="19"/>
      <c r="Q138" s="19"/>
      <c r="R138" s="19" t="s">
        <v>1567</v>
      </c>
      <c r="V138" s="123"/>
      <c r="W138" s="111" t="s">
        <v>804</v>
      </c>
      <c r="X138" s="111" t="s">
        <v>805</v>
      </c>
      <c r="Y138" s="307" t="s">
        <v>806</v>
      </c>
      <c r="Z138" s="19"/>
      <c r="AA138" s="19"/>
      <c r="AB138" s="19"/>
      <c r="AC138" s="19"/>
      <c r="AD138" s="19" t="s">
        <v>1574</v>
      </c>
      <c r="AE138" s="303"/>
      <c r="AF138" s="303" t="s">
        <v>3096</v>
      </c>
      <c r="AG138" s="303"/>
    </row>
    <row r="139" spans="1:33" ht="21">
      <c r="A139" s="5" t="s">
        <v>814</v>
      </c>
      <c r="B139" s="5" t="s">
        <v>736</v>
      </c>
      <c r="C139" s="13"/>
      <c r="D139" s="13"/>
      <c r="E139" s="13"/>
      <c r="F139" s="13"/>
      <c r="G139" s="13" t="s">
        <v>17</v>
      </c>
      <c r="H139" s="7" t="s">
        <v>3097</v>
      </c>
      <c r="I139" s="7">
        <v>3</v>
      </c>
      <c r="J139" s="7"/>
      <c r="L139" s="24" t="s">
        <v>820</v>
      </c>
      <c r="M139" s="25" t="s">
        <v>821</v>
      </c>
      <c r="N139" s="19"/>
      <c r="O139" s="19"/>
      <c r="P139" s="19"/>
      <c r="Q139" s="19"/>
      <c r="R139" s="19" t="s">
        <v>18</v>
      </c>
      <c r="V139" s="123"/>
      <c r="W139" s="111" t="s">
        <v>811</v>
      </c>
      <c r="X139" s="111" t="s">
        <v>812</v>
      </c>
      <c r="Y139" s="307" t="s">
        <v>813</v>
      </c>
      <c r="Z139" s="19"/>
      <c r="AA139" s="19"/>
      <c r="AB139" s="19"/>
      <c r="AC139" s="19"/>
      <c r="AD139" s="19" t="s">
        <v>1562</v>
      </c>
      <c r="AE139" s="303"/>
      <c r="AF139" s="303" t="s">
        <v>3098</v>
      </c>
      <c r="AG139" s="303"/>
    </row>
    <row r="140" spans="1:33" ht="21">
      <c r="A140" s="5" t="s">
        <v>818</v>
      </c>
      <c r="B140" s="5" t="s">
        <v>819</v>
      </c>
      <c r="C140" s="13"/>
      <c r="D140" s="13"/>
      <c r="E140" s="13"/>
      <c r="F140" s="13"/>
      <c r="G140" s="13" t="s">
        <v>18</v>
      </c>
      <c r="H140" s="7"/>
      <c r="I140" s="7"/>
      <c r="J140" s="7"/>
      <c r="L140" s="24" t="s">
        <v>827</v>
      </c>
      <c r="M140" s="25" t="s">
        <v>828</v>
      </c>
      <c r="N140" s="19"/>
      <c r="O140" s="19"/>
      <c r="P140" s="19"/>
      <c r="Q140" s="19"/>
      <c r="R140" s="19" t="s">
        <v>18</v>
      </c>
      <c r="V140" s="123"/>
      <c r="W140" s="111" t="s">
        <v>815</v>
      </c>
      <c r="X140" s="111" t="s">
        <v>816</v>
      </c>
      <c r="Y140" s="307" t="s">
        <v>817</v>
      </c>
      <c r="Z140" s="19"/>
      <c r="AA140" s="19"/>
      <c r="AB140" s="19"/>
      <c r="AC140" s="19"/>
      <c r="AD140" s="19" t="s">
        <v>1562</v>
      </c>
      <c r="AE140" s="303"/>
      <c r="AF140" s="303" t="s">
        <v>3099</v>
      </c>
      <c r="AG140" s="303"/>
    </row>
    <row r="141" spans="1:33" ht="21">
      <c r="A141" s="5" t="s">
        <v>825</v>
      </c>
      <c r="B141" s="23" t="s">
        <v>826</v>
      </c>
      <c r="C141" s="13"/>
      <c r="D141" s="13"/>
      <c r="E141" s="13"/>
      <c r="F141" s="13"/>
      <c r="G141" s="13" t="s">
        <v>18</v>
      </c>
      <c r="H141" s="7"/>
      <c r="I141" s="7"/>
      <c r="J141" s="7"/>
      <c r="L141" s="24" t="s">
        <v>812</v>
      </c>
      <c r="M141" s="25" t="s">
        <v>813</v>
      </c>
      <c r="N141" s="19"/>
      <c r="O141" s="19"/>
      <c r="P141" s="19"/>
      <c r="Q141" s="19"/>
      <c r="R141" s="19" t="s">
        <v>18</v>
      </c>
      <c r="S141" s="309" t="s">
        <v>3100</v>
      </c>
      <c r="V141" s="123"/>
      <c r="W141" s="111" t="s">
        <v>822</v>
      </c>
      <c r="X141" s="111" t="s">
        <v>823</v>
      </c>
      <c r="Y141" s="307" t="s">
        <v>824</v>
      </c>
      <c r="Z141" s="19"/>
      <c r="AA141" s="19"/>
      <c r="AB141" s="19"/>
      <c r="AC141" s="19"/>
      <c r="AD141" s="19" t="s">
        <v>18</v>
      </c>
      <c r="AE141" s="303"/>
      <c r="AF141" s="303" t="s">
        <v>3101</v>
      </c>
      <c r="AG141" s="303"/>
    </row>
    <row r="142" spans="1:33" ht="21">
      <c r="A142" s="5" t="s">
        <v>832</v>
      </c>
      <c r="B142" s="5" t="s">
        <v>833</v>
      </c>
      <c r="C142" s="13"/>
      <c r="D142" s="13"/>
      <c r="E142" s="13"/>
      <c r="F142" s="13"/>
      <c r="G142" s="13" t="s">
        <v>18</v>
      </c>
      <c r="H142" s="7"/>
      <c r="I142" s="7"/>
      <c r="J142" s="7"/>
      <c r="L142" s="24" t="s">
        <v>839</v>
      </c>
      <c r="M142" s="25" t="s">
        <v>840</v>
      </c>
      <c r="N142" s="19"/>
      <c r="O142" s="19"/>
      <c r="P142" s="19"/>
      <c r="Q142" s="19"/>
      <c r="R142" s="19" t="s">
        <v>1567</v>
      </c>
      <c r="V142" s="123"/>
      <c r="W142" s="111" t="s">
        <v>829</v>
      </c>
      <c r="X142" s="111" t="s">
        <v>830</v>
      </c>
      <c r="Y142" s="307" t="s">
        <v>831</v>
      </c>
      <c r="Z142" s="19"/>
      <c r="AA142" s="19"/>
      <c r="AB142" s="19"/>
      <c r="AC142" s="19"/>
      <c r="AD142" s="19" t="s">
        <v>1567</v>
      </c>
      <c r="AE142" s="303">
        <v>1</v>
      </c>
      <c r="AF142" s="303" t="s">
        <v>3102</v>
      </c>
      <c r="AG142" s="303"/>
    </row>
    <row r="143" spans="1:33" ht="21">
      <c r="A143" s="5" t="s">
        <v>837</v>
      </c>
      <c r="B143" s="5" t="s">
        <v>838</v>
      </c>
      <c r="C143" s="13"/>
      <c r="D143" s="13"/>
      <c r="E143" s="13"/>
      <c r="F143" s="13"/>
      <c r="G143" s="13" t="s">
        <v>28</v>
      </c>
      <c r="H143" s="7"/>
      <c r="I143" s="7">
        <v>1</v>
      </c>
      <c r="J143" s="7"/>
      <c r="L143" s="24" t="s">
        <v>845</v>
      </c>
      <c r="M143" s="25" t="s">
        <v>846</v>
      </c>
      <c r="N143" s="19"/>
      <c r="O143" s="19"/>
      <c r="P143" s="19"/>
      <c r="Q143" s="19"/>
      <c r="R143" s="19" t="s">
        <v>18</v>
      </c>
      <c r="V143" s="123"/>
      <c r="W143" s="111" t="s">
        <v>834</v>
      </c>
      <c r="X143" s="111" t="s">
        <v>835</v>
      </c>
      <c r="Y143" s="307" t="s">
        <v>836</v>
      </c>
      <c r="Z143" s="19"/>
      <c r="AA143" s="19"/>
      <c r="AB143" s="19"/>
      <c r="AC143" s="19"/>
      <c r="AD143" s="19" t="s">
        <v>1567</v>
      </c>
      <c r="AE143" s="303">
        <v>1</v>
      </c>
      <c r="AF143" s="303" t="s">
        <v>3103</v>
      </c>
      <c r="AG143" s="303"/>
    </row>
    <row r="144" spans="1:33" ht="21">
      <c r="A144" s="5" t="s">
        <v>844</v>
      </c>
      <c r="B144" s="23" t="s">
        <v>627</v>
      </c>
      <c r="C144" s="13"/>
      <c r="D144" s="13"/>
      <c r="E144" s="13"/>
      <c r="F144" s="13"/>
      <c r="G144" s="13" t="s">
        <v>1567</v>
      </c>
      <c r="H144" s="7"/>
      <c r="I144" s="7"/>
      <c r="J144" s="7"/>
      <c r="L144" s="24" t="s">
        <v>617</v>
      </c>
      <c r="M144" s="25" t="s">
        <v>618</v>
      </c>
      <c r="N144" s="19"/>
      <c r="O144" s="19"/>
      <c r="P144" s="19"/>
      <c r="Q144" s="19"/>
      <c r="R144" s="19" t="s">
        <v>1567</v>
      </c>
      <c r="T144" s="7">
        <v>1</v>
      </c>
      <c r="V144" s="123"/>
      <c r="W144" s="111" t="s">
        <v>841</v>
      </c>
      <c r="X144" s="111" t="s">
        <v>842</v>
      </c>
      <c r="Y144" s="307" t="s">
        <v>843</v>
      </c>
      <c r="Z144" s="19"/>
      <c r="AA144" s="19"/>
      <c r="AB144" s="19"/>
      <c r="AC144" s="19"/>
      <c r="AD144" s="19" t="s">
        <v>28</v>
      </c>
      <c r="AE144" s="303">
        <v>1</v>
      </c>
      <c r="AF144" s="303" t="s">
        <v>3104</v>
      </c>
      <c r="AG144" s="303"/>
    </row>
    <row r="145" spans="1:33" ht="21">
      <c r="A145" s="5" t="s">
        <v>850</v>
      </c>
      <c r="B145" s="5" t="s">
        <v>851</v>
      </c>
      <c r="C145" s="13"/>
      <c r="D145" s="13"/>
      <c r="E145" s="13"/>
      <c r="F145" s="13"/>
      <c r="G145" s="13" t="s">
        <v>18</v>
      </c>
      <c r="H145" s="7"/>
      <c r="I145" s="7"/>
      <c r="J145" s="7"/>
      <c r="L145" s="24" t="s">
        <v>856</v>
      </c>
      <c r="M145" s="25" t="s">
        <v>857</v>
      </c>
      <c r="N145" s="19"/>
      <c r="O145" s="19"/>
      <c r="P145" s="19"/>
      <c r="Q145" s="19"/>
      <c r="R145" s="19" t="s">
        <v>18</v>
      </c>
      <c r="V145" s="123"/>
      <c r="W145" s="111" t="s">
        <v>847</v>
      </c>
      <c r="X145" s="111" t="s">
        <v>848</v>
      </c>
      <c r="Y145" s="307" t="s">
        <v>849</v>
      </c>
      <c r="Z145" s="19"/>
      <c r="AA145" s="19"/>
      <c r="AB145" s="19"/>
      <c r="AC145" s="19"/>
      <c r="AD145" s="19" t="s">
        <v>21</v>
      </c>
      <c r="AE145" s="303">
        <v>3</v>
      </c>
      <c r="AF145" s="303" t="s">
        <v>3105</v>
      </c>
      <c r="AG145" s="303"/>
    </row>
    <row r="146" spans="1:33" ht="21">
      <c r="A146" s="5" t="s">
        <v>855</v>
      </c>
      <c r="B146" s="23" t="s">
        <v>662</v>
      </c>
      <c r="C146" s="13"/>
      <c r="D146" s="13"/>
      <c r="E146" s="13"/>
      <c r="F146" s="13"/>
      <c r="G146" s="13" t="s">
        <v>28</v>
      </c>
      <c r="H146" s="7" t="s">
        <v>3106</v>
      </c>
      <c r="I146" s="7">
        <v>1</v>
      </c>
      <c r="J146" s="7"/>
      <c r="L146" s="24" t="s">
        <v>783</v>
      </c>
      <c r="M146" s="25" t="s">
        <v>784</v>
      </c>
      <c r="N146" s="19"/>
      <c r="O146" s="19"/>
      <c r="P146" s="19"/>
      <c r="Q146" s="19"/>
      <c r="R146" s="19" t="s">
        <v>28</v>
      </c>
      <c r="S146" s="309" t="s">
        <v>3107</v>
      </c>
      <c r="T146" s="7">
        <v>1</v>
      </c>
      <c r="V146" s="123"/>
      <c r="W146" s="111" t="s">
        <v>852</v>
      </c>
      <c r="X146" s="111" t="s">
        <v>853</v>
      </c>
      <c r="Y146" s="307" t="s">
        <v>854</v>
      </c>
      <c r="Z146" s="19"/>
      <c r="AA146" s="19"/>
      <c r="AB146" s="19"/>
      <c r="AC146" s="19"/>
      <c r="AD146" s="19" t="s">
        <v>18</v>
      </c>
      <c r="AE146" s="303"/>
      <c r="AF146" s="303" t="s">
        <v>3108</v>
      </c>
      <c r="AG146" s="303"/>
    </row>
    <row r="147" spans="1:33">
      <c r="A147" s="5" t="s">
        <v>859</v>
      </c>
      <c r="B147" s="5" t="s">
        <v>860</v>
      </c>
      <c r="C147" s="13"/>
      <c r="D147" s="13"/>
      <c r="E147" s="13"/>
      <c r="F147" s="13"/>
      <c r="G147" s="13" t="s">
        <v>18</v>
      </c>
      <c r="H147" s="7"/>
      <c r="I147" s="7"/>
      <c r="J147" s="7"/>
      <c r="L147" s="24" t="s">
        <v>863</v>
      </c>
      <c r="M147" s="25" t="s">
        <v>864</v>
      </c>
      <c r="N147" s="19"/>
      <c r="O147" s="19"/>
      <c r="P147" s="19"/>
      <c r="Q147" s="19"/>
      <c r="R147" s="19" t="s">
        <v>18</v>
      </c>
      <c r="V147" s="123"/>
      <c r="W147" s="602" t="s">
        <v>858</v>
      </c>
      <c r="X147" s="543"/>
      <c r="Y147" s="543"/>
      <c r="Z147" s="543"/>
      <c r="AA147" s="543"/>
      <c r="AB147" s="543"/>
      <c r="AC147" s="543"/>
      <c r="AD147" s="571"/>
      <c r="AE147" s="601"/>
      <c r="AF147" s="571"/>
      <c r="AG147" s="571"/>
    </row>
    <row r="148" spans="1:33">
      <c r="A148" s="5" t="s">
        <v>861</v>
      </c>
      <c r="B148" s="5" t="s">
        <v>862</v>
      </c>
      <c r="C148" s="13"/>
      <c r="D148" s="13"/>
      <c r="E148" s="13"/>
      <c r="F148" s="13"/>
      <c r="G148" s="13" t="s">
        <v>18</v>
      </c>
      <c r="H148" s="7"/>
      <c r="I148" s="7"/>
      <c r="J148" s="7"/>
      <c r="L148" s="24" t="s">
        <v>551</v>
      </c>
      <c r="M148" s="25" t="s">
        <v>552</v>
      </c>
      <c r="N148" s="19"/>
      <c r="O148" s="19"/>
      <c r="P148" s="19"/>
      <c r="Q148" s="19"/>
      <c r="R148" s="19" t="s">
        <v>28</v>
      </c>
      <c r="T148" s="7">
        <v>1</v>
      </c>
      <c r="V148" s="123"/>
      <c r="W148" s="543"/>
      <c r="X148" s="543"/>
      <c r="Y148" s="543"/>
      <c r="Z148" s="543"/>
      <c r="AA148" s="543"/>
      <c r="AB148" s="543"/>
      <c r="AC148" s="543"/>
      <c r="AD148" s="571"/>
      <c r="AE148" s="601"/>
      <c r="AF148" s="571"/>
      <c r="AG148" s="571"/>
    </row>
    <row r="149" spans="1:33" ht="21">
      <c r="A149" s="5" t="s">
        <v>865</v>
      </c>
      <c r="B149" s="5" t="s">
        <v>866</v>
      </c>
      <c r="C149" s="13"/>
      <c r="D149" s="13"/>
      <c r="E149" s="13"/>
      <c r="F149" s="13"/>
      <c r="G149" s="13" t="s">
        <v>18</v>
      </c>
      <c r="H149" s="7"/>
      <c r="I149" s="7"/>
      <c r="J149" s="7"/>
      <c r="L149" s="24" t="s">
        <v>871</v>
      </c>
      <c r="M149" s="25" t="s">
        <v>872</v>
      </c>
      <c r="N149" s="19"/>
      <c r="O149" s="19"/>
      <c r="P149" s="19"/>
      <c r="Q149" s="19"/>
      <c r="R149" s="19" t="s">
        <v>18</v>
      </c>
      <c r="V149" s="123"/>
      <c r="W149" s="111" t="s">
        <v>4</v>
      </c>
      <c r="X149" s="111" t="s">
        <v>13</v>
      </c>
      <c r="Y149" s="108" t="s">
        <v>5</v>
      </c>
      <c r="Z149" s="11" t="s">
        <v>6</v>
      </c>
      <c r="AA149" s="11" t="s">
        <v>7</v>
      </c>
      <c r="AB149" s="11" t="s">
        <v>8</v>
      </c>
      <c r="AC149" s="11" t="s">
        <v>9</v>
      </c>
      <c r="AD149" s="11" t="s">
        <v>10</v>
      </c>
      <c r="AE149" s="303"/>
      <c r="AF149" s="24" t="s">
        <v>11</v>
      </c>
      <c r="AG149" s="24" t="s">
        <v>12</v>
      </c>
    </row>
    <row r="150" spans="1:33" ht="21">
      <c r="A150" s="5" t="s">
        <v>870</v>
      </c>
      <c r="B150" s="5" t="s">
        <v>843</v>
      </c>
      <c r="C150" s="13"/>
      <c r="D150" s="13"/>
      <c r="E150" s="13"/>
      <c r="F150" s="13"/>
      <c r="G150" s="13" t="s">
        <v>28</v>
      </c>
      <c r="H150" s="7"/>
      <c r="I150" s="7">
        <v>1</v>
      </c>
      <c r="J150" s="7"/>
      <c r="L150" s="24" t="s">
        <v>760</v>
      </c>
      <c r="M150" s="25" t="s">
        <v>761</v>
      </c>
      <c r="N150" s="19"/>
      <c r="O150" s="19"/>
      <c r="P150" s="19"/>
      <c r="Q150" s="19"/>
      <c r="R150" s="19" t="s">
        <v>1567</v>
      </c>
      <c r="S150" s="309" t="s">
        <v>3109</v>
      </c>
      <c r="T150" s="7">
        <v>1</v>
      </c>
      <c r="V150" s="123"/>
      <c r="W150" s="111" t="s">
        <v>867</v>
      </c>
      <c r="X150" s="111" t="s">
        <v>868</v>
      </c>
      <c r="Y150" s="307" t="s">
        <v>869</v>
      </c>
      <c r="Z150" s="19"/>
      <c r="AA150" s="19"/>
      <c r="AB150" s="19"/>
      <c r="AC150" s="19"/>
      <c r="AD150" s="19" t="s">
        <v>18</v>
      </c>
      <c r="AE150" s="303"/>
      <c r="AF150" s="303"/>
      <c r="AG150" s="303"/>
    </row>
    <row r="151" spans="1:33" ht="21">
      <c r="A151" s="5" t="s">
        <v>876</v>
      </c>
      <c r="B151" s="23" t="s">
        <v>877</v>
      </c>
      <c r="C151" s="13"/>
      <c r="D151" s="13"/>
      <c r="E151" s="13"/>
      <c r="F151" s="13"/>
      <c r="G151" s="13" t="s">
        <v>18</v>
      </c>
      <c r="H151" s="7"/>
      <c r="I151" s="7"/>
      <c r="J151" s="7"/>
      <c r="L151" s="24" t="s">
        <v>883</v>
      </c>
      <c r="M151" s="25" t="s">
        <v>884</v>
      </c>
      <c r="N151" s="19"/>
      <c r="O151" s="19"/>
      <c r="P151" s="19"/>
      <c r="Q151" s="19"/>
      <c r="R151" s="19" t="s">
        <v>18</v>
      </c>
      <c r="V151" s="123"/>
      <c r="W151" s="111" t="s">
        <v>873</v>
      </c>
      <c r="X151" s="111" t="s">
        <v>874</v>
      </c>
      <c r="Y151" s="307" t="s">
        <v>875</v>
      </c>
      <c r="Z151" s="19"/>
      <c r="AA151" s="19"/>
      <c r="AB151" s="19"/>
      <c r="AC151" s="19"/>
      <c r="AD151" s="19" t="s">
        <v>21</v>
      </c>
      <c r="AE151" s="303">
        <v>1</v>
      </c>
      <c r="AF151" s="303"/>
      <c r="AG151" s="303"/>
    </row>
    <row r="152" spans="1:33" ht="21">
      <c r="A152" s="5" t="s">
        <v>881</v>
      </c>
      <c r="B152" s="23" t="s">
        <v>882</v>
      </c>
      <c r="C152" s="13"/>
      <c r="D152" s="13"/>
      <c r="E152" s="13"/>
      <c r="F152" s="13"/>
      <c r="G152" s="13" t="s">
        <v>18</v>
      </c>
      <c r="H152" s="7"/>
      <c r="I152" s="7"/>
      <c r="J152" s="7"/>
      <c r="L152" s="24" t="s">
        <v>890</v>
      </c>
      <c r="M152" s="25" t="s">
        <v>891</v>
      </c>
      <c r="N152" s="19"/>
      <c r="O152" s="19"/>
      <c r="P152" s="19"/>
      <c r="Q152" s="19"/>
      <c r="R152" s="19" t="s">
        <v>18</v>
      </c>
      <c r="V152" s="123"/>
      <c r="W152" s="111" t="s">
        <v>878</v>
      </c>
      <c r="X152" s="111" t="s">
        <v>879</v>
      </c>
      <c r="Y152" s="307" t="s">
        <v>880</v>
      </c>
      <c r="Z152" s="19"/>
      <c r="AA152" s="19"/>
      <c r="AB152" s="19"/>
      <c r="AC152" s="19"/>
      <c r="AD152" s="19" t="s">
        <v>1562</v>
      </c>
      <c r="AE152" s="303"/>
      <c r="AF152" s="303" t="s">
        <v>3110</v>
      </c>
      <c r="AG152" s="303"/>
    </row>
    <row r="153" spans="1:33" ht="21">
      <c r="A153" s="5" t="s">
        <v>888</v>
      </c>
      <c r="B153" s="23" t="s">
        <v>889</v>
      </c>
      <c r="C153" s="13"/>
      <c r="D153" s="13"/>
      <c r="E153" s="13"/>
      <c r="F153" s="13"/>
      <c r="G153" s="13" t="s">
        <v>1562</v>
      </c>
      <c r="H153" s="7"/>
      <c r="I153" s="7"/>
      <c r="J153" s="7"/>
      <c r="L153" s="24" t="s">
        <v>750</v>
      </c>
      <c r="M153" s="25" t="s">
        <v>751</v>
      </c>
      <c r="N153" s="19"/>
      <c r="O153" s="19"/>
      <c r="P153" s="19"/>
      <c r="Q153" s="19"/>
      <c r="R153" s="19" t="s">
        <v>1567</v>
      </c>
      <c r="V153" s="123"/>
      <c r="W153" s="111" t="s">
        <v>885</v>
      </c>
      <c r="X153" s="111" t="s">
        <v>886</v>
      </c>
      <c r="Y153" s="307" t="s">
        <v>887</v>
      </c>
      <c r="Z153" s="19"/>
      <c r="AA153" s="19"/>
      <c r="AB153" s="19"/>
      <c r="AC153" s="19"/>
      <c r="AD153" s="19" t="s">
        <v>21</v>
      </c>
      <c r="AE153" s="303">
        <v>1</v>
      </c>
      <c r="AF153" s="303"/>
      <c r="AG153" s="303"/>
    </row>
    <row r="154" spans="1:33" ht="21">
      <c r="A154" s="5" t="s">
        <v>895</v>
      </c>
      <c r="B154" s="23" t="s">
        <v>849</v>
      </c>
      <c r="C154" s="13"/>
      <c r="D154" s="13"/>
      <c r="E154" s="13"/>
      <c r="F154" s="13"/>
      <c r="G154" s="13" t="s">
        <v>18</v>
      </c>
      <c r="H154" s="7" t="s">
        <v>3111</v>
      </c>
      <c r="I154" s="7"/>
      <c r="J154" s="7"/>
      <c r="L154" s="24" t="s">
        <v>900</v>
      </c>
      <c r="M154" s="25" t="s">
        <v>901</v>
      </c>
      <c r="N154" s="19"/>
      <c r="O154" s="19"/>
      <c r="P154" s="19"/>
      <c r="Q154" s="19"/>
      <c r="R154" s="19" t="s">
        <v>1567</v>
      </c>
      <c r="V154" s="123"/>
      <c r="W154" s="111" t="s">
        <v>892</v>
      </c>
      <c r="X154" s="111" t="s">
        <v>893</v>
      </c>
      <c r="Y154" s="307" t="s">
        <v>894</v>
      </c>
      <c r="Z154" s="19"/>
      <c r="AA154" s="19"/>
      <c r="AB154" s="19"/>
      <c r="AC154" s="19"/>
      <c r="AD154" s="19" t="s">
        <v>1567</v>
      </c>
      <c r="AE154" s="303">
        <v>1</v>
      </c>
      <c r="AF154" s="303"/>
      <c r="AG154" s="303"/>
    </row>
    <row r="155" spans="1:33" ht="21">
      <c r="A155" s="5" t="s">
        <v>898</v>
      </c>
      <c r="B155" s="23" t="s">
        <v>899</v>
      </c>
      <c r="C155" s="13"/>
      <c r="D155" s="13"/>
      <c r="E155" s="13"/>
      <c r="F155" s="13"/>
      <c r="G155" s="13" t="s">
        <v>18</v>
      </c>
      <c r="H155" s="7" t="s">
        <v>3112</v>
      </c>
      <c r="I155" s="7"/>
      <c r="J155" s="7"/>
      <c r="L155" s="24" t="s">
        <v>907</v>
      </c>
      <c r="M155" s="25" t="s">
        <v>908</v>
      </c>
      <c r="N155" s="19"/>
      <c r="O155" s="19"/>
      <c r="P155" s="19"/>
      <c r="Q155" s="19"/>
      <c r="R155" s="19" t="s">
        <v>18</v>
      </c>
      <c r="V155" s="123"/>
      <c r="W155" s="111" t="s">
        <v>896</v>
      </c>
      <c r="X155" s="111" t="s">
        <v>897</v>
      </c>
      <c r="Y155" s="307" t="s">
        <v>159</v>
      </c>
      <c r="Z155" s="19"/>
      <c r="AA155" s="19"/>
      <c r="AB155" s="19"/>
      <c r="AC155" s="19"/>
      <c r="AD155" s="19" t="s">
        <v>1567</v>
      </c>
      <c r="AE155" s="303"/>
      <c r="AF155" s="303" t="s">
        <v>3113</v>
      </c>
      <c r="AG155" s="303"/>
    </row>
    <row r="156" spans="1:33" ht="21">
      <c r="A156" s="5" t="s">
        <v>905</v>
      </c>
      <c r="B156" s="5" t="s">
        <v>906</v>
      </c>
      <c r="C156" s="13"/>
      <c r="D156" s="13"/>
      <c r="E156" s="13"/>
      <c r="F156" s="13"/>
      <c r="G156" s="13" t="s">
        <v>1562</v>
      </c>
      <c r="H156" s="7"/>
      <c r="I156" s="7"/>
      <c r="J156" s="7"/>
      <c r="L156" s="24" t="s">
        <v>914</v>
      </c>
      <c r="M156" s="25" t="s">
        <v>915</v>
      </c>
      <c r="N156" s="19"/>
      <c r="O156" s="19"/>
      <c r="P156" s="19"/>
      <c r="Q156" s="19"/>
      <c r="R156" s="19" t="s">
        <v>18</v>
      </c>
      <c r="V156" s="123"/>
      <c r="W156" s="111" t="s">
        <v>902</v>
      </c>
      <c r="X156" s="111" t="s">
        <v>903</v>
      </c>
      <c r="Y156" s="307" t="s">
        <v>904</v>
      </c>
      <c r="Z156" s="19"/>
      <c r="AA156" s="19"/>
      <c r="AB156" s="19"/>
      <c r="AC156" s="19"/>
      <c r="AD156" s="19" t="s">
        <v>1562</v>
      </c>
      <c r="AE156" s="303"/>
      <c r="AF156" s="303"/>
      <c r="AG156" s="303"/>
    </row>
    <row r="157" spans="1:33" ht="21">
      <c r="A157" s="5" t="s">
        <v>912</v>
      </c>
      <c r="B157" s="5" t="s">
        <v>913</v>
      </c>
      <c r="C157" s="13"/>
      <c r="D157" s="13"/>
      <c r="E157" s="13"/>
      <c r="F157" s="13"/>
      <c r="G157" s="13" t="s">
        <v>18</v>
      </c>
      <c r="H157" s="7" t="s">
        <v>3114</v>
      </c>
      <c r="I157" s="7"/>
      <c r="J157" s="7"/>
      <c r="L157" s="24" t="s">
        <v>515</v>
      </c>
      <c r="M157" s="25" t="s">
        <v>516</v>
      </c>
      <c r="N157" s="19"/>
      <c r="O157" s="19"/>
      <c r="P157" s="19"/>
      <c r="Q157" s="19"/>
      <c r="R157" s="19" t="s">
        <v>21</v>
      </c>
      <c r="S157" s="309" t="s">
        <v>3115</v>
      </c>
      <c r="T157" s="7">
        <v>3</v>
      </c>
      <c r="V157" s="123"/>
      <c r="W157" s="111" t="s">
        <v>909</v>
      </c>
      <c r="X157" s="111" t="s">
        <v>910</v>
      </c>
      <c r="Y157" s="307" t="s">
        <v>911</v>
      </c>
      <c r="Z157" s="19"/>
      <c r="AA157" s="19"/>
      <c r="AB157" s="19"/>
      <c r="AC157" s="19"/>
      <c r="AD157" s="19" t="s">
        <v>21</v>
      </c>
      <c r="AE157" s="303">
        <v>1</v>
      </c>
      <c r="AF157" s="303"/>
      <c r="AG157" s="303"/>
    </row>
    <row r="158" spans="1:33" ht="21">
      <c r="A158" s="5" t="s">
        <v>919</v>
      </c>
      <c r="B158" s="5" t="s">
        <v>920</v>
      </c>
      <c r="C158" s="13"/>
      <c r="D158" s="13"/>
      <c r="E158" s="13"/>
      <c r="F158" s="13"/>
      <c r="G158" s="13" t="s">
        <v>18</v>
      </c>
      <c r="H158" s="7"/>
      <c r="I158" s="7"/>
      <c r="J158" s="7"/>
      <c r="L158" s="24" t="s">
        <v>679</v>
      </c>
      <c r="M158" s="25" t="s">
        <v>680</v>
      </c>
      <c r="N158" s="19"/>
      <c r="O158" s="19"/>
      <c r="P158" s="19"/>
      <c r="Q158" s="19"/>
      <c r="R158" s="19" t="s">
        <v>18</v>
      </c>
      <c r="V158" s="123"/>
      <c r="W158" s="111" t="s">
        <v>916</v>
      </c>
      <c r="X158" s="111" t="s">
        <v>917</v>
      </c>
      <c r="Y158" s="307" t="s">
        <v>918</v>
      </c>
      <c r="Z158" s="19"/>
      <c r="AA158" s="19"/>
      <c r="AB158" s="19"/>
      <c r="AC158" s="19"/>
      <c r="AD158" s="19" t="s">
        <v>1562</v>
      </c>
      <c r="AE158" s="303"/>
      <c r="AF158" s="303"/>
      <c r="AG158" s="303"/>
    </row>
    <row r="159" spans="1:33" ht="21">
      <c r="A159" s="5" t="s">
        <v>924</v>
      </c>
      <c r="B159" s="5" t="s">
        <v>925</v>
      </c>
      <c r="C159" s="13"/>
      <c r="D159" s="13"/>
      <c r="E159" s="13"/>
      <c r="F159" s="13"/>
      <c r="G159" s="13" t="s">
        <v>1562</v>
      </c>
      <c r="H159" s="7" t="s">
        <v>3116</v>
      </c>
      <c r="I159" s="7"/>
      <c r="J159" s="7"/>
      <c r="L159" s="24" t="s">
        <v>611</v>
      </c>
      <c r="M159" s="25" t="s">
        <v>612</v>
      </c>
      <c r="N159" s="19"/>
      <c r="O159" s="19"/>
      <c r="P159" s="19"/>
      <c r="Q159" s="19"/>
      <c r="R159" s="19" t="s">
        <v>18</v>
      </c>
      <c r="V159" s="123"/>
      <c r="W159" s="111" t="s">
        <v>921</v>
      </c>
      <c r="X159" s="111" t="s">
        <v>922</v>
      </c>
      <c r="Y159" s="307" t="s">
        <v>923</v>
      </c>
      <c r="Z159" s="19"/>
      <c r="AA159" s="19"/>
      <c r="AB159" s="19"/>
      <c r="AC159" s="19"/>
      <c r="AD159" s="19" t="s">
        <v>1567</v>
      </c>
      <c r="AE159" s="303">
        <v>1</v>
      </c>
      <c r="AF159" s="303"/>
      <c r="AG159" s="303"/>
    </row>
    <row r="160" spans="1:33" ht="21">
      <c r="A160" s="5" t="s">
        <v>929</v>
      </c>
      <c r="B160" s="5" t="s">
        <v>930</v>
      </c>
      <c r="C160" s="13"/>
      <c r="D160" s="13"/>
      <c r="E160" s="13"/>
      <c r="F160" s="13"/>
      <c r="G160" s="13" t="s">
        <v>1567</v>
      </c>
      <c r="H160" s="7" t="s">
        <v>3117</v>
      </c>
      <c r="I160" s="7"/>
      <c r="J160" s="7"/>
      <c r="L160" s="24" t="s">
        <v>713</v>
      </c>
      <c r="M160" s="25" t="s">
        <v>714</v>
      </c>
      <c r="N160" s="19"/>
      <c r="O160" s="19"/>
      <c r="P160" s="19"/>
      <c r="Q160" s="19"/>
      <c r="R160" s="19" t="s">
        <v>21</v>
      </c>
      <c r="T160" s="7">
        <v>1</v>
      </c>
      <c r="V160" s="123"/>
      <c r="W160" s="111" t="s">
        <v>926</v>
      </c>
      <c r="X160" s="111" t="s">
        <v>927</v>
      </c>
      <c r="Y160" s="307" t="s">
        <v>928</v>
      </c>
      <c r="Z160" s="19"/>
      <c r="AA160" s="19"/>
      <c r="AB160" s="19"/>
      <c r="AC160" s="19"/>
      <c r="AD160" s="19" t="s">
        <v>1567</v>
      </c>
      <c r="AE160" s="303"/>
      <c r="AF160" s="303" t="s">
        <v>3118</v>
      </c>
      <c r="AG160" s="303"/>
    </row>
    <row r="161" spans="1:33" ht="21">
      <c r="A161" s="5" t="s">
        <v>934</v>
      </c>
      <c r="B161" s="5" t="s">
        <v>522</v>
      </c>
      <c r="C161" s="13"/>
      <c r="D161" s="13"/>
      <c r="E161" s="13"/>
      <c r="F161" s="13"/>
      <c r="G161" s="13" t="s">
        <v>21</v>
      </c>
      <c r="H161" s="7" t="s">
        <v>3119</v>
      </c>
      <c r="I161" s="7">
        <v>1</v>
      </c>
      <c r="J161" s="7"/>
      <c r="L161" s="24" t="s">
        <v>938</v>
      </c>
      <c r="M161" s="25" t="s">
        <v>939</v>
      </c>
      <c r="N161" s="19"/>
      <c r="O161" s="19"/>
      <c r="P161" s="19"/>
      <c r="Q161" s="19"/>
      <c r="R161" s="19" t="s">
        <v>18</v>
      </c>
      <c r="V161" s="123"/>
      <c r="W161" s="111" t="s">
        <v>931</v>
      </c>
      <c r="X161" s="111" t="s">
        <v>932</v>
      </c>
      <c r="Y161" s="307" t="s">
        <v>933</v>
      </c>
      <c r="Z161" s="19"/>
      <c r="AA161" s="19"/>
      <c r="AB161" s="19"/>
      <c r="AC161" s="19"/>
      <c r="AD161" s="19" t="s">
        <v>18</v>
      </c>
      <c r="AE161" s="303"/>
      <c r="AF161" s="303"/>
      <c r="AG161" s="303"/>
    </row>
    <row r="162" spans="1:33" ht="21">
      <c r="A162" s="5" t="s">
        <v>937</v>
      </c>
      <c r="B162" s="5" t="s">
        <v>547</v>
      </c>
      <c r="C162" s="13"/>
      <c r="D162" s="13"/>
      <c r="E162" s="13"/>
      <c r="F162" s="13"/>
      <c r="G162" s="13" t="s">
        <v>21</v>
      </c>
      <c r="H162" s="7" t="s">
        <v>3120</v>
      </c>
      <c r="I162" s="7">
        <v>1</v>
      </c>
      <c r="J162" s="7"/>
      <c r="L162" s="24" t="s">
        <v>945</v>
      </c>
      <c r="M162" s="25" t="s">
        <v>946</v>
      </c>
      <c r="N162" s="19"/>
      <c r="O162" s="19"/>
      <c r="P162" s="19"/>
      <c r="Q162" s="19"/>
      <c r="R162" s="19" t="s">
        <v>21</v>
      </c>
      <c r="S162" s="309" t="s">
        <v>3121</v>
      </c>
      <c r="T162" s="7" t="s">
        <v>3016</v>
      </c>
      <c r="V162" s="123"/>
      <c r="W162" s="111" t="s">
        <v>935</v>
      </c>
      <c r="X162" s="111" t="s">
        <v>936</v>
      </c>
      <c r="Y162" s="307" t="s">
        <v>33</v>
      </c>
      <c r="Z162" s="19"/>
      <c r="AA162" s="19"/>
      <c r="AB162" s="19"/>
      <c r="AC162" s="19"/>
      <c r="AD162" s="19" t="s">
        <v>28</v>
      </c>
      <c r="AE162" s="303">
        <v>1</v>
      </c>
      <c r="AF162" s="303" t="s">
        <v>3122</v>
      </c>
      <c r="AG162" s="303"/>
    </row>
    <row r="163" spans="1:33" ht="21">
      <c r="A163" s="5" t="s">
        <v>943</v>
      </c>
      <c r="B163" s="5" t="s">
        <v>944</v>
      </c>
      <c r="C163" s="13"/>
      <c r="D163" s="13"/>
      <c r="E163" s="13"/>
      <c r="F163" s="13"/>
      <c r="G163" s="13" t="s">
        <v>18</v>
      </c>
      <c r="H163" s="7"/>
      <c r="I163" s="7"/>
      <c r="J163" s="7"/>
      <c r="L163" s="24" t="s">
        <v>952</v>
      </c>
      <c r="M163" s="25" t="s">
        <v>953</v>
      </c>
      <c r="N163" s="19"/>
      <c r="O163" s="19"/>
      <c r="P163" s="19"/>
      <c r="Q163" s="19"/>
      <c r="R163" s="19" t="s">
        <v>18</v>
      </c>
      <c r="V163" s="123"/>
      <c r="W163" s="111" t="s">
        <v>940</v>
      </c>
      <c r="X163" s="111" t="s">
        <v>941</v>
      </c>
      <c r="Y163" s="307" t="s">
        <v>942</v>
      </c>
      <c r="Z163" s="19"/>
      <c r="AA163" s="19"/>
      <c r="AB163" s="19"/>
      <c r="AC163" s="19"/>
      <c r="AD163" s="19" t="s">
        <v>17</v>
      </c>
      <c r="AE163" s="303">
        <v>3</v>
      </c>
      <c r="AF163" s="303" t="s">
        <v>3123</v>
      </c>
      <c r="AG163" s="303"/>
    </row>
    <row r="164" spans="1:33" ht="21">
      <c r="A164" s="5" t="s">
        <v>950</v>
      </c>
      <c r="B164" s="5" t="s">
        <v>951</v>
      </c>
      <c r="C164" s="13"/>
      <c r="D164" s="13"/>
      <c r="E164" s="13"/>
      <c r="F164" s="13"/>
      <c r="G164" s="13" t="s">
        <v>1562</v>
      </c>
      <c r="H164" s="7"/>
      <c r="I164" s="7"/>
      <c r="J164" s="7"/>
      <c r="L164" s="24" t="s">
        <v>959</v>
      </c>
      <c r="M164" s="25" t="s">
        <v>960</v>
      </c>
      <c r="N164" s="19"/>
      <c r="O164" s="19"/>
      <c r="P164" s="19"/>
      <c r="Q164" s="19"/>
      <c r="R164" s="19" t="s">
        <v>18</v>
      </c>
      <c r="V164" s="123"/>
      <c r="W164" s="111" t="s">
        <v>947</v>
      </c>
      <c r="X164" s="111" t="s">
        <v>948</v>
      </c>
      <c r="Y164" s="307" t="s">
        <v>949</v>
      </c>
      <c r="Z164" s="19"/>
      <c r="AA164" s="19"/>
      <c r="AB164" s="19"/>
      <c r="AC164" s="19"/>
      <c r="AD164" s="19" t="s">
        <v>1562</v>
      </c>
      <c r="AE164" s="303"/>
      <c r="AF164" s="303"/>
      <c r="AG164" s="303"/>
    </row>
    <row r="165" spans="1:33" ht="21">
      <c r="A165" s="5" t="s">
        <v>957</v>
      </c>
      <c r="B165" s="5" t="s">
        <v>958</v>
      </c>
      <c r="C165" s="13"/>
      <c r="D165" s="13"/>
      <c r="E165" s="13"/>
      <c r="F165" s="13"/>
      <c r="G165" s="13" t="s">
        <v>1562</v>
      </c>
      <c r="H165" s="7" t="s">
        <v>3124</v>
      </c>
      <c r="I165" s="7"/>
      <c r="J165" s="7"/>
      <c r="L165" s="24" t="s">
        <v>966</v>
      </c>
      <c r="M165" s="25" t="s">
        <v>967</v>
      </c>
      <c r="N165" s="19"/>
      <c r="O165" s="19"/>
      <c r="P165" s="19"/>
      <c r="Q165" s="19"/>
      <c r="R165" s="19" t="s">
        <v>18</v>
      </c>
      <c r="V165" s="123"/>
      <c r="W165" s="111" t="s">
        <v>954</v>
      </c>
      <c r="X165" s="111" t="s">
        <v>955</v>
      </c>
      <c r="Y165" s="307" t="s">
        <v>956</v>
      </c>
      <c r="Z165" s="19"/>
      <c r="AA165" s="19"/>
      <c r="AB165" s="19"/>
      <c r="AC165" s="19"/>
      <c r="AD165" s="19" t="s">
        <v>1567</v>
      </c>
      <c r="AE165" s="303">
        <v>1</v>
      </c>
      <c r="AF165" s="303"/>
      <c r="AG165" s="303"/>
    </row>
    <row r="166" spans="1:33" ht="21">
      <c r="A166" s="5" t="s">
        <v>964</v>
      </c>
      <c r="B166" s="5" t="s">
        <v>965</v>
      </c>
      <c r="C166" s="13"/>
      <c r="D166" s="13"/>
      <c r="E166" s="13"/>
      <c r="F166" s="13"/>
      <c r="G166" s="13" t="s">
        <v>1567</v>
      </c>
      <c r="H166" s="7"/>
      <c r="I166" s="7"/>
      <c r="J166" s="7"/>
      <c r="L166" s="24" t="s">
        <v>649</v>
      </c>
      <c r="M166" s="25" t="s">
        <v>650</v>
      </c>
      <c r="N166" s="19"/>
      <c r="O166" s="19"/>
      <c r="P166" s="19"/>
      <c r="Q166" s="19"/>
      <c r="R166" s="19" t="s">
        <v>18</v>
      </c>
      <c r="V166" s="123"/>
      <c r="W166" s="111" t="s">
        <v>961</v>
      </c>
      <c r="X166" s="111" t="s">
        <v>962</v>
      </c>
      <c r="Y166" s="307" t="s">
        <v>963</v>
      </c>
      <c r="Z166" s="19"/>
      <c r="AA166" s="19"/>
      <c r="AB166" s="19"/>
      <c r="AC166" s="19"/>
      <c r="AD166" s="19" t="s">
        <v>18</v>
      </c>
      <c r="AE166" s="303"/>
      <c r="AF166" s="303"/>
      <c r="AG166" s="303"/>
    </row>
    <row r="167" spans="1:33" ht="21">
      <c r="A167" s="5" t="s">
        <v>971</v>
      </c>
      <c r="B167" s="23" t="s">
        <v>972</v>
      </c>
      <c r="C167" s="13"/>
      <c r="D167" s="13"/>
      <c r="E167" s="13"/>
      <c r="F167" s="13"/>
      <c r="G167" s="13" t="s">
        <v>18</v>
      </c>
      <c r="H167" s="7" t="s">
        <v>3125</v>
      </c>
      <c r="I167" s="7">
        <v>1</v>
      </c>
      <c r="J167" s="7"/>
      <c r="L167" s="24" t="s">
        <v>631</v>
      </c>
      <c r="M167" s="35" t="s">
        <v>632</v>
      </c>
      <c r="N167" s="19"/>
      <c r="O167" s="19"/>
      <c r="P167" s="19"/>
      <c r="Q167" s="19"/>
      <c r="R167" s="19" t="s">
        <v>21</v>
      </c>
      <c r="T167" s="7">
        <v>1</v>
      </c>
      <c r="V167" s="123"/>
      <c r="W167" s="111" t="s">
        <v>968</v>
      </c>
      <c r="X167" s="111" t="s">
        <v>969</v>
      </c>
      <c r="Y167" s="307" t="s">
        <v>970</v>
      </c>
      <c r="Z167" s="19"/>
      <c r="AA167" s="19"/>
      <c r="AB167" s="19"/>
      <c r="AC167" s="19"/>
      <c r="AD167" s="19" t="s">
        <v>18</v>
      </c>
      <c r="AE167" s="303"/>
      <c r="AF167" s="303" t="s">
        <v>3126</v>
      </c>
      <c r="AG167" s="303"/>
    </row>
    <row r="168" spans="1:33" ht="21">
      <c r="A168" s="5" t="s">
        <v>976</v>
      </c>
      <c r="B168" s="5" t="s">
        <v>977</v>
      </c>
      <c r="C168" s="13"/>
      <c r="D168" s="13"/>
      <c r="E168" s="13"/>
      <c r="F168" s="13"/>
      <c r="G168" s="13" t="s">
        <v>1562</v>
      </c>
      <c r="H168" s="7"/>
      <c r="I168" s="7"/>
      <c r="J168" s="7"/>
      <c r="L168" s="24" t="s">
        <v>982</v>
      </c>
      <c r="M168" s="25" t="s">
        <v>983</v>
      </c>
      <c r="N168" s="19"/>
      <c r="O168" s="19"/>
      <c r="P168" s="19"/>
      <c r="Q168" s="19"/>
      <c r="R168" s="19" t="s">
        <v>18</v>
      </c>
      <c r="V168" s="123"/>
      <c r="W168" s="111" t="s">
        <v>973</v>
      </c>
      <c r="X168" s="111" t="s">
        <v>974</v>
      </c>
      <c r="Y168" s="307" t="s">
        <v>975</v>
      </c>
      <c r="Z168" s="19"/>
      <c r="AA168" s="19"/>
      <c r="AB168" s="19"/>
      <c r="AC168" s="19"/>
      <c r="AD168" s="19" t="s">
        <v>17</v>
      </c>
      <c r="AE168" s="303">
        <v>3</v>
      </c>
      <c r="AF168" s="303" t="s">
        <v>3127</v>
      </c>
      <c r="AG168" s="303"/>
    </row>
    <row r="169" spans="1:33" ht="21">
      <c r="A169" s="5" t="s">
        <v>981</v>
      </c>
      <c r="B169" s="23" t="s">
        <v>624</v>
      </c>
      <c r="C169" s="13"/>
      <c r="D169" s="13"/>
      <c r="E169" s="13"/>
      <c r="F169" s="13"/>
      <c r="G169" s="13" t="s">
        <v>21</v>
      </c>
      <c r="H169" s="7" t="s">
        <v>3128</v>
      </c>
      <c r="I169" s="7">
        <v>3</v>
      </c>
      <c r="J169" s="7"/>
      <c r="L169" s="24" t="s">
        <v>765</v>
      </c>
      <c r="M169" s="25" t="s">
        <v>766</v>
      </c>
      <c r="N169" s="19"/>
      <c r="O169" s="19"/>
      <c r="P169" s="19"/>
      <c r="Q169" s="19"/>
      <c r="R169" s="19" t="s">
        <v>21</v>
      </c>
      <c r="T169" s="7">
        <v>1</v>
      </c>
      <c r="V169" s="123"/>
      <c r="W169" s="111" t="s">
        <v>978</v>
      </c>
      <c r="X169" s="111" t="s">
        <v>979</v>
      </c>
      <c r="Y169" s="307" t="s">
        <v>980</v>
      </c>
      <c r="Z169" s="19"/>
      <c r="AA169" s="19"/>
      <c r="AB169" s="19"/>
      <c r="AC169" s="19"/>
      <c r="AD169" s="19" t="s">
        <v>18</v>
      </c>
      <c r="AE169" s="303"/>
      <c r="AF169" s="303"/>
      <c r="AG169" s="303"/>
    </row>
    <row r="170" spans="1:33" ht="21">
      <c r="A170" s="5" t="s">
        <v>986</v>
      </c>
      <c r="B170" s="23" t="s">
        <v>657</v>
      </c>
      <c r="C170" s="13"/>
      <c r="D170" s="13"/>
      <c r="E170" s="13"/>
      <c r="F170" s="13"/>
      <c r="G170" s="13" t="s">
        <v>17</v>
      </c>
      <c r="H170" s="7">
        <v>3</v>
      </c>
      <c r="I170" s="7">
        <v>3</v>
      </c>
      <c r="J170" s="7"/>
      <c r="L170" s="24" t="s">
        <v>991</v>
      </c>
      <c r="M170" s="25" t="s">
        <v>992</v>
      </c>
      <c r="N170" s="19"/>
      <c r="O170" s="19"/>
      <c r="P170" s="19"/>
      <c r="Q170" s="19"/>
      <c r="R170" s="19" t="s">
        <v>18</v>
      </c>
      <c r="T170" s="309" t="s">
        <v>1554</v>
      </c>
      <c r="V170" s="123"/>
      <c r="W170" s="111" t="s">
        <v>984</v>
      </c>
      <c r="X170" s="111" t="s">
        <v>985</v>
      </c>
      <c r="Y170" s="307" t="s">
        <v>151</v>
      </c>
      <c r="Z170" s="19"/>
      <c r="AA170" s="19"/>
      <c r="AB170" s="19"/>
      <c r="AC170" s="19"/>
      <c r="AD170" s="19" t="s">
        <v>17</v>
      </c>
      <c r="AE170" s="303">
        <v>3</v>
      </c>
      <c r="AF170" s="303" t="s">
        <v>3129</v>
      </c>
      <c r="AG170" s="303"/>
    </row>
    <row r="171" spans="1:33" ht="21">
      <c r="A171" s="5" t="s">
        <v>990</v>
      </c>
      <c r="B171" s="23" t="s">
        <v>836</v>
      </c>
      <c r="C171" s="13"/>
      <c r="D171" s="13"/>
      <c r="E171" s="13"/>
      <c r="F171" s="13"/>
      <c r="G171" s="13" t="s">
        <v>21</v>
      </c>
      <c r="H171" s="7" t="s">
        <v>3130</v>
      </c>
      <c r="I171" s="7">
        <v>3</v>
      </c>
      <c r="J171" s="7"/>
      <c r="L171" s="24" t="s">
        <v>997</v>
      </c>
      <c r="M171" s="25" t="s">
        <v>998</v>
      </c>
      <c r="N171" s="19"/>
      <c r="O171" s="19"/>
      <c r="P171" s="19"/>
      <c r="Q171" s="19"/>
      <c r="R171" s="19" t="s">
        <v>18</v>
      </c>
      <c r="V171" s="123"/>
      <c r="W171" s="111" t="s">
        <v>987</v>
      </c>
      <c r="X171" s="111" t="s">
        <v>988</v>
      </c>
      <c r="Y171" s="307" t="s">
        <v>989</v>
      </c>
      <c r="Z171" s="19"/>
      <c r="AA171" s="19"/>
      <c r="AB171" s="19"/>
      <c r="AC171" s="19"/>
      <c r="AD171" s="19" t="s">
        <v>18</v>
      </c>
      <c r="AE171" s="303"/>
      <c r="AF171" s="303"/>
      <c r="AG171" s="303"/>
    </row>
    <row r="172" spans="1:33" ht="21">
      <c r="A172" s="5" t="s">
        <v>996</v>
      </c>
      <c r="B172" s="5" t="s">
        <v>806</v>
      </c>
      <c r="C172" s="13"/>
      <c r="D172" s="13"/>
      <c r="E172" s="13"/>
      <c r="F172" s="13"/>
      <c r="G172" s="13" t="s">
        <v>18</v>
      </c>
      <c r="H172" s="7"/>
      <c r="I172" s="7"/>
      <c r="J172" s="7"/>
      <c r="L172" s="24" t="s">
        <v>1004</v>
      </c>
      <c r="M172" s="25" t="s">
        <v>1005</v>
      </c>
      <c r="N172" s="19"/>
      <c r="O172" s="19"/>
      <c r="P172" s="19"/>
      <c r="Q172" s="19"/>
      <c r="R172" s="19" t="s">
        <v>18</v>
      </c>
      <c r="V172" s="123"/>
      <c r="W172" s="111" t="s">
        <v>993</v>
      </c>
      <c r="X172" s="111" t="s">
        <v>994</v>
      </c>
      <c r="Y172" s="307" t="s">
        <v>995</v>
      </c>
      <c r="Z172" s="19"/>
      <c r="AA172" s="19"/>
      <c r="AB172" s="19"/>
      <c r="AC172" s="19"/>
      <c r="AD172" s="19" t="s">
        <v>1567</v>
      </c>
      <c r="AE172" s="303"/>
      <c r="AF172" s="303"/>
      <c r="AG172" s="303"/>
    </row>
    <row r="173" spans="1:33" ht="21">
      <c r="A173" s="5" t="s">
        <v>1002</v>
      </c>
      <c r="B173" s="23" t="s">
        <v>1003</v>
      </c>
      <c r="C173" s="13"/>
      <c r="D173" s="13"/>
      <c r="E173" s="13"/>
      <c r="F173" s="13"/>
      <c r="G173" s="13" t="s">
        <v>1567</v>
      </c>
      <c r="H173" s="7"/>
      <c r="I173" s="7"/>
      <c r="J173" s="7"/>
      <c r="L173" s="24" t="s">
        <v>830</v>
      </c>
      <c r="M173" s="25" t="s">
        <v>831</v>
      </c>
      <c r="N173" s="19"/>
      <c r="O173" s="19"/>
      <c r="P173" s="19"/>
      <c r="Q173" s="19"/>
      <c r="R173" s="19" t="s">
        <v>21</v>
      </c>
      <c r="S173" s="309"/>
      <c r="T173" s="7">
        <v>1</v>
      </c>
      <c r="V173" s="123"/>
      <c r="W173" s="111" t="s">
        <v>999</v>
      </c>
      <c r="X173" s="111" t="s">
        <v>1000</v>
      </c>
      <c r="Y173" s="307" t="s">
        <v>1001</v>
      </c>
      <c r="Z173" s="19"/>
      <c r="AA173" s="19"/>
      <c r="AB173" s="19"/>
      <c r="AC173" s="19"/>
      <c r="AD173" s="19" t="s">
        <v>18</v>
      </c>
      <c r="AE173" s="303"/>
      <c r="AF173" s="303"/>
      <c r="AG173" s="303"/>
    </row>
    <row r="174" spans="1:33" ht="21">
      <c r="A174" s="5" t="s">
        <v>1009</v>
      </c>
      <c r="B174" s="5" t="s">
        <v>795</v>
      </c>
      <c r="C174" s="13"/>
      <c r="D174" s="13"/>
      <c r="E174" s="13"/>
      <c r="F174" s="13"/>
      <c r="G174" s="13" t="s">
        <v>1567</v>
      </c>
      <c r="H174" s="7"/>
      <c r="I174" s="7"/>
      <c r="J174" s="7"/>
      <c r="L174" s="24" t="s">
        <v>789</v>
      </c>
      <c r="M174" s="25" t="s">
        <v>790</v>
      </c>
      <c r="N174" s="19"/>
      <c r="O174" s="19"/>
      <c r="P174" s="19"/>
      <c r="Q174" s="19"/>
      <c r="R174" s="19" t="s">
        <v>18</v>
      </c>
      <c r="S174" s="309" t="s">
        <v>3131</v>
      </c>
      <c r="V174" s="123"/>
      <c r="W174" s="111" t="s">
        <v>1006</v>
      </c>
      <c r="X174" s="111" t="s">
        <v>1007</v>
      </c>
      <c r="Y174" s="307" t="s">
        <v>1008</v>
      </c>
      <c r="Z174" s="19"/>
      <c r="AA174" s="19"/>
      <c r="AB174" s="19"/>
      <c r="AC174" s="19"/>
      <c r="AD174" s="19" t="s">
        <v>1574</v>
      </c>
      <c r="AE174" s="303"/>
      <c r="AF174" s="303"/>
      <c r="AG174" s="303"/>
    </row>
    <row r="175" spans="1:33" ht="21">
      <c r="A175" s="5" t="s">
        <v>1013</v>
      </c>
      <c r="B175" s="23" t="s">
        <v>1014</v>
      </c>
      <c r="C175" s="13"/>
      <c r="D175" s="13"/>
      <c r="E175" s="13"/>
      <c r="F175" s="13"/>
      <c r="G175" s="13" t="s">
        <v>1562</v>
      </c>
      <c r="H175" s="7"/>
      <c r="I175" s="7"/>
      <c r="J175" s="7"/>
      <c r="L175" s="24" t="s">
        <v>527</v>
      </c>
      <c r="M175" s="25" t="s">
        <v>528</v>
      </c>
      <c r="N175" s="19"/>
      <c r="O175" s="19"/>
      <c r="P175" s="19"/>
      <c r="Q175" s="19"/>
      <c r="R175" s="19" t="s">
        <v>28</v>
      </c>
      <c r="T175" s="7">
        <v>3</v>
      </c>
      <c r="V175" s="123"/>
      <c r="W175" s="111" t="s">
        <v>1010</v>
      </c>
      <c r="X175" s="111" t="s">
        <v>1011</v>
      </c>
      <c r="Y175" s="307" t="s">
        <v>1012</v>
      </c>
      <c r="Z175" s="19"/>
      <c r="AA175" s="19"/>
      <c r="AB175" s="19"/>
      <c r="AC175" s="19"/>
      <c r="AD175" s="19" t="s">
        <v>28</v>
      </c>
      <c r="AE175" s="303">
        <v>3</v>
      </c>
      <c r="AF175" s="303" t="s">
        <v>3132</v>
      </c>
      <c r="AG175" s="303"/>
    </row>
    <row r="176" spans="1:33" ht="21">
      <c r="A176" s="5" t="s">
        <v>1018</v>
      </c>
      <c r="B176" s="5" t="s">
        <v>1019</v>
      </c>
      <c r="C176" s="13"/>
      <c r="D176" s="13"/>
      <c r="E176" s="13"/>
      <c r="F176" s="13"/>
      <c r="G176" s="13" t="s">
        <v>18</v>
      </c>
      <c r="H176" s="7"/>
      <c r="I176" s="7"/>
      <c r="J176" s="7"/>
      <c r="L176" s="24" t="s">
        <v>1024</v>
      </c>
      <c r="M176" s="25" t="s">
        <v>1025</v>
      </c>
      <c r="N176" s="19"/>
      <c r="O176" s="19"/>
      <c r="P176" s="19"/>
      <c r="Q176" s="19"/>
      <c r="R176" s="19" t="s">
        <v>18</v>
      </c>
      <c r="V176" s="123"/>
      <c r="W176" s="111" t="s">
        <v>1015</v>
      </c>
      <c r="X176" s="111" t="s">
        <v>1016</v>
      </c>
      <c r="Y176" s="307" t="s">
        <v>1017</v>
      </c>
      <c r="Z176" s="19"/>
      <c r="AA176" s="19"/>
      <c r="AB176" s="19"/>
      <c r="AC176" s="19"/>
      <c r="AD176" s="19" t="s">
        <v>1567</v>
      </c>
      <c r="AE176" s="303"/>
      <c r="AF176" s="303"/>
      <c r="AG176" s="303"/>
    </row>
    <row r="177" spans="1:33" ht="21">
      <c r="A177" s="5" t="s">
        <v>1023</v>
      </c>
      <c r="B177" s="5" t="s">
        <v>540</v>
      </c>
      <c r="C177" s="13"/>
      <c r="D177" s="13"/>
      <c r="E177" s="13"/>
      <c r="F177" s="13"/>
      <c r="G177" s="13" t="s">
        <v>18</v>
      </c>
      <c r="H177" s="7"/>
      <c r="I177" s="7"/>
      <c r="J177" s="7"/>
      <c r="L177" s="24" t="s">
        <v>1031</v>
      </c>
      <c r="M177" s="25" t="s">
        <v>1032</v>
      </c>
      <c r="N177" s="19"/>
      <c r="O177" s="19"/>
      <c r="P177" s="19"/>
      <c r="Q177" s="19"/>
      <c r="R177" s="19" t="s">
        <v>18</v>
      </c>
      <c r="V177" s="123"/>
      <c r="W177" s="111" t="s">
        <v>1020</v>
      </c>
      <c r="X177" s="111" t="s">
        <v>1021</v>
      </c>
      <c r="Y177" s="307" t="s">
        <v>1022</v>
      </c>
      <c r="Z177" s="19"/>
      <c r="AA177" s="19"/>
      <c r="AB177" s="19"/>
      <c r="AC177" s="19"/>
      <c r="AD177" s="19" t="s">
        <v>28</v>
      </c>
      <c r="AE177" s="303">
        <v>1</v>
      </c>
      <c r="AF177" s="303"/>
      <c r="AG177" s="303"/>
    </row>
    <row r="178" spans="1:33" ht="21">
      <c r="A178" s="5" t="s">
        <v>1029</v>
      </c>
      <c r="B178" s="5" t="s">
        <v>1030</v>
      </c>
      <c r="C178" s="13"/>
      <c r="D178" s="13"/>
      <c r="E178" s="13"/>
      <c r="F178" s="13"/>
      <c r="G178" s="13" t="s">
        <v>1562</v>
      </c>
      <c r="H178" s="7"/>
      <c r="I178" s="7"/>
      <c r="J178" s="7"/>
      <c r="L178" s="24" t="s">
        <v>816</v>
      </c>
      <c r="M178" s="25" t="s">
        <v>817</v>
      </c>
      <c r="N178" s="19"/>
      <c r="O178" s="19"/>
      <c r="P178" s="19"/>
      <c r="Q178" s="19"/>
      <c r="R178" s="19" t="s">
        <v>18</v>
      </c>
      <c r="V178" s="123"/>
      <c r="W178" s="111" t="s">
        <v>1026</v>
      </c>
      <c r="X178" s="111" t="s">
        <v>1027</v>
      </c>
      <c r="Y178" s="307" t="s">
        <v>1028</v>
      </c>
      <c r="Z178" s="19"/>
      <c r="AA178" s="19"/>
      <c r="AB178" s="19"/>
      <c r="AC178" s="19"/>
      <c r="AD178" s="19" t="s">
        <v>18</v>
      </c>
      <c r="AE178" s="303"/>
      <c r="AF178" s="303"/>
      <c r="AG178" s="303"/>
    </row>
    <row r="179" spans="1:33" ht="39" customHeight="1">
      <c r="A179" s="540" t="s">
        <v>1034</v>
      </c>
      <c r="B179" s="543"/>
      <c r="C179" s="543"/>
      <c r="D179" s="543"/>
      <c r="E179" s="543"/>
      <c r="F179" s="543"/>
      <c r="G179" s="543"/>
      <c r="H179" s="543"/>
      <c r="I179" s="4"/>
      <c r="J179" s="4"/>
      <c r="L179" s="24" t="s">
        <v>1035</v>
      </c>
      <c r="M179" s="25" t="s">
        <v>1036</v>
      </c>
      <c r="N179" s="19"/>
      <c r="O179" s="19"/>
      <c r="P179" s="19"/>
      <c r="Q179" s="19"/>
      <c r="R179" s="19" t="s">
        <v>18</v>
      </c>
      <c r="V179" s="123"/>
      <c r="W179" s="602" t="s">
        <v>1033</v>
      </c>
      <c r="X179" s="543"/>
      <c r="Y179" s="543"/>
      <c r="Z179" s="543"/>
      <c r="AA179" s="543"/>
      <c r="AB179" s="543"/>
      <c r="AC179" s="543"/>
      <c r="AD179" s="571"/>
      <c r="AE179" s="601"/>
      <c r="AF179" s="571"/>
      <c r="AG179" s="571"/>
    </row>
    <row r="180" spans="1:33">
      <c r="A180" s="5" t="s">
        <v>4</v>
      </c>
      <c r="B180" s="6" t="s">
        <v>5</v>
      </c>
      <c r="C180" s="7" t="s">
        <v>6</v>
      </c>
      <c r="D180" s="7" t="s">
        <v>7</v>
      </c>
      <c r="E180" s="7" t="s">
        <v>8</v>
      </c>
      <c r="F180" s="7" t="s">
        <v>9</v>
      </c>
      <c r="G180" s="7" t="s">
        <v>10</v>
      </c>
      <c r="H180" s="7" t="s">
        <v>11</v>
      </c>
      <c r="I180" s="7"/>
      <c r="J180" s="7"/>
      <c r="L180" s="24" t="s">
        <v>672</v>
      </c>
      <c r="M180" s="25" t="s">
        <v>673</v>
      </c>
      <c r="N180" s="19"/>
      <c r="O180" s="19"/>
      <c r="P180" s="19"/>
      <c r="Q180" s="19"/>
      <c r="R180" s="19" t="s">
        <v>18</v>
      </c>
      <c r="V180" s="123"/>
      <c r="W180" s="543"/>
      <c r="X180" s="543"/>
      <c r="Y180" s="543"/>
      <c r="Z180" s="543"/>
      <c r="AA180" s="543"/>
      <c r="AB180" s="543"/>
      <c r="AC180" s="543"/>
      <c r="AD180" s="571"/>
      <c r="AE180" s="601"/>
      <c r="AF180" s="571"/>
      <c r="AG180" s="571"/>
    </row>
    <row r="181" spans="1:33" ht="21">
      <c r="A181" s="5" t="s">
        <v>1040</v>
      </c>
      <c r="B181" s="5" t="s">
        <v>1041</v>
      </c>
      <c r="C181" s="13"/>
      <c r="D181" s="13"/>
      <c r="E181" s="13"/>
      <c r="F181" s="13"/>
      <c r="G181" s="13" t="s">
        <v>1562</v>
      </c>
      <c r="H181" s="7"/>
      <c r="I181" s="7"/>
      <c r="J181" s="7"/>
      <c r="L181" s="24" t="s">
        <v>706</v>
      </c>
      <c r="M181" s="25" t="s">
        <v>707</v>
      </c>
      <c r="N181" s="19"/>
      <c r="O181" s="19"/>
      <c r="P181" s="19"/>
      <c r="Q181" s="19"/>
      <c r="R181" s="19" t="s">
        <v>21</v>
      </c>
      <c r="T181" s="7">
        <v>1</v>
      </c>
      <c r="V181" s="123"/>
      <c r="W181" s="111" t="s">
        <v>4</v>
      </c>
      <c r="X181" s="111" t="s">
        <v>13</v>
      </c>
      <c r="Y181" s="108" t="s">
        <v>5</v>
      </c>
      <c r="Z181" s="11" t="s">
        <v>6</v>
      </c>
      <c r="AA181" s="11" t="s">
        <v>7</v>
      </c>
      <c r="AB181" s="11" t="s">
        <v>8</v>
      </c>
      <c r="AC181" s="11" t="s">
        <v>9</v>
      </c>
      <c r="AD181" s="11" t="s">
        <v>10</v>
      </c>
      <c r="AE181" s="303"/>
      <c r="AF181" s="24" t="s">
        <v>11</v>
      </c>
      <c r="AG181" s="24" t="s">
        <v>12</v>
      </c>
    </row>
    <row r="182" spans="1:33" ht="21">
      <c r="A182" s="5" t="s">
        <v>1046</v>
      </c>
      <c r="B182" s="5" t="s">
        <v>1047</v>
      </c>
      <c r="C182" s="13"/>
      <c r="D182" s="13"/>
      <c r="E182" s="13"/>
      <c r="F182" s="13"/>
      <c r="G182" s="13" t="s">
        <v>1562</v>
      </c>
      <c r="H182" s="7"/>
      <c r="I182" s="7"/>
      <c r="J182" s="7"/>
      <c r="L182" s="24" t="s">
        <v>1048</v>
      </c>
      <c r="M182" s="25" t="s">
        <v>1049</v>
      </c>
      <c r="N182" s="19"/>
      <c r="O182" s="19"/>
      <c r="P182" s="19"/>
      <c r="Q182" s="19"/>
      <c r="R182" s="19" t="s">
        <v>18</v>
      </c>
      <c r="V182" s="123"/>
      <c r="W182" s="111" t="s">
        <v>1037</v>
      </c>
      <c r="X182" s="111" t="s">
        <v>1038</v>
      </c>
      <c r="Y182" s="307" t="s">
        <v>1039</v>
      </c>
      <c r="Z182" s="19"/>
      <c r="AA182" s="19"/>
      <c r="AB182" s="19"/>
      <c r="AC182" s="19"/>
      <c r="AD182" s="19" t="s">
        <v>18</v>
      </c>
      <c r="AE182" s="303"/>
      <c r="AF182" s="303"/>
      <c r="AG182" s="303"/>
    </row>
    <row r="183" spans="1:33" ht="21">
      <c r="A183" s="5" t="s">
        <v>1053</v>
      </c>
      <c r="B183" s="5" t="s">
        <v>975</v>
      </c>
      <c r="C183" s="13"/>
      <c r="D183" s="13"/>
      <c r="E183" s="13"/>
      <c r="F183" s="13"/>
      <c r="G183" s="13" t="s">
        <v>17</v>
      </c>
      <c r="H183" s="7" t="s">
        <v>3133</v>
      </c>
      <c r="I183" s="7">
        <v>3</v>
      </c>
      <c r="L183" s="24" t="s">
        <v>1054</v>
      </c>
      <c r="M183" s="25" t="s">
        <v>1055</v>
      </c>
      <c r="N183" s="19"/>
      <c r="O183" s="19"/>
      <c r="P183" s="19"/>
      <c r="Q183" s="19"/>
      <c r="R183" s="19" t="s">
        <v>18</v>
      </c>
      <c r="V183" s="123"/>
      <c r="W183" s="111" t="s">
        <v>1043</v>
      </c>
      <c r="X183" s="111" t="s">
        <v>1044</v>
      </c>
      <c r="Y183" s="307" t="s">
        <v>1045</v>
      </c>
      <c r="Z183" s="19"/>
      <c r="AA183" s="19"/>
      <c r="AB183" s="19"/>
      <c r="AC183" s="19"/>
      <c r="AD183" s="19" t="s">
        <v>1562</v>
      </c>
      <c r="AE183" s="303"/>
      <c r="AF183" s="303"/>
      <c r="AG183" s="303"/>
    </row>
    <row r="184" spans="1:33" ht="21">
      <c r="A184" s="5" t="s">
        <v>1059</v>
      </c>
      <c r="B184" s="5" t="s">
        <v>1060</v>
      </c>
      <c r="C184" s="13"/>
      <c r="D184" s="13"/>
      <c r="E184" s="13"/>
      <c r="F184" s="13"/>
      <c r="G184" s="13" t="s">
        <v>1562</v>
      </c>
      <c r="H184" s="7" t="s">
        <v>3134</v>
      </c>
      <c r="I184" s="7"/>
      <c r="J184" s="7"/>
      <c r="L184" s="24" t="s">
        <v>569</v>
      </c>
      <c r="M184" s="310" t="s">
        <v>570</v>
      </c>
      <c r="N184" s="19"/>
      <c r="O184" s="19"/>
      <c r="P184" s="19"/>
      <c r="Q184" s="19"/>
      <c r="R184" s="19" t="s">
        <v>18</v>
      </c>
      <c r="S184" s="309" t="s">
        <v>3135</v>
      </c>
      <c r="V184" s="123"/>
      <c r="W184" s="111" t="s">
        <v>1050</v>
      </c>
      <c r="X184" s="111" t="s">
        <v>1051</v>
      </c>
      <c r="Y184" s="307" t="s">
        <v>1052</v>
      </c>
      <c r="Z184" s="19"/>
      <c r="AA184" s="19"/>
      <c r="AB184" s="19"/>
      <c r="AC184" s="19"/>
      <c r="AD184" s="19" t="s">
        <v>28</v>
      </c>
      <c r="AE184" s="303">
        <v>1</v>
      </c>
      <c r="AF184" s="303"/>
      <c r="AG184" s="303"/>
    </row>
    <row r="185" spans="1:33" ht="21">
      <c r="A185" s="5" t="s">
        <v>1064</v>
      </c>
      <c r="B185" s="34" t="s">
        <v>1017</v>
      </c>
      <c r="C185" s="13"/>
      <c r="D185" s="13"/>
      <c r="E185" s="13"/>
      <c r="F185" s="13"/>
      <c r="G185" s="13" t="s">
        <v>21</v>
      </c>
      <c r="H185" s="7"/>
      <c r="I185" s="7">
        <v>1</v>
      </c>
      <c r="J185" s="7"/>
      <c r="L185" s="24" t="s">
        <v>1065</v>
      </c>
      <c r="M185" s="25" t="s">
        <v>1066</v>
      </c>
      <c r="N185" s="19"/>
      <c r="O185" s="19"/>
      <c r="P185" s="19"/>
      <c r="Q185" s="19"/>
      <c r="R185" s="19" t="s">
        <v>18</v>
      </c>
      <c r="V185" s="123"/>
      <c r="W185" s="111" t="s">
        <v>1056</v>
      </c>
      <c r="X185" s="111" t="s">
        <v>1057</v>
      </c>
      <c r="Y185" s="307" t="s">
        <v>1058</v>
      </c>
      <c r="Z185" s="19"/>
      <c r="AA185" s="19"/>
      <c r="AB185" s="19"/>
      <c r="AC185" s="19"/>
      <c r="AD185" s="19" t="s">
        <v>18</v>
      </c>
      <c r="AE185" s="303"/>
      <c r="AF185" s="303"/>
      <c r="AG185" s="303"/>
    </row>
    <row r="186" spans="1:33" ht="21">
      <c r="A186" s="5" t="s">
        <v>1069</v>
      </c>
      <c r="B186" s="34" t="s">
        <v>1017</v>
      </c>
      <c r="C186" s="13"/>
      <c r="D186" s="13"/>
      <c r="E186" s="13"/>
      <c r="F186" s="13"/>
      <c r="G186" s="13" t="s">
        <v>18</v>
      </c>
      <c r="H186" s="7" t="s">
        <v>3136</v>
      </c>
      <c r="I186" s="7"/>
      <c r="J186" s="7"/>
      <c r="L186" s="24" t="s">
        <v>1070</v>
      </c>
      <c r="M186" s="25" t="s">
        <v>1071</v>
      </c>
      <c r="N186" s="19"/>
      <c r="O186" s="19"/>
      <c r="P186" s="19"/>
      <c r="Q186" s="19"/>
      <c r="R186" s="19" t="s">
        <v>1567</v>
      </c>
      <c r="V186" s="123"/>
      <c r="W186" s="111" t="s">
        <v>1061</v>
      </c>
      <c r="X186" s="111" t="s">
        <v>1062</v>
      </c>
      <c r="Y186" s="307" t="s">
        <v>1063</v>
      </c>
      <c r="Z186" s="19"/>
      <c r="AA186" s="19"/>
      <c r="AB186" s="19"/>
      <c r="AC186" s="19"/>
      <c r="AD186" s="19" t="s">
        <v>1567</v>
      </c>
      <c r="AE186" s="303"/>
      <c r="AF186" s="303"/>
      <c r="AG186" s="303"/>
    </row>
    <row r="187" spans="1:33" ht="21">
      <c r="A187" s="5" t="s">
        <v>1075</v>
      </c>
      <c r="B187" s="5" t="s">
        <v>1076</v>
      </c>
      <c r="C187" s="13"/>
      <c r="D187" s="13"/>
      <c r="E187" s="13"/>
      <c r="F187" s="13"/>
      <c r="G187" s="13" t="s">
        <v>1562</v>
      </c>
      <c r="H187" s="7"/>
      <c r="I187" s="7"/>
      <c r="J187" s="7"/>
      <c r="L187" s="24" t="s">
        <v>605</v>
      </c>
      <c r="M187" s="25" t="s">
        <v>606</v>
      </c>
      <c r="N187" s="19"/>
      <c r="O187" s="19"/>
      <c r="P187" s="19"/>
      <c r="Q187" s="19"/>
      <c r="R187" s="19" t="s">
        <v>1567</v>
      </c>
      <c r="V187" s="123"/>
      <c r="W187" s="111" t="s">
        <v>1067</v>
      </c>
      <c r="X187" s="111" t="s">
        <v>1068</v>
      </c>
      <c r="Y187" s="307" t="s">
        <v>726</v>
      </c>
      <c r="Z187" s="19"/>
      <c r="AA187" s="19"/>
      <c r="AB187" s="19"/>
      <c r="AC187" s="19"/>
      <c r="AD187" s="19" t="s">
        <v>1567</v>
      </c>
      <c r="AE187" s="303">
        <v>1</v>
      </c>
      <c r="AF187" s="303"/>
      <c r="AG187" s="303"/>
    </row>
    <row r="188" spans="1:33" ht="21">
      <c r="A188" s="5" t="s">
        <v>1080</v>
      </c>
      <c r="B188" s="5" t="s">
        <v>923</v>
      </c>
      <c r="C188" s="13"/>
      <c r="D188" s="13"/>
      <c r="E188" s="13"/>
      <c r="F188" s="13"/>
      <c r="G188" s="13" t="s">
        <v>28</v>
      </c>
      <c r="H188" s="7"/>
      <c r="I188" s="7">
        <v>1</v>
      </c>
      <c r="J188" s="7"/>
      <c r="L188" s="24" t="s">
        <v>1081</v>
      </c>
      <c r="M188" s="25" t="s">
        <v>1082</v>
      </c>
      <c r="N188" s="19"/>
      <c r="O188" s="19"/>
      <c r="P188" s="19"/>
      <c r="Q188" s="19"/>
      <c r="R188" s="19" t="s">
        <v>18</v>
      </c>
      <c r="V188" s="123"/>
      <c r="W188" s="111" t="s">
        <v>1072</v>
      </c>
      <c r="X188" s="111" t="s">
        <v>1073</v>
      </c>
      <c r="Y188" s="307" t="s">
        <v>1074</v>
      </c>
      <c r="Z188" s="19"/>
      <c r="AA188" s="19"/>
      <c r="AB188" s="19"/>
      <c r="AC188" s="19"/>
      <c r="AD188" s="19" t="s">
        <v>1567</v>
      </c>
      <c r="AE188" s="303">
        <v>1</v>
      </c>
      <c r="AF188" s="303"/>
      <c r="AG188" s="303"/>
    </row>
    <row r="189" spans="1:33" ht="21">
      <c r="A189" s="5" t="s">
        <v>1086</v>
      </c>
      <c r="B189" s="5" t="s">
        <v>918</v>
      </c>
      <c r="C189" s="13"/>
      <c r="D189" s="13"/>
      <c r="E189" s="13"/>
      <c r="F189" s="13"/>
      <c r="G189" s="13" t="s">
        <v>18</v>
      </c>
      <c r="H189" s="7" t="s">
        <v>3137</v>
      </c>
      <c r="I189" s="7"/>
      <c r="J189" s="7"/>
      <c r="L189" s="24" t="s">
        <v>1087</v>
      </c>
      <c r="M189" s="25" t="s">
        <v>1088</v>
      </c>
      <c r="N189" s="19"/>
      <c r="O189" s="19"/>
      <c r="P189" s="19"/>
      <c r="Q189" s="19"/>
      <c r="R189" s="19" t="s">
        <v>18</v>
      </c>
      <c r="V189" s="123"/>
      <c r="W189" s="111" t="s">
        <v>1077</v>
      </c>
      <c r="X189" s="111" t="s">
        <v>1078</v>
      </c>
      <c r="Y189" s="307" t="s">
        <v>1079</v>
      </c>
      <c r="Z189" s="19"/>
      <c r="AA189" s="19"/>
      <c r="AB189" s="19"/>
      <c r="AC189" s="19"/>
      <c r="AD189" s="19" t="s">
        <v>18</v>
      </c>
      <c r="AE189" s="303"/>
      <c r="AF189" s="303"/>
      <c r="AG189" s="303"/>
    </row>
    <row r="190" spans="1:33" ht="21">
      <c r="A190" s="5" t="s">
        <v>1092</v>
      </c>
      <c r="B190" s="5" t="s">
        <v>151</v>
      </c>
      <c r="C190" s="13"/>
      <c r="D190" s="13"/>
      <c r="E190" s="13"/>
      <c r="F190" s="13"/>
      <c r="G190" s="13" t="s">
        <v>21</v>
      </c>
      <c r="H190" s="7" t="s">
        <v>3138</v>
      </c>
      <c r="I190" s="7">
        <v>1</v>
      </c>
      <c r="J190" s="7"/>
      <c r="L190" s="24" t="s">
        <v>1093</v>
      </c>
      <c r="M190" s="25" t="s">
        <v>1094</v>
      </c>
      <c r="N190" s="19"/>
      <c r="O190" s="19"/>
      <c r="P190" s="19"/>
      <c r="Q190" s="19"/>
      <c r="R190" s="19" t="s">
        <v>18</v>
      </c>
      <c r="V190" s="123"/>
      <c r="W190" s="111" t="s">
        <v>1083</v>
      </c>
      <c r="X190" s="111" t="s">
        <v>1084</v>
      </c>
      <c r="Y190" s="307" t="s">
        <v>1085</v>
      </c>
      <c r="Z190" s="19"/>
      <c r="AA190" s="19"/>
      <c r="AB190" s="19"/>
      <c r="AC190" s="19"/>
      <c r="AD190" s="19" t="s">
        <v>21</v>
      </c>
      <c r="AE190" s="303">
        <v>1</v>
      </c>
      <c r="AF190" s="303"/>
      <c r="AG190" s="303"/>
    </row>
    <row r="191" spans="1:33" ht="21">
      <c r="A191" s="5" t="s">
        <v>1098</v>
      </c>
      <c r="B191" s="5" t="s">
        <v>1099</v>
      </c>
      <c r="C191" s="13"/>
      <c r="D191" s="13"/>
      <c r="E191" s="13"/>
      <c r="F191" s="13"/>
      <c r="G191" s="13" t="s">
        <v>1574</v>
      </c>
      <c r="H191" s="7" t="s">
        <v>2355</v>
      </c>
      <c r="I191" s="7" t="s">
        <v>1554</v>
      </c>
      <c r="J191" s="7"/>
      <c r="L191" s="24" t="s">
        <v>853</v>
      </c>
      <c r="M191" s="25" t="s">
        <v>854</v>
      </c>
      <c r="N191" s="19"/>
      <c r="O191" s="19"/>
      <c r="P191" s="19"/>
      <c r="Q191" s="19"/>
      <c r="R191" s="19" t="s">
        <v>1567</v>
      </c>
      <c r="S191" s="309" t="s">
        <v>3139</v>
      </c>
      <c r="T191" s="7">
        <v>1</v>
      </c>
      <c r="V191" s="123"/>
      <c r="W191" s="111" t="s">
        <v>1089</v>
      </c>
      <c r="X191" s="111" t="s">
        <v>1090</v>
      </c>
      <c r="Y191" s="307" t="s">
        <v>1091</v>
      </c>
      <c r="Z191" s="19"/>
      <c r="AA191" s="19"/>
      <c r="AB191" s="19"/>
      <c r="AC191" s="19"/>
      <c r="AD191" s="19" t="s">
        <v>18</v>
      </c>
      <c r="AE191" s="303"/>
      <c r="AF191" s="303"/>
      <c r="AG191" s="303"/>
    </row>
    <row r="192" spans="1:33" ht="21">
      <c r="A192" s="5" t="s">
        <v>1103</v>
      </c>
      <c r="B192" s="5" t="s">
        <v>1104</v>
      </c>
      <c r="C192" s="13"/>
      <c r="D192" s="13"/>
      <c r="E192" s="13"/>
      <c r="F192" s="13"/>
      <c r="G192" s="13" t="s">
        <v>1574</v>
      </c>
      <c r="H192" s="7"/>
      <c r="I192" s="7"/>
      <c r="J192" s="7"/>
      <c r="L192" s="24" t="s">
        <v>725</v>
      </c>
      <c r="M192" s="25" t="s">
        <v>726</v>
      </c>
      <c r="N192" s="19"/>
      <c r="O192" s="19"/>
      <c r="P192" s="19"/>
      <c r="Q192" s="19"/>
      <c r="R192" s="19" t="s">
        <v>21</v>
      </c>
      <c r="T192" s="7">
        <v>1</v>
      </c>
      <c r="V192" s="123"/>
      <c r="W192" s="111" t="s">
        <v>1095</v>
      </c>
      <c r="X192" s="111" t="s">
        <v>1096</v>
      </c>
      <c r="Y192" s="307" t="s">
        <v>1097</v>
      </c>
      <c r="Z192" s="19"/>
      <c r="AA192" s="19"/>
      <c r="AB192" s="19"/>
      <c r="AC192" s="19"/>
      <c r="AD192" s="19" t="s">
        <v>1562</v>
      </c>
      <c r="AE192" s="303"/>
      <c r="AF192" s="303"/>
      <c r="AG192" s="303"/>
    </row>
    <row r="193" spans="1:33" ht="21">
      <c r="A193" s="5" t="s">
        <v>1108</v>
      </c>
      <c r="B193" s="5" t="s">
        <v>970</v>
      </c>
      <c r="C193" s="13"/>
      <c r="D193" s="13"/>
      <c r="E193" s="13"/>
      <c r="F193" s="13"/>
      <c r="G193" s="13" t="s">
        <v>1567</v>
      </c>
      <c r="H193" s="7" t="s">
        <v>3140</v>
      </c>
      <c r="I193" s="7">
        <v>1</v>
      </c>
      <c r="J193" s="7"/>
      <c r="L193" s="24" t="s">
        <v>731</v>
      </c>
      <c r="M193" s="25" t="s">
        <v>732</v>
      </c>
      <c r="N193" s="19"/>
      <c r="O193" s="19"/>
      <c r="P193" s="19"/>
      <c r="Q193" s="19"/>
      <c r="R193" s="19" t="s">
        <v>17</v>
      </c>
      <c r="S193" s="309" t="s">
        <v>3051</v>
      </c>
      <c r="T193" s="7">
        <v>3</v>
      </c>
      <c r="U193" s="309"/>
      <c r="V193" s="123"/>
      <c r="W193" s="111" t="s">
        <v>1100</v>
      </c>
      <c r="X193" s="111" t="s">
        <v>1101</v>
      </c>
      <c r="Y193" s="307" t="s">
        <v>1102</v>
      </c>
      <c r="Z193" s="19"/>
      <c r="AA193" s="19"/>
      <c r="AB193" s="19"/>
      <c r="AC193" s="19"/>
      <c r="AD193" s="19" t="s">
        <v>28</v>
      </c>
      <c r="AE193" s="303">
        <v>1</v>
      </c>
      <c r="AF193" s="303"/>
      <c r="AG193" s="303"/>
    </row>
    <row r="194" spans="1:33" ht="21">
      <c r="A194" s="5" t="s">
        <v>1111</v>
      </c>
      <c r="B194" s="5" t="s">
        <v>1112</v>
      </c>
      <c r="C194" s="13"/>
      <c r="D194" s="13"/>
      <c r="E194" s="13"/>
      <c r="F194" s="13"/>
      <c r="G194" s="13" t="s">
        <v>1562</v>
      </c>
      <c r="H194" s="7"/>
      <c r="I194" s="7"/>
      <c r="J194" s="7"/>
      <c r="L194" s="24" t="s">
        <v>1113</v>
      </c>
      <c r="M194" s="25" t="s">
        <v>1114</v>
      </c>
      <c r="N194" s="19"/>
      <c r="O194" s="19"/>
      <c r="P194" s="19"/>
      <c r="Q194" s="19"/>
      <c r="R194" s="19" t="s">
        <v>18</v>
      </c>
      <c r="V194" s="123"/>
      <c r="W194" s="111" t="s">
        <v>1105</v>
      </c>
      <c r="X194" s="111" t="s">
        <v>1106</v>
      </c>
      <c r="Y194" s="307" t="s">
        <v>1107</v>
      </c>
      <c r="Z194" s="19"/>
      <c r="AA194" s="19"/>
      <c r="AB194" s="19"/>
      <c r="AC194" s="19"/>
      <c r="AD194" s="19" t="s">
        <v>1562</v>
      </c>
      <c r="AE194" s="303"/>
      <c r="AF194" s="303"/>
      <c r="AG194" s="303"/>
    </row>
    <row r="195" spans="1:33" ht="21">
      <c r="A195" s="5" t="s">
        <v>1118</v>
      </c>
      <c r="B195" s="5" t="s">
        <v>1119</v>
      </c>
      <c r="C195" s="13"/>
      <c r="D195" s="13"/>
      <c r="E195" s="13"/>
      <c r="F195" s="13"/>
      <c r="G195" s="13" t="s">
        <v>1562</v>
      </c>
      <c r="H195" s="7"/>
      <c r="I195" s="7"/>
      <c r="J195" s="7"/>
      <c r="L195" s="24" t="s">
        <v>642</v>
      </c>
      <c r="M195" s="25" t="s">
        <v>643</v>
      </c>
      <c r="N195" s="19"/>
      <c r="O195" s="19"/>
      <c r="P195" s="19"/>
      <c r="Q195" s="19"/>
      <c r="R195" s="19" t="s">
        <v>21</v>
      </c>
      <c r="T195" s="7">
        <v>1</v>
      </c>
      <c r="V195" s="123"/>
      <c r="W195" s="111" t="s">
        <v>1109</v>
      </c>
      <c r="X195" s="111" t="s">
        <v>1110</v>
      </c>
      <c r="Y195" s="307" t="s">
        <v>726</v>
      </c>
      <c r="Z195" s="19"/>
      <c r="AA195" s="19"/>
      <c r="AB195" s="19"/>
      <c r="AC195" s="19"/>
      <c r="AD195" s="19" t="s">
        <v>21</v>
      </c>
      <c r="AE195" s="303">
        <v>1</v>
      </c>
      <c r="AF195" s="303"/>
      <c r="AG195" s="303"/>
    </row>
    <row r="196" spans="1:33" ht="21">
      <c r="A196" s="5" t="s">
        <v>1123</v>
      </c>
      <c r="B196" s="5" t="s">
        <v>1124</v>
      </c>
      <c r="C196" s="13"/>
      <c r="D196" s="13"/>
      <c r="E196" s="13"/>
      <c r="F196" s="13"/>
      <c r="G196" s="13" t="s">
        <v>1562</v>
      </c>
      <c r="H196" s="7"/>
      <c r="I196" s="7" t="s">
        <v>1554</v>
      </c>
      <c r="J196" s="7"/>
      <c r="L196" s="24" t="s">
        <v>1125</v>
      </c>
      <c r="M196" s="25" t="s">
        <v>1126</v>
      </c>
      <c r="N196" s="19"/>
      <c r="O196" s="19"/>
      <c r="P196" s="19"/>
      <c r="Q196" s="19"/>
      <c r="R196" s="19" t="s">
        <v>18</v>
      </c>
      <c r="V196" s="123"/>
      <c r="W196" s="111" t="s">
        <v>1115</v>
      </c>
      <c r="X196" s="111" t="s">
        <v>1116</v>
      </c>
      <c r="Y196" s="307" t="s">
        <v>1117</v>
      </c>
      <c r="Z196" s="19"/>
      <c r="AA196" s="19"/>
      <c r="AB196" s="19"/>
      <c r="AC196" s="19"/>
      <c r="AD196" s="19" t="s">
        <v>21</v>
      </c>
      <c r="AE196" s="303">
        <v>1</v>
      </c>
      <c r="AF196" s="303"/>
      <c r="AG196" s="303"/>
    </row>
    <row r="197" spans="1:33" ht="21">
      <c r="A197" s="5" t="s">
        <v>1130</v>
      </c>
      <c r="B197" s="5" t="s">
        <v>1131</v>
      </c>
      <c r="C197" s="13"/>
      <c r="D197" s="13"/>
      <c r="E197" s="13"/>
      <c r="F197" s="13"/>
      <c r="G197" s="13" t="s">
        <v>1567</v>
      </c>
      <c r="H197" s="7" t="s">
        <v>3141</v>
      </c>
      <c r="I197" s="7">
        <v>1</v>
      </c>
      <c r="J197" s="7"/>
      <c r="L197" s="24" t="s">
        <v>1132</v>
      </c>
      <c r="M197" s="25" t="s">
        <v>1133</v>
      </c>
      <c r="N197" s="19"/>
      <c r="O197" s="19"/>
      <c r="P197" s="19"/>
      <c r="Q197" s="19"/>
      <c r="R197" s="19" t="s">
        <v>18</v>
      </c>
      <c r="V197" s="123"/>
      <c r="W197" s="111" t="s">
        <v>1120</v>
      </c>
      <c r="X197" s="111" t="s">
        <v>1121</v>
      </c>
      <c r="Y197" s="307" t="s">
        <v>1122</v>
      </c>
      <c r="Z197" s="19"/>
      <c r="AA197" s="19"/>
      <c r="AB197" s="19"/>
      <c r="AC197" s="19"/>
      <c r="AD197" s="19" t="s">
        <v>18</v>
      </c>
      <c r="AE197" s="303"/>
      <c r="AF197" s="303"/>
      <c r="AG197" s="303"/>
    </row>
    <row r="198" spans="1:33" ht="21">
      <c r="A198" s="5" t="s">
        <v>1137</v>
      </c>
      <c r="B198" s="5" t="s">
        <v>1138</v>
      </c>
      <c r="C198" s="13"/>
      <c r="D198" s="13"/>
      <c r="E198" s="13"/>
      <c r="F198" s="13"/>
      <c r="G198" s="13" t="s">
        <v>1562</v>
      </c>
      <c r="H198" s="7"/>
      <c r="I198" s="7"/>
      <c r="J198" s="7"/>
      <c r="L198" s="24" t="s">
        <v>1139</v>
      </c>
      <c r="M198" s="25" t="s">
        <v>1140</v>
      </c>
      <c r="N198" s="19"/>
      <c r="O198" s="19"/>
      <c r="P198" s="19"/>
      <c r="Q198" s="19"/>
      <c r="R198" s="19" t="s">
        <v>28</v>
      </c>
      <c r="S198" s="309" t="s">
        <v>3142</v>
      </c>
      <c r="T198" s="7" t="s">
        <v>3011</v>
      </c>
      <c r="U198" s="309"/>
      <c r="V198" s="123"/>
      <c r="W198" s="111" t="s">
        <v>1127</v>
      </c>
      <c r="X198" s="111" t="s">
        <v>1128</v>
      </c>
      <c r="Y198" s="307" t="s">
        <v>1129</v>
      </c>
      <c r="Z198" s="19"/>
      <c r="AA198" s="19"/>
      <c r="AB198" s="19"/>
      <c r="AC198" s="19"/>
      <c r="AD198" s="19" t="s">
        <v>1567</v>
      </c>
      <c r="AE198" s="303">
        <v>1</v>
      </c>
      <c r="AF198" s="303"/>
      <c r="AG198" s="303"/>
    </row>
    <row r="199" spans="1:33" ht="21">
      <c r="A199" s="5" t="s">
        <v>1144</v>
      </c>
      <c r="B199" s="5" t="s">
        <v>1145</v>
      </c>
      <c r="C199" s="13"/>
      <c r="D199" s="13"/>
      <c r="E199" s="13"/>
      <c r="F199" s="13"/>
      <c r="G199" s="13" t="s">
        <v>1562</v>
      </c>
      <c r="H199" s="7"/>
      <c r="I199" s="7"/>
      <c r="J199" s="7"/>
      <c r="L199" s="24" t="s">
        <v>600</v>
      </c>
      <c r="M199" s="25" t="s">
        <v>601</v>
      </c>
      <c r="N199" s="19"/>
      <c r="O199" s="19"/>
      <c r="P199" s="19"/>
      <c r="Q199" s="19"/>
      <c r="R199" s="19" t="s">
        <v>21</v>
      </c>
      <c r="T199" s="7">
        <v>1</v>
      </c>
      <c r="V199" s="123"/>
      <c r="W199" s="111" t="s">
        <v>1134</v>
      </c>
      <c r="X199" s="111" t="s">
        <v>1135</v>
      </c>
      <c r="Y199" s="307" t="s">
        <v>1136</v>
      </c>
      <c r="Z199" s="19"/>
      <c r="AA199" s="19"/>
      <c r="AB199" s="19"/>
      <c r="AC199" s="19"/>
      <c r="AD199" s="19" t="s">
        <v>18</v>
      </c>
      <c r="AE199" s="303"/>
      <c r="AF199" s="303"/>
      <c r="AG199" s="303"/>
    </row>
    <row r="200" spans="1:33" ht="21">
      <c r="A200" s="5" t="s">
        <v>1149</v>
      </c>
      <c r="B200" s="5" t="s">
        <v>918</v>
      </c>
      <c r="C200" s="13"/>
      <c r="D200" s="13"/>
      <c r="E200" s="13"/>
      <c r="F200" s="13"/>
      <c r="G200" s="13" t="s">
        <v>1567</v>
      </c>
      <c r="H200" s="7" t="s">
        <v>3143</v>
      </c>
      <c r="I200" s="7">
        <v>1</v>
      </c>
      <c r="J200" s="7"/>
      <c r="L200" s="24" t="s">
        <v>1150</v>
      </c>
      <c r="M200" s="25" t="s">
        <v>1151</v>
      </c>
      <c r="N200" s="19"/>
      <c r="O200" s="19"/>
      <c r="P200" s="19"/>
      <c r="Q200" s="19"/>
      <c r="R200" s="19" t="s">
        <v>18</v>
      </c>
      <c r="V200" s="123"/>
      <c r="W200" s="111" t="s">
        <v>1141</v>
      </c>
      <c r="X200" s="111" t="s">
        <v>1142</v>
      </c>
      <c r="Y200" s="307" t="s">
        <v>1143</v>
      </c>
      <c r="Z200" s="19"/>
      <c r="AA200" s="19"/>
      <c r="AB200" s="19"/>
      <c r="AC200" s="19"/>
      <c r="AD200" s="19" t="s">
        <v>1567</v>
      </c>
      <c r="AE200" s="303"/>
      <c r="AF200" s="303"/>
      <c r="AG200" s="303"/>
    </row>
    <row r="201" spans="1:33" ht="21">
      <c r="A201" s="5" t="s">
        <v>1155</v>
      </c>
      <c r="B201" s="5" t="s">
        <v>942</v>
      </c>
      <c r="C201" s="13"/>
      <c r="D201" s="13"/>
      <c r="E201" s="13"/>
      <c r="F201" s="13"/>
      <c r="G201" s="13" t="s">
        <v>17</v>
      </c>
      <c r="H201" s="7" t="s">
        <v>3144</v>
      </c>
      <c r="I201" s="7">
        <v>1</v>
      </c>
      <c r="J201" s="7" t="s">
        <v>3145</v>
      </c>
      <c r="L201" s="24" t="s">
        <v>637</v>
      </c>
      <c r="M201" s="25" t="s">
        <v>638</v>
      </c>
      <c r="N201" s="19"/>
      <c r="O201" s="19"/>
      <c r="P201" s="19"/>
      <c r="Q201" s="19"/>
      <c r="R201" s="19" t="s">
        <v>21</v>
      </c>
      <c r="T201" s="7">
        <v>1</v>
      </c>
      <c r="V201" s="123"/>
      <c r="W201" s="111" t="s">
        <v>1146</v>
      </c>
      <c r="X201" s="111" t="s">
        <v>1147</v>
      </c>
      <c r="Y201" s="307" t="s">
        <v>1148</v>
      </c>
      <c r="Z201" s="19"/>
      <c r="AA201" s="19"/>
      <c r="AB201" s="19"/>
      <c r="AC201" s="19"/>
      <c r="AD201" s="19" t="s">
        <v>17</v>
      </c>
      <c r="AE201" s="303">
        <v>3</v>
      </c>
      <c r="AF201" s="303" t="s">
        <v>3146</v>
      </c>
      <c r="AG201" s="303"/>
    </row>
    <row r="202" spans="1:33" ht="21">
      <c r="A202" s="5" t="s">
        <v>1159</v>
      </c>
      <c r="B202" s="5" t="s">
        <v>159</v>
      </c>
      <c r="C202" s="13"/>
      <c r="D202" s="13"/>
      <c r="E202" s="13"/>
      <c r="F202" s="13"/>
      <c r="G202" s="13" t="s">
        <v>1567</v>
      </c>
      <c r="H202" s="7" t="s">
        <v>3147</v>
      </c>
      <c r="I202" s="7">
        <v>1</v>
      </c>
      <c r="J202" s="7"/>
      <c r="L202" s="24" t="s">
        <v>1160</v>
      </c>
      <c r="M202" s="25" t="s">
        <v>1161</v>
      </c>
      <c r="N202" s="19"/>
      <c r="O202" s="19"/>
      <c r="P202" s="19"/>
      <c r="Q202" s="19"/>
      <c r="R202" s="19" t="s">
        <v>18</v>
      </c>
      <c r="V202" s="123"/>
      <c r="W202" s="111" t="s">
        <v>1152</v>
      </c>
      <c r="X202" s="111" t="s">
        <v>1153</v>
      </c>
      <c r="Y202" s="307" t="s">
        <v>1154</v>
      </c>
      <c r="Z202" s="19"/>
      <c r="AA202" s="19"/>
      <c r="AB202" s="19"/>
      <c r="AC202" s="19"/>
      <c r="AD202" s="19" t="s">
        <v>21</v>
      </c>
      <c r="AE202" s="303">
        <v>1</v>
      </c>
      <c r="AF202" s="303"/>
      <c r="AG202" s="303"/>
    </row>
    <row r="203" spans="1:33" ht="21">
      <c r="A203" s="5" t="s">
        <v>1165</v>
      </c>
      <c r="B203" s="5" t="s">
        <v>288</v>
      </c>
      <c r="C203" s="13"/>
      <c r="D203" s="13"/>
      <c r="E203" s="13"/>
      <c r="F203" s="13"/>
      <c r="G203" s="13" t="s">
        <v>1562</v>
      </c>
      <c r="H203" s="7" t="s">
        <v>3134</v>
      </c>
      <c r="I203" s="7"/>
      <c r="J203" s="7"/>
      <c r="L203" s="24" t="s">
        <v>777</v>
      </c>
      <c r="M203" s="25" t="s">
        <v>778</v>
      </c>
      <c r="N203" s="19"/>
      <c r="O203" s="19"/>
      <c r="P203" s="19"/>
      <c r="Q203" s="19"/>
      <c r="R203" s="19" t="s">
        <v>18</v>
      </c>
      <c r="V203" s="123"/>
      <c r="W203" s="111" t="s">
        <v>1156</v>
      </c>
      <c r="X203" s="111" t="s">
        <v>1157</v>
      </c>
      <c r="Y203" s="307" t="s">
        <v>1158</v>
      </c>
      <c r="Z203" s="19"/>
      <c r="AA203" s="19"/>
      <c r="AB203" s="19"/>
      <c r="AC203" s="19"/>
      <c r="AD203" s="19" t="s">
        <v>18</v>
      </c>
      <c r="AE203" s="303"/>
      <c r="AF203" s="303"/>
      <c r="AG203" s="303"/>
    </row>
    <row r="204" spans="1:33" ht="21">
      <c r="A204" s="5" t="s">
        <v>1169</v>
      </c>
      <c r="B204" s="5" t="s">
        <v>933</v>
      </c>
      <c r="C204" s="13"/>
      <c r="D204" s="13"/>
      <c r="E204" s="13"/>
      <c r="F204" s="13"/>
      <c r="G204" s="13" t="s">
        <v>21</v>
      </c>
      <c r="H204" s="7"/>
      <c r="I204" s="7">
        <v>1</v>
      </c>
      <c r="J204" s="7"/>
      <c r="L204" s="24" t="s">
        <v>1170</v>
      </c>
      <c r="M204" s="25" t="s">
        <v>1171</v>
      </c>
      <c r="N204" s="19"/>
      <c r="O204" s="19"/>
      <c r="P204" s="19"/>
      <c r="Q204" s="19"/>
      <c r="R204" s="19" t="s">
        <v>18</v>
      </c>
      <c r="V204" s="123"/>
      <c r="W204" s="111" t="s">
        <v>1162</v>
      </c>
      <c r="X204" s="111" t="s">
        <v>1163</v>
      </c>
      <c r="Y204" s="307" t="s">
        <v>1164</v>
      </c>
      <c r="Z204" s="19"/>
      <c r="AA204" s="19"/>
      <c r="AB204" s="19"/>
      <c r="AC204" s="19"/>
      <c r="AD204" s="19" t="s">
        <v>28</v>
      </c>
      <c r="AE204" s="303">
        <v>3</v>
      </c>
      <c r="AF204" s="303"/>
      <c r="AG204" s="303"/>
    </row>
    <row r="205" spans="1:33" ht="21">
      <c r="A205" s="5" t="s">
        <v>1175</v>
      </c>
      <c r="B205" s="5" t="s">
        <v>875</v>
      </c>
      <c r="C205" s="13"/>
      <c r="D205" s="13"/>
      <c r="E205" s="13"/>
      <c r="F205" s="13"/>
      <c r="G205" s="13" t="s">
        <v>28</v>
      </c>
      <c r="H205" s="7" t="s">
        <v>3148</v>
      </c>
      <c r="I205" s="7" t="s">
        <v>3016</v>
      </c>
      <c r="J205" s="7"/>
      <c r="L205" s="24" t="s">
        <v>1176</v>
      </c>
      <c r="M205" s="25" t="s">
        <v>1177</v>
      </c>
      <c r="N205" s="19"/>
      <c r="O205" s="19"/>
      <c r="P205" s="19"/>
      <c r="Q205" s="19"/>
      <c r="R205" s="19" t="s">
        <v>1567</v>
      </c>
      <c r="V205" s="123"/>
      <c r="W205" s="111" t="s">
        <v>1166</v>
      </c>
      <c r="X205" s="111" t="s">
        <v>1167</v>
      </c>
      <c r="Y205" s="307" t="s">
        <v>1168</v>
      </c>
      <c r="Z205" s="19"/>
      <c r="AA205" s="19"/>
      <c r="AB205" s="19"/>
      <c r="AC205" s="19"/>
      <c r="AD205" s="19" t="s">
        <v>28</v>
      </c>
      <c r="AE205" s="303">
        <v>3</v>
      </c>
      <c r="AF205" s="303"/>
      <c r="AG205" s="303"/>
    </row>
    <row r="206" spans="1:33" ht="21">
      <c r="A206" s="5" t="s">
        <v>1181</v>
      </c>
      <c r="B206" s="5" t="s">
        <v>1182</v>
      </c>
      <c r="C206" s="13"/>
      <c r="D206" s="13"/>
      <c r="E206" s="13"/>
      <c r="F206" s="13"/>
      <c r="G206" s="13" t="s">
        <v>1562</v>
      </c>
      <c r="H206" s="7"/>
      <c r="I206" s="7"/>
      <c r="J206" s="7"/>
      <c r="L206" s="24" t="s">
        <v>1183</v>
      </c>
      <c r="M206" s="25" t="s">
        <v>1184</v>
      </c>
      <c r="N206" s="19"/>
      <c r="O206" s="19"/>
      <c r="P206" s="19"/>
      <c r="Q206" s="19"/>
      <c r="R206" s="19" t="s">
        <v>1567</v>
      </c>
      <c r="V206" s="123"/>
      <c r="W206" s="111" t="s">
        <v>1172</v>
      </c>
      <c r="X206" s="111" t="s">
        <v>1173</v>
      </c>
      <c r="Y206" s="307" t="s">
        <v>1174</v>
      </c>
      <c r="Z206" s="19"/>
      <c r="AA206" s="19"/>
      <c r="AB206" s="19"/>
      <c r="AC206" s="19"/>
      <c r="AD206" s="19" t="s">
        <v>1562</v>
      </c>
      <c r="AE206" s="303"/>
      <c r="AF206" s="303"/>
      <c r="AG206" s="303"/>
    </row>
    <row r="207" spans="1:33" ht="21">
      <c r="A207" s="5" t="s">
        <v>1188</v>
      </c>
      <c r="B207" s="5" t="s">
        <v>911</v>
      </c>
      <c r="C207" s="13"/>
      <c r="D207" s="13"/>
      <c r="E207" s="13"/>
      <c r="F207" s="13"/>
      <c r="G207" s="13" t="s">
        <v>21</v>
      </c>
      <c r="H207" s="7" t="s">
        <v>3149</v>
      </c>
      <c r="I207" s="7">
        <v>1</v>
      </c>
      <c r="J207" s="7"/>
      <c r="L207" s="24" t="s">
        <v>739</v>
      </c>
      <c r="M207" s="25" t="s">
        <v>740</v>
      </c>
      <c r="N207" s="19"/>
      <c r="O207" s="19"/>
      <c r="P207" s="19"/>
      <c r="Q207" s="19"/>
      <c r="R207" s="19" t="s">
        <v>1567</v>
      </c>
      <c r="T207" s="7">
        <v>1</v>
      </c>
      <c r="V207" s="123"/>
      <c r="W207" s="111" t="s">
        <v>1178</v>
      </c>
      <c r="X207" s="111" t="s">
        <v>1179</v>
      </c>
      <c r="Y207" s="307" t="s">
        <v>1180</v>
      </c>
      <c r="Z207" s="19"/>
      <c r="AA207" s="19"/>
      <c r="AB207" s="19"/>
      <c r="AC207" s="19"/>
      <c r="AD207" s="19" t="s">
        <v>28</v>
      </c>
      <c r="AE207" s="303">
        <v>3</v>
      </c>
      <c r="AF207" s="303"/>
      <c r="AG207" s="303"/>
    </row>
    <row r="208" spans="1:33" ht="21">
      <c r="A208" s="5" t="s">
        <v>1192</v>
      </c>
      <c r="B208" s="5" t="s">
        <v>1193</v>
      </c>
      <c r="C208" s="13"/>
      <c r="D208" s="13"/>
      <c r="E208" s="13"/>
      <c r="F208" s="13"/>
      <c r="G208" s="19" t="s">
        <v>1562</v>
      </c>
      <c r="H208" s="7"/>
      <c r="I208" s="7"/>
      <c r="J208" s="7"/>
      <c r="L208" s="24" t="s">
        <v>720</v>
      </c>
      <c r="M208" s="25" t="s">
        <v>721</v>
      </c>
      <c r="N208" s="19"/>
      <c r="O208" s="19"/>
      <c r="P208" s="19"/>
      <c r="Q208" s="19"/>
      <c r="R208" s="19" t="s">
        <v>1567</v>
      </c>
      <c r="T208" s="7">
        <v>1</v>
      </c>
      <c r="V208" s="123"/>
      <c r="W208" s="111" t="s">
        <v>1185</v>
      </c>
      <c r="X208" s="111" t="s">
        <v>1186</v>
      </c>
      <c r="Y208" s="307" t="s">
        <v>1187</v>
      </c>
      <c r="Z208" s="19"/>
      <c r="AA208" s="19"/>
      <c r="AB208" s="19"/>
      <c r="AC208" s="19"/>
      <c r="AD208" s="19" t="s">
        <v>18</v>
      </c>
      <c r="AE208" s="303"/>
      <c r="AF208" s="303"/>
      <c r="AG208" s="303"/>
    </row>
    <row r="209" spans="1:33" ht="21">
      <c r="A209" s="5" t="s">
        <v>1197</v>
      </c>
      <c r="B209" s="5" t="s">
        <v>1198</v>
      </c>
      <c r="C209" s="13"/>
      <c r="D209" s="13"/>
      <c r="E209" s="13"/>
      <c r="F209" s="13"/>
      <c r="G209" s="13" t="s">
        <v>18</v>
      </c>
      <c r="H209" s="7"/>
      <c r="I209" s="7"/>
      <c r="J209" s="7"/>
      <c r="L209" s="24" t="s">
        <v>563</v>
      </c>
      <c r="M209" s="25" t="s">
        <v>564</v>
      </c>
      <c r="N209" s="19"/>
      <c r="O209" s="19"/>
      <c r="P209" s="19"/>
      <c r="Q209" s="19"/>
      <c r="R209" s="19" t="s">
        <v>18</v>
      </c>
      <c r="V209" s="123"/>
      <c r="W209" s="111" t="s">
        <v>1189</v>
      </c>
      <c r="X209" s="111" t="s">
        <v>1190</v>
      </c>
      <c r="Y209" s="307" t="s">
        <v>1191</v>
      </c>
      <c r="Z209" s="19"/>
      <c r="AA209" s="19"/>
      <c r="AB209" s="19"/>
      <c r="AC209" s="19"/>
      <c r="AD209" s="19" t="s">
        <v>18</v>
      </c>
      <c r="AE209" s="303"/>
      <c r="AF209" s="303"/>
      <c r="AG209" s="303"/>
    </row>
    <row r="210" spans="1:33" ht="21">
      <c r="A210" s="5" t="s">
        <v>1202</v>
      </c>
      <c r="B210" s="5" t="s">
        <v>869</v>
      </c>
      <c r="C210" s="13"/>
      <c r="D210" s="13"/>
      <c r="E210" s="13"/>
      <c r="F210" s="13"/>
      <c r="G210" s="13" t="s">
        <v>21</v>
      </c>
      <c r="H210" s="7"/>
      <c r="I210" s="7"/>
      <c r="J210" s="7"/>
      <c r="L210" s="24" t="s">
        <v>1203</v>
      </c>
      <c r="M210" s="25" t="s">
        <v>1204</v>
      </c>
      <c r="N210" s="19"/>
      <c r="O210" s="19"/>
      <c r="P210" s="19"/>
      <c r="Q210" s="19"/>
      <c r="R210" s="19" t="s">
        <v>1567</v>
      </c>
      <c r="V210" s="123"/>
      <c r="W210" s="111" t="s">
        <v>1194</v>
      </c>
      <c r="X210" s="111" t="s">
        <v>1195</v>
      </c>
      <c r="Y210" s="307" t="s">
        <v>1196</v>
      </c>
      <c r="Z210" s="19"/>
      <c r="AA210" s="19"/>
      <c r="AB210" s="19"/>
      <c r="AC210" s="19"/>
      <c r="AD210" s="19" t="s">
        <v>18</v>
      </c>
      <c r="AE210" s="303"/>
      <c r="AF210" s="303"/>
      <c r="AG210" s="303"/>
    </row>
    <row r="211" spans="1:33" ht="21">
      <c r="A211" s="5" t="s">
        <v>1208</v>
      </c>
      <c r="B211" s="5" t="s">
        <v>1012</v>
      </c>
      <c r="C211" s="13"/>
      <c r="D211" s="13"/>
      <c r="E211" s="13"/>
      <c r="F211" s="13"/>
      <c r="G211" s="13" t="s">
        <v>28</v>
      </c>
      <c r="H211" s="7"/>
      <c r="I211" s="7">
        <v>3</v>
      </c>
      <c r="J211" s="7"/>
      <c r="L211" s="24" t="s">
        <v>1209</v>
      </c>
      <c r="M211" s="25" t="s">
        <v>1210</v>
      </c>
      <c r="N211" s="19"/>
      <c r="O211" s="19"/>
      <c r="P211" s="19"/>
      <c r="Q211" s="19"/>
      <c r="R211" s="19" t="s">
        <v>1567</v>
      </c>
      <c r="V211" s="123"/>
      <c r="W211" s="111" t="s">
        <v>1199</v>
      </c>
      <c r="X211" s="111" t="s">
        <v>1200</v>
      </c>
      <c r="Y211" s="307" t="s">
        <v>1201</v>
      </c>
      <c r="Z211" s="19"/>
      <c r="AA211" s="19"/>
      <c r="AB211" s="19"/>
      <c r="AC211" s="19"/>
      <c r="AD211" s="19" t="s">
        <v>1567</v>
      </c>
      <c r="AE211" s="303"/>
      <c r="AF211" s="303"/>
      <c r="AG211" s="303"/>
    </row>
    <row r="212" spans="1:33" ht="21">
      <c r="A212" s="5" t="s">
        <v>1217</v>
      </c>
      <c r="B212" s="5" t="s">
        <v>1218</v>
      </c>
      <c r="C212" s="13"/>
      <c r="D212" s="13"/>
      <c r="E212" s="13"/>
      <c r="F212" s="13"/>
      <c r="G212" s="13" t="s">
        <v>1562</v>
      </c>
      <c r="H212" s="7" t="s">
        <v>3134</v>
      </c>
      <c r="I212" s="7"/>
      <c r="J212" s="7"/>
      <c r="L212" s="24" t="s">
        <v>532</v>
      </c>
      <c r="M212" s="35" t="s">
        <v>533</v>
      </c>
      <c r="N212" s="19"/>
      <c r="O212" s="19"/>
      <c r="P212" s="19"/>
      <c r="Q212" s="19"/>
      <c r="R212" s="19" t="s">
        <v>28</v>
      </c>
      <c r="T212" s="7">
        <v>3</v>
      </c>
      <c r="V212" s="123"/>
      <c r="W212" s="111" t="s">
        <v>1205</v>
      </c>
      <c r="X212" s="111" t="s">
        <v>1206</v>
      </c>
      <c r="Y212" s="307" t="s">
        <v>1207</v>
      </c>
      <c r="Z212" s="19"/>
      <c r="AA212" s="19"/>
      <c r="AB212" s="19"/>
      <c r="AC212" s="19"/>
      <c r="AD212" s="19" t="s">
        <v>18</v>
      </c>
      <c r="AE212" s="303"/>
      <c r="AF212" s="303"/>
      <c r="AG212" s="303"/>
    </row>
    <row r="213" spans="1:33" ht="21">
      <c r="A213" s="5" t="s">
        <v>1223</v>
      </c>
      <c r="B213" s="5" t="s">
        <v>1224</v>
      </c>
      <c r="C213" s="13"/>
      <c r="D213" s="13"/>
      <c r="E213" s="13"/>
      <c r="F213" s="13"/>
      <c r="G213" s="13" t="s">
        <v>1562</v>
      </c>
      <c r="H213" s="7"/>
      <c r="I213" s="7"/>
      <c r="J213" s="7"/>
      <c r="L213" s="24" t="s">
        <v>770</v>
      </c>
      <c r="M213" s="25" t="s">
        <v>1219</v>
      </c>
      <c r="N213" s="19"/>
      <c r="O213" s="19"/>
      <c r="P213" s="19"/>
      <c r="Q213" s="19"/>
      <c r="R213" s="19" t="s">
        <v>21</v>
      </c>
      <c r="T213" s="7">
        <v>1</v>
      </c>
      <c r="V213" s="123"/>
      <c r="W213" s="111" t="s">
        <v>1211</v>
      </c>
      <c r="X213" s="111" t="s">
        <v>1212</v>
      </c>
      <c r="Y213" s="307" t="s">
        <v>1213</v>
      </c>
      <c r="Z213" s="19"/>
      <c r="AA213" s="19"/>
      <c r="AB213" s="19"/>
      <c r="AC213" s="19"/>
      <c r="AD213" s="19" t="s">
        <v>21</v>
      </c>
      <c r="AE213" s="303">
        <v>1</v>
      </c>
      <c r="AF213" s="303"/>
      <c r="AG213" s="303"/>
    </row>
    <row r="214" spans="1:33" ht="21">
      <c r="A214" s="5" t="s">
        <v>1230</v>
      </c>
      <c r="B214" s="5" t="s">
        <v>1231</v>
      </c>
      <c r="C214" s="13"/>
      <c r="D214" s="13"/>
      <c r="E214" s="13"/>
      <c r="F214" s="13"/>
      <c r="G214" s="13" t="s">
        <v>18</v>
      </c>
      <c r="H214" s="7"/>
      <c r="I214" s="7">
        <v>1</v>
      </c>
      <c r="J214" s="7"/>
      <c r="L214" s="24" t="s">
        <v>1225</v>
      </c>
      <c r="M214" s="25" t="s">
        <v>1226</v>
      </c>
      <c r="N214" s="19"/>
      <c r="O214" s="19"/>
      <c r="P214" s="19"/>
      <c r="Q214" s="19"/>
      <c r="R214" s="19" t="s">
        <v>18</v>
      </c>
      <c r="V214" s="123"/>
      <c r="W214" s="111" t="s">
        <v>1215</v>
      </c>
      <c r="X214" s="111" t="s">
        <v>1216</v>
      </c>
      <c r="Y214" s="307" t="s">
        <v>601</v>
      </c>
      <c r="Z214" s="19"/>
      <c r="AA214" s="19"/>
      <c r="AB214" s="19"/>
      <c r="AC214" s="19"/>
      <c r="AD214" s="19" t="s">
        <v>1562</v>
      </c>
      <c r="AE214" s="303"/>
      <c r="AF214" s="303"/>
      <c r="AG214" s="303"/>
    </row>
    <row r="215" spans="1:33" ht="21">
      <c r="A215" s="5" t="s">
        <v>1237</v>
      </c>
      <c r="B215" s="5" t="s">
        <v>1238</v>
      </c>
      <c r="C215" s="13"/>
      <c r="D215" s="13"/>
      <c r="E215" s="13"/>
      <c r="F215" s="13"/>
      <c r="G215" s="13" t="s">
        <v>1562</v>
      </c>
      <c r="H215" s="7"/>
      <c r="I215" s="7"/>
      <c r="J215" s="7"/>
      <c r="L215" s="24" t="s">
        <v>1232</v>
      </c>
      <c r="M215" s="25" t="s">
        <v>1233</v>
      </c>
      <c r="N215" s="19"/>
      <c r="O215" s="19"/>
      <c r="P215" s="19"/>
      <c r="Q215" s="19"/>
      <c r="R215" s="19" t="s">
        <v>18</v>
      </c>
      <c r="V215" s="123"/>
      <c r="W215" s="111" t="s">
        <v>1220</v>
      </c>
      <c r="X215" s="111" t="s">
        <v>1221</v>
      </c>
      <c r="Y215" s="307" t="s">
        <v>1222</v>
      </c>
      <c r="Z215" s="19"/>
      <c r="AA215" s="19"/>
      <c r="AB215" s="19"/>
      <c r="AC215" s="19"/>
      <c r="AD215" s="19" t="s">
        <v>1562</v>
      </c>
      <c r="AE215" s="303"/>
      <c r="AF215" s="303"/>
      <c r="AG215" s="303"/>
    </row>
    <row r="216" spans="1:33" ht="21">
      <c r="A216" s="5" t="s">
        <v>1241</v>
      </c>
      <c r="B216" s="5" t="s">
        <v>1242</v>
      </c>
      <c r="C216" s="13"/>
      <c r="D216" s="13"/>
      <c r="E216" s="13"/>
      <c r="F216" s="13"/>
      <c r="G216" s="13" t="s">
        <v>1562</v>
      </c>
      <c r="H216" s="7" t="s">
        <v>3134</v>
      </c>
      <c r="I216" s="7"/>
      <c r="J216" s="7"/>
      <c r="L216" s="24" t="s">
        <v>1239</v>
      </c>
      <c r="M216" s="25" t="s">
        <v>1240</v>
      </c>
      <c r="N216" s="19"/>
      <c r="O216" s="19"/>
      <c r="P216" s="19"/>
      <c r="Q216" s="19"/>
      <c r="R216" s="19" t="s">
        <v>18</v>
      </c>
      <c r="V216" s="123"/>
      <c r="W216" s="111" t="s">
        <v>1227</v>
      </c>
      <c r="X216" s="111" t="s">
        <v>1228</v>
      </c>
      <c r="Y216" s="307" t="s">
        <v>1229</v>
      </c>
      <c r="Z216" s="19"/>
      <c r="AA216" s="19"/>
      <c r="AB216" s="19"/>
      <c r="AC216" s="19"/>
      <c r="AD216" s="19" t="s">
        <v>18</v>
      </c>
      <c r="AE216" s="303"/>
      <c r="AF216" s="303"/>
      <c r="AG216" s="303"/>
    </row>
    <row r="217" spans="1:33" ht="21">
      <c r="A217" s="5" t="s">
        <v>1245</v>
      </c>
      <c r="B217" s="5" t="s">
        <v>1246</v>
      </c>
      <c r="C217" s="13"/>
      <c r="D217" s="13"/>
      <c r="E217" s="13"/>
      <c r="F217" s="13"/>
      <c r="G217" s="13" t="s">
        <v>1567</v>
      </c>
      <c r="H217" s="7"/>
      <c r="I217" s="7"/>
      <c r="J217" s="7"/>
      <c r="L217" s="24" t="s">
        <v>1243</v>
      </c>
      <c r="M217" s="25" t="s">
        <v>1244</v>
      </c>
      <c r="N217" s="19"/>
      <c r="O217" s="19"/>
      <c r="P217" s="19"/>
      <c r="Q217" s="19"/>
      <c r="R217" s="19" t="s">
        <v>1567</v>
      </c>
      <c r="V217" s="123"/>
      <c r="W217" s="111" t="s">
        <v>1234</v>
      </c>
      <c r="X217" s="111" t="s">
        <v>1235</v>
      </c>
      <c r="Y217" s="307" t="s">
        <v>1236</v>
      </c>
      <c r="Z217" s="19"/>
      <c r="AA217" s="19"/>
      <c r="AB217" s="19"/>
      <c r="AC217" s="19"/>
      <c r="AD217" s="19" t="s">
        <v>1562</v>
      </c>
      <c r="AE217" s="303"/>
      <c r="AF217" s="303"/>
      <c r="AG217" s="303"/>
    </row>
    <row r="218" spans="1:33" ht="21">
      <c r="A218" s="5" t="s">
        <v>1249</v>
      </c>
      <c r="B218" s="5" t="s">
        <v>1250</v>
      </c>
      <c r="C218" s="13"/>
      <c r="D218" s="13"/>
      <c r="E218" s="13"/>
      <c r="F218" s="13"/>
      <c r="G218" s="13" t="s">
        <v>1562</v>
      </c>
      <c r="H218" s="7"/>
      <c r="I218" s="7"/>
      <c r="J218" s="7"/>
      <c r="L218" s="24" t="s">
        <v>1247</v>
      </c>
      <c r="M218" s="25" t="s">
        <v>1248</v>
      </c>
      <c r="N218" s="19"/>
      <c r="O218" s="19"/>
      <c r="P218" s="19"/>
      <c r="Q218" s="19"/>
      <c r="R218" s="19" t="s">
        <v>18</v>
      </c>
      <c r="V218" s="123"/>
    </row>
    <row r="219" spans="1:33" ht="37.5" customHeight="1">
      <c r="A219" s="536" t="s">
        <v>1253</v>
      </c>
      <c r="B219" s="543"/>
      <c r="C219" s="543"/>
      <c r="D219" s="543"/>
      <c r="E219" s="543"/>
      <c r="F219" s="543"/>
      <c r="G219" s="543"/>
      <c r="H219" s="543"/>
      <c r="I219" s="4"/>
      <c r="J219" s="4"/>
      <c r="L219" s="24" t="s">
        <v>1251</v>
      </c>
      <c r="M219" s="25" t="s">
        <v>1252</v>
      </c>
      <c r="N219" s="19"/>
      <c r="O219" s="19"/>
      <c r="P219" s="19"/>
      <c r="Q219" s="19"/>
      <c r="R219" s="19" t="s">
        <v>18</v>
      </c>
      <c r="V219" s="123"/>
    </row>
    <row r="220" spans="1:33" ht="21">
      <c r="A220" s="5" t="s">
        <v>4</v>
      </c>
      <c r="B220" s="6" t="s">
        <v>5</v>
      </c>
      <c r="C220" s="7" t="s">
        <v>6</v>
      </c>
      <c r="D220" s="7" t="s">
        <v>7</v>
      </c>
      <c r="E220" s="7" t="s">
        <v>8</v>
      </c>
      <c r="F220" s="7" t="s">
        <v>9</v>
      </c>
      <c r="G220" s="7" t="s">
        <v>10</v>
      </c>
      <c r="H220" s="7" t="s">
        <v>11</v>
      </c>
      <c r="I220" s="7"/>
      <c r="J220" s="7"/>
      <c r="L220" s="24" t="s">
        <v>1254</v>
      </c>
      <c r="M220" s="25" t="s">
        <v>659</v>
      </c>
      <c r="N220" s="19"/>
      <c r="O220" s="19"/>
      <c r="P220" s="19"/>
      <c r="Q220" s="19"/>
      <c r="R220" s="19" t="s">
        <v>18</v>
      </c>
      <c r="V220" s="123"/>
    </row>
    <row r="221" spans="1:33" ht="21">
      <c r="A221" s="5" t="s">
        <v>1259</v>
      </c>
      <c r="B221" s="5" t="s">
        <v>1201</v>
      </c>
      <c r="C221" s="13"/>
      <c r="D221" s="13"/>
      <c r="E221" s="13"/>
      <c r="F221" s="13"/>
      <c r="G221" s="13" t="s">
        <v>18</v>
      </c>
      <c r="H221" s="7"/>
      <c r="I221" s="7"/>
      <c r="J221" s="7"/>
      <c r="L221" s="24" t="s">
        <v>1255</v>
      </c>
      <c r="M221" s="25" t="s">
        <v>1256</v>
      </c>
      <c r="N221" s="19"/>
      <c r="O221" s="19"/>
      <c r="P221" s="19"/>
      <c r="Q221" s="19"/>
      <c r="R221" s="19" t="s">
        <v>18</v>
      </c>
      <c r="V221" s="123"/>
    </row>
    <row r="222" spans="1:33" ht="21">
      <c r="A222" s="5" t="s">
        <v>1262</v>
      </c>
      <c r="B222" s="5" t="s">
        <v>1263</v>
      </c>
      <c r="C222" s="13"/>
      <c r="D222" s="13"/>
      <c r="E222" s="13"/>
      <c r="F222" s="13"/>
      <c r="G222" s="13" t="s">
        <v>18</v>
      </c>
      <c r="H222" s="7"/>
      <c r="I222" s="7"/>
      <c r="J222" s="7"/>
      <c r="L222" s="24" t="s">
        <v>1257</v>
      </c>
      <c r="M222" s="25" t="s">
        <v>1258</v>
      </c>
      <c r="N222" s="19"/>
      <c r="O222" s="19"/>
      <c r="P222" s="19"/>
      <c r="Q222" s="19"/>
      <c r="R222" s="19" t="s">
        <v>1567</v>
      </c>
      <c r="V222" s="123"/>
    </row>
    <row r="223" spans="1:33" ht="21">
      <c r="A223" s="5" t="s">
        <v>1266</v>
      </c>
      <c r="B223" s="23" t="s">
        <v>1267</v>
      </c>
      <c r="C223" s="13"/>
      <c r="D223" s="13"/>
      <c r="E223" s="13"/>
      <c r="F223" s="13"/>
      <c r="G223" s="13" t="s">
        <v>1562</v>
      </c>
      <c r="H223" s="7"/>
      <c r="I223" s="7"/>
      <c r="J223" s="7"/>
      <c r="L223" s="24" t="s">
        <v>1260</v>
      </c>
      <c r="M223" s="25" t="s">
        <v>1261</v>
      </c>
      <c r="N223" s="19"/>
      <c r="O223" s="19"/>
      <c r="P223" s="19"/>
      <c r="Q223" s="19"/>
      <c r="R223" s="19" t="s">
        <v>18</v>
      </c>
      <c r="V223" s="123"/>
    </row>
    <row r="224" spans="1:33" ht="21">
      <c r="A224" s="5" t="s">
        <v>1268</v>
      </c>
      <c r="B224" s="5" t="s">
        <v>1269</v>
      </c>
      <c r="C224" s="13"/>
      <c r="D224" s="13"/>
      <c r="E224" s="13"/>
      <c r="F224" s="13"/>
      <c r="G224" s="13" t="s">
        <v>18</v>
      </c>
      <c r="H224" s="7"/>
      <c r="I224" s="7"/>
      <c r="J224" s="7"/>
      <c r="L224" s="24" t="s">
        <v>1264</v>
      </c>
      <c r="M224" s="25" t="s">
        <v>1265</v>
      </c>
      <c r="N224" s="19"/>
      <c r="O224" s="19"/>
      <c r="P224" s="19"/>
      <c r="Q224" s="19"/>
      <c r="R224" s="19" t="s">
        <v>18</v>
      </c>
      <c r="V224" s="123"/>
    </row>
    <row r="225" spans="1:22" ht="21">
      <c r="A225" s="5" t="s">
        <v>1271</v>
      </c>
      <c r="B225" s="5" t="s">
        <v>1272</v>
      </c>
      <c r="C225" s="13"/>
      <c r="D225" s="13"/>
      <c r="E225" s="13"/>
      <c r="F225" s="13"/>
      <c r="G225" s="13" t="s">
        <v>18</v>
      </c>
      <c r="H225" s="7"/>
      <c r="I225" s="7"/>
      <c r="J225" s="7"/>
      <c r="L225" s="24" t="s">
        <v>583</v>
      </c>
      <c r="M225" s="25" t="s">
        <v>584</v>
      </c>
      <c r="N225" s="19"/>
      <c r="O225" s="19"/>
      <c r="P225" s="19"/>
      <c r="Q225" s="19"/>
      <c r="R225" s="19" t="s">
        <v>21</v>
      </c>
      <c r="S225" s="309" t="s">
        <v>3150</v>
      </c>
      <c r="T225" s="309" t="s">
        <v>3016</v>
      </c>
      <c r="V225" s="123"/>
    </row>
    <row r="226" spans="1:22" ht="21">
      <c r="A226" s="5" t="s">
        <v>1273</v>
      </c>
      <c r="B226" s="23" t="s">
        <v>1274</v>
      </c>
      <c r="C226" s="13"/>
      <c r="D226" s="13"/>
      <c r="E226" s="13"/>
      <c r="F226" s="13"/>
      <c r="G226" s="13" t="s">
        <v>18</v>
      </c>
      <c r="H226" s="7"/>
      <c r="I226" s="7"/>
      <c r="J226" s="7"/>
      <c r="L226" s="549" t="s">
        <v>1270</v>
      </c>
      <c r="M226" s="547"/>
      <c r="N226" s="548"/>
      <c r="O226" s="548"/>
      <c r="P226" s="548"/>
      <c r="Q226" s="548"/>
      <c r="R226" s="548"/>
      <c r="S226" s="597"/>
      <c r="T226" s="549"/>
      <c r="U226" s="597"/>
      <c r="V226" s="123"/>
    </row>
    <row r="227" spans="1:22" ht="21">
      <c r="A227" s="5" t="s">
        <v>1275</v>
      </c>
      <c r="B227" s="5" t="s">
        <v>939</v>
      </c>
      <c r="C227" s="13"/>
      <c r="D227" s="13"/>
      <c r="E227" s="13"/>
      <c r="F227" s="13"/>
      <c r="G227" s="13" t="s">
        <v>18</v>
      </c>
      <c r="H227" s="7"/>
      <c r="I227" s="7"/>
      <c r="J227" s="7"/>
      <c r="L227" s="598"/>
      <c r="M227" s="543"/>
      <c r="N227" s="543"/>
      <c r="O227" s="543"/>
      <c r="P227" s="543"/>
      <c r="Q227" s="543"/>
      <c r="R227" s="543"/>
      <c r="S227" s="597"/>
      <c r="T227" s="566"/>
      <c r="U227" s="597"/>
      <c r="V227" s="123"/>
    </row>
    <row r="228" spans="1:22" ht="21">
      <c r="A228" s="5" t="s">
        <v>1278</v>
      </c>
      <c r="B228" s="5" t="s">
        <v>1279</v>
      </c>
      <c r="C228" s="13"/>
      <c r="D228" s="13"/>
      <c r="E228" s="13"/>
      <c r="F228" s="13"/>
      <c r="G228" s="13" t="s">
        <v>18</v>
      </c>
      <c r="H228" s="7"/>
      <c r="I228" s="7"/>
      <c r="J228" s="7"/>
      <c r="L228" s="24" t="s">
        <v>1276</v>
      </c>
      <c r="M228" s="66" t="s">
        <v>1277</v>
      </c>
      <c r="N228" s="19"/>
      <c r="O228" s="19"/>
      <c r="P228" s="19"/>
      <c r="Q228" s="19"/>
      <c r="R228" s="19" t="s">
        <v>18</v>
      </c>
      <c r="T228" s="163"/>
      <c r="V228" s="123"/>
    </row>
    <row r="229" spans="1:22" ht="21">
      <c r="A229" s="5" t="s">
        <v>1282</v>
      </c>
      <c r="B229" s="5" t="s">
        <v>1283</v>
      </c>
      <c r="C229" s="13"/>
      <c r="D229" s="13"/>
      <c r="E229" s="13"/>
      <c r="F229" s="13"/>
      <c r="G229" s="13" t="s">
        <v>1567</v>
      </c>
      <c r="H229" s="7"/>
      <c r="I229" s="7">
        <v>1</v>
      </c>
      <c r="J229" s="7"/>
      <c r="L229" s="24" t="s">
        <v>1280</v>
      </c>
      <c r="M229" s="25" t="s">
        <v>1281</v>
      </c>
      <c r="N229" s="19"/>
      <c r="O229" s="19"/>
      <c r="P229" s="19"/>
      <c r="Q229" s="19"/>
      <c r="R229" s="19" t="s">
        <v>18</v>
      </c>
      <c r="S229" s="309" t="s">
        <v>3134</v>
      </c>
      <c r="V229" s="123"/>
    </row>
    <row r="230" spans="1:22" ht="21">
      <c r="A230" s="5" t="s">
        <v>1284</v>
      </c>
      <c r="B230" s="5" t="s">
        <v>1285</v>
      </c>
      <c r="C230" s="13"/>
      <c r="D230" s="13"/>
      <c r="E230" s="13"/>
      <c r="F230" s="13"/>
      <c r="G230" s="13" t="s">
        <v>1562</v>
      </c>
      <c r="H230" s="7" t="s">
        <v>3151</v>
      </c>
      <c r="I230" s="7"/>
      <c r="J230" s="7"/>
      <c r="L230" s="24" t="s">
        <v>893</v>
      </c>
      <c r="M230" s="25" t="s">
        <v>894</v>
      </c>
      <c r="N230" s="19"/>
      <c r="O230" s="19"/>
      <c r="P230" s="19"/>
      <c r="Q230" s="19"/>
      <c r="R230" s="19" t="s">
        <v>1567</v>
      </c>
      <c r="S230" s="309" t="s">
        <v>3152</v>
      </c>
      <c r="V230" s="123"/>
    </row>
    <row r="231" spans="1:22" ht="21">
      <c r="A231" s="5" t="s">
        <v>1288</v>
      </c>
      <c r="B231" s="23" t="s">
        <v>1129</v>
      </c>
      <c r="C231" s="13"/>
      <c r="D231" s="13"/>
      <c r="E231" s="13"/>
      <c r="F231" s="13"/>
      <c r="G231" s="13" t="s">
        <v>21</v>
      </c>
      <c r="H231" s="7"/>
      <c r="I231" s="7">
        <v>1</v>
      </c>
      <c r="J231" s="7"/>
      <c r="L231" s="24" t="s">
        <v>1286</v>
      </c>
      <c r="M231" s="25" t="s">
        <v>1287</v>
      </c>
      <c r="N231" s="19"/>
      <c r="O231" s="19"/>
      <c r="P231" s="19"/>
      <c r="Q231" s="19"/>
      <c r="R231" s="19" t="s">
        <v>18</v>
      </c>
      <c r="V231" s="123"/>
    </row>
    <row r="232" spans="1:22" ht="21">
      <c r="A232" s="5" t="s">
        <v>1290</v>
      </c>
      <c r="B232" s="23" t="s">
        <v>1158</v>
      </c>
      <c r="C232" s="13"/>
      <c r="D232" s="13"/>
      <c r="E232" s="13"/>
      <c r="F232" s="13"/>
      <c r="G232" s="13" t="s">
        <v>1567</v>
      </c>
      <c r="H232" s="7"/>
      <c r="I232" s="7"/>
      <c r="J232" s="7"/>
      <c r="L232" s="24" t="s">
        <v>1289</v>
      </c>
      <c r="M232" s="25" t="s">
        <v>598</v>
      </c>
      <c r="N232" s="19"/>
      <c r="O232" s="19"/>
      <c r="P232" s="19"/>
      <c r="Q232" s="19"/>
      <c r="R232" s="19" t="s">
        <v>18</v>
      </c>
      <c r="S232" s="309" t="s">
        <v>3153</v>
      </c>
      <c r="T232" s="309"/>
      <c r="V232" s="123"/>
    </row>
    <row r="233" spans="1:22" ht="21">
      <c r="A233" s="5" t="s">
        <v>1292</v>
      </c>
      <c r="B233" s="23" t="s">
        <v>1293</v>
      </c>
      <c r="C233" s="13"/>
      <c r="D233" s="13"/>
      <c r="E233" s="13"/>
      <c r="F233" s="13"/>
      <c r="G233" s="13" t="s">
        <v>18</v>
      </c>
      <c r="H233" s="7"/>
      <c r="I233" s="7"/>
      <c r="J233" s="7"/>
      <c r="L233" s="24" t="s">
        <v>955</v>
      </c>
      <c r="M233" s="25" t="s">
        <v>1291</v>
      </c>
      <c r="N233" s="19"/>
      <c r="O233" s="19"/>
      <c r="P233" s="19"/>
      <c r="Q233" s="19"/>
      <c r="R233" s="19" t="s">
        <v>28</v>
      </c>
      <c r="T233" s="7">
        <v>3</v>
      </c>
      <c r="V233" s="123"/>
    </row>
    <row r="234" spans="1:22" ht="21">
      <c r="A234" s="5" t="s">
        <v>1294</v>
      </c>
      <c r="B234" s="23" t="s">
        <v>1295</v>
      </c>
      <c r="C234" s="13"/>
      <c r="D234" s="13"/>
      <c r="E234" s="13"/>
      <c r="F234" s="13"/>
      <c r="G234" s="13" t="s">
        <v>18</v>
      </c>
      <c r="H234" s="7"/>
      <c r="I234" s="7"/>
      <c r="J234" s="7"/>
      <c r="L234" s="24" t="s">
        <v>936</v>
      </c>
      <c r="M234" s="25" t="s">
        <v>33</v>
      </c>
      <c r="N234" s="19"/>
      <c r="O234" s="19"/>
      <c r="P234" s="19"/>
      <c r="Q234" s="19"/>
      <c r="R234" s="19" t="s">
        <v>17</v>
      </c>
      <c r="T234" s="7">
        <v>3</v>
      </c>
      <c r="V234" s="123"/>
    </row>
    <row r="235" spans="1:22" ht="21">
      <c r="A235" s="5" t="s">
        <v>1297</v>
      </c>
      <c r="B235" s="5" t="s">
        <v>1298</v>
      </c>
      <c r="C235" s="13"/>
      <c r="D235" s="13"/>
      <c r="E235" s="13"/>
      <c r="F235" s="13"/>
      <c r="G235" s="13" t="s">
        <v>1562</v>
      </c>
      <c r="H235" s="7"/>
      <c r="I235" s="7"/>
      <c r="J235" s="7"/>
      <c r="L235" s="24" t="s">
        <v>1296</v>
      </c>
      <c r="M235" s="25" t="s">
        <v>501</v>
      </c>
      <c r="N235" s="19"/>
      <c r="O235" s="19"/>
      <c r="P235" s="19"/>
      <c r="Q235" s="19"/>
      <c r="R235" s="19" t="s">
        <v>18</v>
      </c>
      <c r="V235" s="123"/>
    </row>
    <row r="236" spans="1:22" ht="21">
      <c r="A236" s="5" t="s">
        <v>1301</v>
      </c>
      <c r="B236" s="5" t="s">
        <v>1302</v>
      </c>
      <c r="C236" s="13"/>
      <c r="D236" s="13"/>
      <c r="E236" s="13"/>
      <c r="F236" s="13"/>
      <c r="G236" s="13" t="s">
        <v>1562</v>
      </c>
      <c r="H236" s="7"/>
      <c r="I236" s="7"/>
      <c r="J236" s="7"/>
      <c r="L236" s="24" t="s">
        <v>1299</v>
      </c>
      <c r="M236" s="25" t="s">
        <v>1300</v>
      </c>
      <c r="N236" s="19"/>
      <c r="O236" s="19"/>
      <c r="P236" s="19"/>
      <c r="Q236" s="19"/>
      <c r="R236" s="19" t="s">
        <v>1562</v>
      </c>
      <c r="V236" s="123"/>
    </row>
    <row r="237" spans="1:22" ht="21">
      <c r="A237" s="5" t="s">
        <v>1305</v>
      </c>
      <c r="B237" s="5" t="s">
        <v>1306</v>
      </c>
      <c r="C237" s="13"/>
      <c r="D237" s="13"/>
      <c r="E237" s="13"/>
      <c r="F237" s="13"/>
      <c r="G237" s="13" t="s">
        <v>1562</v>
      </c>
      <c r="H237" s="7"/>
      <c r="I237" s="7"/>
      <c r="J237" s="7"/>
      <c r="L237" s="24" t="s">
        <v>1303</v>
      </c>
      <c r="M237" s="25" t="s">
        <v>1304</v>
      </c>
      <c r="N237" s="19"/>
      <c r="O237" s="19"/>
      <c r="P237" s="19"/>
      <c r="Q237" s="19"/>
      <c r="R237" s="19" t="s">
        <v>18</v>
      </c>
      <c r="V237" s="123"/>
    </row>
    <row r="238" spans="1:22" ht="21">
      <c r="A238" s="5" t="s">
        <v>1307</v>
      </c>
      <c r="B238" s="5" t="s">
        <v>1308</v>
      </c>
      <c r="C238" s="13"/>
      <c r="D238" s="13"/>
      <c r="E238" s="13"/>
      <c r="F238" s="13"/>
      <c r="G238" s="13" t="s">
        <v>18</v>
      </c>
      <c r="H238" s="7"/>
      <c r="I238" s="7"/>
      <c r="J238" s="7"/>
      <c r="L238" s="24" t="s">
        <v>948</v>
      </c>
      <c r="M238" s="25" t="s">
        <v>949</v>
      </c>
      <c r="N238" s="19"/>
      <c r="O238" s="19"/>
      <c r="P238" s="19"/>
      <c r="Q238" s="19"/>
      <c r="R238" s="19" t="s">
        <v>1567</v>
      </c>
      <c r="S238" s="309" t="s">
        <v>3154</v>
      </c>
      <c r="V238" s="123"/>
    </row>
    <row r="239" spans="1:22" ht="21">
      <c r="A239" s="5" t="s">
        <v>1310</v>
      </c>
      <c r="B239" s="5" t="s">
        <v>1085</v>
      </c>
      <c r="C239" s="13"/>
      <c r="D239" s="13"/>
      <c r="E239" s="13"/>
      <c r="F239" s="13"/>
      <c r="G239" s="13" t="s">
        <v>28</v>
      </c>
      <c r="H239" s="7"/>
      <c r="I239" s="7">
        <v>3</v>
      </c>
      <c r="J239" s="7"/>
      <c r="L239" s="24" t="s">
        <v>1309</v>
      </c>
      <c r="M239" s="25" t="s">
        <v>291</v>
      </c>
      <c r="N239" s="19"/>
      <c r="O239" s="19"/>
      <c r="P239" s="19"/>
      <c r="Q239" s="19"/>
      <c r="R239" s="19" t="s">
        <v>18</v>
      </c>
      <c r="S239" s="309" t="s">
        <v>3155</v>
      </c>
      <c r="V239" s="123"/>
    </row>
    <row r="240" spans="1:22" ht="21">
      <c r="A240" s="5" t="s">
        <v>1313</v>
      </c>
      <c r="B240" s="5" t="s">
        <v>1314</v>
      </c>
      <c r="C240" s="13"/>
      <c r="D240" s="13"/>
      <c r="E240" s="13"/>
      <c r="F240" s="13"/>
      <c r="G240" s="13" t="s">
        <v>18</v>
      </c>
      <c r="H240" s="7"/>
      <c r="I240" s="7"/>
      <c r="J240" s="7"/>
      <c r="L240" s="24" t="s">
        <v>1311</v>
      </c>
      <c r="M240" s="25" t="s">
        <v>1312</v>
      </c>
      <c r="N240" s="19"/>
      <c r="O240" s="19"/>
      <c r="P240" s="19"/>
      <c r="Q240" s="19"/>
      <c r="R240" s="19" t="s">
        <v>1562</v>
      </c>
      <c r="S240" s="309" t="s">
        <v>3156</v>
      </c>
      <c r="V240" s="123"/>
    </row>
    <row r="241" spans="1:22" ht="21">
      <c r="A241" s="5" t="s">
        <v>1315</v>
      </c>
      <c r="B241" s="5" t="s">
        <v>1316</v>
      </c>
      <c r="C241" s="13"/>
      <c r="D241" s="13"/>
      <c r="E241" s="13"/>
      <c r="F241" s="13"/>
      <c r="G241" s="13" t="s">
        <v>18</v>
      </c>
      <c r="H241" s="7"/>
      <c r="I241" s="7"/>
      <c r="J241" s="7"/>
      <c r="L241" s="24" t="s">
        <v>1021</v>
      </c>
      <c r="M241" s="25" t="s">
        <v>1022</v>
      </c>
      <c r="N241" s="19"/>
      <c r="O241" s="19"/>
      <c r="P241" s="19"/>
      <c r="Q241" s="19"/>
      <c r="R241" s="19" t="s">
        <v>28</v>
      </c>
      <c r="S241" s="309"/>
      <c r="T241" s="7">
        <v>3</v>
      </c>
      <c r="V241" s="123"/>
    </row>
    <row r="242" spans="1:22" ht="21">
      <c r="A242" s="5" t="s">
        <v>1319</v>
      </c>
      <c r="B242" s="5" t="s">
        <v>1320</v>
      </c>
      <c r="C242" s="13"/>
      <c r="D242" s="13"/>
      <c r="E242" s="13"/>
      <c r="F242" s="13"/>
      <c r="G242" s="13" t="s">
        <v>18</v>
      </c>
      <c r="H242" s="7"/>
      <c r="I242" s="7"/>
      <c r="J242" s="7"/>
      <c r="L242" s="24" t="s">
        <v>1317</v>
      </c>
      <c r="M242" s="25" t="s">
        <v>1318</v>
      </c>
      <c r="N242" s="19"/>
      <c r="O242" s="19"/>
      <c r="P242" s="19"/>
      <c r="Q242" s="19"/>
      <c r="R242" s="19" t="s">
        <v>1567</v>
      </c>
      <c r="S242" s="309" t="s">
        <v>3157</v>
      </c>
      <c r="V242" s="123"/>
    </row>
    <row r="243" spans="1:22" ht="21">
      <c r="A243" s="5" t="s">
        <v>1323</v>
      </c>
      <c r="B243" s="5" t="s">
        <v>1079</v>
      </c>
      <c r="C243" s="13"/>
      <c r="D243" s="13"/>
      <c r="E243" s="13"/>
      <c r="F243" s="13"/>
      <c r="G243" s="13" t="s">
        <v>1567</v>
      </c>
      <c r="H243" s="7"/>
      <c r="I243" s="7"/>
      <c r="J243" s="7"/>
      <c r="L243" s="24" t="s">
        <v>1321</v>
      </c>
      <c r="M243" s="25" t="s">
        <v>1322</v>
      </c>
      <c r="N243" s="19"/>
      <c r="O243" s="19"/>
      <c r="P243" s="19"/>
      <c r="Q243" s="19"/>
      <c r="R243" s="19" t="s">
        <v>1562</v>
      </c>
      <c r="S243" s="309" t="s">
        <v>3158</v>
      </c>
      <c r="V243" s="123"/>
    </row>
    <row r="244" spans="1:22" ht="21">
      <c r="A244" s="5" t="s">
        <v>1324</v>
      </c>
      <c r="B244" s="23" t="s">
        <v>1091</v>
      </c>
      <c r="C244" s="13"/>
      <c r="D244" s="13"/>
      <c r="E244" s="13"/>
      <c r="F244" s="13"/>
      <c r="G244" s="13" t="s">
        <v>1567</v>
      </c>
      <c r="H244" s="7"/>
      <c r="I244" s="7"/>
      <c r="J244" s="7"/>
      <c r="L244" s="24" t="s">
        <v>1000</v>
      </c>
      <c r="M244" s="25" t="s">
        <v>1001</v>
      </c>
      <c r="N244" s="19"/>
      <c r="O244" s="19"/>
      <c r="P244" s="19"/>
      <c r="Q244" s="19"/>
      <c r="R244" s="19" t="s">
        <v>1567</v>
      </c>
      <c r="S244" s="309" t="s">
        <v>3159</v>
      </c>
      <c r="V244" s="123"/>
    </row>
    <row r="245" spans="1:22" ht="21">
      <c r="A245" s="5" t="s">
        <v>1327</v>
      </c>
      <c r="B245" s="5" t="s">
        <v>726</v>
      </c>
      <c r="C245" s="13"/>
      <c r="D245" s="13"/>
      <c r="E245" s="13"/>
      <c r="F245" s="13"/>
      <c r="G245" s="13" t="s">
        <v>21</v>
      </c>
      <c r="H245" s="7"/>
      <c r="I245" s="7">
        <v>1</v>
      </c>
      <c r="J245" s="7"/>
      <c r="L245" s="24" t="s">
        <v>1325</v>
      </c>
      <c r="M245" s="25" t="s">
        <v>1326</v>
      </c>
      <c r="N245" s="19"/>
      <c r="O245" s="19"/>
      <c r="P245" s="19"/>
      <c r="Q245" s="19"/>
      <c r="R245" s="19" t="s">
        <v>18</v>
      </c>
      <c r="V245" s="123"/>
    </row>
    <row r="246" spans="1:22" ht="21">
      <c r="A246" s="5" t="s">
        <v>1330</v>
      </c>
      <c r="B246" s="5" t="s">
        <v>1102</v>
      </c>
      <c r="C246" s="13"/>
      <c r="D246" s="13"/>
      <c r="E246" s="13"/>
      <c r="F246" s="13"/>
      <c r="G246" s="19" t="s">
        <v>28</v>
      </c>
      <c r="H246" s="7"/>
      <c r="I246" s="7">
        <v>3</v>
      </c>
      <c r="J246" s="7"/>
      <c r="L246" s="24" t="s">
        <v>1328</v>
      </c>
      <c r="M246" s="25" t="s">
        <v>1329</v>
      </c>
      <c r="N246" s="19"/>
      <c r="O246" s="19"/>
      <c r="P246" s="19"/>
      <c r="Q246" s="19"/>
      <c r="R246" s="19" t="s">
        <v>1567</v>
      </c>
      <c r="V246" s="123"/>
    </row>
    <row r="247" spans="1:22" ht="21">
      <c r="A247" s="5" t="s">
        <v>1331</v>
      </c>
      <c r="B247" s="5" t="s">
        <v>1332</v>
      </c>
      <c r="C247" s="13"/>
      <c r="D247" s="13"/>
      <c r="E247" s="13"/>
      <c r="F247" s="13"/>
      <c r="G247" s="13" t="s">
        <v>18</v>
      </c>
      <c r="H247" s="7"/>
      <c r="I247" s="7"/>
      <c r="J247" s="7"/>
      <c r="L247" s="24" t="s">
        <v>988</v>
      </c>
      <c r="M247" s="25" t="s">
        <v>989</v>
      </c>
      <c r="N247" s="19"/>
      <c r="O247" s="19"/>
      <c r="P247" s="19"/>
      <c r="Q247" s="19"/>
      <c r="R247" s="19" t="s">
        <v>1567</v>
      </c>
      <c r="S247" s="309" t="s">
        <v>3160</v>
      </c>
      <c r="T247" s="7">
        <v>1</v>
      </c>
      <c r="V247" s="123"/>
    </row>
    <row r="248" spans="1:22" ht="21">
      <c r="A248" s="5" t="s">
        <v>1336</v>
      </c>
      <c r="B248" s="5" t="s">
        <v>1168</v>
      </c>
      <c r="C248" s="13"/>
      <c r="D248" s="13"/>
      <c r="E248" s="13"/>
      <c r="F248" s="13"/>
      <c r="G248" s="13" t="s">
        <v>21</v>
      </c>
      <c r="H248" s="7"/>
      <c r="I248" s="7">
        <v>1</v>
      </c>
      <c r="J248" s="7"/>
      <c r="L248" s="24" t="s">
        <v>1333</v>
      </c>
      <c r="M248" s="25" t="s">
        <v>1334</v>
      </c>
      <c r="N248" s="19"/>
      <c r="O248" s="19"/>
      <c r="P248" s="19"/>
      <c r="Q248" s="19"/>
      <c r="R248" s="19" t="s">
        <v>18</v>
      </c>
      <c r="V248" s="123"/>
    </row>
    <row r="249" spans="1:22" ht="21">
      <c r="A249" s="5" t="s">
        <v>1339</v>
      </c>
      <c r="B249" s="23" t="s">
        <v>1340</v>
      </c>
      <c r="C249" s="13"/>
      <c r="D249" s="13"/>
      <c r="E249" s="13"/>
      <c r="F249" s="13"/>
      <c r="G249" s="13" t="s">
        <v>1562</v>
      </c>
      <c r="H249" s="7"/>
      <c r="I249" s="7"/>
      <c r="J249" s="7"/>
      <c r="L249" s="24" t="s">
        <v>1337</v>
      </c>
      <c r="M249" s="25" t="s">
        <v>1338</v>
      </c>
      <c r="N249" s="19"/>
      <c r="O249" s="19"/>
      <c r="P249" s="19"/>
      <c r="Q249" s="19"/>
      <c r="R249" s="19" t="s">
        <v>18</v>
      </c>
      <c r="S249" s="309" t="s">
        <v>3161</v>
      </c>
      <c r="V249" s="123"/>
    </row>
    <row r="250" spans="1:22" ht="21">
      <c r="A250" s="5" t="s">
        <v>1343</v>
      </c>
      <c r="B250" s="5" t="s">
        <v>1063</v>
      </c>
      <c r="C250" s="13"/>
      <c r="D250" s="13"/>
      <c r="E250" s="13"/>
      <c r="F250" s="13"/>
      <c r="G250" s="13" t="s">
        <v>18</v>
      </c>
      <c r="H250" s="7"/>
      <c r="I250" s="7"/>
      <c r="J250" s="7"/>
      <c r="L250" s="24" t="s">
        <v>1341</v>
      </c>
      <c r="M250" s="25" t="s">
        <v>1342</v>
      </c>
      <c r="N250" s="19"/>
      <c r="O250" s="19"/>
      <c r="P250" s="19"/>
      <c r="Q250" s="19"/>
      <c r="R250" s="19" t="s">
        <v>1567</v>
      </c>
      <c r="V250" s="123"/>
    </row>
    <row r="251" spans="1:22" ht="21">
      <c r="A251" s="5" t="s">
        <v>1346</v>
      </c>
      <c r="B251" s="5" t="s">
        <v>1347</v>
      </c>
      <c r="C251" s="13"/>
      <c r="D251" s="13"/>
      <c r="E251" s="13"/>
      <c r="F251" s="13"/>
      <c r="G251" s="13" t="s">
        <v>1567</v>
      </c>
      <c r="H251" s="7"/>
      <c r="I251" s="7"/>
      <c r="J251" s="7"/>
      <c r="L251" s="24" t="s">
        <v>1344</v>
      </c>
      <c r="M251" s="25" t="s">
        <v>1345</v>
      </c>
      <c r="N251" s="19"/>
      <c r="O251" s="19"/>
      <c r="P251" s="19"/>
      <c r="Q251" s="19"/>
      <c r="R251" s="19" t="s">
        <v>18</v>
      </c>
      <c r="S251" s="309" t="s">
        <v>3162</v>
      </c>
      <c r="V251" s="123"/>
    </row>
    <row r="252" spans="1:22" ht="21">
      <c r="A252" s="5" t="s">
        <v>1350</v>
      </c>
      <c r="B252" s="5" t="s">
        <v>601</v>
      </c>
      <c r="C252" s="13"/>
      <c r="D252" s="13"/>
      <c r="E252" s="13"/>
      <c r="F252" s="13"/>
      <c r="G252" s="13" t="s">
        <v>1567</v>
      </c>
      <c r="H252" s="7"/>
      <c r="I252" s="7"/>
      <c r="J252" s="7"/>
      <c r="L252" s="24" t="s">
        <v>1348</v>
      </c>
      <c r="M252" s="25" t="s">
        <v>1349</v>
      </c>
      <c r="N252" s="19"/>
      <c r="O252" s="19"/>
      <c r="P252" s="19"/>
      <c r="Q252" s="19"/>
      <c r="R252" s="19" t="s">
        <v>1567</v>
      </c>
      <c r="S252" s="309" t="s">
        <v>3163</v>
      </c>
      <c r="V252" s="123"/>
    </row>
    <row r="253" spans="1:22" ht="21">
      <c r="A253" s="5" t="s">
        <v>1351</v>
      </c>
      <c r="B253" s="5" t="s">
        <v>1352</v>
      </c>
      <c r="C253" s="13"/>
      <c r="D253" s="13"/>
      <c r="E253" s="13"/>
      <c r="F253" s="13"/>
      <c r="G253" s="13" t="s">
        <v>18</v>
      </c>
      <c r="H253" s="7"/>
      <c r="I253" s="7"/>
      <c r="J253" s="7"/>
      <c r="L253" s="24" t="s">
        <v>927</v>
      </c>
      <c r="M253" s="25" t="s">
        <v>928</v>
      </c>
      <c r="N253" s="19"/>
      <c r="O253" s="19"/>
      <c r="P253" s="19"/>
      <c r="Q253" s="19"/>
      <c r="R253" s="19" t="s">
        <v>1567</v>
      </c>
      <c r="S253" s="309" t="s">
        <v>3164</v>
      </c>
      <c r="T253" s="7">
        <v>1</v>
      </c>
      <c r="V253" s="123"/>
    </row>
    <row r="254" spans="1:22" ht="21">
      <c r="A254" s="5" t="s">
        <v>1355</v>
      </c>
      <c r="B254" s="5" t="s">
        <v>1356</v>
      </c>
      <c r="C254" s="13"/>
      <c r="D254" s="13"/>
      <c r="E254" s="13"/>
      <c r="F254" s="13"/>
      <c r="G254" s="13" t="s">
        <v>18</v>
      </c>
      <c r="H254" s="7"/>
      <c r="I254" s="7"/>
      <c r="J254" s="7"/>
      <c r="L254" s="24" t="s">
        <v>1353</v>
      </c>
      <c r="M254" s="25" t="s">
        <v>1354</v>
      </c>
      <c r="N254" s="19"/>
      <c r="O254" s="19"/>
      <c r="P254" s="19"/>
      <c r="Q254" s="19"/>
      <c r="R254" s="19" t="s">
        <v>18</v>
      </c>
      <c r="V254" s="123"/>
    </row>
    <row r="255" spans="1:22" ht="21">
      <c r="A255" s="5" t="s">
        <v>1357</v>
      </c>
      <c r="B255" s="5" t="s">
        <v>1358</v>
      </c>
      <c r="C255" s="13"/>
      <c r="D255" s="13"/>
      <c r="E255" s="13"/>
      <c r="F255" s="13"/>
      <c r="G255" s="13" t="s">
        <v>18</v>
      </c>
      <c r="H255" s="7"/>
      <c r="I255" s="7"/>
      <c r="J255" s="7"/>
      <c r="L255" s="24" t="s">
        <v>886</v>
      </c>
      <c r="M255" s="25" t="s">
        <v>887</v>
      </c>
      <c r="N255" s="19"/>
      <c r="O255" s="19"/>
      <c r="P255" s="19"/>
      <c r="Q255" s="19"/>
      <c r="R255" s="19" t="s">
        <v>21</v>
      </c>
      <c r="S255" s="309" t="s">
        <v>3165</v>
      </c>
      <c r="T255" s="7">
        <v>1</v>
      </c>
      <c r="V255" s="123"/>
    </row>
    <row r="256" spans="1:22" ht="21">
      <c r="A256" s="5" t="s">
        <v>1361</v>
      </c>
      <c r="B256" s="23" t="s">
        <v>1097</v>
      </c>
      <c r="C256" s="13"/>
      <c r="D256" s="13"/>
      <c r="E256" s="13"/>
      <c r="F256" s="13"/>
      <c r="G256" s="13" t="s">
        <v>1567</v>
      </c>
      <c r="H256" s="7"/>
      <c r="I256" s="7">
        <v>1</v>
      </c>
      <c r="J256" s="7"/>
      <c r="L256" s="24" t="s">
        <v>1359</v>
      </c>
      <c r="M256" s="25" t="s">
        <v>1360</v>
      </c>
      <c r="N256" s="19"/>
      <c r="O256" s="19"/>
      <c r="P256" s="19"/>
      <c r="Q256" s="19"/>
      <c r="R256" s="19" t="s">
        <v>18</v>
      </c>
      <c r="S256" s="309" t="s">
        <v>3166</v>
      </c>
      <c r="V256" s="123"/>
    </row>
    <row r="257" spans="1:22" ht="21">
      <c r="A257" s="5" t="s">
        <v>1364</v>
      </c>
      <c r="B257" s="5" t="s">
        <v>1117</v>
      </c>
      <c r="C257" s="13"/>
      <c r="D257" s="13"/>
      <c r="E257" s="13"/>
      <c r="F257" s="13"/>
      <c r="G257" s="13" t="s">
        <v>21</v>
      </c>
      <c r="H257" s="7"/>
      <c r="I257" s="7">
        <v>1</v>
      </c>
      <c r="J257" s="7"/>
      <c r="L257" s="24" t="s">
        <v>1362</v>
      </c>
      <c r="M257" s="25" t="s">
        <v>1363</v>
      </c>
      <c r="N257" s="19"/>
      <c r="O257" s="19"/>
      <c r="P257" s="19"/>
      <c r="Q257" s="19"/>
      <c r="R257" s="19" t="s">
        <v>18</v>
      </c>
      <c r="V257" s="123"/>
    </row>
    <row r="258" spans="1:22" ht="21">
      <c r="A258" s="5" t="s">
        <v>1367</v>
      </c>
      <c r="B258" s="5" t="s">
        <v>1368</v>
      </c>
      <c r="C258" s="13"/>
      <c r="D258" s="13"/>
      <c r="E258" s="13"/>
      <c r="F258" s="13"/>
      <c r="G258" s="13" t="s">
        <v>18</v>
      </c>
      <c r="H258" s="7"/>
      <c r="I258" s="7"/>
      <c r="J258" s="7"/>
      <c r="L258" s="24" t="s">
        <v>1365</v>
      </c>
      <c r="M258" s="25" t="s">
        <v>1366</v>
      </c>
      <c r="N258" s="19"/>
      <c r="O258" s="19"/>
      <c r="P258" s="19"/>
      <c r="Q258" s="19"/>
      <c r="R258" s="19" t="s">
        <v>1562</v>
      </c>
      <c r="V258" s="123"/>
    </row>
    <row r="259" spans="1:22" ht="21">
      <c r="A259" s="5" t="s">
        <v>1369</v>
      </c>
      <c r="B259" s="5" t="s">
        <v>1370</v>
      </c>
      <c r="C259" s="13"/>
      <c r="D259" s="13"/>
      <c r="E259" s="13"/>
      <c r="F259" s="13"/>
      <c r="G259" s="13" t="s">
        <v>1562</v>
      </c>
      <c r="H259" s="7"/>
      <c r="I259" s="7"/>
      <c r="J259" s="7"/>
      <c r="L259" s="24" t="s">
        <v>979</v>
      </c>
      <c r="M259" s="25" t="s">
        <v>980</v>
      </c>
      <c r="N259" s="19"/>
      <c r="O259" s="19"/>
      <c r="P259" s="19"/>
      <c r="Q259" s="19"/>
      <c r="R259" s="19" t="s">
        <v>1567</v>
      </c>
      <c r="T259" s="7">
        <v>1</v>
      </c>
      <c r="V259" s="123"/>
    </row>
    <row r="260" spans="1:22" ht="21">
      <c r="A260" s="5" t="s">
        <v>1373</v>
      </c>
      <c r="B260" s="5" t="s">
        <v>1180</v>
      </c>
      <c r="C260" s="13"/>
      <c r="D260" s="13"/>
      <c r="E260" s="13"/>
      <c r="F260" s="13"/>
      <c r="G260" s="13" t="s">
        <v>28</v>
      </c>
      <c r="H260" s="7"/>
      <c r="I260" s="7">
        <v>3</v>
      </c>
      <c r="J260" s="7"/>
      <c r="L260" s="24" t="s">
        <v>1371</v>
      </c>
      <c r="M260" s="25" t="s">
        <v>1372</v>
      </c>
      <c r="N260" s="19"/>
      <c r="O260" s="19"/>
      <c r="P260" s="19"/>
      <c r="Q260" s="19"/>
      <c r="R260" s="19" t="s">
        <v>18</v>
      </c>
      <c r="V260" s="123"/>
    </row>
    <row r="261" spans="1:22" ht="21">
      <c r="A261" s="5" t="s">
        <v>1376</v>
      </c>
      <c r="B261" s="5" t="s">
        <v>1143</v>
      </c>
      <c r="C261" s="13"/>
      <c r="D261" s="13"/>
      <c r="E261" s="13"/>
      <c r="F261" s="13"/>
      <c r="G261" s="13" t="s">
        <v>1567</v>
      </c>
      <c r="H261" s="7"/>
      <c r="I261" s="7">
        <v>1</v>
      </c>
      <c r="J261" s="7"/>
      <c r="L261" s="24" t="s">
        <v>1374</v>
      </c>
      <c r="M261" s="25" t="s">
        <v>1375</v>
      </c>
      <c r="N261" s="19"/>
      <c r="O261" s="19"/>
      <c r="P261" s="19"/>
      <c r="Q261" s="19"/>
      <c r="R261" s="19" t="s">
        <v>1562</v>
      </c>
      <c r="V261" s="123"/>
    </row>
    <row r="262" spans="1:22" ht="21">
      <c r="A262" s="5" t="s">
        <v>1379</v>
      </c>
      <c r="B262" s="5" t="s">
        <v>1380</v>
      </c>
      <c r="C262" s="13"/>
      <c r="D262" s="13"/>
      <c r="E262" s="13"/>
      <c r="F262" s="13"/>
      <c r="G262" s="13" t="s">
        <v>18</v>
      </c>
      <c r="H262" s="7"/>
      <c r="I262" s="7"/>
      <c r="J262" s="7"/>
      <c r="L262" s="24" t="s">
        <v>1377</v>
      </c>
      <c r="M262" s="25" t="s">
        <v>1378</v>
      </c>
      <c r="N262" s="19"/>
      <c r="O262" s="19"/>
      <c r="P262" s="19"/>
      <c r="Q262" s="19"/>
      <c r="R262" s="19" t="s">
        <v>18</v>
      </c>
      <c r="V262" s="123"/>
    </row>
    <row r="263" spans="1:22" ht="21">
      <c r="A263" s="5" t="s">
        <v>1381</v>
      </c>
      <c r="B263" s="5" t="s">
        <v>1039</v>
      </c>
      <c r="C263" s="13"/>
      <c r="D263" s="13"/>
      <c r="E263" s="13"/>
      <c r="F263" s="13"/>
      <c r="G263" s="13" t="s">
        <v>18</v>
      </c>
      <c r="H263" s="7"/>
      <c r="I263" s="7"/>
      <c r="J263" s="7"/>
      <c r="L263" s="24" t="s">
        <v>1027</v>
      </c>
      <c r="M263" s="25" t="s">
        <v>1028</v>
      </c>
      <c r="N263" s="19"/>
      <c r="O263" s="19"/>
      <c r="P263" s="19"/>
      <c r="Q263" s="19"/>
      <c r="R263" s="19" t="s">
        <v>21</v>
      </c>
      <c r="S263" s="309" t="s">
        <v>3167</v>
      </c>
      <c r="T263" s="7">
        <v>1</v>
      </c>
      <c r="V263" s="123"/>
    </row>
    <row r="264" spans="1:22" ht="21">
      <c r="A264" s="5" t="s">
        <v>1382</v>
      </c>
      <c r="B264" s="5" t="s">
        <v>1213</v>
      </c>
      <c r="C264" s="13"/>
      <c r="D264" s="13"/>
      <c r="E264" s="13"/>
      <c r="F264" s="13"/>
      <c r="G264" s="13" t="s">
        <v>21</v>
      </c>
      <c r="H264" s="7"/>
      <c r="I264" s="7">
        <v>1</v>
      </c>
      <c r="J264" s="7"/>
      <c r="L264" s="24" t="s">
        <v>962</v>
      </c>
      <c r="M264" s="25" t="s">
        <v>963</v>
      </c>
      <c r="N264" s="19"/>
      <c r="O264" s="19"/>
      <c r="P264" s="19"/>
      <c r="Q264" s="19"/>
      <c r="R264" s="19" t="s">
        <v>21</v>
      </c>
      <c r="S264" s="309" t="s">
        <v>3168</v>
      </c>
      <c r="T264" s="7">
        <v>1</v>
      </c>
      <c r="V264" s="123"/>
    </row>
    <row r="265" spans="1:22" ht="21">
      <c r="A265" s="5" t="s">
        <v>1383</v>
      </c>
      <c r="B265" s="5" t="s">
        <v>1384</v>
      </c>
      <c r="C265" s="13"/>
      <c r="D265" s="13"/>
      <c r="E265" s="13"/>
      <c r="F265" s="13"/>
      <c r="G265" s="13" t="s">
        <v>18</v>
      </c>
      <c r="H265" s="7"/>
      <c r="I265" s="7"/>
      <c r="J265" s="7"/>
      <c r="L265" s="24" t="s">
        <v>994</v>
      </c>
      <c r="M265" s="25" t="s">
        <v>995</v>
      </c>
      <c r="N265" s="19"/>
      <c r="O265" s="19"/>
      <c r="P265" s="19"/>
      <c r="Q265" s="19"/>
      <c r="R265" s="19" t="s">
        <v>21</v>
      </c>
      <c r="S265" s="309" t="s">
        <v>3169</v>
      </c>
      <c r="T265" s="7">
        <v>1</v>
      </c>
      <c r="V265" s="123"/>
    </row>
    <row r="266" spans="1:22" ht="21">
      <c r="L266" s="24" t="s">
        <v>1385</v>
      </c>
      <c r="M266" s="25" t="s">
        <v>1386</v>
      </c>
      <c r="N266" s="19"/>
      <c r="O266" s="19"/>
      <c r="P266" s="19"/>
      <c r="Q266" s="19"/>
      <c r="R266" s="19" t="s">
        <v>1567</v>
      </c>
      <c r="V266" s="123"/>
    </row>
    <row r="267" spans="1:22" ht="21">
      <c r="L267" s="24" t="s">
        <v>903</v>
      </c>
      <c r="M267" s="25" t="s">
        <v>904</v>
      </c>
      <c r="N267" s="19"/>
      <c r="O267" s="19"/>
      <c r="P267" s="19"/>
      <c r="Q267" s="19"/>
      <c r="R267" s="19" t="s">
        <v>1567</v>
      </c>
      <c r="S267" s="309" t="s">
        <v>3170</v>
      </c>
      <c r="V267" s="123"/>
    </row>
    <row r="268" spans="1:22" ht="21">
      <c r="L268" s="24" t="s">
        <v>1387</v>
      </c>
      <c r="M268" s="25" t="s">
        <v>1388</v>
      </c>
      <c r="N268" s="19"/>
      <c r="O268" s="19"/>
      <c r="P268" s="19"/>
      <c r="Q268" s="19"/>
      <c r="R268" s="19" t="s">
        <v>1567</v>
      </c>
      <c r="V268" s="123"/>
    </row>
    <row r="269" spans="1:22" ht="21">
      <c r="L269" s="24" t="s">
        <v>1389</v>
      </c>
      <c r="M269" s="25" t="s">
        <v>1390</v>
      </c>
      <c r="N269" s="19"/>
      <c r="O269" s="19"/>
      <c r="P269" s="19"/>
      <c r="Q269" s="19"/>
      <c r="R269" s="19" t="s">
        <v>18</v>
      </c>
      <c r="V269" s="123"/>
    </row>
    <row r="270" spans="1:22" ht="21">
      <c r="L270" s="24" t="s">
        <v>879</v>
      </c>
      <c r="M270" s="25" t="s">
        <v>880</v>
      </c>
      <c r="N270" s="19"/>
      <c r="O270" s="19"/>
      <c r="P270" s="19"/>
      <c r="Q270" s="19"/>
      <c r="R270" s="19" t="s">
        <v>18</v>
      </c>
      <c r="S270" s="309" t="s">
        <v>3171</v>
      </c>
      <c r="V270" s="123"/>
    </row>
    <row r="271" spans="1:22" ht="21">
      <c r="L271" s="24" t="s">
        <v>1391</v>
      </c>
      <c r="M271" s="25" t="s">
        <v>1392</v>
      </c>
      <c r="N271" s="19"/>
      <c r="O271" s="19"/>
      <c r="P271" s="19"/>
      <c r="Q271" s="19"/>
      <c r="R271" s="19" t="s">
        <v>21</v>
      </c>
      <c r="S271" s="309"/>
      <c r="T271" s="7">
        <v>1</v>
      </c>
      <c r="V271" s="123"/>
    </row>
    <row r="272" spans="1:22" ht="21">
      <c r="L272" s="24" t="s">
        <v>1393</v>
      </c>
      <c r="M272" s="25" t="s">
        <v>215</v>
      </c>
      <c r="N272" s="19"/>
      <c r="O272" s="19"/>
      <c r="P272" s="19"/>
      <c r="Q272" s="19"/>
      <c r="R272" s="19" t="s">
        <v>18</v>
      </c>
      <c r="V272" s="123"/>
    </row>
    <row r="273" spans="12:22" ht="21">
      <c r="L273" s="24" t="s">
        <v>1007</v>
      </c>
      <c r="M273" s="25" t="s">
        <v>1008</v>
      </c>
      <c r="N273" s="19"/>
      <c r="O273" s="19"/>
      <c r="P273" s="19"/>
      <c r="Q273" s="19"/>
      <c r="R273" s="19" t="s">
        <v>1562</v>
      </c>
      <c r="S273" s="309" t="s">
        <v>3038</v>
      </c>
      <c r="V273" s="123"/>
    </row>
    <row r="274" spans="12:22" ht="21">
      <c r="L274" s="549" t="s">
        <v>1394</v>
      </c>
      <c r="M274" s="547"/>
      <c r="N274" s="548"/>
      <c r="O274" s="548"/>
      <c r="P274" s="548"/>
      <c r="Q274" s="548"/>
      <c r="R274" s="548"/>
      <c r="S274" s="597"/>
      <c r="T274" s="549"/>
      <c r="U274" s="597"/>
      <c r="V274" s="123"/>
    </row>
    <row r="275" spans="12:22" ht="21">
      <c r="L275" s="598"/>
      <c r="M275" s="543"/>
      <c r="N275" s="543"/>
      <c r="O275" s="543"/>
      <c r="P275" s="543"/>
      <c r="Q275" s="543"/>
      <c r="R275" s="543"/>
      <c r="S275" s="597"/>
      <c r="T275" s="566"/>
      <c r="U275" s="597"/>
      <c r="V275" s="123"/>
    </row>
    <row r="276" spans="12:22" ht="21">
      <c r="L276" s="24" t="s">
        <v>1395</v>
      </c>
      <c r="M276" s="66" t="s">
        <v>1396</v>
      </c>
      <c r="N276" s="19"/>
      <c r="O276" s="19"/>
      <c r="P276" s="19"/>
      <c r="Q276" s="19"/>
      <c r="R276" s="19" t="s">
        <v>18</v>
      </c>
      <c r="T276" s="163"/>
      <c r="V276" s="123"/>
    </row>
    <row r="277" spans="12:22" ht="21">
      <c r="L277" s="24" t="s">
        <v>1221</v>
      </c>
      <c r="M277" s="25" t="s">
        <v>1222</v>
      </c>
      <c r="N277" s="19"/>
      <c r="O277" s="19"/>
      <c r="P277" s="19"/>
      <c r="Q277" s="19"/>
      <c r="R277" s="19" t="s">
        <v>18</v>
      </c>
      <c r="V277" s="123"/>
    </row>
    <row r="278" spans="12:22" ht="21">
      <c r="L278" s="24" t="s">
        <v>1235</v>
      </c>
      <c r="M278" s="25" t="s">
        <v>1236</v>
      </c>
      <c r="N278" s="19"/>
      <c r="O278" s="19"/>
      <c r="P278" s="19"/>
      <c r="Q278" s="19"/>
      <c r="R278" s="19" t="s">
        <v>21</v>
      </c>
      <c r="T278" s="11">
        <v>1</v>
      </c>
      <c r="V278" s="123"/>
    </row>
    <row r="279" spans="12:22" ht="21">
      <c r="L279" s="24" t="s">
        <v>1397</v>
      </c>
      <c r="M279" s="25" t="s">
        <v>1398</v>
      </c>
      <c r="N279" s="19"/>
      <c r="O279" s="19"/>
      <c r="P279" s="19"/>
      <c r="Q279" s="19"/>
      <c r="R279" s="19" t="s">
        <v>1567</v>
      </c>
      <c r="T279" s="11"/>
      <c r="V279" s="123"/>
    </row>
    <row r="280" spans="12:22" ht="21">
      <c r="L280" s="24" t="s">
        <v>1106</v>
      </c>
      <c r="M280" s="25" t="s">
        <v>1107</v>
      </c>
      <c r="N280" s="19"/>
      <c r="O280" s="19"/>
      <c r="P280" s="19"/>
      <c r="Q280" s="19"/>
      <c r="R280" s="19" t="s">
        <v>18</v>
      </c>
      <c r="V280" s="123"/>
    </row>
    <row r="281" spans="12:22" ht="21">
      <c r="L281" s="24" t="s">
        <v>1399</v>
      </c>
      <c r="M281" s="25" t="s">
        <v>1400</v>
      </c>
      <c r="N281" s="19"/>
      <c r="O281" s="19"/>
      <c r="P281" s="19"/>
      <c r="Q281" s="19"/>
      <c r="R281" s="19" t="s">
        <v>18</v>
      </c>
      <c r="V281" s="123"/>
    </row>
    <row r="282" spans="12:22" ht="21">
      <c r="L282" s="24" t="s">
        <v>1135</v>
      </c>
      <c r="M282" s="25" t="s">
        <v>1136</v>
      </c>
      <c r="N282" s="19"/>
      <c r="O282" s="19"/>
      <c r="P282" s="19"/>
      <c r="Q282" s="19"/>
      <c r="R282" s="19" t="s">
        <v>1567</v>
      </c>
      <c r="T282" s="309" t="s">
        <v>1554</v>
      </c>
      <c r="V282" s="123"/>
    </row>
    <row r="283" spans="12:22" ht="21">
      <c r="L283" s="24" t="s">
        <v>1401</v>
      </c>
      <c r="M283" s="25" t="s">
        <v>1402</v>
      </c>
      <c r="N283" s="19"/>
      <c r="O283" s="19"/>
      <c r="P283" s="19"/>
      <c r="Q283" s="19"/>
      <c r="R283" s="19" t="s">
        <v>1567</v>
      </c>
      <c r="T283" s="11"/>
      <c r="V283" s="123"/>
    </row>
    <row r="284" spans="12:22" ht="21">
      <c r="L284" s="24" t="s">
        <v>1403</v>
      </c>
      <c r="M284" s="25" t="s">
        <v>1404</v>
      </c>
      <c r="N284" s="19"/>
      <c r="O284" s="19"/>
      <c r="P284" s="19"/>
      <c r="Q284" s="19"/>
      <c r="R284" s="19" t="s">
        <v>18</v>
      </c>
      <c r="V284" s="123"/>
    </row>
    <row r="285" spans="12:22" ht="21">
      <c r="L285" s="24" t="s">
        <v>1405</v>
      </c>
      <c r="M285" s="25" t="s">
        <v>1406</v>
      </c>
      <c r="N285" s="19"/>
      <c r="O285" s="19"/>
      <c r="P285" s="19"/>
      <c r="Q285" s="19"/>
      <c r="R285" s="19" t="s">
        <v>18</v>
      </c>
      <c r="V285" s="123"/>
    </row>
    <row r="286" spans="12:22" ht="21">
      <c r="L286" s="24" t="s">
        <v>1407</v>
      </c>
      <c r="M286" s="25" t="s">
        <v>1408</v>
      </c>
      <c r="N286" s="19"/>
      <c r="O286" s="19"/>
      <c r="P286" s="19"/>
      <c r="Q286" s="19"/>
      <c r="R286" s="19" t="s">
        <v>18</v>
      </c>
      <c r="S286" s="309" t="s">
        <v>3172</v>
      </c>
      <c r="V286" s="123"/>
    </row>
    <row r="287" spans="12:22" ht="21">
      <c r="L287" s="24" t="s">
        <v>1153</v>
      </c>
      <c r="M287" s="25" t="s">
        <v>1154</v>
      </c>
      <c r="N287" s="19"/>
      <c r="O287" s="19"/>
      <c r="P287" s="19"/>
      <c r="Q287" s="19"/>
      <c r="R287" s="19" t="s">
        <v>28</v>
      </c>
      <c r="T287" s="11">
        <v>3</v>
      </c>
      <c r="V287" s="123"/>
    </row>
    <row r="288" spans="12:22" ht="21">
      <c r="L288" s="24" t="s">
        <v>1409</v>
      </c>
      <c r="M288" s="25">
        <v>7</v>
      </c>
      <c r="N288" s="19"/>
      <c r="O288" s="19"/>
      <c r="P288" s="19"/>
      <c r="Q288" s="19"/>
      <c r="R288" s="19" t="s">
        <v>18</v>
      </c>
      <c r="V288" s="123"/>
    </row>
    <row r="289" spans="12:22" ht="21">
      <c r="L289" s="24" t="s">
        <v>1186</v>
      </c>
      <c r="M289" s="25" t="s">
        <v>1187</v>
      </c>
      <c r="N289" s="19"/>
      <c r="O289" s="19"/>
      <c r="P289" s="19"/>
      <c r="Q289" s="19"/>
      <c r="R289" s="19" t="s">
        <v>1567</v>
      </c>
      <c r="T289" s="11">
        <v>1</v>
      </c>
      <c r="V289" s="123"/>
    </row>
    <row r="290" spans="12:22" ht="21">
      <c r="L290" s="24" t="s">
        <v>1044</v>
      </c>
      <c r="M290" s="25" t="s">
        <v>1410</v>
      </c>
      <c r="N290" s="19"/>
      <c r="O290" s="19"/>
      <c r="P290" s="19"/>
      <c r="Q290" s="19"/>
      <c r="R290" s="19" t="s">
        <v>18</v>
      </c>
      <c r="V290" s="123"/>
    </row>
    <row r="291" spans="12:22" ht="21">
      <c r="L291" s="24" t="s">
        <v>1411</v>
      </c>
      <c r="M291" s="25" t="s">
        <v>1412</v>
      </c>
      <c r="N291" s="19"/>
      <c r="O291" s="19"/>
      <c r="P291" s="19"/>
      <c r="Q291" s="19"/>
      <c r="R291" s="19" t="s">
        <v>18</v>
      </c>
      <c r="V291" s="123"/>
    </row>
    <row r="292" spans="12:22" ht="21">
      <c r="L292" s="24" t="s">
        <v>1173</v>
      </c>
      <c r="M292" s="25" t="s">
        <v>1174</v>
      </c>
      <c r="N292" s="19"/>
      <c r="O292" s="19"/>
      <c r="P292" s="19"/>
      <c r="Q292" s="19"/>
      <c r="R292" s="19" t="s">
        <v>1567</v>
      </c>
      <c r="S292" s="309"/>
      <c r="T292" s="11">
        <v>1</v>
      </c>
      <c r="V292" s="123"/>
    </row>
    <row r="293" spans="12:22" ht="21">
      <c r="L293" s="24" t="s">
        <v>1413</v>
      </c>
      <c r="M293" s="25" t="s">
        <v>1414</v>
      </c>
      <c r="N293" s="19"/>
      <c r="O293" s="19"/>
      <c r="P293" s="19"/>
      <c r="Q293" s="19"/>
      <c r="R293" s="19" t="s">
        <v>18</v>
      </c>
      <c r="V293" s="123"/>
    </row>
    <row r="294" spans="12:22" ht="21">
      <c r="L294" s="24" t="s">
        <v>1415</v>
      </c>
      <c r="M294" s="25" t="s">
        <v>1416</v>
      </c>
      <c r="N294" s="19"/>
      <c r="O294" s="19"/>
      <c r="P294" s="19"/>
      <c r="Q294" s="19"/>
      <c r="R294" s="19" t="s">
        <v>18</v>
      </c>
      <c r="V294" s="123"/>
    </row>
    <row r="295" spans="12:22" ht="21">
      <c r="L295" s="24" t="s">
        <v>1068</v>
      </c>
      <c r="M295" s="25" t="s">
        <v>726</v>
      </c>
      <c r="N295" s="19"/>
      <c r="O295" s="19"/>
      <c r="P295" s="19"/>
      <c r="Q295" s="19"/>
      <c r="R295" s="19" t="s">
        <v>28</v>
      </c>
      <c r="T295" s="7">
        <v>1</v>
      </c>
      <c r="V295" s="123"/>
    </row>
    <row r="296" spans="12:22" ht="21">
      <c r="L296" s="24" t="s">
        <v>1417</v>
      </c>
      <c r="M296" s="25" t="s">
        <v>1418</v>
      </c>
      <c r="N296" s="19"/>
      <c r="O296" s="19"/>
      <c r="P296" s="19"/>
      <c r="Q296" s="19"/>
      <c r="R296" s="19" t="s">
        <v>18</v>
      </c>
      <c r="V296" s="123"/>
    </row>
    <row r="297" spans="12:22" ht="21">
      <c r="L297" s="24" t="s">
        <v>1419</v>
      </c>
      <c r="M297" s="25" t="s">
        <v>1420</v>
      </c>
      <c r="N297" s="19"/>
      <c r="O297" s="19"/>
      <c r="P297" s="19"/>
      <c r="Q297" s="19"/>
      <c r="R297" s="19" t="s">
        <v>18</v>
      </c>
      <c r="V297" s="123"/>
    </row>
    <row r="298" spans="12:22" ht="21">
      <c r="L298" s="24" t="s">
        <v>1421</v>
      </c>
      <c r="M298" s="25" t="s">
        <v>1422</v>
      </c>
      <c r="N298" s="19"/>
      <c r="O298" s="19"/>
      <c r="P298" s="19"/>
      <c r="Q298" s="19"/>
      <c r="R298" s="19" t="s">
        <v>18</v>
      </c>
      <c r="V298" s="123"/>
    </row>
    <row r="299" spans="12:22" ht="21">
      <c r="L299" s="24" t="s">
        <v>1051</v>
      </c>
      <c r="M299" s="25" t="s">
        <v>1052</v>
      </c>
      <c r="N299" s="19"/>
      <c r="O299" s="19"/>
      <c r="P299" s="19"/>
      <c r="Q299" s="19"/>
      <c r="R299" s="19" t="s">
        <v>28</v>
      </c>
      <c r="T299" s="7">
        <v>3</v>
      </c>
      <c r="V299" s="123"/>
    </row>
    <row r="300" spans="12:22" ht="21">
      <c r="L300" s="24" t="s">
        <v>1062</v>
      </c>
      <c r="M300" s="25" t="s">
        <v>1063</v>
      </c>
      <c r="N300" s="19"/>
      <c r="O300" s="19"/>
      <c r="P300" s="19"/>
      <c r="Q300" s="19"/>
      <c r="R300" s="19" t="s">
        <v>28</v>
      </c>
      <c r="T300" s="7">
        <v>1</v>
      </c>
      <c r="V300" s="123"/>
    </row>
    <row r="301" spans="12:22" ht="21">
      <c r="L301" s="24" t="s">
        <v>1423</v>
      </c>
      <c r="M301" s="25" t="s">
        <v>1424</v>
      </c>
      <c r="N301" s="19"/>
      <c r="O301" s="19"/>
      <c r="P301" s="19"/>
      <c r="Q301" s="19"/>
      <c r="R301" s="19" t="s">
        <v>18</v>
      </c>
      <c r="V301" s="123"/>
    </row>
    <row r="302" spans="12:22" ht="21">
      <c r="L302" s="24" t="s">
        <v>1425</v>
      </c>
      <c r="M302" s="25" t="s">
        <v>1426</v>
      </c>
      <c r="N302" s="19"/>
      <c r="O302" s="19"/>
      <c r="P302" s="19"/>
      <c r="Q302" s="19"/>
      <c r="R302" s="19" t="s">
        <v>18</v>
      </c>
      <c r="V302" s="123"/>
    </row>
    <row r="303" spans="12:22" ht="21">
      <c r="L303" s="24" t="s">
        <v>1195</v>
      </c>
      <c r="M303" s="25" t="s">
        <v>1196</v>
      </c>
      <c r="N303" s="19"/>
      <c r="O303" s="19"/>
      <c r="P303" s="19"/>
      <c r="Q303" s="19"/>
      <c r="R303" s="19" t="s">
        <v>18</v>
      </c>
      <c r="S303" s="309"/>
      <c r="V303" s="123"/>
    </row>
    <row r="304" spans="12:22" ht="21">
      <c r="L304" s="24" t="s">
        <v>1427</v>
      </c>
      <c r="M304" s="25" t="s">
        <v>1428</v>
      </c>
      <c r="N304" s="19"/>
      <c r="O304" s="19"/>
      <c r="P304" s="19"/>
      <c r="Q304" s="19"/>
      <c r="R304" s="19" t="s">
        <v>1567</v>
      </c>
      <c r="T304" s="7">
        <v>1</v>
      </c>
      <c r="V304" s="123"/>
    </row>
    <row r="305" spans="12:22" ht="21">
      <c r="L305" s="24" t="s">
        <v>1073</v>
      </c>
      <c r="M305" s="25" t="s">
        <v>1074</v>
      </c>
      <c r="N305" s="19"/>
      <c r="O305" s="19"/>
      <c r="P305" s="19"/>
      <c r="Q305" s="19"/>
      <c r="R305" s="19" t="s">
        <v>21</v>
      </c>
      <c r="T305" s="7">
        <v>1</v>
      </c>
      <c r="V305" s="123"/>
    </row>
    <row r="306" spans="12:22" ht="21">
      <c r="L306" s="24" t="s">
        <v>1429</v>
      </c>
      <c r="M306" s="25" t="s">
        <v>1430</v>
      </c>
      <c r="N306" s="19"/>
      <c r="O306" s="19"/>
      <c r="P306" s="19"/>
      <c r="Q306" s="19"/>
      <c r="R306" s="19" t="s">
        <v>18</v>
      </c>
      <c r="V306" s="123"/>
    </row>
    <row r="307" spans="12:22" ht="21">
      <c r="L307" s="24" t="s">
        <v>1190</v>
      </c>
      <c r="M307" s="25" t="s">
        <v>1191</v>
      </c>
      <c r="N307" s="19"/>
      <c r="O307" s="19"/>
      <c r="P307" s="19"/>
      <c r="Q307" s="19"/>
      <c r="R307" s="19" t="s">
        <v>18</v>
      </c>
      <c r="V307" s="123"/>
    </row>
    <row r="308" spans="12:22" ht="21">
      <c r="L308" s="24" t="s">
        <v>1147</v>
      </c>
      <c r="M308" s="25" t="s">
        <v>1148</v>
      </c>
      <c r="N308" s="19"/>
      <c r="O308" s="19"/>
      <c r="P308" s="19"/>
      <c r="Q308" s="19"/>
      <c r="R308" s="19" t="s">
        <v>17</v>
      </c>
      <c r="T308" s="309" t="s">
        <v>3011</v>
      </c>
      <c r="V308" s="123"/>
    </row>
    <row r="309" spans="12:22" ht="21">
      <c r="L309" s="24" t="s">
        <v>1121</v>
      </c>
      <c r="M309" s="25" t="s">
        <v>1122</v>
      </c>
      <c r="N309" s="19"/>
      <c r="O309" s="19"/>
      <c r="P309" s="19"/>
      <c r="Q309" s="19"/>
      <c r="R309" s="19" t="s">
        <v>21</v>
      </c>
      <c r="T309" s="7">
        <v>1</v>
      </c>
      <c r="V309" s="123"/>
    </row>
    <row r="310" spans="12:22" ht="21">
      <c r="L310" s="24" t="s">
        <v>1431</v>
      </c>
      <c r="M310" s="25" t="s">
        <v>1432</v>
      </c>
      <c r="N310" s="19"/>
      <c r="O310" s="19"/>
      <c r="P310" s="19"/>
      <c r="Q310" s="19"/>
      <c r="R310" s="19" t="s">
        <v>18</v>
      </c>
      <c r="V310" s="123"/>
    </row>
    <row r="311" spans="12:22" ht="21">
      <c r="L311" s="24" t="s">
        <v>1433</v>
      </c>
      <c r="M311" s="25" t="s">
        <v>1434</v>
      </c>
      <c r="N311" s="19"/>
      <c r="O311" s="19"/>
      <c r="P311" s="19"/>
      <c r="Q311" s="19"/>
      <c r="R311" s="19" t="s">
        <v>18</v>
      </c>
      <c r="V311" s="123"/>
    </row>
    <row r="312" spans="12:22" ht="21">
      <c r="L312" s="24" t="s">
        <v>1435</v>
      </c>
      <c r="M312" s="25" t="s">
        <v>1436</v>
      </c>
      <c r="N312" s="19"/>
      <c r="O312" s="19"/>
      <c r="P312" s="19"/>
      <c r="Q312" s="19"/>
      <c r="R312" s="19" t="s">
        <v>18</v>
      </c>
      <c r="V312" s="123"/>
    </row>
    <row r="313" spans="12:22" ht="21">
      <c r="L313" s="24" t="s">
        <v>1437</v>
      </c>
      <c r="M313" s="25" t="s">
        <v>1438</v>
      </c>
      <c r="N313" s="19"/>
      <c r="O313" s="19"/>
      <c r="P313" s="19"/>
      <c r="Q313" s="19"/>
      <c r="R313" s="19" t="s">
        <v>18</v>
      </c>
      <c r="V313" s="123"/>
    </row>
    <row r="314" spans="12:22" ht="21">
      <c r="L314" s="24" t="s">
        <v>1206</v>
      </c>
      <c r="M314" s="25" t="s">
        <v>1207</v>
      </c>
      <c r="N314" s="19"/>
      <c r="O314" s="19"/>
      <c r="P314" s="19"/>
      <c r="Q314" s="19"/>
      <c r="R314" s="19" t="s">
        <v>1567</v>
      </c>
      <c r="T314" s="7">
        <v>1</v>
      </c>
      <c r="V314" s="123"/>
    </row>
    <row r="315" spans="12:22" ht="21">
      <c r="L315" s="24" t="s">
        <v>1439</v>
      </c>
      <c r="M315" s="25" t="s">
        <v>1440</v>
      </c>
      <c r="N315" s="19"/>
      <c r="O315" s="19"/>
      <c r="P315" s="19"/>
      <c r="Q315" s="19"/>
      <c r="R315" s="19" t="s">
        <v>18</v>
      </c>
      <c r="V315" s="123"/>
    </row>
    <row r="316" spans="12:22" ht="21">
      <c r="L316" s="24" t="s">
        <v>1228</v>
      </c>
      <c r="M316" s="25" t="s">
        <v>1229</v>
      </c>
      <c r="N316" s="19"/>
      <c r="O316" s="19"/>
      <c r="P316" s="19"/>
      <c r="Q316" s="19"/>
      <c r="R316" s="19" t="s">
        <v>21</v>
      </c>
      <c r="T316" s="7">
        <v>1</v>
      </c>
      <c r="V316" s="123"/>
    </row>
    <row r="317" spans="12:22" ht="21">
      <c r="L317" s="24" t="s">
        <v>1441</v>
      </c>
      <c r="M317" s="25" t="s">
        <v>1442</v>
      </c>
      <c r="N317" s="19"/>
      <c r="O317" s="19"/>
      <c r="P317" s="19"/>
      <c r="Q317" s="19"/>
      <c r="R317" s="19" t="s">
        <v>1567</v>
      </c>
      <c r="V317" s="123"/>
    </row>
    <row r="318" spans="12:22" ht="21">
      <c r="L318" s="24" t="s">
        <v>1163</v>
      </c>
      <c r="M318" s="25" t="s">
        <v>1164</v>
      </c>
      <c r="N318" s="19"/>
      <c r="O318" s="19"/>
      <c r="P318" s="19"/>
      <c r="Q318" s="19"/>
      <c r="R318" s="19" t="s">
        <v>21</v>
      </c>
      <c r="T318" s="7">
        <v>1</v>
      </c>
      <c r="V318" s="123"/>
    </row>
    <row r="319" spans="12:22" ht="21">
      <c r="L319" s="24" t="s">
        <v>1443</v>
      </c>
      <c r="M319" s="25" t="s">
        <v>1444</v>
      </c>
      <c r="N319" s="19"/>
      <c r="O319" s="19"/>
      <c r="P319" s="19"/>
      <c r="Q319" s="19"/>
      <c r="R319" s="19" t="s">
        <v>18</v>
      </c>
      <c r="V319" s="123"/>
    </row>
  </sheetData>
  <mergeCells count="15">
    <mergeCell ref="A2:H2"/>
    <mergeCell ref="A106:H106"/>
    <mergeCell ref="A219:H219"/>
    <mergeCell ref="A179:H179"/>
    <mergeCell ref="L1:U1"/>
    <mergeCell ref="L2:U2"/>
    <mergeCell ref="L134:U135"/>
    <mergeCell ref="A1:J1"/>
    <mergeCell ref="L226:U227"/>
    <mergeCell ref="L274:U275"/>
    <mergeCell ref="W1:AG1"/>
    <mergeCell ref="W2:AG2"/>
    <mergeCell ref="W85:AG86"/>
    <mergeCell ref="W147:AG148"/>
    <mergeCell ref="W179:AG180"/>
  </mergeCells>
  <phoneticPr fontId="89" type="noConversion"/>
  <dataValidations count="1">
    <dataValidation type="list" allowBlank="1" showInputMessage="1" showErrorMessage="1" sqref="Z182:AD217 Z150:AD178 Z88:AD146 Z4:AD84 N276:R319 N228:R273 N136:R225 N4:R133 G4:G105 F70:F105 F4:F43 C4:E105 C221:G265 C181:G218 C108:G178" xr:uid="{00000000-0002-0000-1200-000000000000}">
      <formula1>"S,A+,A,B+,B,C+,C,D+,D,?,"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m乱打-AC"/>
  <dimension ref="A1:AB266"/>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9" width="41.5703125" style="1" customWidth="1"/>
    <col min="10" max="10" width="6" style="313" customWidth="1"/>
    <col min="11" max="28" width="12.5703125" style="1" customWidth="1"/>
  </cols>
  <sheetData>
    <row r="1" spans="1:28" ht="76.5" customHeight="1">
      <c r="A1" s="551" t="s">
        <v>5245</v>
      </c>
      <c r="B1" s="543"/>
      <c r="C1" s="543"/>
      <c r="D1" s="543"/>
      <c r="E1" s="543"/>
      <c r="F1" s="543"/>
      <c r="G1" s="543"/>
      <c r="H1" s="552"/>
      <c r="I1" s="543"/>
      <c r="J1" s="2"/>
      <c r="K1" s="14"/>
      <c r="L1" s="14"/>
      <c r="M1" s="14"/>
      <c r="N1" s="14"/>
      <c r="O1" s="14"/>
      <c r="P1" s="14"/>
      <c r="Q1" s="14"/>
      <c r="R1" s="14"/>
      <c r="S1" s="14"/>
      <c r="T1" s="14"/>
      <c r="U1" s="14"/>
      <c r="V1" s="14"/>
      <c r="W1" s="14"/>
      <c r="X1" s="14"/>
      <c r="Y1" s="14"/>
      <c r="Z1" s="14"/>
      <c r="AA1" s="14"/>
      <c r="AB1" s="14"/>
    </row>
    <row r="2" spans="1:28" ht="30" customHeight="1">
      <c r="A2" s="540" t="s">
        <v>1</v>
      </c>
      <c r="B2" s="543"/>
      <c r="C2" s="543"/>
      <c r="D2" s="543"/>
      <c r="E2" s="543"/>
      <c r="F2" s="543"/>
      <c r="G2" s="543"/>
      <c r="H2" s="550"/>
      <c r="I2" s="543"/>
      <c r="J2" s="2"/>
      <c r="K2" s="581" t="s">
        <v>2</v>
      </c>
      <c r="L2" s="543"/>
      <c r="M2" s="543"/>
      <c r="N2" s="543"/>
      <c r="O2" s="543"/>
      <c r="P2" s="543"/>
      <c r="Q2" s="543"/>
      <c r="R2" s="543"/>
      <c r="S2" s="126"/>
      <c r="T2" s="14"/>
      <c r="U2" s="14"/>
      <c r="V2" s="14"/>
      <c r="W2" s="14"/>
      <c r="X2" s="14"/>
      <c r="Y2" s="14"/>
      <c r="Z2" s="14"/>
      <c r="AA2" s="14"/>
      <c r="AB2" s="14"/>
    </row>
    <row r="3" spans="1:28" ht="27" customHeight="1">
      <c r="A3" s="5" t="s">
        <v>4</v>
      </c>
      <c r="B3" s="6" t="s">
        <v>5</v>
      </c>
      <c r="C3" s="7" t="s">
        <v>6</v>
      </c>
      <c r="D3" s="7" t="s">
        <v>7</v>
      </c>
      <c r="E3" s="7" t="s">
        <v>8</v>
      </c>
      <c r="F3" s="7" t="s">
        <v>9</v>
      </c>
      <c r="G3" s="7" t="s">
        <v>10</v>
      </c>
      <c r="H3" s="7" t="s">
        <v>11</v>
      </c>
      <c r="I3" s="7" t="s">
        <v>12</v>
      </c>
      <c r="J3" s="2"/>
      <c r="K3" s="7" t="s">
        <v>4</v>
      </c>
      <c r="L3" s="89" t="s">
        <v>5</v>
      </c>
      <c r="M3" s="7" t="s">
        <v>6</v>
      </c>
      <c r="N3" s="7" t="s">
        <v>7</v>
      </c>
      <c r="O3" s="7" t="s">
        <v>8</v>
      </c>
      <c r="P3" s="7" t="s">
        <v>9</v>
      </c>
      <c r="Q3" s="7" t="s">
        <v>10</v>
      </c>
      <c r="R3" s="7" t="s">
        <v>11</v>
      </c>
      <c r="S3" s="7" t="s">
        <v>12</v>
      </c>
      <c r="T3" s="14"/>
      <c r="U3" s="14"/>
      <c r="V3" s="14"/>
      <c r="W3" s="14"/>
      <c r="X3" s="14"/>
      <c r="Y3" s="14"/>
      <c r="Z3" s="14"/>
      <c r="AA3" s="14"/>
      <c r="AB3" s="14"/>
    </row>
    <row r="4" spans="1:28" ht="21">
      <c r="A4" s="5" t="s">
        <v>14</v>
      </c>
      <c r="B4" s="5" t="s">
        <v>15</v>
      </c>
      <c r="C4" s="10" t="s">
        <v>1562</v>
      </c>
      <c r="D4" s="10" t="s">
        <v>1562</v>
      </c>
      <c r="E4" s="10" t="s">
        <v>1562</v>
      </c>
      <c r="F4" s="10" t="s">
        <v>1562</v>
      </c>
      <c r="G4" s="10" t="s">
        <v>1562</v>
      </c>
      <c r="I4" s="11"/>
      <c r="J4" s="2"/>
      <c r="K4" s="14"/>
      <c r="L4" s="14"/>
      <c r="M4" s="14"/>
      <c r="N4" s="14"/>
      <c r="O4" s="14"/>
      <c r="P4" s="14"/>
      <c r="Q4" s="14"/>
      <c r="R4" s="14"/>
      <c r="S4" s="14"/>
      <c r="T4" s="14"/>
      <c r="U4" s="14"/>
      <c r="V4" s="14"/>
      <c r="W4" s="14"/>
      <c r="X4" s="14"/>
      <c r="Y4" s="14"/>
      <c r="Z4" s="14"/>
      <c r="AA4" s="14"/>
      <c r="AB4" s="14"/>
    </row>
    <row r="5" spans="1:28" ht="21">
      <c r="A5" s="5" t="s">
        <v>26</v>
      </c>
      <c r="B5" s="5" t="s">
        <v>27</v>
      </c>
      <c r="C5" s="10" t="s">
        <v>21</v>
      </c>
      <c r="D5" s="10" t="s">
        <v>1567</v>
      </c>
      <c r="E5" s="10" t="s">
        <v>21</v>
      </c>
      <c r="F5" s="10" t="s">
        <v>1567</v>
      </c>
      <c r="G5" s="10" t="s">
        <v>21</v>
      </c>
      <c r="I5" s="11"/>
      <c r="J5" s="2"/>
      <c r="K5" s="14"/>
      <c r="L5" s="14"/>
      <c r="M5" s="14"/>
      <c r="N5" s="14"/>
      <c r="O5" s="14"/>
      <c r="P5" s="14"/>
      <c r="Q5" s="14"/>
      <c r="R5" s="14"/>
      <c r="S5" s="14"/>
      <c r="T5" s="14"/>
      <c r="U5" s="14"/>
      <c r="V5" s="14"/>
      <c r="W5" s="14"/>
      <c r="X5" s="14"/>
      <c r="Y5" s="14"/>
      <c r="Z5" s="14"/>
      <c r="AA5" s="14"/>
      <c r="AB5" s="14"/>
    </row>
    <row r="6" spans="1:28" ht="21">
      <c r="A6" s="5" t="s">
        <v>34</v>
      </c>
      <c r="B6" s="5" t="s">
        <v>35</v>
      </c>
      <c r="C6" s="10" t="s">
        <v>18</v>
      </c>
      <c r="D6" s="10" t="s">
        <v>1574</v>
      </c>
      <c r="E6" s="10" t="s">
        <v>18</v>
      </c>
      <c r="F6" s="10" t="s">
        <v>1562</v>
      </c>
      <c r="G6" s="10" t="str">
        <f>IF(AND(ISNUMBER(MATCH(C6,{"F","E","D","D+","C","C+","B","B+","A","A+","S"},0)),ISNUMBER(MATCH(D6,{"F","E","D","D+","C","C+","B","B+","A","A+","S"},0)),ISNUMBER(MATCH(E6,{"F","E","D","D+","C","C+","B","B+","A","A+","S"},0)),ISNUMBER(MATCH(F6,{"F","E","D","D+","C","C+","B","B+","A","A+","S"},0))),LOOKUP(AVERAGE(_xlfn.SWITCH(C6,"F",0,"E",10,"D",20,"D+",30,"C",40,"C+",50,"B",60,"B+",70,"A",80,"A+",90,"S",100),_xlfn.SWITCH(D6,"F",0,"E",10,"D",20,"D+",30,"C",40,"C+",50,"B",60,"B+",70,"A",80,"A+",90,"S",100),_xlfn.SWITCH(E6,"F",0,"E",10,"D",20,"D+",30,"C",40,"C+",50,"B",60,"B+",70,"A",80,"A+",90,"S",100),_xlfn.SWITCH(F6,"F",0,"E",10,"D",20,"D+",30,"C",40,"C+",50,"B",60,"B+",70,"A",80,"A+",90,"S",100)),{0,15,25,35,45,55,65,75,85,95},{"D","D","D+","C","C+","B","B+","A","A+","S"}),"?")</f>
        <v>C+</v>
      </c>
      <c r="I6" s="11"/>
      <c r="J6" s="2"/>
      <c r="K6" s="14"/>
      <c r="L6" s="14"/>
      <c r="M6" s="14"/>
      <c r="N6" s="14"/>
      <c r="O6" s="14"/>
      <c r="P6" s="14"/>
      <c r="Q6" s="14"/>
      <c r="R6" s="14"/>
      <c r="S6" s="14"/>
      <c r="T6" s="14"/>
      <c r="U6" s="14"/>
      <c r="V6" s="14"/>
      <c r="W6" s="14"/>
      <c r="X6" s="14"/>
      <c r="Y6" s="14"/>
      <c r="Z6" s="14"/>
      <c r="AA6" s="14"/>
      <c r="AB6" s="14"/>
    </row>
    <row r="7" spans="1:28" ht="21">
      <c r="A7" s="5" t="s">
        <v>41</v>
      </c>
      <c r="B7" s="5" t="s">
        <v>42</v>
      </c>
      <c r="C7" s="10" t="s">
        <v>1567</v>
      </c>
      <c r="D7" s="10" t="s">
        <v>1567</v>
      </c>
      <c r="E7" s="10" t="s">
        <v>22</v>
      </c>
      <c r="F7" s="10" t="s">
        <v>22</v>
      </c>
      <c r="G7" s="10" t="e">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#N/A</v>
      </c>
      <c r="I7" s="11"/>
      <c r="J7" s="2"/>
      <c r="K7" s="14"/>
      <c r="L7" s="14"/>
      <c r="M7" s="14"/>
      <c r="N7" s="14"/>
      <c r="O7" s="14"/>
      <c r="P7" s="14"/>
      <c r="Q7" s="14"/>
      <c r="R7" s="14"/>
      <c r="S7" s="14"/>
      <c r="T7" s="14"/>
      <c r="U7" s="14"/>
      <c r="V7" s="14"/>
      <c r="W7" s="14"/>
      <c r="X7" s="14"/>
      <c r="Y7" s="14"/>
      <c r="Z7" s="14"/>
      <c r="AA7" s="14"/>
      <c r="AB7" s="14"/>
    </row>
    <row r="8" spans="1:28" ht="57">
      <c r="A8" s="5" t="s">
        <v>48</v>
      </c>
      <c r="B8" s="5" t="s">
        <v>49</v>
      </c>
      <c r="C8" s="10" t="s">
        <v>28</v>
      </c>
      <c r="D8" s="10" t="s">
        <v>21</v>
      </c>
      <c r="E8" s="10" t="s">
        <v>28</v>
      </c>
      <c r="F8" s="10" t="s">
        <v>1567</v>
      </c>
      <c r="G8" s="10" t="s">
        <v>28</v>
      </c>
      <c r="H8" s="311" t="s">
        <v>3173</v>
      </c>
      <c r="I8" s="11"/>
      <c r="J8" s="2"/>
      <c r="K8" s="14"/>
      <c r="L8" s="14"/>
      <c r="M8" s="14"/>
      <c r="N8" s="14"/>
      <c r="O8" s="14"/>
      <c r="P8" s="14"/>
      <c r="Q8" s="14"/>
      <c r="R8" s="14"/>
      <c r="S8" s="14"/>
      <c r="T8" s="14"/>
      <c r="U8" s="14"/>
      <c r="V8" s="14"/>
      <c r="W8" s="14"/>
      <c r="X8" s="14"/>
      <c r="Y8" s="14"/>
      <c r="Z8" s="14"/>
      <c r="AA8" s="14"/>
      <c r="AB8" s="14"/>
    </row>
    <row r="9" spans="1:28" ht="21">
      <c r="A9" s="5" t="s">
        <v>55</v>
      </c>
      <c r="B9" s="5" t="s">
        <v>56</v>
      </c>
      <c r="C9" s="10" t="s">
        <v>28</v>
      </c>
      <c r="D9" s="10" t="s">
        <v>28</v>
      </c>
      <c r="E9" s="10" t="s">
        <v>21</v>
      </c>
      <c r="F9" s="10" t="s">
        <v>21</v>
      </c>
      <c r="G9" s="10"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A+</v>
      </c>
      <c r="H9" t="s">
        <v>3174</v>
      </c>
      <c r="I9" s="11"/>
      <c r="J9" s="2"/>
      <c r="K9" s="14"/>
      <c r="L9" s="14"/>
      <c r="M9" s="14"/>
      <c r="N9" s="14"/>
      <c r="O9" s="14"/>
      <c r="P9" s="14"/>
      <c r="Q9" s="14"/>
      <c r="R9" s="14"/>
      <c r="S9" s="14"/>
      <c r="T9" s="14"/>
      <c r="U9" s="14"/>
      <c r="V9" s="14"/>
      <c r="W9" s="14"/>
      <c r="X9" s="14"/>
      <c r="Y9" s="14"/>
      <c r="Z9" s="14"/>
      <c r="AA9" s="14"/>
      <c r="AB9" s="14"/>
    </row>
    <row r="10" spans="1:28" ht="21">
      <c r="A10" s="5" t="s">
        <v>62</v>
      </c>
      <c r="B10" s="5" t="s">
        <v>63</v>
      </c>
      <c r="C10" s="10" t="s">
        <v>18</v>
      </c>
      <c r="D10" s="10" t="s">
        <v>18</v>
      </c>
      <c r="E10" s="10" t="s">
        <v>18</v>
      </c>
      <c r="F10" s="10" t="s">
        <v>18</v>
      </c>
      <c r="G10" s="10"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B</v>
      </c>
      <c r="I10" s="11"/>
      <c r="J10" s="2"/>
      <c r="K10" s="14"/>
      <c r="L10" s="14"/>
      <c r="M10" s="14"/>
      <c r="N10" s="14"/>
      <c r="O10" s="14"/>
      <c r="P10" s="14"/>
      <c r="Q10" s="14"/>
      <c r="R10" s="14"/>
      <c r="S10" s="14"/>
      <c r="T10" s="14"/>
      <c r="U10" s="14"/>
      <c r="V10" s="14"/>
      <c r="W10" s="14"/>
      <c r="X10" s="14"/>
      <c r="Y10" s="14"/>
      <c r="Z10" s="14"/>
      <c r="AA10" s="14"/>
      <c r="AB10" s="14"/>
    </row>
    <row r="11" spans="1:28" ht="21">
      <c r="A11" s="5" t="s">
        <v>67</v>
      </c>
      <c r="B11" s="5" t="s">
        <v>68</v>
      </c>
      <c r="C11" s="10" t="s">
        <v>1562</v>
      </c>
      <c r="D11" s="10" t="s">
        <v>1562</v>
      </c>
      <c r="E11" s="10" t="s">
        <v>1574</v>
      </c>
      <c r="F11" s="10" t="s">
        <v>1562</v>
      </c>
      <c r="G11" s="10" t="str">
        <f>IF(AND(ISNUMBER(MATCH(C11,{"F","E","D","D+","C","C+","B","B+","A","A+","S"},0)),ISNUMBER(MATCH(D11,{"F","E","D","D+","C","C+","B","B+","A","A+","S"},0)),ISNUMBER(MATCH(E11,{"F","E","D","D+","C","C+","B","B+","A","A+","S"},0)),ISNUMBER(MATCH(F11,{"F","E","D","D+","C","C+","B","B+","A","A+","S"},0))),LOOKUP(AVERAGE(_xlfn.SWITCH(C11,"F",0,"E",10,"D",20,"D+",30,"C",40,"C+",50,"B",60,"B+",70,"A",80,"A+",90,"S",100),_xlfn.SWITCH(D11,"F",0,"E",10,"D",20,"D+",30,"C",40,"C+",50,"B",60,"B+",70,"A",80,"A+",90,"S",100),_xlfn.SWITCH(E11,"F",0,"E",10,"D",20,"D+",30,"C",40,"C+",50,"B",60,"B+",70,"A",80,"A+",90,"S",100),_xlfn.SWITCH(F11,"F",0,"E",10,"D",20,"D+",30,"C",40,"C+",50,"B",60,"B+",70,"A",80,"A+",90,"S",100)),{0,15,25,35,45,55,65,75,85,95},{"D","D","D+","C","C+","B","B+","A","A+","S"}),"?")</f>
        <v>C+</v>
      </c>
      <c r="I11" s="11"/>
      <c r="J11" s="2"/>
      <c r="K11" s="14"/>
      <c r="L11" s="14"/>
      <c r="M11" s="14"/>
      <c r="N11" s="14"/>
      <c r="O11" s="14"/>
      <c r="P11" s="14"/>
      <c r="Q11" s="14"/>
      <c r="R11" s="14"/>
      <c r="S11" s="14"/>
      <c r="T11" s="14"/>
      <c r="U11" s="14"/>
      <c r="V11" s="14"/>
      <c r="W11" s="14"/>
      <c r="X11" s="14"/>
      <c r="Y11" s="14"/>
      <c r="Z11" s="14"/>
      <c r="AA11" s="14"/>
      <c r="AB11" s="14"/>
    </row>
    <row r="12" spans="1:28" ht="21">
      <c r="A12" s="5" t="s">
        <v>74</v>
      </c>
      <c r="B12" s="5" t="s">
        <v>75</v>
      </c>
      <c r="C12" s="10" t="s">
        <v>18</v>
      </c>
      <c r="D12" s="10" t="s">
        <v>1574</v>
      </c>
      <c r="E12" s="10" t="s">
        <v>1562</v>
      </c>
      <c r="F12" s="10" t="s">
        <v>1562</v>
      </c>
      <c r="G12" s="10"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C+</v>
      </c>
      <c r="I12" s="11"/>
      <c r="J12" s="2"/>
      <c r="K12" s="14"/>
      <c r="L12" s="14"/>
      <c r="M12" s="14"/>
      <c r="N12" s="14"/>
      <c r="O12" s="14"/>
      <c r="P12" s="14"/>
      <c r="Q12" s="14"/>
      <c r="R12" s="14"/>
      <c r="S12" s="14"/>
      <c r="T12" s="14"/>
      <c r="U12" s="14"/>
      <c r="V12" s="14"/>
      <c r="W12" s="14"/>
      <c r="X12" s="14"/>
      <c r="Y12" s="14"/>
      <c r="Z12" s="14"/>
      <c r="AA12" s="14"/>
      <c r="AB12" s="14"/>
    </row>
    <row r="13" spans="1:28" ht="21">
      <c r="A13" s="5" t="s">
        <v>81</v>
      </c>
      <c r="B13" s="5" t="s">
        <v>82</v>
      </c>
      <c r="C13" s="10" t="s">
        <v>1567</v>
      </c>
      <c r="D13" s="10" t="s">
        <v>18</v>
      </c>
      <c r="E13" s="10" t="s">
        <v>18</v>
      </c>
      <c r="F13" s="10" t="s">
        <v>1567</v>
      </c>
      <c r="G13" s="10" t="s">
        <v>18</v>
      </c>
      <c r="I13" s="11"/>
      <c r="J13" s="2"/>
      <c r="K13" s="14"/>
      <c r="L13" s="14"/>
      <c r="M13" s="14"/>
      <c r="N13" s="14"/>
      <c r="O13" s="14"/>
      <c r="P13" s="14"/>
      <c r="Q13" s="14"/>
      <c r="R13" s="14"/>
      <c r="S13" s="14"/>
      <c r="T13" s="14"/>
      <c r="U13" s="14"/>
      <c r="V13" s="14"/>
      <c r="W13" s="14"/>
      <c r="X13" s="14"/>
      <c r="Y13" s="14"/>
      <c r="Z13" s="14"/>
      <c r="AA13" s="14"/>
      <c r="AB13" s="14"/>
    </row>
    <row r="14" spans="1:28" ht="21">
      <c r="A14" s="5" t="s">
        <v>88</v>
      </c>
      <c r="B14" s="5" t="s">
        <v>89</v>
      </c>
      <c r="C14" s="10" t="s">
        <v>21</v>
      </c>
      <c r="D14" s="10" t="s">
        <v>1567</v>
      </c>
      <c r="E14" s="10" t="s">
        <v>21</v>
      </c>
      <c r="F14" s="10" t="s">
        <v>21</v>
      </c>
      <c r="G14" s="10"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A</v>
      </c>
      <c r="I14" s="11"/>
      <c r="J14" s="2"/>
      <c r="K14" s="14"/>
      <c r="L14" s="14"/>
      <c r="M14" s="14"/>
      <c r="N14" s="14"/>
      <c r="O14" s="14"/>
      <c r="P14" s="14"/>
      <c r="Q14" s="14"/>
      <c r="R14" s="14"/>
      <c r="S14" s="14"/>
      <c r="T14" s="14"/>
      <c r="U14" s="14"/>
      <c r="V14" s="14"/>
      <c r="W14" s="14"/>
      <c r="X14" s="14"/>
      <c r="Y14" s="14"/>
      <c r="Z14" s="14"/>
      <c r="AA14" s="14"/>
      <c r="AB14" s="14"/>
    </row>
    <row r="15" spans="1:28" ht="21">
      <c r="A15" s="5" t="s">
        <v>95</v>
      </c>
      <c r="B15" s="5" t="s">
        <v>96</v>
      </c>
      <c r="C15" s="10" t="s">
        <v>18</v>
      </c>
      <c r="D15" s="10" t="s">
        <v>1567</v>
      </c>
      <c r="E15" s="10" t="s">
        <v>18</v>
      </c>
      <c r="F15" s="10" t="s">
        <v>1567</v>
      </c>
      <c r="G15" s="10"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B+</v>
      </c>
      <c r="I15" s="11"/>
      <c r="J15" s="2"/>
      <c r="K15" s="14"/>
      <c r="L15" s="14"/>
      <c r="M15" s="14"/>
      <c r="N15" s="14"/>
      <c r="O15" s="14"/>
      <c r="P15" s="14"/>
      <c r="Q15" s="14"/>
      <c r="R15" s="14"/>
      <c r="S15" s="14"/>
      <c r="T15" s="14"/>
      <c r="U15" s="14"/>
      <c r="V15" s="14"/>
      <c r="W15" s="14"/>
      <c r="X15" s="14"/>
      <c r="Y15" s="14"/>
      <c r="Z15" s="14"/>
      <c r="AA15" s="14"/>
      <c r="AB15" s="14"/>
    </row>
    <row r="16" spans="1:28" ht="21">
      <c r="A16" s="5" t="s">
        <v>102</v>
      </c>
      <c r="B16" s="5" t="s">
        <v>103</v>
      </c>
      <c r="C16" s="10" t="s">
        <v>21</v>
      </c>
      <c r="D16" s="10" t="s">
        <v>21</v>
      </c>
      <c r="E16" s="10" t="s">
        <v>21</v>
      </c>
      <c r="F16" s="10" t="s">
        <v>1567</v>
      </c>
      <c r="G16" s="10"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A</v>
      </c>
      <c r="I16" s="11"/>
      <c r="J16" s="2"/>
      <c r="K16" s="14"/>
      <c r="L16" s="14"/>
      <c r="M16" s="14"/>
      <c r="N16" s="14"/>
      <c r="O16" s="14"/>
      <c r="P16" s="14"/>
      <c r="Q16" s="14"/>
      <c r="R16" s="14"/>
      <c r="S16" s="14"/>
      <c r="T16" s="14"/>
      <c r="U16" s="14"/>
      <c r="V16" s="14"/>
      <c r="W16" s="14"/>
      <c r="X16" s="14"/>
      <c r="Y16" s="14"/>
      <c r="Z16" s="14"/>
      <c r="AA16" s="14"/>
      <c r="AB16" s="14"/>
    </row>
    <row r="17" spans="1:28" ht="21">
      <c r="A17" s="5" t="s">
        <v>109</v>
      </c>
      <c r="B17" s="5" t="s">
        <v>110</v>
      </c>
      <c r="C17" s="10" t="s">
        <v>28</v>
      </c>
      <c r="D17" s="10" t="s">
        <v>28</v>
      </c>
      <c r="E17" s="10" t="s">
        <v>21</v>
      </c>
      <c r="F17" s="10" t="s">
        <v>21</v>
      </c>
      <c r="G17" s="10"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A+</v>
      </c>
      <c r="I17" s="11"/>
      <c r="J17" s="2"/>
      <c r="K17" s="14"/>
      <c r="L17" s="14"/>
      <c r="M17" s="14"/>
      <c r="N17" s="14"/>
      <c r="O17" s="14"/>
      <c r="P17" s="14"/>
      <c r="Q17" s="14"/>
      <c r="R17" s="14"/>
      <c r="S17" s="14"/>
      <c r="T17" s="14"/>
      <c r="U17" s="14"/>
      <c r="V17" s="14"/>
      <c r="W17" s="14"/>
      <c r="X17" s="14"/>
      <c r="Y17" s="14"/>
      <c r="Z17" s="14"/>
      <c r="AA17" s="14"/>
      <c r="AB17" s="14"/>
    </row>
    <row r="18" spans="1:28" ht="21">
      <c r="A18" s="5" t="s">
        <v>116</v>
      </c>
      <c r="B18" s="5" t="s">
        <v>117</v>
      </c>
      <c r="C18" s="10" t="s">
        <v>21</v>
      </c>
      <c r="D18" s="10" t="s">
        <v>1567</v>
      </c>
      <c r="E18" s="10" t="s">
        <v>1567</v>
      </c>
      <c r="F18" s="10" t="s">
        <v>22</v>
      </c>
      <c r="G18" s="10" t="e">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#N/A</v>
      </c>
      <c r="I18" s="11"/>
      <c r="J18" s="2"/>
      <c r="K18" s="14"/>
      <c r="L18" s="14"/>
      <c r="M18" s="14"/>
      <c r="N18" s="14"/>
      <c r="O18" s="14"/>
      <c r="P18" s="14"/>
      <c r="Q18" s="14"/>
      <c r="R18" s="14"/>
      <c r="S18" s="14"/>
      <c r="T18" s="14"/>
      <c r="U18" s="14"/>
      <c r="V18" s="14"/>
      <c r="W18" s="14"/>
      <c r="X18" s="14"/>
      <c r="Y18" s="14"/>
      <c r="Z18" s="14"/>
      <c r="AA18" s="14"/>
      <c r="AB18" s="14"/>
    </row>
    <row r="19" spans="1:28" ht="21">
      <c r="A19" s="5" t="s">
        <v>123</v>
      </c>
      <c r="B19" s="5" t="s">
        <v>124</v>
      </c>
      <c r="C19" s="10" t="s">
        <v>17</v>
      </c>
      <c r="D19" s="10" t="s">
        <v>28</v>
      </c>
      <c r="E19" s="10" t="s">
        <v>28</v>
      </c>
      <c r="F19" s="10" t="s">
        <v>17</v>
      </c>
      <c r="G19" s="10"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S</v>
      </c>
      <c r="H19" t="s">
        <v>3175</v>
      </c>
      <c r="I19" s="11"/>
      <c r="J19" s="2"/>
      <c r="K19" s="14"/>
      <c r="L19" s="14"/>
      <c r="M19" s="14"/>
      <c r="N19" s="14"/>
      <c r="O19" s="14"/>
      <c r="P19" s="14"/>
      <c r="Q19" s="14"/>
      <c r="R19" s="14"/>
      <c r="S19" s="14"/>
      <c r="T19" s="14"/>
      <c r="U19" s="14"/>
      <c r="V19" s="14"/>
      <c r="W19" s="14"/>
      <c r="X19" s="14"/>
      <c r="Y19" s="14"/>
      <c r="Z19" s="14"/>
      <c r="AA19" s="14"/>
      <c r="AB19" s="14"/>
    </row>
    <row r="20" spans="1:28" ht="21">
      <c r="A20" s="5" t="s">
        <v>130</v>
      </c>
      <c r="B20" s="5" t="s">
        <v>129</v>
      </c>
      <c r="C20" s="10" t="s">
        <v>1567</v>
      </c>
      <c r="D20" s="10" t="s">
        <v>21</v>
      </c>
      <c r="E20" s="10" t="s">
        <v>1567</v>
      </c>
      <c r="F20" s="10" t="s">
        <v>21</v>
      </c>
      <c r="G20" s="10"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A</v>
      </c>
      <c r="I20" s="11"/>
      <c r="J20" s="2"/>
      <c r="K20" s="14"/>
      <c r="L20" s="14"/>
      <c r="M20" s="14"/>
      <c r="N20" s="14"/>
      <c r="O20" s="14"/>
      <c r="P20" s="14"/>
      <c r="Q20" s="14"/>
      <c r="R20" s="14"/>
      <c r="S20" s="14"/>
      <c r="T20" s="14"/>
      <c r="U20" s="14"/>
      <c r="V20" s="14"/>
      <c r="W20" s="14"/>
      <c r="X20" s="14"/>
      <c r="Y20" s="14"/>
      <c r="Z20" s="14"/>
      <c r="AA20" s="14"/>
      <c r="AB20" s="14"/>
    </row>
    <row r="21" spans="1:28" ht="21">
      <c r="A21" s="5" t="s">
        <v>136</v>
      </c>
      <c r="B21" s="5" t="s">
        <v>137</v>
      </c>
      <c r="C21" s="10" t="s">
        <v>1567</v>
      </c>
      <c r="D21" s="10" t="s">
        <v>28</v>
      </c>
      <c r="E21" s="10" t="s">
        <v>21</v>
      </c>
      <c r="F21" s="10" t="s">
        <v>18</v>
      </c>
      <c r="G21" s="10" t="s">
        <v>18</v>
      </c>
      <c r="H21" t="s">
        <v>3176</v>
      </c>
      <c r="I21" s="11"/>
      <c r="J21" s="2"/>
      <c r="K21" s="14"/>
      <c r="L21" s="14"/>
      <c r="M21" s="14"/>
      <c r="N21" s="14"/>
      <c r="O21" s="14"/>
      <c r="P21" s="14"/>
      <c r="Q21" s="14"/>
      <c r="R21" s="14"/>
      <c r="S21" s="14"/>
      <c r="T21" s="14"/>
      <c r="U21" s="14"/>
      <c r="V21" s="14"/>
      <c r="W21" s="14"/>
      <c r="X21" s="14"/>
      <c r="Y21" s="14"/>
      <c r="Z21" s="14"/>
      <c r="AA21" s="14"/>
      <c r="AB21" s="14"/>
    </row>
    <row r="22" spans="1:28" ht="21">
      <c r="A22" s="5" t="s">
        <v>143</v>
      </c>
      <c r="B22" s="5" t="s">
        <v>144</v>
      </c>
      <c r="C22" s="10" t="s">
        <v>18</v>
      </c>
      <c r="D22" s="10" t="s">
        <v>1562</v>
      </c>
      <c r="E22" s="10" t="s">
        <v>1574</v>
      </c>
      <c r="F22" s="10" t="s">
        <v>1562</v>
      </c>
      <c r="G22" s="10"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C+</v>
      </c>
      <c r="I22" s="11"/>
      <c r="J22" s="2"/>
      <c r="K22" s="14"/>
      <c r="L22" s="14"/>
      <c r="M22" s="14"/>
      <c r="N22" s="14"/>
      <c r="O22" s="14"/>
      <c r="P22" s="14"/>
      <c r="Q22" s="14"/>
      <c r="R22" s="14"/>
      <c r="S22" s="14"/>
      <c r="T22" s="14"/>
      <c r="U22" s="14"/>
      <c r="V22" s="14"/>
      <c r="W22" s="14"/>
      <c r="X22" s="14"/>
      <c r="Y22" s="14"/>
      <c r="Z22" s="14"/>
      <c r="AA22" s="14"/>
      <c r="AB22" s="14"/>
    </row>
    <row r="23" spans="1:28" ht="21">
      <c r="A23" s="5" t="s">
        <v>150</v>
      </c>
      <c r="B23" s="5" t="s">
        <v>151</v>
      </c>
      <c r="C23" s="10" t="s">
        <v>18</v>
      </c>
      <c r="D23" s="10" t="s">
        <v>18</v>
      </c>
      <c r="E23" s="10" t="s">
        <v>1574</v>
      </c>
      <c r="F23" s="10" t="s">
        <v>1562</v>
      </c>
      <c r="G23" s="10"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C+</v>
      </c>
      <c r="H23" t="s">
        <v>3177</v>
      </c>
      <c r="I23" s="11"/>
      <c r="J23" s="2"/>
      <c r="K23" s="14"/>
      <c r="L23" s="14"/>
      <c r="M23" s="14"/>
      <c r="N23" s="14"/>
      <c r="O23" s="14"/>
      <c r="P23" s="14"/>
      <c r="Q23" s="14"/>
      <c r="R23" s="14"/>
      <c r="S23" s="14"/>
      <c r="T23" s="14"/>
      <c r="U23" s="14"/>
      <c r="V23" s="14"/>
      <c r="W23" s="14"/>
      <c r="X23" s="14"/>
      <c r="Y23" s="14"/>
      <c r="Z23" s="14"/>
      <c r="AA23" s="14"/>
      <c r="AB23" s="14"/>
    </row>
    <row r="24" spans="1:28" ht="21">
      <c r="A24" s="5" t="s">
        <v>156</v>
      </c>
      <c r="B24" s="5" t="s">
        <v>157</v>
      </c>
      <c r="C24" s="10" t="s">
        <v>18</v>
      </c>
      <c r="D24" s="10" t="s">
        <v>1562</v>
      </c>
      <c r="E24" s="10" t="s">
        <v>22</v>
      </c>
      <c r="F24" s="10" t="s">
        <v>22</v>
      </c>
      <c r="G24" s="10" t="e">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#N/A</v>
      </c>
      <c r="H24" s="7" t="s">
        <v>3178</v>
      </c>
      <c r="I24" s="7"/>
      <c r="J24" s="2"/>
      <c r="K24" s="14"/>
      <c r="L24" s="14"/>
      <c r="M24" s="14"/>
      <c r="N24" s="14"/>
      <c r="O24" s="14"/>
      <c r="P24" s="14"/>
      <c r="Q24" s="14"/>
      <c r="R24" s="14"/>
      <c r="S24" s="14"/>
      <c r="T24" s="14"/>
      <c r="U24" s="14"/>
      <c r="V24" s="14"/>
      <c r="W24" s="14"/>
      <c r="X24" s="14"/>
      <c r="Y24" s="14"/>
      <c r="Z24" s="14"/>
      <c r="AA24" s="14"/>
      <c r="AB24" s="14"/>
    </row>
    <row r="25" spans="1:28" ht="21">
      <c r="A25" s="5" t="s">
        <v>163</v>
      </c>
      <c r="B25" s="5" t="s">
        <v>164</v>
      </c>
      <c r="C25" s="10" t="s">
        <v>18</v>
      </c>
      <c r="D25" s="10" t="s">
        <v>18</v>
      </c>
      <c r="E25" s="10" t="s">
        <v>18</v>
      </c>
      <c r="F25" s="10" t="s">
        <v>18</v>
      </c>
      <c r="G25" s="10"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B</v>
      </c>
      <c r="H25" s="7"/>
      <c r="I25" s="7"/>
      <c r="J25" s="2"/>
      <c r="K25" s="14"/>
      <c r="L25" s="14"/>
      <c r="M25" s="14"/>
      <c r="N25" s="14"/>
      <c r="O25" s="14"/>
      <c r="P25" s="14"/>
      <c r="Q25" s="14"/>
      <c r="R25" s="14"/>
      <c r="S25" s="14"/>
      <c r="T25" s="14"/>
      <c r="U25" s="14"/>
      <c r="V25" s="14"/>
      <c r="W25" s="14"/>
      <c r="X25" s="14"/>
      <c r="Y25" s="14"/>
      <c r="Z25" s="14"/>
      <c r="AA25" s="14"/>
      <c r="AB25" s="14"/>
    </row>
    <row r="26" spans="1:28" ht="21">
      <c r="A26" s="5" t="s">
        <v>170</v>
      </c>
      <c r="B26" s="5" t="s">
        <v>171</v>
      </c>
      <c r="C26" s="10" t="s">
        <v>21</v>
      </c>
      <c r="D26" s="10" t="s">
        <v>1567</v>
      </c>
      <c r="E26" s="10" t="s">
        <v>21</v>
      </c>
      <c r="F26" s="10" t="s">
        <v>21</v>
      </c>
      <c r="G26" s="10"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A</v>
      </c>
      <c r="H26" s="7"/>
      <c r="I26" s="7"/>
      <c r="J26" s="2"/>
      <c r="K26" s="14"/>
      <c r="L26" s="14"/>
      <c r="M26" s="14"/>
      <c r="N26" s="14"/>
      <c r="O26" s="14"/>
      <c r="P26" s="14"/>
      <c r="Q26" s="14"/>
      <c r="R26" s="14"/>
      <c r="S26" s="14"/>
      <c r="T26" s="14"/>
      <c r="U26" s="14"/>
      <c r="V26" s="14"/>
      <c r="W26" s="14"/>
      <c r="X26" s="14"/>
      <c r="Y26" s="14"/>
      <c r="Z26" s="14"/>
      <c r="AA26" s="14"/>
      <c r="AB26" s="14"/>
    </row>
    <row r="27" spans="1:28" ht="21">
      <c r="A27" s="5" t="s">
        <v>177</v>
      </c>
      <c r="B27" s="5" t="s">
        <v>178</v>
      </c>
      <c r="C27" s="10" t="s">
        <v>21</v>
      </c>
      <c r="D27" s="10" t="s">
        <v>1567</v>
      </c>
      <c r="E27" s="10" t="s">
        <v>1567</v>
      </c>
      <c r="F27" s="10" t="s">
        <v>1567</v>
      </c>
      <c r="G27" s="10"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B+</v>
      </c>
      <c r="H27" s="7"/>
      <c r="I27" s="7"/>
      <c r="J27" s="2"/>
      <c r="K27" s="14"/>
      <c r="L27" s="14"/>
      <c r="M27" s="14"/>
      <c r="N27" s="14"/>
      <c r="O27" s="14"/>
      <c r="P27" s="14"/>
      <c r="Q27" s="14"/>
      <c r="R27" s="14"/>
      <c r="S27" s="14"/>
      <c r="T27" s="14"/>
      <c r="U27" s="14"/>
      <c r="V27" s="14"/>
      <c r="W27" s="14"/>
      <c r="X27" s="14"/>
      <c r="Y27" s="14"/>
      <c r="Z27" s="14"/>
      <c r="AA27" s="14"/>
      <c r="AB27" s="14"/>
    </row>
    <row r="28" spans="1:28" ht="21">
      <c r="A28" s="5" t="s">
        <v>184</v>
      </c>
      <c r="B28" s="5" t="s">
        <v>185</v>
      </c>
      <c r="C28" s="10" t="s">
        <v>18</v>
      </c>
      <c r="D28" s="10" t="s">
        <v>1567</v>
      </c>
      <c r="E28" s="10" t="s">
        <v>1562</v>
      </c>
      <c r="F28" s="10" t="s">
        <v>18</v>
      </c>
      <c r="G28" s="10"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B</v>
      </c>
      <c r="H28" s="7"/>
      <c r="I28" s="7"/>
      <c r="J28" s="2"/>
      <c r="K28" s="14"/>
      <c r="L28" s="14"/>
      <c r="M28" s="14"/>
      <c r="N28" s="14"/>
      <c r="O28" s="14"/>
      <c r="P28" s="14"/>
      <c r="Q28" s="14"/>
      <c r="R28" s="14"/>
      <c r="S28" s="14"/>
      <c r="T28" s="14"/>
      <c r="U28" s="14"/>
      <c r="V28" s="14"/>
      <c r="W28" s="14"/>
      <c r="X28" s="14"/>
      <c r="Y28" s="14"/>
      <c r="Z28" s="14"/>
      <c r="AA28" s="14"/>
      <c r="AB28" s="14"/>
    </row>
    <row r="29" spans="1:28" ht="21">
      <c r="A29" s="5" t="s">
        <v>191</v>
      </c>
      <c r="B29" s="5" t="s">
        <v>192</v>
      </c>
      <c r="C29" s="10" t="s">
        <v>18</v>
      </c>
      <c r="D29" s="10" t="s">
        <v>18</v>
      </c>
      <c r="E29" s="10" t="s">
        <v>18</v>
      </c>
      <c r="F29" s="10" t="s">
        <v>1567</v>
      </c>
      <c r="G29" s="10" t="s">
        <v>18</v>
      </c>
      <c r="H29" s="7"/>
      <c r="I29" s="7"/>
      <c r="J29" s="2"/>
      <c r="K29" s="14"/>
      <c r="L29" s="14"/>
      <c r="M29" s="14"/>
      <c r="N29" s="14"/>
      <c r="O29" s="14"/>
      <c r="P29" s="14"/>
      <c r="Q29" s="14"/>
      <c r="R29" s="14"/>
      <c r="S29" s="14"/>
      <c r="T29" s="14"/>
      <c r="U29" s="14"/>
      <c r="V29" s="14"/>
      <c r="W29" s="14"/>
      <c r="X29" s="14"/>
      <c r="Y29" s="14"/>
      <c r="Z29" s="14"/>
      <c r="AA29" s="14"/>
      <c r="AB29" s="14"/>
    </row>
    <row r="30" spans="1:28" ht="21">
      <c r="A30" s="5" t="s">
        <v>198</v>
      </c>
      <c r="B30" s="5" t="s">
        <v>199</v>
      </c>
      <c r="C30" s="10" t="s">
        <v>28</v>
      </c>
      <c r="D30" s="10" t="s">
        <v>28</v>
      </c>
      <c r="E30" s="10" t="s">
        <v>28</v>
      </c>
      <c r="F30" s="10" t="s">
        <v>28</v>
      </c>
      <c r="G30" s="10"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A+</v>
      </c>
      <c r="H30" s="7" t="s">
        <v>3179</v>
      </c>
      <c r="I30" s="7"/>
      <c r="J30" s="2"/>
      <c r="K30" s="14"/>
      <c r="L30" s="14"/>
      <c r="M30" s="14"/>
      <c r="N30" s="14"/>
      <c r="O30" s="14"/>
      <c r="P30" s="14"/>
      <c r="Q30" s="14"/>
      <c r="R30" s="14"/>
      <c r="S30" s="14"/>
      <c r="T30" s="14"/>
      <c r="U30" s="14"/>
      <c r="V30" s="14"/>
      <c r="W30" s="14"/>
      <c r="X30" s="14"/>
      <c r="Y30" s="14"/>
      <c r="Z30" s="14"/>
      <c r="AA30" s="14"/>
      <c r="AB30" s="14"/>
    </row>
    <row r="31" spans="1:28" ht="21">
      <c r="A31" s="5" t="s">
        <v>205</v>
      </c>
      <c r="B31" s="5" t="s">
        <v>206</v>
      </c>
      <c r="C31" s="10" t="s">
        <v>1562</v>
      </c>
      <c r="D31" s="10" t="s">
        <v>1562</v>
      </c>
      <c r="E31" s="10" t="s">
        <v>1562</v>
      </c>
      <c r="F31" s="10" t="s">
        <v>1562</v>
      </c>
      <c r="G31" s="10" t="str">
        <f>IF(AND(ISNUMBER(MATCH(C31,{"F","E","D","D+","C","C+","B","B+","A","A+","S"},0)),ISNUMBER(MATCH(D31,{"F","E","D","D+","C","C+","B","B+","A","A+","S"},0)),ISNUMBER(MATCH(E31,{"F","E","D","D+","C","C+","B","B+","A","A+","S"},0)),ISNUMBER(MATCH(F31,{"F","E","D","D+","C","C+","B","B+","A","A+","S"},0))),LOOKUP(AVERAGE(_xlfn.SWITCH(C31,"F",0,"E",10,"D",20,"D+",30,"C",40,"C+",50,"B",60,"B+",70,"A",80,"A+",90,"S",100),_xlfn.SWITCH(D31,"F",0,"E",10,"D",20,"D+",30,"C",40,"C+",50,"B",60,"B+",70,"A",80,"A+",90,"S",100),_xlfn.SWITCH(E31,"F",0,"E",10,"D",20,"D+",30,"C",40,"C+",50,"B",60,"B+",70,"A",80,"A+",90,"S",100),_xlfn.SWITCH(F31,"F",0,"E",10,"D",20,"D+",30,"C",40,"C+",50,"B",60,"B+",70,"A",80,"A+",90,"S",100)),{0,15,25,35,45,55,65,75,85,95},{"D","D","D+","C","C+","B","B+","A","A+","S"}),"?")</f>
        <v>C+</v>
      </c>
      <c r="H31" s="7"/>
      <c r="I31" s="7"/>
      <c r="J31" s="2"/>
      <c r="K31" s="14"/>
      <c r="L31" s="14"/>
      <c r="M31" s="14"/>
      <c r="N31" s="14"/>
      <c r="O31" s="14"/>
      <c r="P31" s="14"/>
      <c r="Q31" s="14"/>
      <c r="R31" s="14"/>
      <c r="S31" s="14"/>
      <c r="T31" s="14"/>
      <c r="U31" s="14"/>
      <c r="V31" s="14"/>
      <c r="W31" s="14"/>
      <c r="X31" s="14"/>
      <c r="Y31" s="14"/>
      <c r="Z31" s="14"/>
      <c r="AA31" s="14"/>
      <c r="AB31" s="14"/>
    </row>
    <row r="32" spans="1:28" ht="21">
      <c r="A32" s="5" t="s">
        <v>212</v>
      </c>
      <c r="B32" s="5" t="s">
        <v>213</v>
      </c>
      <c r="C32" s="10" t="s">
        <v>1567</v>
      </c>
      <c r="D32" s="10" t="s">
        <v>1567</v>
      </c>
      <c r="E32" s="10" t="s">
        <v>21</v>
      </c>
      <c r="F32" s="10" t="s">
        <v>21</v>
      </c>
      <c r="G32" s="10"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A</v>
      </c>
      <c r="H32" s="7" t="s">
        <v>3180</v>
      </c>
      <c r="I32" s="7"/>
      <c r="J32" s="2"/>
      <c r="K32" s="14"/>
      <c r="L32" s="14"/>
      <c r="M32" s="14"/>
      <c r="N32" s="14"/>
      <c r="O32" s="14"/>
      <c r="P32" s="14"/>
      <c r="Q32" s="14"/>
      <c r="R32" s="14"/>
      <c r="S32" s="14"/>
      <c r="T32" s="14"/>
      <c r="U32" s="14"/>
      <c r="V32" s="14"/>
      <c r="W32" s="14"/>
      <c r="X32" s="14"/>
      <c r="Y32" s="14"/>
      <c r="Z32" s="14"/>
      <c r="AA32" s="14"/>
      <c r="AB32" s="14"/>
    </row>
    <row r="33" spans="1:28" ht="21">
      <c r="A33" s="5" t="s">
        <v>218</v>
      </c>
      <c r="B33" s="5" t="s">
        <v>219</v>
      </c>
      <c r="C33" s="10" t="s">
        <v>21</v>
      </c>
      <c r="D33" s="10" t="s">
        <v>21</v>
      </c>
      <c r="E33" s="10" t="s">
        <v>21</v>
      </c>
      <c r="F33" s="10" t="s">
        <v>21</v>
      </c>
      <c r="G33" s="10"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A</v>
      </c>
      <c r="H33" s="7"/>
      <c r="I33" s="7"/>
      <c r="J33" s="2"/>
      <c r="K33" s="14"/>
      <c r="L33" s="14"/>
      <c r="M33" s="14"/>
      <c r="N33" s="14"/>
      <c r="O33" s="14"/>
      <c r="P33" s="14"/>
      <c r="Q33" s="14"/>
      <c r="R33" s="14"/>
      <c r="S33" s="14"/>
      <c r="T33" s="14"/>
      <c r="U33" s="14"/>
      <c r="V33" s="14"/>
      <c r="W33" s="14"/>
      <c r="X33" s="14"/>
      <c r="Y33" s="14"/>
      <c r="Z33" s="14"/>
      <c r="AA33" s="14"/>
      <c r="AB33" s="14"/>
    </row>
    <row r="34" spans="1:28" ht="21">
      <c r="A34" s="5" t="s">
        <v>225</v>
      </c>
      <c r="B34" s="5" t="s">
        <v>226</v>
      </c>
      <c r="C34" s="10" t="s">
        <v>1567</v>
      </c>
      <c r="D34" s="10" t="s">
        <v>1567</v>
      </c>
      <c r="E34" s="10" t="s">
        <v>1567</v>
      </c>
      <c r="F34" s="10" t="s">
        <v>1567</v>
      </c>
      <c r="G34" s="10"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B+</v>
      </c>
      <c r="H34" s="7"/>
      <c r="I34" s="7"/>
      <c r="J34" s="2"/>
      <c r="K34" s="14"/>
      <c r="L34" s="14"/>
      <c r="M34" s="14"/>
      <c r="N34" s="14"/>
      <c r="O34" s="14"/>
      <c r="P34" s="14"/>
      <c r="Q34" s="14"/>
      <c r="R34" s="14"/>
      <c r="S34" s="14"/>
      <c r="T34" s="14"/>
      <c r="U34" s="14"/>
      <c r="V34" s="14"/>
      <c r="W34" s="14"/>
      <c r="X34" s="14"/>
      <c r="Y34" s="14"/>
      <c r="Z34" s="14"/>
      <c r="AA34" s="14"/>
      <c r="AB34" s="14"/>
    </row>
    <row r="35" spans="1:28" ht="21">
      <c r="A35" s="5" t="s">
        <v>232</v>
      </c>
      <c r="B35" s="5" t="s">
        <v>233</v>
      </c>
      <c r="C35" s="10" t="s">
        <v>18</v>
      </c>
      <c r="D35" s="10" t="s">
        <v>18</v>
      </c>
      <c r="E35" s="10" t="s">
        <v>18</v>
      </c>
      <c r="F35" s="10" t="s">
        <v>18</v>
      </c>
      <c r="G35" s="10"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B</v>
      </c>
      <c r="H35" s="7"/>
      <c r="I35" s="7"/>
      <c r="J35" s="2"/>
      <c r="K35" s="14"/>
      <c r="L35" s="14"/>
      <c r="M35" s="14"/>
      <c r="N35" s="14"/>
      <c r="O35" s="14"/>
      <c r="P35" s="14"/>
      <c r="Q35" s="14"/>
      <c r="R35" s="14"/>
      <c r="S35" s="14"/>
      <c r="T35" s="14"/>
      <c r="U35" s="14"/>
      <c r="V35" s="14"/>
      <c r="W35" s="14"/>
      <c r="X35" s="14"/>
      <c r="Y35" s="14"/>
      <c r="Z35" s="14"/>
      <c r="AA35" s="14"/>
      <c r="AB35" s="14"/>
    </row>
    <row r="36" spans="1:28" ht="21">
      <c r="A36" s="5" t="s">
        <v>238</v>
      </c>
      <c r="B36" s="5" t="s">
        <v>239</v>
      </c>
      <c r="C36" s="10" t="s">
        <v>28</v>
      </c>
      <c r="D36" s="10" t="s">
        <v>28</v>
      </c>
      <c r="E36" s="10" t="s">
        <v>21</v>
      </c>
      <c r="F36" s="10" t="s">
        <v>28</v>
      </c>
      <c r="G36" s="10"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A+</v>
      </c>
      <c r="H36" s="7" t="s">
        <v>3181</v>
      </c>
      <c r="I36" s="7"/>
      <c r="J36" s="2"/>
      <c r="K36" s="14"/>
      <c r="L36" s="14"/>
      <c r="M36" s="14"/>
      <c r="N36" s="14"/>
      <c r="O36" s="14"/>
      <c r="P36" s="14"/>
      <c r="Q36" s="14"/>
      <c r="R36" s="14"/>
      <c r="S36" s="14"/>
      <c r="T36" s="14"/>
      <c r="U36" s="14"/>
      <c r="V36" s="14"/>
      <c r="W36" s="14"/>
      <c r="X36" s="14"/>
      <c r="Y36" s="14"/>
      <c r="Z36" s="14"/>
      <c r="AA36" s="14"/>
      <c r="AB36" s="14"/>
    </row>
    <row r="37" spans="1:28" ht="21">
      <c r="A37" s="5" t="s">
        <v>243</v>
      </c>
      <c r="B37" s="5" t="s">
        <v>244</v>
      </c>
      <c r="C37" s="10" t="s">
        <v>18</v>
      </c>
      <c r="D37" s="10" t="s">
        <v>18</v>
      </c>
      <c r="E37" s="10" t="s">
        <v>18</v>
      </c>
      <c r="F37" s="10" t="s">
        <v>18</v>
      </c>
      <c r="G37" s="10"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B</v>
      </c>
      <c r="H37" s="7"/>
      <c r="I37" s="7"/>
      <c r="J37" s="2"/>
      <c r="K37" s="14"/>
      <c r="L37" s="14"/>
      <c r="M37" s="14"/>
      <c r="N37" s="14"/>
      <c r="O37" s="14"/>
      <c r="P37" s="14"/>
      <c r="Q37" s="14"/>
      <c r="R37" s="14"/>
      <c r="S37" s="14"/>
      <c r="T37" s="14"/>
      <c r="U37" s="14"/>
      <c r="V37" s="14"/>
      <c r="W37" s="14"/>
      <c r="X37" s="14"/>
      <c r="Y37" s="14"/>
      <c r="Z37" s="14"/>
      <c r="AA37" s="14"/>
      <c r="AB37" s="14"/>
    </row>
    <row r="38" spans="1:28" ht="21">
      <c r="A38" s="5" t="s">
        <v>250</v>
      </c>
      <c r="B38" s="5" t="s">
        <v>80</v>
      </c>
      <c r="C38" s="10" t="s">
        <v>28</v>
      </c>
      <c r="D38" s="10" t="s">
        <v>28</v>
      </c>
      <c r="E38" s="10" t="s">
        <v>21</v>
      </c>
      <c r="F38" s="10" t="s">
        <v>28</v>
      </c>
      <c r="G38" s="10"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A+</v>
      </c>
      <c r="H38" s="7" t="s">
        <v>3182</v>
      </c>
      <c r="I38" s="7"/>
      <c r="J38" s="2"/>
      <c r="K38" s="14"/>
      <c r="L38" s="14"/>
      <c r="M38" s="14"/>
      <c r="N38" s="14"/>
      <c r="O38" s="14"/>
      <c r="P38" s="14"/>
      <c r="Q38" s="14"/>
      <c r="R38" s="14"/>
      <c r="S38" s="14"/>
      <c r="T38" s="14"/>
      <c r="U38" s="14"/>
      <c r="V38" s="14"/>
      <c r="W38" s="14"/>
      <c r="X38" s="14"/>
      <c r="Y38" s="14"/>
      <c r="Z38" s="14"/>
      <c r="AA38" s="14"/>
      <c r="AB38" s="14"/>
    </row>
    <row r="39" spans="1:28" ht="21">
      <c r="A39" s="5" t="s">
        <v>256</v>
      </c>
      <c r="B39" s="5" t="s">
        <v>257</v>
      </c>
      <c r="C39" s="10" t="s">
        <v>1562</v>
      </c>
      <c r="D39" s="10" t="s">
        <v>18</v>
      </c>
      <c r="E39" s="10" t="s">
        <v>1562</v>
      </c>
      <c r="F39" s="10" t="s">
        <v>1562</v>
      </c>
      <c r="G39" s="10"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C+</v>
      </c>
      <c r="H39" s="7"/>
      <c r="I39" s="7"/>
      <c r="J39" s="2"/>
      <c r="K39" s="14"/>
      <c r="L39" s="14"/>
      <c r="M39" s="14"/>
      <c r="N39" s="14"/>
      <c r="O39" s="14"/>
      <c r="P39" s="14"/>
      <c r="Q39" s="14"/>
      <c r="R39" s="14"/>
      <c r="S39" s="14"/>
      <c r="T39" s="14"/>
      <c r="U39" s="14"/>
      <c r="V39" s="14"/>
      <c r="W39" s="14"/>
      <c r="X39" s="14"/>
      <c r="Y39" s="14"/>
      <c r="Z39" s="14"/>
      <c r="AA39" s="14"/>
      <c r="AB39" s="14"/>
    </row>
    <row r="40" spans="1:28" ht="21">
      <c r="A40" s="5" t="s">
        <v>263</v>
      </c>
      <c r="B40" s="5" t="s">
        <v>264</v>
      </c>
      <c r="C40" s="10" t="s">
        <v>1567</v>
      </c>
      <c r="D40" s="10" t="s">
        <v>18</v>
      </c>
      <c r="E40" s="10" t="s">
        <v>18</v>
      </c>
      <c r="F40" s="10" t="s">
        <v>18</v>
      </c>
      <c r="G40" s="10"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B</v>
      </c>
      <c r="H40" s="7" t="s">
        <v>3183</v>
      </c>
      <c r="I40" s="7"/>
      <c r="J40" s="2"/>
      <c r="K40" s="14"/>
      <c r="L40" s="14"/>
      <c r="M40" s="14"/>
      <c r="N40" s="14"/>
      <c r="O40" s="14"/>
      <c r="P40" s="14"/>
      <c r="Q40" s="14"/>
      <c r="R40" s="14"/>
      <c r="S40" s="14"/>
      <c r="T40" s="14"/>
      <c r="U40" s="14"/>
      <c r="V40" s="14"/>
      <c r="W40" s="14"/>
      <c r="X40" s="14"/>
      <c r="Y40" s="14"/>
      <c r="Z40" s="14"/>
      <c r="AA40" s="14"/>
      <c r="AB40" s="14"/>
    </row>
    <row r="41" spans="1:28" ht="21">
      <c r="A41" s="5" t="s">
        <v>269</v>
      </c>
      <c r="B41" s="8" t="s">
        <v>270</v>
      </c>
      <c r="C41" s="10" t="s">
        <v>18</v>
      </c>
      <c r="D41" s="10" t="s">
        <v>1562</v>
      </c>
      <c r="E41" s="10" t="s">
        <v>1562</v>
      </c>
      <c r="F41" s="10" t="s">
        <v>1562</v>
      </c>
      <c r="G41" s="10"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C+</v>
      </c>
      <c r="H41" s="7"/>
      <c r="I41" s="7"/>
      <c r="J41" s="2"/>
      <c r="K41" s="14"/>
      <c r="L41" s="14"/>
      <c r="M41" s="14"/>
      <c r="N41" s="14"/>
      <c r="O41" s="14"/>
      <c r="P41" s="14"/>
      <c r="Q41" s="14"/>
      <c r="R41" s="14"/>
      <c r="S41" s="14"/>
      <c r="T41" s="14"/>
      <c r="U41" s="14"/>
      <c r="V41" s="14"/>
      <c r="W41" s="14"/>
      <c r="X41" s="14"/>
      <c r="Y41" s="14"/>
      <c r="Z41" s="14"/>
      <c r="AA41" s="14"/>
      <c r="AB41" s="14"/>
    </row>
    <row r="42" spans="1:28" ht="21">
      <c r="A42" s="5" t="s">
        <v>274</v>
      </c>
      <c r="B42" s="5" t="s">
        <v>275</v>
      </c>
      <c r="C42" s="10" t="s">
        <v>1562</v>
      </c>
      <c r="D42" s="10" t="s">
        <v>1562</v>
      </c>
      <c r="E42" s="10" t="s">
        <v>1562</v>
      </c>
      <c r="F42" s="10" t="s">
        <v>1562</v>
      </c>
      <c r="G42" s="10"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C+</v>
      </c>
      <c r="H42" s="7" t="s">
        <v>3184</v>
      </c>
      <c r="I42" s="7"/>
      <c r="J42" s="2"/>
      <c r="K42" s="14"/>
      <c r="L42" s="14"/>
      <c r="M42" s="14"/>
      <c r="N42" s="14"/>
      <c r="O42" s="14"/>
      <c r="P42" s="14"/>
      <c r="Q42" s="14"/>
      <c r="R42" s="14"/>
      <c r="S42" s="14"/>
      <c r="T42" s="14"/>
      <c r="U42" s="14"/>
      <c r="V42" s="14"/>
      <c r="W42" s="14"/>
      <c r="X42" s="14"/>
      <c r="Y42" s="14"/>
      <c r="Z42" s="14"/>
      <c r="AA42" s="14"/>
      <c r="AB42" s="14"/>
    </row>
    <row r="43" spans="1:28" ht="21">
      <c r="A43" s="5" t="s">
        <v>279</v>
      </c>
      <c r="B43" s="5" t="s">
        <v>280</v>
      </c>
      <c r="C43" s="10" t="s">
        <v>1567</v>
      </c>
      <c r="D43" s="10" t="s">
        <v>21</v>
      </c>
      <c r="E43" s="10" t="s">
        <v>1567</v>
      </c>
      <c r="F43" s="10" t="s">
        <v>21</v>
      </c>
      <c r="G43" s="10"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A</v>
      </c>
      <c r="H43" s="7"/>
      <c r="I43" s="7"/>
      <c r="J43" s="2"/>
      <c r="K43" s="14"/>
      <c r="L43" s="14"/>
      <c r="M43" s="14"/>
      <c r="N43" s="14"/>
      <c r="O43" s="14"/>
      <c r="P43" s="14"/>
      <c r="Q43" s="14"/>
      <c r="R43" s="14"/>
      <c r="S43" s="14"/>
      <c r="T43" s="14"/>
      <c r="U43" s="14"/>
      <c r="V43" s="14"/>
      <c r="W43" s="14"/>
      <c r="X43" s="14"/>
      <c r="Y43" s="14"/>
      <c r="Z43" s="14"/>
      <c r="AA43" s="14"/>
      <c r="AB43" s="14"/>
    </row>
    <row r="44" spans="1:28" ht="21">
      <c r="A44" s="5" t="s">
        <v>286</v>
      </c>
      <c r="B44" s="5" t="s">
        <v>54</v>
      </c>
      <c r="C44" s="10" t="s">
        <v>21</v>
      </c>
      <c r="D44" s="10" t="s">
        <v>21</v>
      </c>
      <c r="E44" s="10" t="s">
        <v>21</v>
      </c>
      <c r="F44" s="10" t="s">
        <v>28</v>
      </c>
      <c r="G44" s="10"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A</v>
      </c>
      <c r="H44" s="7"/>
      <c r="I44" s="7"/>
      <c r="J44" s="2"/>
      <c r="K44" s="14"/>
      <c r="L44" s="14"/>
      <c r="M44" s="14"/>
      <c r="N44" s="14"/>
      <c r="O44" s="14"/>
      <c r="P44" s="14"/>
      <c r="Q44" s="14"/>
      <c r="R44" s="14"/>
      <c r="S44" s="14"/>
      <c r="T44" s="14"/>
      <c r="U44" s="14"/>
      <c r="V44" s="14"/>
      <c r="W44" s="14"/>
      <c r="X44" s="14"/>
      <c r="Y44" s="14"/>
      <c r="Z44" s="14"/>
      <c r="AA44" s="14"/>
      <c r="AB44" s="14"/>
    </row>
    <row r="45" spans="1:28" ht="21">
      <c r="A45" s="5" t="s">
        <v>292</v>
      </c>
      <c r="B45" s="5" t="s">
        <v>293</v>
      </c>
      <c r="C45" s="10" t="s">
        <v>1567</v>
      </c>
      <c r="D45" s="10" t="s">
        <v>18</v>
      </c>
      <c r="E45" s="10" t="s">
        <v>18</v>
      </c>
      <c r="F45" s="10" t="s">
        <v>18</v>
      </c>
      <c r="G45" s="10"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B</v>
      </c>
      <c r="H45" s="7"/>
      <c r="I45" s="7"/>
      <c r="J45" s="2"/>
      <c r="K45" s="14"/>
      <c r="L45" s="14"/>
      <c r="M45" s="14"/>
      <c r="N45" s="14"/>
      <c r="O45" s="14"/>
      <c r="P45" s="14"/>
      <c r="Q45" s="14"/>
      <c r="R45" s="14"/>
      <c r="S45" s="14"/>
      <c r="T45" s="14"/>
      <c r="U45" s="14"/>
      <c r="V45" s="14"/>
      <c r="W45" s="14"/>
      <c r="X45" s="14"/>
      <c r="Y45" s="14"/>
      <c r="Z45" s="14"/>
      <c r="AA45" s="14"/>
      <c r="AB45" s="14"/>
    </row>
    <row r="46" spans="1:28" ht="21">
      <c r="A46" s="5" t="s">
        <v>298</v>
      </c>
      <c r="B46" s="5" t="s">
        <v>299</v>
      </c>
      <c r="C46" s="10" t="s">
        <v>21</v>
      </c>
      <c r="D46" s="10" t="s">
        <v>1567</v>
      </c>
      <c r="E46" s="10" t="s">
        <v>1567</v>
      </c>
      <c r="F46" s="10" t="s">
        <v>1567</v>
      </c>
      <c r="G46" s="10"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B+</v>
      </c>
      <c r="H46" s="7"/>
      <c r="I46" s="7"/>
      <c r="J46" s="2"/>
      <c r="K46" s="14"/>
      <c r="L46" s="14"/>
      <c r="M46" s="14"/>
      <c r="N46" s="14"/>
      <c r="O46" s="14"/>
      <c r="P46" s="14"/>
      <c r="Q46" s="14"/>
      <c r="R46" s="14"/>
      <c r="S46" s="14"/>
      <c r="T46" s="14"/>
      <c r="U46" s="14"/>
      <c r="V46" s="14"/>
      <c r="W46" s="14"/>
      <c r="X46" s="14"/>
      <c r="Y46" s="14"/>
      <c r="Z46" s="14"/>
      <c r="AA46" s="14"/>
      <c r="AB46" s="14"/>
    </row>
    <row r="47" spans="1:28" ht="21">
      <c r="A47" s="5" t="s">
        <v>302</v>
      </c>
      <c r="B47" s="5" t="s">
        <v>303</v>
      </c>
      <c r="C47" s="10" t="s">
        <v>21</v>
      </c>
      <c r="D47" s="10" t="s">
        <v>21</v>
      </c>
      <c r="E47" s="10" t="s">
        <v>18</v>
      </c>
      <c r="F47" s="10" t="s">
        <v>1567</v>
      </c>
      <c r="G47" s="10"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B+</v>
      </c>
      <c r="H47" s="7" t="s">
        <v>3185</v>
      </c>
      <c r="I47" s="7"/>
      <c r="J47" s="2"/>
      <c r="K47" s="14"/>
      <c r="L47" s="14"/>
      <c r="M47" s="14"/>
      <c r="N47" s="14"/>
      <c r="O47" s="14"/>
      <c r="P47" s="14"/>
      <c r="Q47" s="14"/>
      <c r="R47" s="14"/>
      <c r="S47" s="14"/>
      <c r="T47" s="14"/>
      <c r="U47" s="14"/>
      <c r="V47" s="14"/>
      <c r="W47" s="14"/>
      <c r="X47" s="14"/>
      <c r="Y47" s="14"/>
      <c r="Z47" s="14"/>
      <c r="AA47" s="14"/>
      <c r="AB47" s="14"/>
    </row>
    <row r="48" spans="1:28" ht="21">
      <c r="A48" s="5" t="s">
        <v>309</v>
      </c>
      <c r="B48" s="5" t="s">
        <v>310</v>
      </c>
      <c r="C48" s="10" t="s">
        <v>18</v>
      </c>
      <c r="D48" s="10" t="s">
        <v>1567</v>
      </c>
      <c r="E48" s="10" t="s">
        <v>18</v>
      </c>
      <c r="F48" s="10" t="s">
        <v>18</v>
      </c>
      <c r="G48" s="10"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B</v>
      </c>
      <c r="H48" s="7"/>
      <c r="I48" s="7"/>
      <c r="J48" s="2"/>
      <c r="K48" s="14"/>
      <c r="L48" s="14"/>
      <c r="M48" s="14"/>
      <c r="N48" s="14"/>
      <c r="O48" s="14"/>
      <c r="P48" s="14"/>
      <c r="Q48" s="14"/>
      <c r="R48" s="14"/>
      <c r="S48" s="14"/>
      <c r="T48" s="14"/>
      <c r="U48" s="14"/>
      <c r="V48" s="14"/>
      <c r="W48" s="14"/>
      <c r="X48" s="14"/>
      <c r="Y48" s="14"/>
      <c r="Z48" s="14"/>
      <c r="AA48" s="14"/>
      <c r="AB48" s="14"/>
    </row>
    <row r="49" spans="1:28" ht="21">
      <c r="A49" s="5" t="s">
        <v>315</v>
      </c>
      <c r="B49" s="5" t="s">
        <v>316</v>
      </c>
      <c r="C49" s="10" t="s">
        <v>18</v>
      </c>
      <c r="D49" s="10" t="s">
        <v>18</v>
      </c>
      <c r="E49" s="10" t="s">
        <v>1562</v>
      </c>
      <c r="F49" s="10" t="s">
        <v>1562</v>
      </c>
      <c r="G49" s="10" t="s">
        <v>1562</v>
      </c>
      <c r="H49" s="7"/>
      <c r="I49" s="7"/>
      <c r="J49" s="2"/>
      <c r="K49" s="14"/>
      <c r="L49" s="14"/>
      <c r="M49" s="14"/>
      <c r="N49" s="14"/>
      <c r="O49" s="14"/>
      <c r="P49" s="14"/>
      <c r="Q49" s="14"/>
      <c r="R49" s="14"/>
      <c r="S49" s="14"/>
      <c r="T49" s="14"/>
      <c r="U49" s="14"/>
      <c r="V49" s="14"/>
      <c r="W49" s="14"/>
      <c r="X49" s="14"/>
      <c r="Y49" s="14"/>
      <c r="Z49" s="14"/>
      <c r="AA49" s="14"/>
      <c r="AB49" s="14"/>
    </row>
    <row r="50" spans="1:28" ht="21">
      <c r="A50" s="5" t="s">
        <v>322</v>
      </c>
      <c r="B50" s="5" t="s">
        <v>162</v>
      </c>
      <c r="C50" s="10" t="s">
        <v>1567</v>
      </c>
      <c r="D50" s="10" t="s">
        <v>1567</v>
      </c>
      <c r="E50" s="10" t="s">
        <v>1567</v>
      </c>
      <c r="F50" s="10" t="s">
        <v>1567</v>
      </c>
      <c r="G50" s="10"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B+</v>
      </c>
      <c r="H50" s="7"/>
      <c r="I50" s="7"/>
      <c r="J50" s="2"/>
      <c r="K50" s="14"/>
      <c r="L50" s="14"/>
      <c r="M50" s="14"/>
      <c r="N50" s="14"/>
      <c r="O50" s="14"/>
      <c r="P50" s="14"/>
      <c r="Q50" s="14"/>
      <c r="R50" s="14"/>
      <c r="S50" s="14"/>
      <c r="T50" s="14"/>
      <c r="U50" s="14"/>
      <c r="V50" s="14"/>
      <c r="W50" s="14"/>
      <c r="X50" s="14"/>
      <c r="Y50" s="14"/>
      <c r="Z50" s="14"/>
      <c r="AA50" s="14"/>
      <c r="AB50" s="14"/>
    </row>
    <row r="51" spans="1:28" ht="38">
      <c r="A51" s="5" t="s">
        <v>326</v>
      </c>
      <c r="B51" s="5" t="s">
        <v>94</v>
      </c>
      <c r="C51" s="10" t="s">
        <v>21</v>
      </c>
      <c r="D51" s="10" t="s">
        <v>28</v>
      </c>
      <c r="E51" s="10" t="s">
        <v>1567</v>
      </c>
      <c r="F51" s="10" t="s">
        <v>21</v>
      </c>
      <c r="G51" s="10"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A</v>
      </c>
      <c r="H51" s="89" t="s">
        <v>3186</v>
      </c>
      <c r="I51" s="7"/>
      <c r="J51" s="2"/>
      <c r="K51" s="14"/>
      <c r="L51" s="14"/>
      <c r="M51" s="14"/>
      <c r="N51" s="14"/>
      <c r="O51" s="14"/>
      <c r="P51" s="14"/>
      <c r="Q51" s="14"/>
      <c r="R51" s="14"/>
      <c r="S51" s="14"/>
      <c r="T51" s="14"/>
      <c r="U51" s="14"/>
      <c r="V51" s="14"/>
      <c r="W51" s="14"/>
      <c r="X51" s="14"/>
      <c r="Y51" s="14"/>
      <c r="Z51" s="14"/>
      <c r="AA51" s="14"/>
      <c r="AB51" s="14"/>
    </row>
    <row r="52" spans="1:28" ht="21">
      <c r="A52" s="5" t="s">
        <v>331</v>
      </c>
      <c r="B52" s="5" t="s">
        <v>332</v>
      </c>
      <c r="C52" s="10" t="s">
        <v>18</v>
      </c>
      <c r="D52" s="10" t="s">
        <v>18</v>
      </c>
      <c r="E52" s="10" t="s">
        <v>18</v>
      </c>
      <c r="F52" s="10" t="s">
        <v>18</v>
      </c>
      <c r="G52" s="10"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B</v>
      </c>
      <c r="H52" s="7"/>
      <c r="I52" s="7"/>
      <c r="J52" s="2"/>
      <c r="K52" s="14"/>
      <c r="L52" s="14"/>
      <c r="M52" s="14"/>
      <c r="N52" s="14"/>
      <c r="O52" s="14"/>
      <c r="P52" s="14"/>
      <c r="Q52" s="14"/>
      <c r="R52" s="14"/>
      <c r="S52" s="14"/>
      <c r="T52" s="14"/>
      <c r="U52" s="14"/>
      <c r="V52" s="14"/>
      <c r="W52" s="14"/>
      <c r="X52" s="14"/>
      <c r="Y52" s="14"/>
      <c r="Z52" s="14"/>
      <c r="AA52" s="14"/>
      <c r="AB52" s="14"/>
    </row>
    <row r="53" spans="1:28" ht="21">
      <c r="A53" s="5" t="s">
        <v>334</v>
      </c>
      <c r="B53" s="5" t="s">
        <v>335</v>
      </c>
      <c r="C53" s="10" t="s">
        <v>18</v>
      </c>
      <c r="D53" s="10" t="s">
        <v>18</v>
      </c>
      <c r="E53" s="10" t="s">
        <v>18</v>
      </c>
      <c r="F53" s="10" t="s">
        <v>1567</v>
      </c>
      <c r="G53" s="10"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B</v>
      </c>
      <c r="H53" s="7"/>
      <c r="I53" s="7"/>
      <c r="J53" s="2"/>
      <c r="K53" s="14"/>
      <c r="L53" s="14"/>
      <c r="M53" s="14"/>
      <c r="N53" s="14"/>
      <c r="O53" s="14"/>
      <c r="P53" s="14"/>
      <c r="Q53" s="14"/>
      <c r="R53" s="14"/>
      <c r="S53" s="14"/>
      <c r="T53" s="14"/>
      <c r="U53" s="14"/>
      <c r="V53" s="14"/>
      <c r="W53" s="14"/>
      <c r="X53" s="14"/>
      <c r="Y53" s="14"/>
      <c r="Z53" s="14"/>
      <c r="AA53" s="14"/>
      <c r="AB53" s="14"/>
    </row>
    <row r="54" spans="1:28" ht="21">
      <c r="A54" s="5" t="s">
        <v>339</v>
      </c>
      <c r="B54" s="5" t="s">
        <v>340</v>
      </c>
      <c r="C54" s="10" t="s">
        <v>1574</v>
      </c>
      <c r="D54" s="10" t="s">
        <v>1562</v>
      </c>
      <c r="E54" s="10" t="s">
        <v>1562</v>
      </c>
      <c r="F54" s="10" t="s">
        <v>1574</v>
      </c>
      <c r="G54" s="10"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C+</v>
      </c>
      <c r="H54" s="7"/>
      <c r="I54" s="7"/>
      <c r="J54" s="2"/>
      <c r="K54" s="14"/>
      <c r="L54" s="14"/>
      <c r="M54" s="14"/>
      <c r="N54" s="14"/>
      <c r="O54" s="14"/>
      <c r="P54" s="14"/>
      <c r="Q54" s="14"/>
      <c r="R54" s="14"/>
      <c r="S54" s="14"/>
      <c r="T54" s="14"/>
      <c r="U54" s="14"/>
      <c r="V54" s="14"/>
      <c r="W54" s="14"/>
      <c r="X54" s="14"/>
      <c r="Y54" s="14"/>
      <c r="Z54" s="14"/>
      <c r="AA54" s="14"/>
      <c r="AB54" s="14"/>
    </row>
    <row r="55" spans="1:28" ht="21">
      <c r="A55" s="5" t="s">
        <v>346</v>
      </c>
      <c r="B55" s="5" t="s">
        <v>347</v>
      </c>
      <c r="C55" s="10" t="s">
        <v>21</v>
      </c>
      <c r="D55" s="10" t="s">
        <v>28</v>
      </c>
      <c r="E55" s="10" t="s">
        <v>21</v>
      </c>
      <c r="F55" s="10" t="s">
        <v>28</v>
      </c>
      <c r="G55" s="10"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A+</v>
      </c>
      <c r="H55" s="7" t="s">
        <v>3187</v>
      </c>
      <c r="I55" s="7"/>
      <c r="J55" s="2"/>
      <c r="K55" s="14"/>
      <c r="L55" s="14"/>
      <c r="M55" s="14"/>
      <c r="N55" s="14"/>
      <c r="O55" s="14"/>
      <c r="P55" s="14"/>
      <c r="Q55" s="14"/>
      <c r="R55" s="14"/>
      <c r="S55" s="14"/>
      <c r="T55" s="14"/>
      <c r="U55" s="14"/>
      <c r="V55" s="14"/>
      <c r="W55" s="14"/>
      <c r="X55" s="14"/>
      <c r="Y55" s="14"/>
      <c r="Z55" s="14"/>
      <c r="AA55" s="14"/>
      <c r="AB55" s="14"/>
    </row>
    <row r="56" spans="1:28" ht="21">
      <c r="A56" s="5" t="s">
        <v>353</v>
      </c>
      <c r="B56" s="5" t="s">
        <v>354</v>
      </c>
      <c r="C56" s="10"/>
      <c r="D56" s="10"/>
      <c r="E56" s="10"/>
      <c r="F56" s="10"/>
      <c r="G56" s="10"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7"/>
      <c r="I56" s="7"/>
      <c r="J56" s="2"/>
      <c r="K56" s="14"/>
      <c r="L56" s="14"/>
      <c r="M56" s="14"/>
      <c r="N56" s="14"/>
      <c r="O56" s="14"/>
      <c r="P56" s="14"/>
      <c r="Q56" s="14"/>
      <c r="R56" s="14"/>
      <c r="S56" s="14"/>
      <c r="T56" s="14"/>
      <c r="U56" s="14"/>
      <c r="V56" s="14"/>
      <c r="W56" s="14"/>
      <c r="X56" s="14"/>
      <c r="Y56" s="14"/>
      <c r="Z56" s="14"/>
      <c r="AA56" s="14"/>
      <c r="AB56" s="14"/>
    </row>
    <row r="57" spans="1:28" ht="21">
      <c r="A57" s="5" t="s">
        <v>358</v>
      </c>
      <c r="B57" s="5" t="s">
        <v>359</v>
      </c>
      <c r="C57" s="10"/>
      <c r="D57" s="10"/>
      <c r="E57" s="10"/>
      <c r="F57" s="10"/>
      <c r="G57" s="10"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7"/>
      <c r="I57" s="7"/>
      <c r="J57" s="2"/>
      <c r="K57" s="14"/>
      <c r="L57" s="14"/>
      <c r="M57" s="14"/>
      <c r="N57" s="14"/>
      <c r="O57" s="14"/>
      <c r="P57" s="14"/>
      <c r="Q57" s="14"/>
      <c r="R57" s="14"/>
      <c r="S57" s="14"/>
      <c r="T57" s="14"/>
      <c r="U57" s="14"/>
      <c r="V57" s="14"/>
      <c r="W57" s="14"/>
      <c r="X57" s="14"/>
      <c r="Y57" s="14"/>
      <c r="Z57" s="14"/>
      <c r="AA57" s="14"/>
      <c r="AB57" s="14"/>
    </row>
    <row r="58" spans="1:28" ht="21">
      <c r="A58" s="5" t="s">
        <v>365</v>
      </c>
      <c r="B58" s="5" t="s">
        <v>366</v>
      </c>
      <c r="C58" s="10"/>
      <c r="D58" s="10"/>
      <c r="E58" s="10"/>
      <c r="F58" s="10"/>
      <c r="G58" s="10"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7"/>
      <c r="I58" s="7"/>
      <c r="J58" s="2"/>
      <c r="K58" s="14"/>
      <c r="L58" s="14"/>
      <c r="M58" s="14"/>
      <c r="N58" s="14"/>
      <c r="O58" s="14"/>
      <c r="P58" s="14"/>
      <c r="Q58" s="14"/>
      <c r="R58" s="14"/>
      <c r="S58" s="14"/>
      <c r="T58" s="14"/>
      <c r="U58" s="14"/>
      <c r="V58" s="14"/>
      <c r="W58" s="14"/>
      <c r="X58" s="14"/>
      <c r="Y58" s="14"/>
      <c r="Z58" s="14"/>
      <c r="AA58" s="14"/>
      <c r="AB58" s="14"/>
    </row>
    <row r="59" spans="1:28" ht="21">
      <c r="A59" s="5" t="s">
        <v>371</v>
      </c>
      <c r="B59" s="5" t="s">
        <v>372</v>
      </c>
      <c r="C59" s="10"/>
      <c r="D59" s="10"/>
      <c r="E59" s="10"/>
      <c r="F59" s="10"/>
      <c r="G59" s="10"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7"/>
      <c r="I59" s="7"/>
      <c r="J59" s="2"/>
      <c r="K59" s="14"/>
      <c r="L59" s="14"/>
      <c r="M59" s="14"/>
      <c r="N59" s="14"/>
      <c r="O59" s="14"/>
      <c r="P59" s="14"/>
      <c r="Q59" s="14"/>
      <c r="R59" s="14"/>
      <c r="S59" s="14"/>
      <c r="T59" s="14"/>
      <c r="U59" s="14"/>
      <c r="V59" s="14"/>
      <c r="W59" s="14"/>
      <c r="X59" s="14"/>
      <c r="Y59" s="14"/>
      <c r="Z59" s="14"/>
      <c r="AA59" s="14"/>
      <c r="AB59" s="14"/>
    </row>
    <row r="60" spans="1:28" ht="21">
      <c r="A60" s="5" t="s">
        <v>376</v>
      </c>
      <c r="B60" s="5" t="s">
        <v>278</v>
      </c>
      <c r="C60" s="10"/>
      <c r="D60" s="10"/>
      <c r="E60" s="10"/>
      <c r="F60" s="10"/>
      <c r="G60" s="10"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7"/>
      <c r="I60" s="7"/>
      <c r="J60" s="2"/>
      <c r="K60" s="14"/>
      <c r="L60" s="14"/>
      <c r="M60" s="14"/>
      <c r="N60" s="14"/>
      <c r="O60" s="14"/>
      <c r="P60" s="14"/>
      <c r="Q60" s="14"/>
      <c r="R60" s="14"/>
      <c r="S60" s="14"/>
      <c r="T60" s="14"/>
      <c r="U60" s="14"/>
      <c r="V60" s="14"/>
      <c r="W60" s="14"/>
      <c r="X60" s="14"/>
      <c r="Y60" s="14"/>
      <c r="Z60" s="14"/>
      <c r="AA60" s="14"/>
      <c r="AB60" s="14"/>
    </row>
    <row r="61" spans="1:28" ht="21">
      <c r="A61" s="5" t="s">
        <v>382</v>
      </c>
      <c r="B61" s="5" t="s">
        <v>383</v>
      </c>
      <c r="C61" s="10"/>
      <c r="D61" s="10"/>
      <c r="E61" s="10"/>
      <c r="F61" s="10"/>
      <c r="G61" s="10"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7"/>
      <c r="I61" s="7"/>
      <c r="J61" s="2"/>
      <c r="K61" s="14"/>
      <c r="L61" s="14"/>
      <c r="M61" s="14"/>
      <c r="N61" s="14"/>
      <c r="O61" s="14"/>
      <c r="P61" s="14"/>
      <c r="Q61" s="14"/>
      <c r="R61" s="14"/>
      <c r="S61" s="14"/>
      <c r="T61" s="14"/>
      <c r="U61" s="14"/>
      <c r="V61" s="14"/>
      <c r="W61" s="14"/>
      <c r="X61" s="14"/>
      <c r="Y61" s="14"/>
      <c r="Z61" s="14"/>
      <c r="AA61" s="14"/>
      <c r="AB61" s="14"/>
    </row>
    <row r="62" spans="1:28" ht="21">
      <c r="A62" s="5" t="s">
        <v>387</v>
      </c>
      <c r="B62" s="5" t="s">
        <v>388</v>
      </c>
      <c r="C62" s="10"/>
      <c r="D62" s="10"/>
      <c r="E62" s="10"/>
      <c r="F62" s="10"/>
      <c r="G62" s="10"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7"/>
      <c r="I62" s="7"/>
      <c r="J62" s="2"/>
      <c r="K62" s="14"/>
      <c r="L62" s="14"/>
      <c r="M62" s="14"/>
      <c r="N62" s="14"/>
      <c r="O62" s="14"/>
      <c r="P62" s="14"/>
      <c r="Q62" s="14"/>
      <c r="R62" s="14"/>
      <c r="S62" s="14"/>
      <c r="T62" s="14"/>
      <c r="U62" s="14"/>
      <c r="V62" s="14"/>
      <c r="W62" s="14"/>
      <c r="X62" s="14"/>
      <c r="Y62" s="14"/>
      <c r="Z62" s="14"/>
      <c r="AA62" s="14"/>
      <c r="AB62" s="14"/>
    </row>
    <row r="63" spans="1:28" ht="21">
      <c r="A63" s="5" t="s">
        <v>393</v>
      </c>
      <c r="B63" s="5" t="s">
        <v>394</v>
      </c>
      <c r="C63" s="10"/>
      <c r="D63" s="10"/>
      <c r="E63" s="10"/>
      <c r="F63" s="10"/>
      <c r="G63" s="10"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7"/>
      <c r="I63" s="7"/>
      <c r="J63" s="2"/>
      <c r="K63" s="14"/>
      <c r="L63" s="14"/>
      <c r="M63" s="14"/>
      <c r="N63" s="14"/>
      <c r="O63" s="14"/>
      <c r="P63" s="14"/>
      <c r="Q63" s="14"/>
      <c r="R63" s="14"/>
      <c r="S63" s="14"/>
      <c r="T63" s="14"/>
      <c r="U63" s="14"/>
      <c r="V63" s="14"/>
      <c r="W63" s="14"/>
      <c r="X63" s="14"/>
      <c r="Y63" s="14"/>
      <c r="Z63" s="14"/>
      <c r="AA63" s="14"/>
      <c r="AB63" s="14"/>
    </row>
    <row r="64" spans="1:28" ht="21">
      <c r="A64" s="5" t="s">
        <v>399</v>
      </c>
      <c r="B64" s="5" t="s">
        <v>400</v>
      </c>
      <c r="C64" s="10"/>
      <c r="D64" s="10"/>
      <c r="E64" s="10"/>
      <c r="F64" s="10"/>
      <c r="G64" s="10"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7"/>
      <c r="I64" s="7"/>
      <c r="J64" s="2"/>
      <c r="K64" s="14"/>
      <c r="L64" s="14"/>
      <c r="M64" s="14"/>
      <c r="N64" s="14"/>
      <c r="O64" s="14"/>
      <c r="P64" s="14"/>
      <c r="Q64" s="14"/>
      <c r="R64" s="14"/>
      <c r="S64" s="14"/>
      <c r="T64" s="14"/>
      <c r="U64" s="14"/>
      <c r="V64" s="14"/>
      <c r="W64" s="14"/>
      <c r="X64" s="14"/>
      <c r="Y64" s="14"/>
      <c r="Z64" s="14"/>
      <c r="AA64" s="14"/>
      <c r="AB64" s="14"/>
    </row>
    <row r="65" spans="1:28" ht="21">
      <c r="A65" s="5" t="s">
        <v>404</v>
      </c>
      <c r="B65" s="5" t="s">
        <v>405</v>
      </c>
      <c r="C65" s="10"/>
      <c r="D65" s="10"/>
      <c r="E65" s="10"/>
      <c r="F65" s="10"/>
      <c r="G65" s="10"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7"/>
      <c r="I65" s="7"/>
      <c r="J65" s="2"/>
      <c r="K65" s="14"/>
      <c r="L65" s="14"/>
      <c r="M65" s="14"/>
      <c r="N65" s="14"/>
      <c r="O65" s="14"/>
      <c r="P65" s="14"/>
      <c r="Q65" s="14"/>
      <c r="R65" s="14"/>
      <c r="S65" s="14"/>
      <c r="T65" s="14"/>
      <c r="U65" s="14"/>
      <c r="V65" s="14"/>
      <c r="W65" s="14"/>
      <c r="X65" s="14"/>
      <c r="Y65" s="14"/>
      <c r="Z65" s="14"/>
      <c r="AA65" s="14"/>
      <c r="AB65" s="14"/>
    </row>
    <row r="66" spans="1:28" ht="21">
      <c r="A66" s="5" t="s">
        <v>409</v>
      </c>
      <c r="B66" s="5" t="s">
        <v>308</v>
      </c>
      <c r="C66" s="10"/>
      <c r="D66" s="10"/>
      <c r="E66" s="10"/>
      <c r="F66" s="10"/>
      <c r="G66" s="10"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7"/>
      <c r="I66" s="7"/>
      <c r="J66" s="2"/>
      <c r="K66" s="14"/>
      <c r="L66" s="14"/>
      <c r="M66" s="14"/>
      <c r="N66" s="14"/>
      <c r="O66" s="14"/>
      <c r="P66" s="14"/>
      <c r="Q66" s="14"/>
      <c r="R66" s="14"/>
      <c r="S66" s="14"/>
      <c r="T66" s="14"/>
      <c r="U66" s="14"/>
      <c r="V66" s="14"/>
      <c r="W66" s="14"/>
      <c r="X66" s="14"/>
      <c r="Y66" s="14"/>
      <c r="Z66" s="14"/>
      <c r="AA66" s="14"/>
      <c r="AB66" s="14"/>
    </row>
    <row r="67" spans="1:28" ht="21">
      <c r="A67" s="5" t="s">
        <v>413</v>
      </c>
      <c r="B67" s="5" t="s">
        <v>414</v>
      </c>
      <c r="C67" s="10"/>
      <c r="D67" s="10"/>
      <c r="E67" s="10"/>
      <c r="F67" s="10"/>
      <c r="G67" s="10"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7"/>
      <c r="I67" s="7"/>
      <c r="J67" s="2"/>
      <c r="K67" s="14"/>
      <c r="L67" s="14"/>
      <c r="M67" s="14"/>
      <c r="N67" s="14"/>
      <c r="O67" s="14"/>
      <c r="P67" s="14"/>
      <c r="Q67" s="14"/>
      <c r="R67" s="14"/>
      <c r="S67" s="14"/>
      <c r="T67" s="14"/>
      <c r="U67" s="14"/>
      <c r="V67" s="14"/>
      <c r="W67" s="14"/>
      <c r="X67" s="14"/>
      <c r="Y67" s="14"/>
      <c r="Z67" s="14"/>
      <c r="AA67" s="14"/>
      <c r="AB67" s="14"/>
    </row>
    <row r="68" spans="1:28" ht="21">
      <c r="A68" s="5" t="s">
        <v>416</v>
      </c>
      <c r="B68" s="5" t="s">
        <v>417</v>
      </c>
      <c r="C68" s="10"/>
      <c r="D68" s="10"/>
      <c r="E68" s="10"/>
      <c r="F68" s="10"/>
      <c r="G68" s="10"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7"/>
      <c r="I68" s="7"/>
      <c r="J68" s="2"/>
      <c r="K68" s="14"/>
      <c r="L68" s="14"/>
      <c r="M68" s="14"/>
      <c r="N68" s="14"/>
      <c r="O68" s="14"/>
      <c r="P68" s="14"/>
      <c r="Q68" s="14"/>
      <c r="R68" s="14"/>
      <c r="S68" s="14"/>
      <c r="T68" s="14"/>
      <c r="U68" s="14"/>
      <c r="V68" s="14"/>
      <c r="W68" s="14"/>
      <c r="X68" s="14"/>
      <c r="Y68" s="14"/>
      <c r="Z68" s="14"/>
      <c r="AA68" s="14"/>
      <c r="AB68" s="14"/>
    </row>
    <row r="69" spans="1:28" ht="21">
      <c r="A69" s="231" t="s">
        <v>421</v>
      </c>
      <c r="B69" s="5" t="s">
        <v>422</v>
      </c>
      <c r="C69" s="10" t="s">
        <v>28</v>
      </c>
      <c r="D69" s="10" t="s">
        <v>17</v>
      </c>
      <c r="E69" s="10" t="s">
        <v>28</v>
      </c>
      <c r="F69" s="10" t="s">
        <v>17</v>
      </c>
      <c r="G69" s="10"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S</v>
      </c>
      <c r="H69" s="7" t="s">
        <v>3188</v>
      </c>
      <c r="I69" s="7"/>
      <c r="J69" s="2"/>
      <c r="K69" s="14"/>
      <c r="L69" s="14"/>
      <c r="M69" s="14"/>
      <c r="N69" s="14"/>
      <c r="O69" s="14"/>
      <c r="P69" s="14"/>
      <c r="Q69" s="14"/>
      <c r="R69" s="14"/>
      <c r="S69" s="14"/>
      <c r="T69" s="14"/>
      <c r="U69" s="14"/>
      <c r="V69" s="14"/>
      <c r="W69" s="14"/>
      <c r="X69" s="14"/>
      <c r="Y69" s="14"/>
      <c r="Z69" s="14"/>
      <c r="AA69" s="14"/>
      <c r="AB69" s="14"/>
    </row>
    <row r="70" spans="1:28" ht="21">
      <c r="A70" s="5" t="s">
        <v>426</v>
      </c>
      <c r="B70" s="5" t="s">
        <v>427</v>
      </c>
      <c r="C70" s="10"/>
      <c r="D70" s="10"/>
      <c r="E70" s="10"/>
      <c r="F70" s="10"/>
      <c r="G70" s="10"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7"/>
      <c r="I70" s="7"/>
      <c r="J70" s="2"/>
      <c r="K70" s="14"/>
      <c r="L70" s="14"/>
      <c r="M70" s="14"/>
      <c r="N70" s="14"/>
      <c r="O70" s="14"/>
      <c r="P70" s="14"/>
      <c r="Q70" s="14"/>
      <c r="R70" s="14"/>
      <c r="S70" s="14"/>
      <c r="T70" s="14"/>
      <c r="U70" s="14"/>
      <c r="V70" s="14"/>
      <c r="W70" s="14"/>
      <c r="X70" s="14"/>
      <c r="Y70" s="14"/>
      <c r="Z70" s="14"/>
      <c r="AA70" s="14"/>
      <c r="AB70" s="14"/>
    </row>
    <row r="71" spans="1:28" ht="38">
      <c r="A71" s="5" t="s">
        <v>432</v>
      </c>
      <c r="B71" s="5" t="s">
        <v>149</v>
      </c>
      <c r="C71" s="10" t="s">
        <v>21</v>
      </c>
      <c r="D71" s="10" t="s">
        <v>21</v>
      </c>
      <c r="E71" s="10" t="s">
        <v>21</v>
      </c>
      <c r="F71" s="10" t="s">
        <v>21</v>
      </c>
      <c r="G71" s="10"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A</v>
      </c>
      <c r="H71" s="89" t="s">
        <v>3189</v>
      </c>
      <c r="I71" s="7"/>
      <c r="J71" s="2"/>
      <c r="K71" s="14"/>
      <c r="L71" s="14"/>
      <c r="M71" s="14"/>
      <c r="N71" s="14"/>
      <c r="O71" s="14"/>
      <c r="P71" s="14"/>
      <c r="Q71" s="14"/>
      <c r="R71" s="14"/>
      <c r="S71" s="14"/>
      <c r="T71" s="14"/>
      <c r="U71" s="14"/>
      <c r="V71" s="14"/>
      <c r="W71" s="14"/>
      <c r="X71" s="14"/>
      <c r="Y71" s="14"/>
      <c r="Z71" s="14"/>
      <c r="AA71" s="14"/>
      <c r="AB71" s="14"/>
    </row>
    <row r="72" spans="1:28" ht="21">
      <c r="A72" s="5" t="s">
        <v>435</v>
      </c>
      <c r="B72" s="5" t="s">
        <v>436</v>
      </c>
      <c r="C72" s="10"/>
      <c r="D72" s="10"/>
      <c r="E72" s="10"/>
      <c r="F72" s="10"/>
      <c r="G72" s="10"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7"/>
      <c r="I72" s="7"/>
      <c r="J72" s="2"/>
      <c r="K72" s="14"/>
      <c r="L72" s="14"/>
      <c r="M72" s="14"/>
      <c r="N72" s="14"/>
      <c r="O72" s="14"/>
      <c r="P72" s="14"/>
      <c r="Q72" s="14"/>
      <c r="R72" s="14"/>
      <c r="S72" s="14"/>
      <c r="T72" s="14"/>
      <c r="U72" s="14"/>
      <c r="V72" s="14"/>
      <c r="W72" s="14"/>
      <c r="X72" s="14"/>
      <c r="Y72" s="14"/>
      <c r="Z72" s="14"/>
      <c r="AA72" s="14"/>
      <c r="AB72" s="14"/>
    </row>
    <row r="73" spans="1:28" ht="21">
      <c r="A73" s="5" t="s">
        <v>442</v>
      </c>
      <c r="B73" s="5" t="s">
        <v>443</v>
      </c>
      <c r="C73" s="10"/>
      <c r="D73" s="10"/>
      <c r="E73" s="10"/>
      <c r="F73" s="10"/>
      <c r="G73" s="10"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7"/>
      <c r="I73" s="7"/>
      <c r="J73" s="2"/>
      <c r="K73" s="14"/>
      <c r="L73" s="14"/>
      <c r="M73" s="14"/>
      <c r="N73" s="14"/>
      <c r="O73" s="14"/>
      <c r="P73" s="14"/>
      <c r="Q73" s="14"/>
      <c r="R73" s="14"/>
      <c r="S73" s="14"/>
      <c r="T73" s="14"/>
      <c r="U73" s="14"/>
      <c r="V73" s="14"/>
      <c r="W73" s="14"/>
      <c r="X73" s="14"/>
      <c r="Y73" s="14"/>
      <c r="Z73" s="14"/>
      <c r="AA73" s="14"/>
      <c r="AB73" s="14"/>
    </row>
    <row r="74" spans="1:28" ht="21">
      <c r="A74" s="5" t="s">
        <v>447</v>
      </c>
      <c r="B74" s="5" t="s">
        <v>47</v>
      </c>
      <c r="C74" s="10"/>
      <c r="D74" s="10"/>
      <c r="E74" s="10"/>
      <c r="F74" s="10"/>
      <c r="G74" s="10"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7"/>
      <c r="I74" s="7"/>
      <c r="J74" s="2"/>
      <c r="K74" s="14"/>
      <c r="L74" s="14"/>
      <c r="M74" s="14"/>
      <c r="N74" s="14"/>
      <c r="O74" s="14"/>
      <c r="P74" s="14"/>
      <c r="Q74" s="14"/>
      <c r="R74" s="14"/>
      <c r="S74" s="14"/>
      <c r="T74" s="14"/>
      <c r="U74" s="14"/>
      <c r="V74" s="14"/>
      <c r="W74" s="14"/>
      <c r="X74" s="14"/>
      <c r="Y74" s="14"/>
      <c r="Z74" s="14"/>
      <c r="AA74" s="14"/>
      <c r="AB74" s="14"/>
    </row>
    <row r="75" spans="1:28" ht="21">
      <c r="A75" s="5" t="s">
        <v>451</v>
      </c>
      <c r="B75" s="5" t="s">
        <v>169</v>
      </c>
      <c r="C75" s="10"/>
      <c r="D75" s="10"/>
      <c r="E75" s="10"/>
      <c r="F75" s="10"/>
      <c r="G75" s="10"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7"/>
      <c r="I75" s="7"/>
      <c r="J75" s="2"/>
      <c r="K75" s="14"/>
      <c r="L75" s="14"/>
      <c r="M75" s="14"/>
      <c r="N75" s="14"/>
      <c r="O75" s="14"/>
      <c r="P75" s="14"/>
      <c r="Q75" s="14"/>
      <c r="R75" s="14"/>
      <c r="S75" s="14"/>
      <c r="T75" s="14"/>
      <c r="U75" s="14"/>
      <c r="V75" s="14"/>
      <c r="W75" s="14"/>
      <c r="X75" s="14"/>
      <c r="Y75" s="14"/>
      <c r="Z75" s="14"/>
      <c r="AA75" s="14"/>
      <c r="AB75" s="14"/>
    </row>
    <row r="76" spans="1:28" ht="21">
      <c r="A76" s="5" t="s">
        <v>455</v>
      </c>
      <c r="B76" s="5" t="s">
        <v>197</v>
      </c>
      <c r="C76" s="10"/>
      <c r="D76" s="10"/>
      <c r="E76" s="10"/>
      <c r="F76" s="10"/>
      <c r="G76" s="10"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7"/>
      <c r="I76" s="7"/>
      <c r="J76" s="2"/>
      <c r="K76" s="14"/>
      <c r="L76" s="14"/>
      <c r="M76" s="14"/>
      <c r="N76" s="14"/>
      <c r="O76" s="14"/>
      <c r="P76" s="14"/>
      <c r="Q76" s="14"/>
      <c r="R76" s="14"/>
      <c r="S76" s="14"/>
      <c r="T76" s="14"/>
      <c r="U76" s="14"/>
      <c r="V76" s="14"/>
      <c r="W76" s="14"/>
      <c r="X76" s="14"/>
      <c r="Y76" s="14"/>
      <c r="Z76" s="14"/>
      <c r="AA76" s="14"/>
      <c r="AB76" s="14"/>
    </row>
    <row r="77" spans="1:28" ht="21">
      <c r="A77" s="5" t="s">
        <v>461</v>
      </c>
      <c r="B77" s="6" t="s">
        <v>378</v>
      </c>
      <c r="C77" s="10"/>
      <c r="D77" s="10"/>
      <c r="E77" s="10"/>
      <c r="F77" s="10"/>
      <c r="G77" s="10"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7"/>
      <c r="I77" s="7"/>
      <c r="J77" s="2"/>
      <c r="K77" s="14"/>
      <c r="L77" s="14"/>
      <c r="M77" s="14"/>
      <c r="N77" s="14"/>
      <c r="O77" s="14"/>
      <c r="P77" s="14"/>
      <c r="Q77" s="14"/>
      <c r="R77" s="14"/>
      <c r="S77" s="14"/>
      <c r="T77" s="14"/>
      <c r="U77" s="14"/>
      <c r="V77" s="14"/>
      <c r="W77" s="14"/>
      <c r="X77" s="14"/>
      <c r="Y77" s="14"/>
      <c r="Z77" s="14"/>
      <c r="AA77" s="14"/>
      <c r="AB77" s="14"/>
    </row>
    <row r="78" spans="1:28" ht="38">
      <c r="A78" s="5" t="s">
        <v>467</v>
      </c>
      <c r="B78" s="5" t="s">
        <v>30</v>
      </c>
      <c r="C78" s="10" t="s">
        <v>28</v>
      </c>
      <c r="D78" s="10" t="s">
        <v>28</v>
      </c>
      <c r="E78" s="10" t="s">
        <v>21</v>
      </c>
      <c r="F78" s="10" t="s">
        <v>21</v>
      </c>
      <c r="G78" s="10" t="s">
        <v>21</v>
      </c>
      <c r="H78" s="89" t="s">
        <v>3190</v>
      </c>
      <c r="I78" s="7"/>
      <c r="J78" s="2"/>
      <c r="K78" s="14"/>
      <c r="L78" s="14"/>
      <c r="M78" s="14"/>
      <c r="N78" s="14"/>
      <c r="O78" s="14"/>
      <c r="P78" s="14"/>
      <c r="Q78" s="14"/>
      <c r="R78" s="14"/>
      <c r="S78" s="14"/>
      <c r="T78" s="14"/>
      <c r="U78" s="14"/>
      <c r="V78" s="14"/>
      <c r="W78" s="14"/>
      <c r="X78" s="14"/>
      <c r="Y78" s="14"/>
      <c r="Z78" s="14"/>
      <c r="AA78" s="14"/>
      <c r="AB78" s="14"/>
    </row>
    <row r="79" spans="1:28" ht="21">
      <c r="A79" s="5" t="s">
        <v>472</v>
      </c>
      <c r="B79" s="5" t="s">
        <v>473</v>
      </c>
      <c r="C79" s="10"/>
      <c r="D79" s="10"/>
      <c r="E79" s="10"/>
      <c r="F79" s="10"/>
      <c r="G79" s="10"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7"/>
      <c r="I79" s="7"/>
      <c r="J79" s="2"/>
      <c r="K79" s="14"/>
      <c r="L79" s="14"/>
      <c r="M79" s="14"/>
      <c r="N79" s="14"/>
      <c r="O79" s="14"/>
      <c r="P79" s="14"/>
      <c r="Q79" s="14"/>
      <c r="R79" s="14"/>
      <c r="S79" s="14"/>
      <c r="T79" s="14"/>
      <c r="U79" s="14"/>
      <c r="V79" s="14"/>
      <c r="W79" s="14"/>
      <c r="X79" s="14"/>
      <c r="Y79" s="14"/>
      <c r="Z79" s="14"/>
      <c r="AA79" s="14"/>
      <c r="AB79" s="14"/>
    </row>
    <row r="80" spans="1:28" ht="21">
      <c r="A80" s="5" t="s">
        <v>475</v>
      </c>
      <c r="B80" s="5" t="s">
        <v>476</v>
      </c>
      <c r="C80" s="10"/>
      <c r="D80" s="10"/>
      <c r="E80" s="10"/>
      <c r="F80" s="10"/>
      <c r="G80" s="10"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7"/>
      <c r="I80" s="7"/>
      <c r="J80" s="2"/>
      <c r="K80" s="14"/>
      <c r="L80" s="14"/>
      <c r="M80" s="14"/>
      <c r="N80" s="14"/>
      <c r="O80" s="14"/>
      <c r="P80" s="14"/>
      <c r="Q80" s="14"/>
      <c r="R80" s="14"/>
      <c r="S80" s="14"/>
      <c r="T80" s="14"/>
      <c r="U80" s="14"/>
      <c r="V80" s="14"/>
      <c r="W80" s="14"/>
      <c r="X80" s="14"/>
      <c r="Y80" s="14"/>
      <c r="Z80" s="14"/>
      <c r="AA80" s="14"/>
      <c r="AB80" s="14"/>
    </row>
    <row r="81" spans="1:28" ht="21">
      <c r="A81" s="5" t="s">
        <v>478</v>
      </c>
      <c r="B81" s="5" t="s">
        <v>321</v>
      </c>
      <c r="C81" s="10"/>
      <c r="D81" s="10"/>
      <c r="E81" s="10"/>
      <c r="F81" s="10"/>
      <c r="G81" s="10"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7"/>
      <c r="I81" s="7"/>
      <c r="J81" s="2"/>
      <c r="K81" s="14"/>
      <c r="L81" s="14"/>
      <c r="M81" s="14"/>
      <c r="N81" s="14"/>
      <c r="O81" s="14"/>
      <c r="P81" s="14"/>
      <c r="Q81" s="14"/>
      <c r="R81" s="14"/>
      <c r="S81" s="14"/>
      <c r="T81" s="14"/>
      <c r="U81" s="14"/>
      <c r="V81" s="14"/>
      <c r="W81" s="14"/>
      <c r="X81" s="14"/>
      <c r="Y81" s="14"/>
      <c r="Z81" s="14"/>
      <c r="AA81" s="14"/>
      <c r="AB81" s="14"/>
    </row>
    <row r="82" spans="1:28" ht="21">
      <c r="A82" s="5" t="s">
        <v>483</v>
      </c>
      <c r="B82" s="5" t="s">
        <v>484</v>
      </c>
      <c r="C82" s="10"/>
      <c r="D82" s="10"/>
      <c r="E82" s="10"/>
      <c r="F82" s="10"/>
      <c r="G82" s="10"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7"/>
      <c r="I82" s="7"/>
      <c r="J82" s="2"/>
      <c r="K82" s="14"/>
      <c r="L82" s="14"/>
      <c r="M82" s="14"/>
      <c r="N82" s="14"/>
      <c r="O82" s="14"/>
      <c r="P82" s="14"/>
      <c r="Q82" s="14"/>
      <c r="R82" s="14"/>
      <c r="S82" s="14"/>
      <c r="T82" s="14"/>
      <c r="U82" s="14"/>
      <c r="V82" s="14"/>
      <c r="W82" s="14"/>
      <c r="X82" s="14"/>
      <c r="Y82" s="14"/>
      <c r="Z82" s="14"/>
      <c r="AA82" s="14"/>
      <c r="AB82" s="14"/>
    </row>
    <row r="83" spans="1:28" ht="21">
      <c r="A83" s="5" t="s">
        <v>488</v>
      </c>
      <c r="B83" s="5" t="s">
        <v>489</v>
      </c>
      <c r="C83" s="10"/>
      <c r="D83" s="10"/>
      <c r="E83" s="10"/>
      <c r="F83" s="10"/>
      <c r="G83" s="10"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7"/>
      <c r="I83" s="7"/>
      <c r="J83" s="2"/>
      <c r="K83" s="14"/>
      <c r="L83" s="14"/>
      <c r="M83" s="14"/>
      <c r="N83" s="14"/>
      <c r="O83" s="14"/>
      <c r="P83" s="14"/>
      <c r="Q83" s="14"/>
      <c r="R83" s="14"/>
      <c r="S83" s="14"/>
      <c r="T83" s="14"/>
      <c r="U83" s="14"/>
      <c r="V83" s="14"/>
      <c r="W83" s="14"/>
      <c r="X83" s="14"/>
      <c r="Y83" s="14"/>
      <c r="Z83" s="14"/>
      <c r="AA83" s="14"/>
      <c r="AB83" s="14"/>
    </row>
    <row r="84" spans="1:28" ht="21">
      <c r="A84" s="5" t="s">
        <v>494</v>
      </c>
      <c r="B84" s="5" t="s">
        <v>495</v>
      </c>
      <c r="C84" s="10"/>
      <c r="D84" s="10"/>
      <c r="E84" s="10"/>
      <c r="F84" s="10"/>
      <c r="G84" s="10"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7"/>
      <c r="I84" s="7"/>
      <c r="J84" s="2"/>
      <c r="K84" s="14"/>
      <c r="L84" s="14"/>
      <c r="M84" s="14"/>
      <c r="N84" s="14"/>
      <c r="O84" s="14"/>
      <c r="P84" s="14"/>
      <c r="Q84" s="14"/>
      <c r="R84" s="14"/>
      <c r="S84" s="14"/>
      <c r="T84" s="14"/>
      <c r="U84" s="14"/>
      <c r="V84" s="14"/>
      <c r="W84" s="14"/>
      <c r="X84" s="14"/>
      <c r="Y84" s="14"/>
      <c r="Z84" s="14"/>
      <c r="AA84" s="14"/>
      <c r="AB84" s="14"/>
    </row>
    <row r="85" spans="1:28" ht="21">
      <c r="A85" s="5" t="s">
        <v>500</v>
      </c>
      <c r="B85" s="5" t="s">
        <v>501</v>
      </c>
      <c r="C85" s="10"/>
      <c r="D85" s="10"/>
      <c r="E85" s="10"/>
      <c r="F85" s="10"/>
      <c r="G85" s="10"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7"/>
      <c r="I85" s="7"/>
      <c r="J85" s="2"/>
      <c r="K85" s="14"/>
      <c r="L85" s="14"/>
      <c r="M85" s="14"/>
      <c r="N85" s="14"/>
      <c r="O85" s="14"/>
      <c r="P85" s="14"/>
      <c r="Q85" s="14"/>
      <c r="R85" s="14"/>
      <c r="S85" s="14"/>
      <c r="T85" s="14"/>
      <c r="U85" s="14"/>
      <c r="V85" s="14"/>
      <c r="W85" s="14"/>
      <c r="X85" s="14"/>
      <c r="Y85" s="14"/>
      <c r="Z85" s="14"/>
      <c r="AA85" s="14"/>
      <c r="AB85" s="14"/>
    </row>
    <row r="86" spans="1:28" ht="21">
      <c r="A86" s="5" t="s">
        <v>505</v>
      </c>
      <c r="B86" s="5" t="s">
        <v>506</v>
      </c>
      <c r="C86" s="10"/>
      <c r="D86" s="10"/>
      <c r="E86" s="10"/>
      <c r="F86" s="10"/>
      <c r="G86" s="10"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7"/>
      <c r="I86" s="7"/>
      <c r="J86" s="2"/>
      <c r="K86" s="14"/>
      <c r="L86" s="14"/>
      <c r="M86" s="14"/>
      <c r="N86" s="14"/>
      <c r="O86" s="14"/>
      <c r="P86" s="14"/>
      <c r="Q86" s="14"/>
      <c r="R86" s="14"/>
      <c r="S86" s="14"/>
      <c r="T86" s="14"/>
      <c r="U86" s="14"/>
      <c r="V86" s="14"/>
      <c r="W86" s="14"/>
      <c r="X86" s="14"/>
      <c r="Y86" s="14"/>
      <c r="Z86" s="14"/>
      <c r="AA86" s="14"/>
      <c r="AB86" s="14"/>
    </row>
    <row r="87" spans="1:28" ht="38">
      <c r="A87" s="5" t="s">
        <v>509</v>
      </c>
      <c r="B87" s="5" t="s">
        <v>237</v>
      </c>
      <c r="C87" s="10" t="s">
        <v>21</v>
      </c>
      <c r="D87" s="10" t="s">
        <v>28</v>
      </c>
      <c r="E87" s="10" t="s">
        <v>21</v>
      </c>
      <c r="F87" s="10" t="s">
        <v>28</v>
      </c>
      <c r="G87" s="10"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A+</v>
      </c>
      <c r="H87" s="89" t="s">
        <v>3191</v>
      </c>
      <c r="I87" s="7"/>
      <c r="J87" s="2"/>
      <c r="K87" s="14"/>
      <c r="L87" s="14"/>
      <c r="M87" s="14"/>
      <c r="N87" s="14"/>
      <c r="O87" s="14"/>
      <c r="P87" s="14"/>
      <c r="Q87" s="14"/>
      <c r="R87" s="14"/>
      <c r="S87" s="14"/>
      <c r="T87" s="14"/>
      <c r="U87" s="14"/>
      <c r="V87" s="14"/>
      <c r="W87" s="14"/>
      <c r="X87" s="14"/>
      <c r="Y87" s="14"/>
      <c r="Z87" s="14"/>
      <c r="AA87" s="14"/>
      <c r="AB87" s="14"/>
    </row>
    <row r="88" spans="1:28" ht="21">
      <c r="A88" s="5" t="s">
        <v>510</v>
      </c>
      <c r="B88" s="5" t="s">
        <v>511</v>
      </c>
      <c r="C88" s="10"/>
      <c r="D88" s="10"/>
      <c r="E88" s="10"/>
      <c r="F88" s="10"/>
      <c r="G88" s="10"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7"/>
      <c r="I88" s="7"/>
      <c r="J88" s="2"/>
      <c r="K88" s="14"/>
      <c r="L88" s="14"/>
      <c r="M88" s="14"/>
      <c r="N88" s="14"/>
      <c r="O88" s="14"/>
      <c r="P88" s="14"/>
      <c r="Q88" s="14"/>
      <c r="R88" s="14"/>
      <c r="S88" s="14"/>
      <c r="T88" s="14"/>
      <c r="U88" s="14"/>
      <c r="V88" s="14"/>
      <c r="W88" s="14"/>
      <c r="X88" s="14"/>
      <c r="Y88" s="14"/>
      <c r="Z88" s="14"/>
      <c r="AA88" s="14"/>
      <c r="AB88" s="14"/>
    </row>
    <row r="89" spans="1:28" ht="21">
      <c r="A89" s="5" t="s">
        <v>517</v>
      </c>
      <c r="B89" s="5" t="s">
        <v>224</v>
      </c>
      <c r="C89" s="10"/>
      <c r="D89" s="10"/>
      <c r="E89" s="10"/>
      <c r="F89" s="10"/>
      <c r="G89" s="10"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7"/>
      <c r="I89" s="7"/>
      <c r="J89" s="2"/>
      <c r="K89" s="14"/>
      <c r="L89" s="14"/>
      <c r="M89" s="14"/>
      <c r="N89" s="14"/>
      <c r="O89" s="14"/>
      <c r="P89" s="14"/>
      <c r="Q89" s="14"/>
      <c r="R89" s="14"/>
      <c r="S89" s="14"/>
      <c r="T89" s="14"/>
      <c r="U89" s="14"/>
      <c r="V89" s="14"/>
      <c r="W89" s="14"/>
      <c r="X89" s="14"/>
      <c r="Y89" s="14"/>
      <c r="Z89" s="14"/>
      <c r="AA89" s="14"/>
      <c r="AB89" s="14"/>
    </row>
    <row r="90" spans="1:28" ht="21">
      <c r="A90" s="5" t="s">
        <v>523</v>
      </c>
      <c r="B90" s="5" t="s">
        <v>460</v>
      </c>
      <c r="C90" s="10"/>
      <c r="D90" s="10"/>
      <c r="E90" s="10"/>
      <c r="F90" s="10"/>
      <c r="G90" s="10"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7"/>
      <c r="I90" s="7"/>
      <c r="J90" s="2"/>
      <c r="K90" s="14"/>
      <c r="L90" s="14"/>
      <c r="M90" s="14"/>
      <c r="N90" s="14"/>
      <c r="O90" s="14"/>
      <c r="P90" s="14"/>
      <c r="Q90" s="14"/>
      <c r="R90" s="14"/>
      <c r="S90" s="14"/>
      <c r="T90" s="14"/>
      <c r="U90" s="14"/>
      <c r="V90" s="14"/>
      <c r="W90" s="14"/>
      <c r="X90" s="14"/>
      <c r="Y90" s="14"/>
      <c r="Z90" s="14"/>
      <c r="AA90" s="14"/>
      <c r="AB90" s="14"/>
    </row>
    <row r="91" spans="1:28" ht="21">
      <c r="A91" s="5" t="s">
        <v>529</v>
      </c>
      <c r="B91" s="5" t="s">
        <v>530</v>
      </c>
      <c r="C91" s="10"/>
      <c r="D91" s="10"/>
      <c r="E91" s="10"/>
      <c r="F91" s="10"/>
      <c r="G91" s="10"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7"/>
      <c r="I91" s="7"/>
      <c r="J91" s="2"/>
      <c r="K91" s="14"/>
      <c r="L91" s="14"/>
      <c r="M91" s="14"/>
      <c r="N91" s="14"/>
      <c r="O91" s="14"/>
      <c r="P91" s="14"/>
      <c r="Q91" s="14"/>
      <c r="R91" s="14"/>
      <c r="S91" s="14"/>
      <c r="T91" s="14"/>
      <c r="U91" s="14"/>
      <c r="V91" s="14"/>
      <c r="W91" s="14"/>
      <c r="X91" s="14"/>
      <c r="Y91" s="14"/>
      <c r="Z91" s="14"/>
      <c r="AA91" s="14"/>
      <c r="AB91" s="14"/>
    </row>
    <row r="92" spans="1:28" ht="21">
      <c r="A92" s="5" t="s">
        <v>534</v>
      </c>
      <c r="B92" s="5" t="s">
        <v>535</v>
      </c>
      <c r="C92" s="10"/>
      <c r="D92" s="10"/>
      <c r="E92" s="10"/>
      <c r="F92" s="10"/>
      <c r="G92" s="10"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7"/>
      <c r="I92" s="7"/>
      <c r="J92" s="2"/>
      <c r="K92" s="14"/>
      <c r="L92" s="14"/>
      <c r="M92" s="14"/>
      <c r="N92" s="14"/>
      <c r="O92" s="14"/>
      <c r="P92" s="14"/>
      <c r="Q92" s="14"/>
      <c r="R92" s="14"/>
      <c r="S92" s="14"/>
      <c r="T92" s="14"/>
      <c r="U92" s="14"/>
      <c r="V92" s="14"/>
      <c r="W92" s="14"/>
      <c r="X92" s="14"/>
      <c r="Y92" s="14"/>
      <c r="Z92" s="14"/>
      <c r="AA92" s="14"/>
      <c r="AB92" s="14"/>
    </row>
    <row r="93" spans="1:28" ht="21">
      <c r="A93" s="5" t="s">
        <v>541</v>
      </c>
      <c r="B93" s="5" t="s">
        <v>542</v>
      </c>
      <c r="C93" s="10"/>
      <c r="D93" s="10"/>
      <c r="E93" s="10"/>
      <c r="F93" s="10"/>
      <c r="G93" s="10"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7"/>
      <c r="I93" s="7"/>
      <c r="J93" s="2"/>
      <c r="K93" s="14"/>
      <c r="L93" s="14"/>
      <c r="M93" s="14"/>
      <c r="N93" s="14"/>
      <c r="O93" s="14"/>
      <c r="P93" s="14"/>
      <c r="Q93" s="14"/>
      <c r="R93" s="14"/>
      <c r="S93" s="14"/>
      <c r="T93" s="14"/>
      <c r="U93" s="14"/>
      <c r="V93" s="14"/>
      <c r="W93" s="14"/>
      <c r="X93" s="14"/>
      <c r="Y93" s="14"/>
      <c r="Z93" s="14"/>
      <c r="AA93" s="14"/>
      <c r="AB93" s="14"/>
    </row>
    <row r="94" spans="1:28" ht="21">
      <c r="A94" s="5" t="s">
        <v>548</v>
      </c>
      <c r="B94" s="5" t="s">
        <v>549</v>
      </c>
      <c r="C94" s="10"/>
      <c r="D94" s="10"/>
      <c r="E94" s="10"/>
      <c r="F94" s="10"/>
      <c r="G94" s="10"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7"/>
      <c r="I94" s="7"/>
      <c r="J94" s="2"/>
      <c r="K94" s="14"/>
      <c r="L94" s="14"/>
      <c r="M94" s="14"/>
      <c r="N94" s="14"/>
      <c r="O94" s="14"/>
      <c r="P94" s="14"/>
      <c r="Q94" s="14"/>
      <c r="R94" s="14"/>
      <c r="S94" s="14"/>
      <c r="T94" s="14"/>
      <c r="U94" s="14"/>
      <c r="V94" s="14"/>
      <c r="W94" s="14"/>
      <c r="X94" s="14"/>
      <c r="Y94" s="14"/>
      <c r="Z94" s="14"/>
      <c r="AA94" s="14"/>
      <c r="AB94" s="14"/>
    </row>
    <row r="95" spans="1:28" ht="21">
      <c r="A95" s="5" t="s">
        <v>553</v>
      </c>
      <c r="B95" s="5" t="s">
        <v>352</v>
      </c>
      <c r="C95" s="10"/>
      <c r="D95" s="10"/>
      <c r="E95" s="10"/>
      <c r="F95" s="10"/>
      <c r="G95" s="10"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7"/>
      <c r="I95" s="7"/>
      <c r="J95" s="2"/>
      <c r="K95" s="14"/>
      <c r="L95" s="14"/>
      <c r="M95" s="14"/>
      <c r="N95" s="14"/>
      <c r="O95" s="14"/>
      <c r="P95" s="14"/>
      <c r="Q95" s="14"/>
      <c r="R95" s="14"/>
      <c r="S95" s="14"/>
      <c r="T95" s="14"/>
      <c r="U95" s="14"/>
      <c r="V95" s="14"/>
      <c r="W95" s="14"/>
      <c r="X95" s="14"/>
      <c r="Y95" s="14"/>
      <c r="Z95" s="14"/>
      <c r="AA95" s="14"/>
      <c r="AB95" s="14"/>
    </row>
    <row r="96" spans="1:28" ht="21">
      <c r="A96" s="5" t="s">
        <v>559</v>
      </c>
      <c r="B96" s="5" t="s">
        <v>560</v>
      </c>
      <c r="C96" s="10"/>
      <c r="D96" s="10"/>
      <c r="E96" s="10"/>
      <c r="F96" s="10"/>
      <c r="G96" s="10"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7"/>
      <c r="I96" s="7"/>
      <c r="J96" s="2"/>
      <c r="K96" s="14"/>
      <c r="L96" s="14"/>
      <c r="M96" s="14"/>
      <c r="N96" s="14"/>
      <c r="O96" s="14"/>
      <c r="P96" s="14"/>
      <c r="Q96" s="14"/>
      <c r="R96" s="14"/>
      <c r="S96" s="14"/>
      <c r="T96" s="14"/>
      <c r="U96" s="14"/>
      <c r="V96" s="14"/>
      <c r="W96" s="14"/>
      <c r="X96" s="14"/>
      <c r="Y96" s="14"/>
      <c r="Z96" s="14"/>
      <c r="AA96" s="14"/>
      <c r="AB96" s="14"/>
    </row>
    <row r="97" spans="1:28" ht="21">
      <c r="A97" s="5" t="s">
        <v>565</v>
      </c>
      <c r="B97" s="5" t="s">
        <v>441</v>
      </c>
      <c r="C97" s="10"/>
      <c r="D97" s="10"/>
      <c r="E97" s="10"/>
      <c r="F97" s="10"/>
      <c r="G97" s="10"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7"/>
      <c r="I97" s="7"/>
      <c r="J97" s="2"/>
      <c r="K97" s="14"/>
      <c r="L97" s="14"/>
      <c r="M97" s="14"/>
      <c r="N97" s="14"/>
      <c r="O97" s="14"/>
      <c r="P97" s="14"/>
      <c r="Q97" s="14"/>
      <c r="R97" s="14"/>
      <c r="S97" s="14"/>
      <c r="T97" s="14"/>
      <c r="U97" s="14"/>
      <c r="V97" s="14"/>
      <c r="W97" s="14"/>
      <c r="X97" s="14"/>
      <c r="Y97" s="14"/>
      <c r="Z97" s="14"/>
      <c r="AA97" s="14"/>
      <c r="AB97" s="14"/>
    </row>
    <row r="98" spans="1:28" ht="21">
      <c r="A98" s="5" t="s">
        <v>571</v>
      </c>
      <c r="B98" s="5" t="s">
        <v>572</v>
      </c>
      <c r="C98" s="10"/>
      <c r="D98" s="10"/>
      <c r="E98" s="10"/>
      <c r="F98" s="10"/>
      <c r="G98" s="10"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7"/>
      <c r="I98" s="7"/>
      <c r="J98" s="2"/>
      <c r="K98" s="14"/>
      <c r="L98" s="14"/>
      <c r="M98" s="14"/>
      <c r="N98" s="14"/>
      <c r="O98" s="14"/>
      <c r="P98" s="14"/>
      <c r="Q98" s="14"/>
      <c r="R98" s="14"/>
      <c r="S98" s="14"/>
      <c r="T98" s="14"/>
      <c r="U98" s="14"/>
      <c r="V98" s="14"/>
      <c r="W98" s="14"/>
      <c r="X98" s="14"/>
      <c r="Y98" s="14"/>
      <c r="Z98" s="14"/>
      <c r="AA98" s="14"/>
      <c r="AB98" s="14"/>
    </row>
    <row r="99" spans="1:28" ht="21">
      <c r="A99" s="5" t="s">
        <v>578</v>
      </c>
      <c r="B99" s="5" t="s">
        <v>579</v>
      </c>
      <c r="C99" s="10"/>
      <c r="D99" s="10"/>
      <c r="E99" s="10"/>
      <c r="F99" s="10"/>
      <c r="G99" s="10"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7"/>
      <c r="I99" s="7"/>
      <c r="J99" s="2"/>
      <c r="K99" s="14"/>
      <c r="L99" s="14"/>
      <c r="M99" s="14"/>
      <c r="N99" s="14"/>
      <c r="O99" s="14"/>
      <c r="P99" s="14"/>
      <c r="Q99" s="14"/>
      <c r="R99" s="14"/>
      <c r="S99" s="14"/>
      <c r="T99" s="14"/>
      <c r="U99" s="14"/>
      <c r="V99" s="14"/>
      <c r="W99" s="14"/>
      <c r="X99" s="14"/>
      <c r="Y99" s="14"/>
      <c r="Z99" s="14"/>
      <c r="AA99" s="14"/>
      <c r="AB99" s="14"/>
    </row>
    <row r="100" spans="1:28" ht="21">
      <c r="A100" s="5" t="s">
        <v>585</v>
      </c>
      <c r="B100" s="5" t="s">
        <v>586</v>
      </c>
      <c r="C100" s="10"/>
      <c r="D100" s="10"/>
      <c r="E100" s="10"/>
      <c r="F100" s="10"/>
      <c r="G100" s="10"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7"/>
      <c r="I100" s="7"/>
      <c r="J100" s="2"/>
      <c r="K100" s="14"/>
      <c r="L100" s="14"/>
      <c r="M100" s="14"/>
      <c r="N100" s="14"/>
      <c r="O100" s="14"/>
      <c r="P100" s="14"/>
      <c r="Q100" s="14"/>
      <c r="R100" s="14"/>
      <c r="S100" s="14"/>
      <c r="T100" s="14"/>
      <c r="U100" s="14"/>
      <c r="V100" s="14"/>
      <c r="W100" s="14"/>
      <c r="X100" s="14"/>
      <c r="Y100" s="14"/>
      <c r="Z100" s="14"/>
      <c r="AA100" s="14"/>
      <c r="AB100" s="14"/>
    </row>
    <row r="101" spans="1:28" ht="21">
      <c r="A101" s="5" t="s">
        <v>590</v>
      </c>
      <c r="B101" s="5" t="s">
        <v>591</v>
      </c>
      <c r="C101" s="10"/>
      <c r="D101" s="10"/>
      <c r="E101" s="10"/>
      <c r="F101" s="10"/>
      <c r="G101" s="10"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7"/>
      <c r="I101" s="7"/>
      <c r="J101" s="2"/>
      <c r="K101" s="14"/>
      <c r="L101" s="14"/>
      <c r="M101" s="14"/>
      <c r="N101" s="14"/>
      <c r="O101" s="14"/>
      <c r="P101" s="14"/>
      <c r="Q101" s="14"/>
      <c r="R101" s="14"/>
      <c r="S101" s="14"/>
      <c r="T101" s="14"/>
      <c r="U101" s="14"/>
      <c r="V101" s="14"/>
      <c r="W101" s="14"/>
      <c r="X101" s="14"/>
      <c r="Y101" s="14"/>
      <c r="Z101" s="14"/>
      <c r="AA101" s="14"/>
      <c r="AB101" s="14"/>
    </row>
    <row r="102" spans="1:28" ht="21">
      <c r="A102" s="5" t="s">
        <v>595</v>
      </c>
      <c r="B102" s="5" t="s">
        <v>596</v>
      </c>
      <c r="C102" s="10"/>
      <c r="D102" s="10"/>
      <c r="E102" s="10"/>
      <c r="F102" s="10"/>
      <c r="G102" s="10"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7"/>
      <c r="I102" s="7"/>
      <c r="J102" s="2"/>
      <c r="K102" s="14"/>
      <c r="L102" s="14"/>
      <c r="M102" s="14"/>
      <c r="N102" s="14"/>
      <c r="O102" s="14"/>
      <c r="P102" s="14"/>
      <c r="Q102" s="14"/>
      <c r="R102" s="14"/>
      <c r="S102" s="14"/>
      <c r="T102" s="14"/>
      <c r="U102" s="14"/>
      <c r="V102" s="14"/>
      <c r="W102" s="14"/>
      <c r="X102" s="14"/>
      <c r="Y102" s="14"/>
      <c r="Z102" s="14"/>
      <c r="AA102" s="14"/>
      <c r="AB102" s="14"/>
    </row>
    <row r="103" spans="1:28" ht="21">
      <c r="A103" s="5" t="s">
        <v>602</v>
      </c>
      <c r="B103" s="5" t="s">
        <v>603</v>
      </c>
      <c r="C103" s="10"/>
      <c r="D103" s="10"/>
      <c r="E103" s="10"/>
      <c r="F103" s="10"/>
      <c r="G103" s="10"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7"/>
      <c r="I103" s="7"/>
      <c r="J103" s="2"/>
      <c r="K103" s="14"/>
      <c r="L103" s="14"/>
      <c r="M103" s="14"/>
      <c r="N103" s="14"/>
      <c r="O103" s="14"/>
      <c r="P103" s="14"/>
      <c r="Q103" s="14"/>
      <c r="R103" s="14"/>
      <c r="S103" s="14"/>
      <c r="T103" s="14"/>
      <c r="U103" s="14"/>
      <c r="V103" s="14"/>
      <c r="W103" s="14"/>
      <c r="X103" s="14"/>
      <c r="Y103" s="14"/>
      <c r="Z103" s="14"/>
      <c r="AA103" s="14"/>
      <c r="AB103" s="14"/>
    </row>
    <row r="104" spans="1:28" ht="57">
      <c r="A104" s="5" t="s">
        <v>607</v>
      </c>
      <c r="B104" s="5" t="s">
        <v>381</v>
      </c>
      <c r="C104" s="10" t="s">
        <v>21</v>
      </c>
      <c r="D104" s="10" t="s">
        <v>28</v>
      </c>
      <c r="E104" s="10" t="s">
        <v>21</v>
      </c>
      <c r="F104" s="10" t="s">
        <v>28</v>
      </c>
      <c r="G104" s="10"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A+</v>
      </c>
      <c r="H104" s="89" t="s">
        <v>3192</v>
      </c>
      <c r="I104" s="7"/>
      <c r="J104" s="2"/>
      <c r="K104" s="14"/>
      <c r="L104" s="14"/>
      <c r="M104" s="14"/>
      <c r="N104" s="14"/>
      <c r="O104" s="14"/>
      <c r="P104" s="14"/>
      <c r="Q104" s="14"/>
      <c r="R104" s="14"/>
      <c r="S104" s="14"/>
      <c r="T104" s="14"/>
      <c r="U104" s="14"/>
      <c r="V104" s="14"/>
      <c r="W104" s="14"/>
      <c r="X104" s="14"/>
      <c r="Y104" s="14"/>
      <c r="Z104" s="14"/>
      <c r="AA104" s="14"/>
      <c r="AB104" s="14"/>
    </row>
    <row r="105" spans="1:28" ht="21">
      <c r="A105" s="5" t="s">
        <v>613</v>
      </c>
      <c r="B105" s="5" t="s">
        <v>108</v>
      </c>
      <c r="C105" s="10"/>
      <c r="D105" s="10"/>
      <c r="E105" s="10"/>
      <c r="F105" s="10"/>
      <c r="G105" s="10" t="str">
        <f>IF(AND(ISNUMBER(MATCH(C105,{"F","E","D","D+","C","C+","B","B+","A","A+","S"},0)),ISNUMBER(MATCH(D105,{"F","E","D","D+","C","C+","B","B+","A","A+","S"},0)),ISNUMBER(MATCH(E105,{"F","E","D","D+","C","C+","B","B+","A","A+","S"},0)),ISNUMBER(MATCH(F105,{"F","E","D","D+","C","C+","B","B+","A","A+","S"},0))),LOOKUP(AVERAGE(_xlfn.SWITCH(C105,"F",0,"E",10,"D",20,"D+",30,"C",40,"C+",50,"B",60,"B+",70,"A",80,"A+",90,"S",100),_xlfn.SWITCH(D105,"F",0,"E",10,"D",20,"D+",30,"C",40,"C+",50,"B",60,"B+",70,"A",80,"A+",90,"S",100),_xlfn.SWITCH(E105,"F",0,"E",10,"D",20,"D+",30,"C",40,"C+",50,"B",60,"B+",70,"A",80,"A+",90,"S",100),_xlfn.SWITCH(F105,"F",0,"E",10,"D",20,"D+",30,"C",40,"C+",50,"B",60,"B+",70,"A",80,"A+",90,"S",100)),{0,15,25,35,45,55,65,75,85,95},{"D","D","D+","C","C+","B","B+","A","A+","S"}),"?")</f>
        <v>?</v>
      </c>
      <c r="H105" s="7"/>
      <c r="I105" s="7"/>
      <c r="J105" s="2"/>
      <c r="K105" s="14"/>
      <c r="L105" s="14"/>
      <c r="M105" s="14"/>
      <c r="N105" s="14"/>
      <c r="O105" s="14"/>
      <c r="P105" s="14"/>
      <c r="Q105" s="14"/>
      <c r="R105" s="14"/>
      <c r="S105" s="14"/>
      <c r="T105" s="14"/>
      <c r="U105" s="14"/>
      <c r="V105" s="14"/>
      <c r="W105" s="14"/>
      <c r="X105" s="14"/>
      <c r="Y105" s="14"/>
      <c r="Z105" s="14"/>
      <c r="AA105" s="14"/>
      <c r="AB105" s="14"/>
    </row>
    <row r="106" spans="1:28" ht="35.25" customHeight="1">
      <c r="A106" s="540" t="s">
        <v>619</v>
      </c>
      <c r="B106" s="543"/>
      <c r="C106" s="543"/>
      <c r="D106" s="543"/>
      <c r="E106" s="543"/>
      <c r="F106" s="543"/>
      <c r="G106" s="543"/>
      <c r="H106" s="550"/>
      <c r="I106" s="543"/>
      <c r="J106" s="2"/>
      <c r="K106" s="14"/>
      <c r="L106" s="14"/>
      <c r="M106" s="14"/>
      <c r="N106" s="14"/>
      <c r="O106" s="14"/>
      <c r="P106" s="14"/>
      <c r="Q106" s="14"/>
      <c r="R106" s="14"/>
      <c r="S106" s="14"/>
      <c r="T106" s="14"/>
      <c r="U106" s="14"/>
      <c r="V106" s="14"/>
      <c r="W106" s="14"/>
      <c r="X106" s="14"/>
      <c r="Y106" s="14"/>
      <c r="Z106" s="14"/>
      <c r="AA106" s="14"/>
      <c r="AB106" s="14"/>
    </row>
    <row r="107" spans="1:28" ht="21">
      <c r="A107" s="5" t="s">
        <v>4</v>
      </c>
      <c r="B107" s="6" t="s">
        <v>5</v>
      </c>
      <c r="C107" s="7" t="s">
        <v>6</v>
      </c>
      <c r="D107" s="7" t="s">
        <v>7</v>
      </c>
      <c r="E107" s="7" t="s">
        <v>8</v>
      </c>
      <c r="F107" s="7" t="s">
        <v>9</v>
      </c>
      <c r="G107" s="7" t="s">
        <v>10</v>
      </c>
      <c r="H107" s="7" t="s">
        <v>11</v>
      </c>
      <c r="I107" s="11" t="s">
        <v>12</v>
      </c>
      <c r="J107" s="2"/>
      <c r="K107" s="14"/>
      <c r="L107" s="14"/>
      <c r="M107" s="14"/>
      <c r="N107" s="14"/>
      <c r="O107" s="14"/>
      <c r="P107" s="14"/>
      <c r="Q107" s="14"/>
      <c r="R107" s="14"/>
      <c r="S107" s="14"/>
      <c r="T107" s="14"/>
      <c r="U107" s="14"/>
      <c r="V107" s="14"/>
      <c r="W107" s="14"/>
      <c r="X107" s="14"/>
      <c r="Y107" s="14"/>
      <c r="Z107" s="14"/>
      <c r="AA107" s="14"/>
      <c r="AB107" s="14"/>
    </row>
    <row r="108" spans="1:28" ht="21">
      <c r="A108" s="5" t="s">
        <v>633</v>
      </c>
      <c r="B108" s="5" t="s">
        <v>594</v>
      </c>
      <c r="C108" s="13"/>
      <c r="D108" s="13"/>
      <c r="E108" s="13"/>
      <c r="F108" s="13"/>
      <c r="G108" s="13"/>
      <c r="H108" s="7"/>
      <c r="I108" s="7"/>
      <c r="J108" s="2"/>
      <c r="K108" s="14"/>
      <c r="L108" s="14"/>
      <c r="M108" s="14"/>
      <c r="N108" s="14"/>
      <c r="O108" s="14"/>
      <c r="P108" s="14"/>
      <c r="Q108" s="14"/>
      <c r="R108" s="14"/>
      <c r="S108" s="14"/>
      <c r="T108" s="14"/>
      <c r="U108" s="14"/>
      <c r="V108" s="14"/>
      <c r="W108" s="14"/>
      <c r="X108" s="14"/>
      <c r="Y108" s="14"/>
      <c r="Z108" s="14"/>
      <c r="AA108" s="14"/>
      <c r="AB108" s="14"/>
    </row>
    <row r="109" spans="1:28" ht="21">
      <c r="A109" s="5" t="s">
        <v>639</v>
      </c>
      <c r="B109" s="5" t="s">
        <v>640</v>
      </c>
      <c r="C109" s="13"/>
      <c r="D109" s="13"/>
      <c r="E109" s="13"/>
      <c r="F109" s="13"/>
      <c r="G109" s="13"/>
      <c r="H109" s="7"/>
      <c r="I109" s="7"/>
      <c r="J109" s="2"/>
      <c r="K109" s="14"/>
      <c r="L109" s="14"/>
      <c r="M109" s="14"/>
      <c r="N109" s="14"/>
      <c r="O109" s="14"/>
      <c r="P109" s="14"/>
      <c r="Q109" s="14"/>
      <c r="R109" s="14"/>
      <c r="S109" s="14"/>
      <c r="T109" s="14"/>
      <c r="U109" s="14"/>
      <c r="V109" s="14"/>
      <c r="W109" s="14"/>
      <c r="X109" s="14"/>
      <c r="Y109" s="14"/>
      <c r="Z109" s="14"/>
      <c r="AA109" s="14"/>
      <c r="AB109" s="14"/>
    </row>
    <row r="110" spans="1:28" ht="21">
      <c r="A110" s="5" t="s">
        <v>644</v>
      </c>
      <c r="B110" s="5" t="s">
        <v>645</v>
      </c>
      <c r="C110" s="13"/>
      <c r="D110" s="13"/>
      <c r="E110" s="13"/>
      <c r="F110" s="13"/>
      <c r="G110" s="13"/>
      <c r="H110" s="7"/>
      <c r="I110" s="7"/>
      <c r="J110" s="2"/>
      <c r="K110" s="14"/>
      <c r="L110" s="14"/>
      <c r="M110" s="14"/>
      <c r="N110" s="14"/>
      <c r="O110" s="14"/>
      <c r="P110" s="14"/>
      <c r="Q110" s="14"/>
      <c r="R110" s="14"/>
      <c r="S110" s="14"/>
      <c r="T110" s="14"/>
      <c r="U110" s="14"/>
      <c r="V110" s="14"/>
      <c r="W110" s="14"/>
      <c r="X110" s="14"/>
      <c r="Y110" s="14"/>
      <c r="Z110" s="14"/>
      <c r="AA110" s="14"/>
      <c r="AB110" s="14"/>
    </row>
    <row r="111" spans="1:28" ht="21">
      <c r="A111" s="5" t="s">
        <v>651</v>
      </c>
      <c r="B111" s="5" t="s">
        <v>652</v>
      </c>
      <c r="C111" s="13"/>
      <c r="D111" s="13"/>
      <c r="E111" s="13"/>
      <c r="F111" s="13"/>
      <c r="G111" s="13"/>
      <c r="H111" s="7"/>
      <c r="I111" s="7"/>
      <c r="J111" s="2"/>
      <c r="K111" s="14"/>
      <c r="L111" s="14"/>
      <c r="M111" s="14"/>
      <c r="N111" s="14"/>
      <c r="O111" s="14"/>
      <c r="P111" s="14"/>
      <c r="Q111" s="14"/>
      <c r="R111" s="14"/>
      <c r="S111" s="14"/>
      <c r="T111" s="14"/>
      <c r="U111" s="14"/>
      <c r="V111" s="14"/>
      <c r="W111" s="14"/>
      <c r="X111" s="14"/>
      <c r="Y111" s="14"/>
      <c r="Z111" s="14"/>
      <c r="AA111" s="14"/>
      <c r="AB111" s="14"/>
    </row>
    <row r="112" spans="1:28" ht="21">
      <c r="A112" s="5" t="s">
        <v>658</v>
      </c>
      <c r="B112" s="5" t="s">
        <v>659</v>
      </c>
      <c r="C112" s="13"/>
      <c r="D112" s="13"/>
      <c r="E112" s="13"/>
      <c r="F112" s="13"/>
      <c r="G112" s="13"/>
      <c r="H112" s="7"/>
      <c r="I112" s="7"/>
      <c r="J112" s="2"/>
      <c r="K112" s="14"/>
      <c r="L112" s="14"/>
      <c r="M112" s="14"/>
      <c r="N112" s="14"/>
      <c r="O112" s="14"/>
      <c r="P112" s="14"/>
      <c r="Q112" s="14"/>
      <c r="R112" s="14"/>
      <c r="S112" s="14"/>
      <c r="T112" s="14"/>
      <c r="U112" s="14"/>
      <c r="V112" s="14"/>
      <c r="W112" s="14"/>
      <c r="X112" s="14"/>
      <c r="Y112" s="14"/>
      <c r="Z112" s="14"/>
      <c r="AA112" s="14"/>
      <c r="AB112" s="14"/>
    </row>
    <row r="113" spans="1:28" ht="21">
      <c r="A113" s="5" t="s">
        <v>663</v>
      </c>
      <c r="B113" s="5" t="s">
        <v>5246</v>
      </c>
      <c r="C113" s="13"/>
      <c r="D113" s="13"/>
      <c r="E113" s="13"/>
      <c r="F113" s="13"/>
      <c r="G113" s="13"/>
      <c r="H113" s="7"/>
      <c r="I113" s="7"/>
      <c r="J113" s="2"/>
      <c r="K113" s="14"/>
      <c r="L113" s="14"/>
      <c r="M113" s="14"/>
      <c r="N113" s="14"/>
      <c r="O113" s="14"/>
      <c r="P113" s="14"/>
      <c r="Q113" s="14"/>
      <c r="R113" s="14"/>
      <c r="S113" s="14"/>
      <c r="T113" s="14"/>
      <c r="U113" s="14"/>
      <c r="V113" s="14"/>
      <c r="W113" s="14"/>
      <c r="X113" s="14"/>
      <c r="Y113" s="14"/>
      <c r="Z113" s="14"/>
      <c r="AA113" s="14"/>
      <c r="AB113" s="14"/>
    </row>
    <row r="114" spans="1:28" ht="21">
      <c r="A114" s="5" t="s">
        <v>667</v>
      </c>
      <c r="B114" s="23" t="s">
        <v>668</v>
      </c>
      <c r="C114" s="13"/>
      <c r="D114" s="13"/>
      <c r="E114" s="13"/>
      <c r="F114" s="13"/>
      <c r="G114" s="13"/>
      <c r="H114" s="7"/>
      <c r="I114" s="7"/>
      <c r="J114" s="2"/>
      <c r="K114" s="14"/>
      <c r="L114" s="14"/>
      <c r="M114" s="14"/>
      <c r="N114" s="14"/>
      <c r="O114" s="14"/>
      <c r="P114" s="14"/>
      <c r="Q114" s="14"/>
      <c r="R114" s="14"/>
      <c r="S114" s="14"/>
      <c r="T114" s="14"/>
      <c r="U114" s="14"/>
      <c r="V114" s="14"/>
      <c r="W114" s="14"/>
      <c r="X114" s="14"/>
      <c r="Y114" s="14"/>
      <c r="Z114" s="14"/>
      <c r="AA114" s="14"/>
      <c r="AB114" s="14"/>
    </row>
    <row r="115" spans="1:28" ht="21">
      <c r="A115" s="5" t="s">
        <v>674</v>
      </c>
      <c r="B115" s="23" t="s">
        <v>675</v>
      </c>
      <c r="C115" s="13"/>
      <c r="D115" s="13"/>
      <c r="E115" s="13"/>
      <c r="F115" s="13"/>
      <c r="G115" s="13"/>
      <c r="H115" s="7"/>
      <c r="I115" s="7"/>
      <c r="J115" s="2"/>
      <c r="K115" s="14"/>
      <c r="L115" s="14"/>
      <c r="M115" s="14"/>
      <c r="N115" s="14"/>
      <c r="O115" s="14"/>
      <c r="P115" s="14"/>
      <c r="Q115" s="14"/>
      <c r="R115" s="14"/>
      <c r="S115" s="14"/>
      <c r="T115" s="14"/>
      <c r="U115" s="14"/>
      <c r="V115" s="14"/>
      <c r="W115" s="14"/>
      <c r="X115" s="14"/>
      <c r="Y115" s="14"/>
      <c r="Z115" s="14"/>
      <c r="AA115" s="14"/>
      <c r="AB115" s="14"/>
    </row>
    <row r="116" spans="1:28" ht="21">
      <c r="A116" s="5" t="s">
        <v>681</v>
      </c>
      <c r="B116" s="5" t="s">
        <v>666</v>
      </c>
      <c r="C116" s="13"/>
      <c r="D116" s="13"/>
      <c r="E116" s="13"/>
      <c r="F116" s="13"/>
      <c r="G116" s="13"/>
      <c r="H116" s="7"/>
      <c r="I116" s="7"/>
      <c r="J116" s="2"/>
      <c r="K116" s="14"/>
      <c r="L116" s="14"/>
      <c r="M116" s="14"/>
      <c r="N116" s="14"/>
      <c r="O116" s="14"/>
      <c r="P116" s="14"/>
      <c r="Q116" s="14"/>
      <c r="R116" s="14"/>
      <c r="S116" s="14"/>
      <c r="T116" s="14"/>
      <c r="U116" s="14"/>
      <c r="V116" s="14"/>
      <c r="W116" s="14"/>
      <c r="X116" s="14"/>
      <c r="Y116" s="14"/>
      <c r="Z116" s="14"/>
      <c r="AA116" s="14"/>
      <c r="AB116" s="14"/>
    </row>
    <row r="117" spans="1:28" ht="21">
      <c r="A117" s="5" t="s">
        <v>687</v>
      </c>
      <c r="B117" s="5" t="s">
        <v>688</v>
      </c>
      <c r="C117" s="13"/>
      <c r="D117" s="13"/>
      <c r="E117" s="13"/>
      <c r="F117" s="13"/>
      <c r="G117" s="13"/>
      <c r="H117" s="7"/>
      <c r="I117" s="7"/>
      <c r="J117" s="2"/>
      <c r="K117" s="14"/>
      <c r="L117" s="14"/>
      <c r="M117" s="14"/>
      <c r="N117" s="14"/>
      <c r="O117" s="14"/>
      <c r="P117" s="14"/>
      <c r="Q117" s="14"/>
      <c r="R117" s="14"/>
      <c r="S117" s="14"/>
      <c r="T117" s="14"/>
      <c r="U117" s="14"/>
      <c r="V117" s="14"/>
      <c r="W117" s="14"/>
      <c r="X117" s="14"/>
      <c r="Y117" s="14"/>
      <c r="Z117" s="14"/>
      <c r="AA117" s="14"/>
      <c r="AB117" s="14"/>
    </row>
    <row r="118" spans="1:28" ht="21">
      <c r="A118" s="5" t="s">
        <v>694</v>
      </c>
      <c r="B118" s="5" t="s">
        <v>695</v>
      </c>
      <c r="C118" s="13"/>
      <c r="D118" s="13"/>
      <c r="E118" s="13"/>
      <c r="F118" s="13"/>
      <c r="G118" s="13"/>
      <c r="H118" s="7"/>
      <c r="I118" s="7"/>
      <c r="J118" s="2"/>
      <c r="K118" s="14"/>
      <c r="L118" s="14"/>
      <c r="M118" s="14"/>
      <c r="N118" s="14"/>
      <c r="O118" s="14"/>
      <c r="P118" s="14"/>
      <c r="Q118" s="14"/>
      <c r="R118" s="14"/>
      <c r="S118" s="14"/>
      <c r="T118" s="14"/>
      <c r="U118" s="14"/>
      <c r="V118" s="14"/>
      <c r="W118" s="14"/>
      <c r="X118" s="14"/>
      <c r="Y118" s="14"/>
      <c r="Z118" s="14"/>
      <c r="AA118" s="14"/>
      <c r="AB118" s="14"/>
    </row>
    <row r="119" spans="1:28" ht="21">
      <c r="A119" s="5" t="s">
        <v>701</v>
      </c>
      <c r="B119" s="5" t="s">
        <v>702</v>
      </c>
      <c r="C119" s="13"/>
      <c r="D119" s="13"/>
      <c r="E119" s="13"/>
      <c r="F119" s="13"/>
      <c r="G119" s="13"/>
      <c r="H119" s="7"/>
      <c r="I119" s="7"/>
      <c r="J119" s="2"/>
      <c r="K119" s="14"/>
      <c r="L119" s="14"/>
      <c r="M119" s="14"/>
      <c r="N119" s="14"/>
      <c r="O119" s="14"/>
      <c r="P119" s="14"/>
      <c r="Q119" s="14"/>
      <c r="R119" s="14"/>
      <c r="S119" s="14"/>
      <c r="T119" s="14"/>
      <c r="U119" s="14"/>
      <c r="V119" s="14"/>
      <c r="W119" s="14"/>
      <c r="X119" s="14"/>
      <c r="Y119" s="14"/>
      <c r="Z119" s="14"/>
      <c r="AA119" s="14"/>
      <c r="AB119" s="14"/>
    </row>
    <row r="120" spans="1:28" ht="21">
      <c r="A120" s="5" t="s">
        <v>708</v>
      </c>
      <c r="B120" s="5" t="s">
        <v>709</v>
      </c>
      <c r="C120" s="13"/>
      <c r="D120" s="13"/>
      <c r="E120" s="13"/>
      <c r="F120" s="13"/>
      <c r="G120" s="13"/>
      <c r="H120" s="7"/>
      <c r="I120" s="7"/>
      <c r="J120" s="2"/>
      <c r="K120" s="14"/>
      <c r="L120" s="14"/>
      <c r="M120" s="14"/>
      <c r="N120" s="14"/>
      <c r="O120" s="14"/>
      <c r="P120" s="14"/>
      <c r="Q120" s="14"/>
      <c r="R120" s="14"/>
      <c r="S120" s="14"/>
      <c r="T120" s="14"/>
      <c r="U120" s="14"/>
      <c r="V120" s="14"/>
      <c r="W120" s="14"/>
      <c r="X120" s="14"/>
      <c r="Y120" s="14"/>
      <c r="Z120" s="14"/>
      <c r="AA120" s="14"/>
      <c r="AB120" s="14"/>
    </row>
    <row r="121" spans="1:28" ht="21">
      <c r="A121" s="5" t="s">
        <v>715</v>
      </c>
      <c r="B121" s="5" t="s">
        <v>716</v>
      </c>
      <c r="C121" s="13"/>
      <c r="D121" s="13"/>
      <c r="E121" s="13"/>
      <c r="F121" s="13"/>
      <c r="G121" s="13"/>
      <c r="H121" s="7"/>
      <c r="I121" s="7"/>
      <c r="J121" s="2"/>
      <c r="K121" s="14"/>
      <c r="L121" s="14"/>
      <c r="M121" s="14"/>
      <c r="N121" s="14"/>
      <c r="O121" s="14"/>
      <c r="P121" s="14"/>
      <c r="Q121" s="14"/>
      <c r="R121" s="14"/>
      <c r="S121" s="14"/>
      <c r="T121" s="14"/>
      <c r="U121" s="14"/>
      <c r="V121" s="14"/>
      <c r="W121" s="14"/>
      <c r="X121" s="14"/>
      <c r="Y121" s="14"/>
      <c r="Z121" s="14"/>
      <c r="AA121" s="14"/>
      <c r="AB121" s="14"/>
    </row>
    <row r="122" spans="1:28" ht="21">
      <c r="A122" s="5" t="s">
        <v>722</v>
      </c>
      <c r="B122" s="5" t="s">
        <v>723</v>
      </c>
      <c r="C122" s="13"/>
      <c r="D122" s="13"/>
      <c r="E122" s="13"/>
      <c r="F122" s="13"/>
      <c r="G122" s="13"/>
      <c r="H122" s="7"/>
      <c r="I122" s="7"/>
      <c r="J122" s="2"/>
      <c r="K122" s="14"/>
      <c r="L122" s="14"/>
      <c r="M122" s="14"/>
      <c r="N122" s="14"/>
      <c r="O122" s="14"/>
      <c r="P122" s="14"/>
      <c r="Q122" s="14"/>
      <c r="R122" s="14"/>
      <c r="S122" s="14"/>
      <c r="T122" s="14"/>
      <c r="U122" s="14"/>
      <c r="V122" s="14"/>
      <c r="W122" s="14"/>
      <c r="X122" s="14"/>
      <c r="Y122" s="14"/>
      <c r="Z122" s="14"/>
      <c r="AA122" s="14"/>
      <c r="AB122" s="14"/>
    </row>
    <row r="123" spans="1:28" ht="21">
      <c r="A123" s="5" t="s">
        <v>727</v>
      </c>
      <c r="B123" s="23" t="s">
        <v>558</v>
      </c>
      <c r="C123" s="13"/>
      <c r="D123" s="13"/>
      <c r="E123" s="13"/>
      <c r="F123" s="13"/>
      <c r="G123" s="13"/>
      <c r="H123" s="7"/>
      <c r="I123" s="7"/>
      <c r="J123" s="2"/>
      <c r="K123" s="14"/>
      <c r="L123" s="14"/>
      <c r="M123" s="14"/>
      <c r="N123" s="14"/>
      <c r="O123" s="14"/>
      <c r="P123" s="14"/>
      <c r="Q123" s="14"/>
      <c r="R123" s="14"/>
      <c r="S123" s="14"/>
      <c r="T123" s="14"/>
      <c r="U123" s="14"/>
      <c r="V123" s="14"/>
      <c r="W123" s="14"/>
      <c r="X123" s="14"/>
      <c r="Y123" s="14"/>
      <c r="Z123" s="14"/>
      <c r="AA123" s="14"/>
      <c r="AB123" s="14"/>
    </row>
    <row r="124" spans="1:28" ht="21">
      <c r="A124" s="5" t="s">
        <v>733</v>
      </c>
      <c r="B124" s="5" t="s">
        <v>686</v>
      </c>
      <c r="C124" s="13"/>
      <c r="D124" s="13"/>
      <c r="E124" s="13"/>
      <c r="F124" s="13"/>
      <c r="G124" s="13"/>
      <c r="H124" s="7"/>
      <c r="I124" s="7"/>
      <c r="J124" s="2"/>
      <c r="K124" s="14"/>
      <c r="L124" s="14"/>
      <c r="M124" s="14"/>
      <c r="N124" s="14"/>
      <c r="O124" s="14"/>
      <c r="P124" s="14"/>
      <c r="Q124" s="14"/>
      <c r="R124" s="14"/>
      <c r="S124" s="14"/>
      <c r="T124" s="14"/>
      <c r="U124" s="14"/>
      <c r="V124" s="14"/>
      <c r="W124" s="14"/>
      <c r="X124" s="14"/>
      <c r="Y124" s="14"/>
      <c r="Z124" s="14"/>
      <c r="AA124" s="14"/>
      <c r="AB124" s="14"/>
    </row>
    <row r="125" spans="1:28" ht="21">
      <c r="A125" s="5" t="s">
        <v>737</v>
      </c>
      <c r="B125" s="5" t="s">
        <v>700</v>
      </c>
      <c r="C125" s="13"/>
      <c r="D125" s="13"/>
      <c r="E125" s="13"/>
      <c r="F125" s="13"/>
      <c r="G125" s="13"/>
      <c r="H125" s="7"/>
      <c r="I125" s="7"/>
      <c r="J125" s="2"/>
      <c r="K125" s="14"/>
      <c r="L125" s="14"/>
      <c r="M125" s="14"/>
      <c r="N125" s="14"/>
      <c r="O125" s="14"/>
      <c r="P125" s="14"/>
      <c r="Q125" s="14"/>
      <c r="R125" s="14"/>
      <c r="S125" s="14"/>
      <c r="T125" s="14"/>
      <c r="U125" s="14"/>
      <c r="V125" s="14"/>
      <c r="W125" s="14"/>
      <c r="X125" s="14"/>
      <c r="Y125" s="14"/>
      <c r="Z125" s="14"/>
      <c r="AA125" s="14"/>
      <c r="AB125" s="14"/>
    </row>
    <row r="126" spans="1:28">
      <c r="A126" s="5" t="s">
        <v>741</v>
      </c>
      <c r="B126" s="5" t="s">
        <v>742</v>
      </c>
      <c r="C126" s="13"/>
      <c r="D126" s="13"/>
      <c r="E126" s="13"/>
      <c r="F126" s="13"/>
      <c r="G126" s="13"/>
      <c r="H126" s="7"/>
      <c r="I126" s="7"/>
    </row>
    <row r="127" spans="1:28">
      <c r="A127" s="5" t="s">
        <v>746</v>
      </c>
      <c r="B127" s="5" t="s">
        <v>693</v>
      </c>
      <c r="C127" s="13"/>
      <c r="D127" s="13"/>
      <c r="E127" s="13"/>
      <c r="F127" s="13"/>
      <c r="G127" s="13"/>
      <c r="H127" s="7"/>
      <c r="I127" s="7"/>
    </row>
    <row r="128" spans="1:28">
      <c r="A128" s="5" t="s">
        <v>752</v>
      </c>
      <c r="B128" s="23" t="s">
        <v>753</v>
      </c>
      <c r="C128" s="13"/>
      <c r="D128" s="13"/>
      <c r="E128" s="13"/>
      <c r="F128" s="13"/>
      <c r="G128" s="13"/>
      <c r="H128" s="7"/>
      <c r="I128" s="7"/>
    </row>
    <row r="129" spans="1:9">
      <c r="A129" s="5" t="s">
        <v>757</v>
      </c>
      <c r="B129" s="5" t="s">
        <v>758</v>
      </c>
      <c r="C129" s="13"/>
      <c r="D129" s="13"/>
      <c r="E129" s="13"/>
      <c r="F129" s="13"/>
      <c r="G129" s="13"/>
      <c r="H129" s="7"/>
      <c r="I129" s="7"/>
    </row>
    <row r="130" spans="1:9">
      <c r="A130" s="5" t="s">
        <v>762</v>
      </c>
      <c r="B130" s="5" t="s">
        <v>763</v>
      </c>
      <c r="C130" s="13"/>
      <c r="D130" s="13"/>
      <c r="E130" s="13"/>
      <c r="F130" s="13"/>
      <c r="G130" s="13"/>
      <c r="H130" s="7"/>
      <c r="I130" s="7"/>
    </row>
    <row r="131" spans="1:9">
      <c r="A131" s="5" t="s">
        <v>767</v>
      </c>
      <c r="B131" s="5" t="s">
        <v>768</v>
      </c>
      <c r="C131" s="13"/>
      <c r="D131" s="13"/>
      <c r="E131" s="13"/>
      <c r="F131" s="13"/>
      <c r="G131" s="13"/>
      <c r="H131" s="7"/>
      <c r="I131" s="7"/>
    </row>
    <row r="132" spans="1:9">
      <c r="A132" s="5" t="s">
        <v>772</v>
      </c>
      <c r="B132" s="5" t="s">
        <v>773</v>
      </c>
      <c r="C132" s="13"/>
      <c r="D132" s="13"/>
      <c r="E132" s="13"/>
      <c r="F132" s="13"/>
      <c r="G132" s="13"/>
      <c r="H132" s="7"/>
      <c r="I132" s="7"/>
    </row>
    <row r="133" spans="1:9">
      <c r="A133" s="5" t="s">
        <v>779</v>
      </c>
      <c r="B133" s="5" t="s">
        <v>780</v>
      </c>
      <c r="C133" s="13"/>
      <c r="D133" s="13"/>
      <c r="E133" s="13"/>
      <c r="F133" s="13"/>
      <c r="G133" s="13"/>
      <c r="H133" s="7"/>
      <c r="I133" s="7"/>
    </row>
    <row r="134" spans="1:9">
      <c r="A134" s="5" t="s">
        <v>785</v>
      </c>
      <c r="B134" s="23" t="s">
        <v>786</v>
      </c>
      <c r="C134" s="13"/>
      <c r="D134" s="13"/>
      <c r="E134" s="13"/>
      <c r="F134" s="13"/>
      <c r="G134" s="13"/>
      <c r="H134" s="7"/>
      <c r="I134" s="7"/>
    </row>
    <row r="135" spans="1:9">
      <c r="A135" s="5" t="s">
        <v>791</v>
      </c>
      <c r="B135" s="5" t="s">
        <v>792</v>
      </c>
      <c r="C135" s="13"/>
      <c r="D135" s="13"/>
      <c r="E135" s="13"/>
      <c r="F135" s="13"/>
      <c r="G135" s="13"/>
      <c r="H135" s="7"/>
      <c r="I135" s="7"/>
    </row>
    <row r="136" spans="1:9">
      <c r="A136" s="5" t="s">
        <v>796</v>
      </c>
      <c r="B136" s="5" t="s">
        <v>797</v>
      </c>
      <c r="C136" s="13"/>
      <c r="D136" s="13"/>
      <c r="E136" s="13"/>
      <c r="F136" s="13"/>
      <c r="G136" s="13"/>
      <c r="H136" s="7"/>
      <c r="I136" s="7"/>
    </row>
    <row r="137" spans="1:9">
      <c r="A137" s="5" t="s">
        <v>800</v>
      </c>
      <c r="B137" s="23" t="s">
        <v>801</v>
      </c>
      <c r="C137" s="13"/>
      <c r="D137" s="13"/>
      <c r="E137" s="13"/>
      <c r="F137" s="13"/>
      <c r="G137" s="13"/>
      <c r="H137" s="7"/>
      <c r="I137" s="7"/>
    </row>
    <row r="138" spans="1:9">
      <c r="A138" s="5" t="s">
        <v>807</v>
      </c>
      <c r="B138" s="5" t="s">
        <v>808</v>
      </c>
      <c r="C138" s="13"/>
      <c r="D138" s="13"/>
      <c r="E138" s="13"/>
      <c r="F138" s="13"/>
      <c r="G138" s="13"/>
      <c r="H138" s="7"/>
      <c r="I138" s="7"/>
    </row>
    <row r="139" spans="1:9">
      <c r="A139" s="5" t="s">
        <v>814</v>
      </c>
      <c r="B139" s="5" t="s">
        <v>736</v>
      </c>
      <c r="C139" s="13"/>
      <c r="D139" s="13"/>
      <c r="E139" s="13"/>
      <c r="F139" s="13"/>
      <c r="G139" s="13"/>
      <c r="H139" s="7"/>
      <c r="I139" s="7"/>
    </row>
    <row r="140" spans="1:9">
      <c r="A140" s="5" t="s">
        <v>818</v>
      </c>
      <c r="B140" s="5" t="s">
        <v>819</v>
      </c>
      <c r="C140" s="13"/>
      <c r="D140" s="13"/>
      <c r="E140" s="13"/>
      <c r="F140" s="13"/>
      <c r="G140" s="13"/>
      <c r="H140" s="7"/>
      <c r="I140" s="7"/>
    </row>
    <row r="141" spans="1:9">
      <c r="A141" s="5" t="s">
        <v>825</v>
      </c>
      <c r="B141" s="23" t="s">
        <v>826</v>
      </c>
      <c r="C141" s="13"/>
      <c r="D141" s="13"/>
      <c r="E141" s="13"/>
      <c r="F141" s="13"/>
      <c r="G141" s="13"/>
      <c r="H141" s="7"/>
      <c r="I141" s="7"/>
    </row>
    <row r="142" spans="1:9">
      <c r="A142" s="5" t="s">
        <v>832</v>
      </c>
      <c r="B142" s="5" t="s">
        <v>833</v>
      </c>
      <c r="C142" s="13"/>
      <c r="D142" s="13"/>
      <c r="E142" s="13"/>
      <c r="F142" s="13"/>
      <c r="G142" s="13"/>
      <c r="H142" s="7"/>
      <c r="I142" s="7"/>
    </row>
    <row r="143" spans="1:9">
      <c r="A143" s="5" t="s">
        <v>837</v>
      </c>
      <c r="B143" s="5" t="s">
        <v>838</v>
      </c>
      <c r="C143" s="13"/>
      <c r="D143" s="13"/>
      <c r="E143" s="13"/>
      <c r="F143" s="13"/>
      <c r="G143" s="13"/>
      <c r="H143" s="7"/>
      <c r="I143" s="7"/>
    </row>
    <row r="144" spans="1:9">
      <c r="A144" s="5" t="s">
        <v>844</v>
      </c>
      <c r="B144" s="23" t="s">
        <v>627</v>
      </c>
      <c r="C144" s="13"/>
      <c r="D144" s="13"/>
      <c r="E144" s="13"/>
      <c r="F144" s="13"/>
      <c r="G144" s="13"/>
      <c r="H144" s="7"/>
      <c r="I144" s="7"/>
    </row>
    <row r="145" spans="1:9">
      <c r="A145" s="5" t="s">
        <v>850</v>
      </c>
      <c r="B145" s="5" t="s">
        <v>851</v>
      </c>
      <c r="C145" s="13"/>
      <c r="D145" s="13"/>
      <c r="E145" s="13"/>
      <c r="F145" s="13"/>
      <c r="G145" s="13"/>
      <c r="H145" s="7"/>
      <c r="I145" s="7"/>
    </row>
    <row r="146" spans="1:9">
      <c r="A146" s="5" t="s">
        <v>855</v>
      </c>
      <c r="B146" s="23" t="s">
        <v>662</v>
      </c>
      <c r="C146" s="13"/>
      <c r="D146" s="13"/>
      <c r="E146" s="13"/>
      <c r="F146" s="13"/>
      <c r="G146" s="13"/>
      <c r="H146" s="7"/>
      <c r="I146" s="7"/>
    </row>
    <row r="147" spans="1:9">
      <c r="A147" s="5" t="s">
        <v>859</v>
      </c>
      <c r="B147" s="5" t="s">
        <v>860</v>
      </c>
      <c r="C147" s="13"/>
      <c r="D147" s="13"/>
      <c r="E147" s="13"/>
      <c r="F147" s="13"/>
      <c r="G147" s="13"/>
      <c r="H147" s="7"/>
      <c r="I147" s="7"/>
    </row>
    <row r="148" spans="1:9">
      <c r="A148" s="5" t="s">
        <v>861</v>
      </c>
      <c r="B148" s="5" t="s">
        <v>862</v>
      </c>
      <c r="C148" s="13"/>
      <c r="D148" s="13"/>
      <c r="E148" s="13"/>
      <c r="F148" s="13"/>
      <c r="G148" s="13"/>
      <c r="H148" s="7"/>
      <c r="I148" s="7"/>
    </row>
    <row r="149" spans="1:9">
      <c r="A149" s="5" t="s">
        <v>865</v>
      </c>
      <c r="B149" s="5" t="s">
        <v>866</v>
      </c>
      <c r="C149" s="13"/>
      <c r="D149" s="13"/>
      <c r="E149" s="13"/>
      <c r="F149" s="13"/>
      <c r="G149" s="13"/>
      <c r="H149" s="7"/>
      <c r="I149" s="7"/>
    </row>
    <row r="150" spans="1:9">
      <c r="A150" s="5" t="s">
        <v>870</v>
      </c>
      <c r="B150" s="5" t="s">
        <v>843</v>
      </c>
      <c r="C150" s="13"/>
      <c r="D150" s="13"/>
      <c r="E150" s="13"/>
      <c r="F150" s="13"/>
      <c r="G150" s="13"/>
      <c r="H150" s="7"/>
      <c r="I150" s="7"/>
    </row>
    <row r="151" spans="1:9">
      <c r="A151" s="5" t="s">
        <v>876</v>
      </c>
      <c r="B151" s="23" t="s">
        <v>877</v>
      </c>
      <c r="C151" s="13"/>
      <c r="D151" s="13"/>
      <c r="E151" s="13"/>
      <c r="F151" s="13"/>
      <c r="G151" s="13"/>
      <c r="H151" s="7"/>
      <c r="I151" s="7"/>
    </row>
    <row r="152" spans="1:9">
      <c r="A152" s="5" t="s">
        <v>881</v>
      </c>
      <c r="B152" s="23" t="s">
        <v>882</v>
      </c>
      <c r="C152" s="13"/>
      <c r="D152" s="13"/>
      <c r="E152" s="13"/>
      <c r="F152" s="13"/>
      <c r="G152" s="13"/>
      <c r="H152" s="7"/>
      <c r="I152" s="7"/>
    </row>
    <row r="153" spans="1:9">
      <c r="A153" s="5" t="s">
        <v>888</v>
      </c>
      <c r="B153" s="23" t="s">
        <v>889</v>
      </c>
      <c r="C153" s="13"/>
      <c r="D153" s="13"/>
      <c r="E153" s="13"/>
      <c r="F153" s="13"/>
      <c r="G153" s="13"/>
      <c r="H153" s="7"/>
      <c r="I153" s="7"/>
    </row>
    <row r="154" spans="1:9">
      <c r="A154" s="5" t="s">
        <v>895</v>
      </c>
      <c r="B154" s="23" t="s">
        <v>849</v>
      </c>
      <c r="C154" s="13"/>
      <c r="D154" s="13"/>
      <c r="E154" s="13"/>
      <c r="F154" s="13"/>
      <c r="G154" s="13"/>
      <c r="H154" s="7"/>
      <c r="I154" s="7"/>
    </row>
    <row r="155" spans="1:9">
      <c r="A155" s="5" t="s">
        <v>898</v>
      </c>
      <c r="B155" s="23" t="s">
        <v>899</v>
      </c>
      <c r="C155" s="13"/>
      <c r="D155" s="13"/>
      <c r="E155" s="13"/>
      <c r="F155" s="13"/>
      <c r="G155" s="13"/>
      <c r="H155" s="7"/>
      <c r="I155" s="7"/>
    </row>
    <row r="156" spans="1:9">
      <c r="A156" s="5" t="s">
        <v>905</v>
      </c>
      <c r="B156" s="5" t="s">
        <v>906</v>
      </c>
      <c r="C156" s="13"/>
      <c r="D156" s="13"/>
      <c r="E156" s="13"/>
      <c r="F156" s="13"/>
      <c r="G156" s="13"/>
      <c r="H156" s="7"/>
      <c r="I156" s="7"/>
    </row>
    <row r="157" spans="1:9">
      <c r="A157" s="5" t="s">
        <v>912</v>
      </c>
      <c r="B157" s="5" t="s">
        <v>913</v>
      </c>
      <c r="C157" s="13"/>
      <c r="D157" s="13"/>
      <c r="E157" s="13"/>
      <c r="F157" s="13"/>
      <c r="G157" s="13"/>
      <c r="H157" s="7"/>
      <c r="I157" s="7"/>
    </row>
    <row r="158" spans="1:9">
      <c r="A158" s="5" t="s">
        <v>919</v>
      </c>
      <c r="B158" s="5" t="s">
        <v>920</v>
      </c>
      <c r="C158" s="13"/>
      <c r="D158" s="13"/>
      <c r="E158" s="13"/>
      <c r="F158" s="13"/>
      <c r="G158" s="13"/>
      <c r="H158" s="7"/>
      <c r="I158" s="7"/>
    </row>
    <row r="159" spans="1:9">
      <c r="A159" s="5" t="s">
        <v>924</v>
      </c>
      <c r="B159" s="5" t="s">
        <v>925</v>
      </c>
      <c r="C159" s="13"/>
      <c r="D159" s="13"/>
      <c r="E159" s="13"/>
      <c r="F159" s="13"/>
      <c r="G159" s="13"/>
      <c r="H159" s="7"/>
      <c r="I159" s="7"/>
    </row>
    <row r="160" spans="1:9">
      <c r="A160" s="5" t="s">
        <v>929</v>
      </c>
      <c r="B160" s="5" t="s">
        <v>930</v>
      </c>
      <c r="C160" s="13"/>
      <c r="D160" s="13"/>
      <c r="E160" s="13"/>
      <c r="F160" s="13"/>
      <c r="G160" s="13"/>
      <c r="H160" s="7"/>
      <c r="I160" s="7"/>
    </row>
    <row r="161" spans="1:9">
      <c r="A161" s="5" t="s">
        <v>934</v>
      </c>
      <c r="B161" s="5" t="s">
        <v>522</v>
      </c>
      <c r="C161" s="13"/>
      <c r="D161" s="13"/>
      <c r="E161" s="13"/>
      <c r="F161" s="13"/>
      <c r="G161" s="13"/>
      <c r="H161" s="7"/>
      <c r="I161" s="7"/>
    </row>
    <row r="162" spans="1:9">
      <c r="A162" s="5" t="s">
        <v>937</v>
      </c>
      <c r="B162" s="5" t="s">
        <v>547</v>
      </c>
      <c r="C162" s="13"/>
      <c r="D162" s="13"/>
      <c r="E162" s="13"/>
      <c r="F162" s="13"/>
      <c r="G162" s="13"/>
      <c r="H162" s="7"/>
      <c r="I162" s="7"/>
    </row>
    <row r="163" spans="1:9">
      <c r="A163" s="5" t="s">
        <v>943</v>
      </c>
      <c r="B163" s="5" t="s">
        <v>944</v>
      </c>
      <c r="C163" s="13"/>
      <c r="D163" s="13"/>
      <c r="E163" s="13"/>
      <c r="F163" s="13"/>
      <c r="G163" s="13"/>
      <c r="H163" s="7"/>
      <c r="I163" s="7"/>
    </row>
    <row r="164" spans="1:9">
      <c r="A164" s="5" t="s">
        <v>950</v>
      </c>
      <c r="B164" s="5" t="s">
        <v>951</v>
      </c>
      <c r="C164" s="13"/>
      <c r="D164" s="13"/>
      <c r="E164" s="13"/>
      <c r="F164" s="13"/>
      <c r="G164" s="13"/>
      <c r="H164" s="7"/>
      <c r="I164" s="7"/>
    </row>
    <row r="165" spans="1:9">
      <c r="A165" s="5" t="s">
        <v>957</v>
      </c>
      <c r="B165" s="5" t="s">
        <v>958</v>
      </c>
      <c r="C165" s="13"/>
      <c r="D165" s="13"/>
      <c r="E165" s="13"/>
      <c r="F165" s="13"/>
      <c r="G165" s="13"/>
      <c r="H165" s="7"/>
      <c r="I165" s="7"/>
    </row>
    <row r="166" spans="1:9">
      <c r="A166" s="5" t="s">
        <v>964</v>
      </c>
      <c r="B166" s="5" t="s">
        <v>965</v>
      </c>
      <c r="C166" s="13"/>
      <c r="D166" s="13"/>
      <c r="E166" s="13"/>
      <c r="F166" s="13"/>
      <c r="G166" s="13"/>
      <c r="H166" s="7"/>
      <c r="I166" s="7"/>
    </row>
    <row r="167" spans="1:9">
      <c r="A167" s="5" t="s">
        <v>971</v>
      </c>
      <c r="B167" s="23" t="s">
        <v>972</v>
      </c>
      <c r="C167" s="13"/>
      <c r="D167" s="13"/>
      <c r="E167" s="13"/>
      <c r="F167" s="13"/>
      <c r="G167" s="13"/>
      <c r="H167" s="7"/>
      <c r="I167" s="7"/>
    </row>
    <row r="168" spans="1:9">
      <c r="A168" s="5" t="s">
        <v>976</v>
      </c>
      <c r="B168" s="5" t="s">
        <v>977</v>
      </c>
      <c r="C168" s="13"/>
      <c r="D168" s="13"/>
      <c r="E168" s="13"/>
      <c r="F168" s="13"/>
      <c r="G168" s="13"/>
      <c r="H168" s="7"/>
      <c r="I168" s="7"/>
    </row>
    <row r="169" spans="1:9">
      <c r="A169" s="5" t="s">
        <v>981</v>
      </c>
      <c r="B169" s="23" t="s">
        <v>624</v>
      </c>
      <c r="C169" s="13"/>
      <c r="D169" s="13"/>
      <c r="E169" s="13"/>
      <c r="F169" s="13"/>
      <c r="G169" s="13"/>
      <c r="H169" s="7"/>
      <c r="I169" s="7"/>
    </row>
    <row r="170" spans="1:9">
      <c r="A170" s="5" t="s">
        <v>986</v>
      </c>
      <c r="B170" s="23" t="s">
        <v>657</v>
      </c>
      <c r="C170" s="13"/>
      <c r="D170" s="13"/>
      <c r="E170" s="13"/>
      <c r="F170" s="13"/>
      <c r="G170" s="13"/>
      <c r="H170" s="7"/>
      <c r="I170" s="7"/>
    </row>
    <row r="171" spans="1:9">
      <c r="A171" s="5" t="s">
        <v>990</v>
      </c>
      <c r="B171" s="23" t="s">
        <v>836</v>
      </c>
      <c r="C171" s="13"/>
      <c r="D171" s="13"/>
      <c r="E171" s="13"/>
      <c r="F171" s="13"/>
      <c r="G171" s="13"/>
      <c r="H171" s="7"/>
      <c r="I171" s="7"/>
    </row>
    <row r="172" spans="1:9">
      <c r="A172" s="5" t="s">
        <v>996</v>
      </c>
      <c r="B172" s="5" t="s">
        <v>806</v>
      </c>
      <c r="C172" s="13"/>
      <c r="D172" s="13"/>
      <c r="E172" s="13"/>
      <c r="F172" s="13"/>
      <c r="G172" s="13"/>
      <c r="H172" s="7"/>
      <c r="I172" s="7"/>
    </row>
    <row r="173" spans="1:9">
      <c r="A173" s="5" t="s">
        <v>1002</v>
      </c>
      <c r="B173" s="23" t="s">
        <v>1003</v>
      </c>
      <c r="C173" s="13"/>
      <c r="D173" s="13"/>
      <c r="E173" s="13"/>
      <c r="F173" s="13"/>
      <c r="G173" s="13"/>
      <c r="H173" s="7"/>
      <c r="I173" s="7"/>
    </row>
    <row r="174" spans="1:9">
      <c r="A174" s="5" t="s">
        <v>1009</v>
      </c>
      <c r="B174" s="5" t="s">
        <v>795</v>
      </c>
      <c r="C174" s="13"/>
      <c r="D174" s="13"/>
      <c r="E174" s="13"/>
      <c r="F174" s="13"/>
      <c r="G174" s="13"/>
      <c r="H174" s="7"/>
      <c r="I174" s="7"/>
    </row>
    <row r="175" spans="1:9">
      <c r="A175" s="5" t="s">
        <v>1013</v>
      </c>
      <c r="B175" s="23" t="s">
        <v>1014</v>
      </c>
      <c r="C175" s="13"/>
      <c r="D175" s="13"/>
      <c r="E175" s="13"/>
      <c r="F175" s="13"/>
      <c r="G175" s="13"/>
      <c r="H175" s="7"/>
      <c r="I175" s="7"/>
    </row>
    <row r="176" spans="1:9">
      <c r="A176" s="5" t="s">
        <v>1018</v>
      </c>
      <c r="B176" s="5" t="s">
        <v>1019</v>
      </c>
      <c r="C176" s="13"/>
      <c r="D176" s="13"/>
      <c r="E176" s="13"/>
      <c r="F176" s="13"/>
      <c r="G176" s="13"/>
      <c r="H176" s="7"/>
      <c r="I176" s="7"/>
    </row>
    <row r="177" spans="1:9">
      <c r="A177" s="5" t="s">
        <v>1023</v>
      </c>
      <c r="B177" s="5" t="s">
        <v>540</v>
      </c>
      <c r="C177" s="13"/>
      <c r="D177" s="13"/>
      <c r="E177" s="13"/>
      <c r="F177" s="13"/>
      <c r="G177" s="13"/>
      <c r="H177" s="7"/>
      <c r="I177" s="7"/>
    </row>
    <row r="178" spans="1:9">
      <c r="A178" s="5" t="s">
        <v>1029</v>
      </c>
      <c r="B178" s="5" t="s">
        <v>1030</v>
      </c>
      <c r="C178" s="13"/>
      <c r="D178" s="13"/>
      <c r="E178" s="13"/>
      <c r="F178" s="13"/>
      <c r="G178" s="13"/>
      <c r="H178" s="7"/>
      <c r="I178" s="7"/>
    </row>
    <row r="179" spans="1:9" ht="39" customHeight="1">
      <c r="A179" s="540" t="s">
        <v>1034</v>
      </c>
      <c r="B179" s="543"/>
      <c r="C179" s="543"/>
      <c r="D179" s="543"/>
      <c r="E179" s="543"/>
      <c r="F179" s="543"/>
      <c r="G179" s="543"/>
      <c r="H179" s="550"/>
      <c r="I179" s="543"/>
    </row>
    <row r="180" spans="1:9">
      <c r="A180" s="5" t="s">
        <v>4</v>
      </c>
      <c r="B180" s="6" t="s">
        <v>5</v>
      </c>
      <c r="C180" s="7" t="s">
        <v>6</v>
      </c>
      <c r="D180" s="7" t="s">
        <v>7</v>
      </c>
      <c r="E180" s="7" t="s">
        <v>8</v>
      </c>
      <c r="F180" s="7" t="s">
        <v>9</v>
      </c>
      <c r="G180" s="7" t="s">
        <v>10</v>
      </c>
      <c r="H180" s="7" t="s">
        <v>11</v>
      </c>
      <c r="I180" s="7" t="s">
        <v>12</v>
      </c>
    </row>
    <row r="181" spans="1:9">
      <c r="A181" s="5" t="s">
        <v>1040</v>
      </c>
      <c r="B181" s="5" t="s">
        <v>1041</v>
      </c>
      <c r="C181" s="13"/>
      <c r="D181" s="13"/>
      <c r="E181" s="13"/>
      <c r="F181" s="13"/>
      <c r="G181" s="13"/>
      <c r="H181" s="7"/>
      <c r="I181" s="7" t="s">
        <v>1042</v>
      </c>
    </row>
    <row r="182" spans="1:9">
      <c r="A182" s="5" t="s">
        <v>1046</v>
      </c>
      <c r="B182" s="5" t="s">
        <v>1047</v>
      </c>
      <c r="C182" s="13"/>
      <c r="D182" s="13"/>
      <c r="E182" s="13"/>
      <c r="F182" s="13"/>
      <c r="G182" s="13"/>
      <c r="H182" s="7"/>
      <c r="I182" s="7"/>
    </row>
    <row r="183" spans="1:9">
      <c r="A183" s="5" t="s">
        <v>1053</v>
      </c>
      <c r="B183" s="5" t="s">
        <v>975</v>
      </c>
      <c r="C183" s="13"/>
      <c r="D183" s="13"/>
      <c r="E183" s="13"/>
      <c r="F183" s="13"/>
      <c r="G183" s="13"/>
      <c r="H183" s="7"/>
      <c r="I183" s="7"/>
    </row>
    <row r="184" spans="1:9">
      <c r="A184" s="5" t="s">
        <v>1059</v>
      </c>
      <c r="B184" s="5" t="s">
        <v>1060</v>
      </c>
      <c r="C184" s="13"/>
      <c r="D184" s="13"/>
      <c r="E184" s="13"/>
      <c r="F184" s="13"/>
      <c r="G184" s="13"/>
      <c r="H184" s="7"/>
      <c r="I184" s="7"/>
    </row>
    <row r="185" spans="1:9">
      <c r="A185" s="5" t="s">
        <v>1064</v>
      </c>
      <c r="B185" s="34" t="s">
        <v>1017</v>
      </c>
      <c r="C185" s="13"/>
      <c r="D185" s="13"/>
      <c r="E185" s="13"/>
      <c r="F185" s="13"/>
      <c r="G185" s="13"/>
      <c r="H185" s="7"/>
      <c r="I185" s="7"/>
    </row>
    <row r="186" spans="1:9">
      <c r="A186" s="5" t="s">
        <v>1069</v>
      </c>
      <c r="B186" s="34" t="s">
        <v>1017</v>
      </c>
      <c r="C186" s="13"/>
      <c r="D186" s="13"/>
      <c r="E186" s="13"/>
      <c r="F186" s="13"/>
      <c r="G186" s="13"/>
      <c r="H186" s="7"/>
      <c r="I186" s="7"/>
    </row>
    <row r="187" spans="1:9">
      <c r="A187" s="5" t="s">
        <v>1075</v>
      </c>
      <c r="B187" s="5" t="s">
        <v>1076</v>
      </c>
      <c r="C187" s="13"/>
      <c r="D187" s="13"/>
      <c r="E187" s="13"/>
      <c r="F187" s="13"/>
      <c r="G187" s="13"/>
      <c r="H187" s="7"/>
      <c r="I187" s="7"/>
    </row>
    <row r="188" spans="1:9">
      <c r="A188" s="5" t="s">
        <v>1080</v>
      </c>
      <c r="B188" s="5" t="s">
        <v>923</v>
      </c>
      <c r="C188" s="13"/>
      <c r="D188" s="13"/>
      <c r="E188" s="13"/>
      <c r="F188" s="13"/>
      <c r="G188" s="13"/>
      <c r="H188" s="7"/>
      <c r="I188" s="7"/>
    </row>
    <row r="189" spans="1:9">
      <c r="A189" s="5" t="s">
        <v>1086</v>
      </c>
      <c r="B189" s="5" t="s">
        <v>918</v>
      </c>
      <c r="C189" s="13"/>
      <c r="D189" s="13"/>
      <c r="E189" s="13"/>
      <c r="F189" s="13"/>
      <c r="G189" s="13"/>
      <c r="H189" s="7"/>
      <c r="I189" s="7"/>
    </row>
    <row r="190" spans="1:9">
      <c r="A190" s="5" t="s">
        <v>1092</v>
      </c>
      <c r="B190" s="5" t="s">
        <v>151</v>
      </c>
      <c r="C190" s="13"/>
      <c r="D190" s="13"/>
      <c r="E190" s="13"/>
      <c r="F190" s="13"/>
      <c r="G190" s="13"/>
      <c r="H190" s="7"/>
      <c r="I190" s="7"/>
    </row>
    <row r="191" spans="1:9">
      <c r="A191" s="5" t="s">
        <v>1098</v>
      </c>
      <c r="B191" s="5" t="s">
        <v>1099</v>
      </c>
      <c r="C191" s="13"/>
      <c r="D191" s="13"/>
      <c r="E191" s="13"/>
      <c r="F191" s="13"/>
      <c r="G191" s="13"/>
      <c r="H191" s="7"/>
      <c r="I191" s="7"/>
    </row>
    <row r="192" spans="1:9">
      <c r="A192" s="5" t="s">
        <v>1103</v>
      </c>
      <c r="B192" s="5" t="s">
        <v>1104</v>
      </c>
      <c r="C192" s="13"/>
      <c r="D192" s="13"/>
      <c r="E192" s="13"/>
      <c r="F192" s="13"/>
      <c r="G192" s="13"/>
      <c r="H192" s="7"/>
      <c r="I192" s="7"/>
    </row>
    <row r="193" spans="1:9">
      <c r="A193" s="5" t="s">
        <v>1108</v>
      </c>
      <c r="B193" s="5" t="s">
        <v>970</v>
      </c>
      <c r="C193" s="13"/>
      <c r="D193" s="13"/>
      <c r="E193" s="13"/>
      <c r="F193" s="13"/>
      <c r="G193" s="13"/>
      <c r="H193" s="7"/>
      <c r="I193" s="7"/>
    </row>
    <row r="194" spans="1:9">
      <c r="A194" s="5" t="s">
        <v>1111</v>
      </c>
      <c r="B194" s="5" t="s">
        <v>1112</v>
      </c>
      <c r="C194" s="13"/>
      <c r="D194" s="13"/>
      <c r="E194" s="13"/>
      <c r="F194" s="13"/>
      <c r="G194" s="13"/>
      <c r="H194" s="7"/>
      <c r="I194" s="7"/>
    </row>
    <row r="195" spans="1:9">
      <c r="A195" s="5" t="s">
        <v>1118</v>
      </c>
      <c r="B195" s="5" t="s">
        <v>1119</v>
      </c>
      <c r="C195" s="13"/>
      <c r="D195" s="13"/>
      <c r="E195" s="13"/>
      <c r="F195" s="13"/>
      <c r="G195" s="13"/>
      <c r="H195" s="7"/>
      <c r="I195" s="7"/>
    </row>
    <row r="196" spans="1:9">
      <c r="A196" s="5" t="s">
        <v>1123</v>
      </c>
      <c r="B196" s="5" t="s">
        <v>1124</v>
      </c>
      <c r="C196" s="13"/>
      <c r="D196" s="13"/>
      <c r="E196" s="13"/>
      <c r="F196" s="13"/>
      <c r="G196" s="13"/>
      <c r="H196" s="7"/>
      <c r="I196" s="7"/>
    </row>
    <row r="197" spans="1:9">
      <c r="A197" s="5" t="s">
        <v>1130</v>
      </c>
      <c r="B197" s="5" t="s">
        <v>1131</v>
      </c>
      <c r="C197" s="13"/>
      <c r="D197" s="13"/>
      <c r="E197" s="13"/>
      <c r="F197" s="13"/>
      <c r="G197" s="13"/>
      <c r="H197" s="7"/>
      <c r="I197" s="7"/>
    </row>
    <row r="198" spans="1:9">
      <c r="A198" s="5" t="s">
        <v>1137</v>
      </c>
      <c r="B198" s="5" t="s">
        <v>1138</v>
      </c>
      <c r="C198" s="13"/>
      <c r="D198" s="13"/>
      <c r="E198" s="13"/>
      <c r="F198" s="13"/>
      <c r="G198" s="13"/>
      <c r="H198" s="7"/>
      <c r="I198" s="7"/>
    </row>
    <row r="199" spans="1:9">
      <c r="A199" s="5" t="s">
        <v>1144</v>
      </c>
      <c r="B199" s="5" t="s">
        <v>1145</v>
      </c>
      <c r="C199" s="13"/>
      <c r="D199" s="13"/>
      <c r="E199" s="13"/>
      <c r="F199" s="13"/>
      <c r="G199" s="13"/>
      <c r="H199" s="7"/>
      <c r="I199" s="7"/>
    </row>
    <row r="200" spans="1:9">
      <c r="A200" s="5" t="s">
        <v>1149</v>
      </c>
      <c r="B200" s="5" t="s">
        <v>918</v>
      </c>
      <c r="C200" s="13"/>
      <c r="D200" s="13"/>
      <c r="E200" s="13"/>
      <c r="F200" s="13"/>
      <c r="G200" s="13"/>
      <c r="H200" s="7"/>
      <c r="I200" s="7"/>
    </row>
    <row r="201" spans="1:9">
      <c r="A201" s="5" t="s">
        <v>1155</v>
      </c>
      <c r="B201" s="5" t="s">
        <v>942</v>
      </c>
      <c r="C201" s="13"/>
      <c r="D201" s="13"/>
      <c r="E201" s="13"/>
      <c r="F201" s="13"/>
      <c r="G201" s="13"/>
      <c r="H201" s="7"/>
      <c r="I201" s="7"/>
    </row>
    <row r="202" spans="1:9">
      <c r="A202" s="5" t="s">
        <v>1159</v>
      </c>
      <c r="B202" s="5" t="s">
        <v>159</v>
      </c>
      <c r="C202" s="13"/>
      <c r="D202" s="13"/>
      <c r="E202" s="13"/>
      <c r="F202" s="13"/>
      <c r="G202" s="13"/>
      <c r="H202" s="7"/>
      <c r="I202" s="7"/>
    </row>
    <row r="203" spans="1:9">
      <c r="A203" s="5" t="s">
        <v>1165</v>
      </c>
      <c r="B203" s="5" t="s">
        <v>288</v>
      </c>
      <c r="C203" s="13"/>
      <c r="D203" s="13"/>
      <c r="E203" s="13"/>
      <c r="F203" s="13"/>
      <c r="G203" s="13"/>
      <c r="H203" s="7"/>
      <c r="I203" s="7"/>
    </row>
    <row r="204" spans="1:9">
      <c r="A204" s="5" t="s">
        <v>1169</v>
      </c>
      <c r="B204" s="5" t="s">
        <v>933</v>
      </c>
      <c r="C204" s="13"/>
      <c r="D204" s="13"/>
      <c r="E204" s="13"/>
      <c r="F204" s="13"/>
      <c r="G204" s="13"/>
      <c r="H204" s="7"/>
      <c r="I204" s="7"/>
    </row>
    <row r="205" spans="1:9">
      <c r="A205" s="5" t="s">
        <v>1175</v>
      </c>
      <c r="B205" s="5" t="s">
        <v>875</v>
      </c>
      <c r="C205" s="13"/>
      <c r="D205" s="13"/>
      <c r="E205" s="13"/>
      <c r="F205" s="13"/>
      <c r="G205" s="13"/>
      <c r="H205" s="7"/>
      <c r="I205" s="7"/>
    </row>
    <row r="206" spans="1:9">
      <c r="A206" s="5" t="s">
        <v>1181</v>
      </c>
      <c r="B206" s="5" t="s">
        <v>1182</v>
      </c>
      <c r="C206" s="13"/>
      <c r="D206" s="13"/>
      <c r="E206" s="13"/>
      <c r="F206" s="13"/>
      <c r="G206" s="13"/>
      <c r="H206" s="7"/>
      <c r="I206" s="7"/>
    </row>
    <row r="207" spans="1:9">
      <c r="A207" s="5" t="s">
        <v>1188</v>
      </c>
      <c r="B207" s="5" t="s">
        <v>911</v>
      </c>
      <c r="C207" s="13"/>
      <c r="D207" s="13"/>
      <c r="E207" s="13"/>
      <c r="F207" s="13"/>
      <c r="G207" s="13"/>
      <c r="H207" s="7"/>
      <c r="I207" s="7"/>
    </row>
    <row r="208" spans="1:9">
      <c r="A208" s="5" t="s">
        <v>1192</v>
      </c>
      <c r="B208" s="5" t="s">
        <v>1193</v>
      </c>
      <c r="C208" s="13"/>
      <c r="D208" s="13"/>
      <c r="E208" s="13"/>
      <c r="F208" s="13"/>
      <c r="G208" s="13"/>
      <c r="H208" s="7"/>
      <c r="I208" s="7"/>
    </row>
    <row r="209" spans="1:9">
      <c r="A209" s="5" t="s">
        <v>1197</v>
      </c>
      <c r="B209" s="5" t="s">
        <v>1198</v>
      </c>
      <c r="C209" s="13"/>
      <c r="D209" s="13"/>
      <c r="E209" s="13"/>
      <c r="F209" s="13"/>
      <c r="G209" s="13"/>
      <c r="H209" s="7"/>
      <c r="I209" s="7"/>
    </row>
    <row r="210" spans="1:9">
      <c r="A210" s="5" t="s">
        <v>1202</v>
      </c>
      <c r="B210" s="5" t="s">
        <v>869</v>
      </c>
      <c r="C210" s="13"/>
      <c r="D210" s="13"/>
      <c r="E210" s="13"/>
      <c r="F210" s="13"/>
      <c r="G210" s="13"/>
      <c r="H210" s="7"/>
      <c r="I210" s="7"/>
    </row>
    <row r="211" spans="1:9">
      <c r="A211" s="5" t="s">
        <v>1208</v>
      </c>
      <c r="B211" s="5" t="s">
        <v>1012</v>
      </c>
      <c r="C211" s="13" t="s">
        <v>28</v>
      </c>
      <c r="D211" s="13" t="s">
        <v>28</v>
      </c>
      <c r="E211" s="13" t="s">
        <v>21</v>
      </c>
      <c r="F211" s="13" t="s">
        <v>21</v>
      </c>
      <c r="G211" s="13" t="s">
        <v>28</v>
      </c>
      <c r="H211" s="7"/>
      <c r="I211" s="7"/>
    </row>
    <row r="212" spans="1:9">
      <c r="A212" s="5" t="s">
        <v>1214</v>
      </c>
      <c r="B212" s="5" t="s">
        <v>108</v>
      </c>
      <c r="C212" s="13"/>
      <c r="D212" s="13"/>
      <c r="E212" s="13"/>
      <c r="F212" s="13"/>
      <c r="G212" s="13"/>
      <c r="H212" s="7"/>
      <c r="I212" s="7"/>
    </row>
    <row r="213" spans="1:9">
      <c r="A213" s="5" t="s">
        <v>1217</v>
      </c>
      <c r="B213" s="5" t="s">
        <v>1218</v>
      </c>
      <c r="C213" s="13"/>
      <c r="D213" s="13"/>
      <c r="E213" s="13"/>
      <c r="F213" s="13"/>
      <c r="G213" s="13"/>
      <c r="H213" s="7"/>
      <c r="I213" s="7"/>
    </row>
    <row r="214" spans="1:9">
      <c r="A214" s="5" t="s">
        <v>1223</v>
      </c>
      <c r="B214" s="5" t="s">
        <v>1224</v>
      </c>
      <c r="C214" s="13"/>
      <c r="D214" s="13"/>
      <c r="E214" s="13"/>
      <c r="F214" s="13"/>
      <c r="G214" s="13"/>
      <c r="H214" s="7"/>
      <c r="I214" s="7"/>
    </row>
    <row r="215" spans="1:9">
      <c r="A215" s="5" t="s">
        <v>1230</v>
      </c>
      <c r="B215" s="5" t="s">
        <v>1231</v>
      </c>
      <c r="C215" s="13"/>
      <c r="D215" s="13"/>
      <c r="E215" s="13"/>
      <c r="F215" s="13"/>
      <c r="G215" s="13"/>
      <c r="H215" s="7"/>
      <c r="I215" s="7"/>
    </row>
    <row r="216" spans="1:9">
      <c r="A216" s="5" t="s">
        <v>1237</v>
      </c>
      <c r="B216" s="5" t="s">
        <v>1238</v>
      </c>
      <c r="C216" s="13"/>
      <c r="D216" s="13"/>
      <c r="E216" s="13"/>
      <c r="F216" s="13"/>
      <c r="G216" s="13"/>
      <c r="H216" s="7"/>
      <c r="I216" s="7"/>
    </row>
    <row r="217" spans="1:9">
      <c r="A217" s="5" t="s">
        <v>1241</v>
      </c>
      <c r="B217" s="5" t="s">
        <v>1242</v>
      </c>
      <c r="C217" s="13"/>
      <c r="D217" s="13"/>
      <c r="E217" s="13"/>
      <c r="F217" s="13"/>
      <c r="G217" s="13"/>
      <c r="H217" s="7"/>
      <c r="I217" s="7"/>
    </row>
    <row r="218" spans="1:9">
      <c r="A218" s="5" t="s">
        <v>1245</v>
      </c>
      <c r="B218" s="5" t="s">
        <v>1246</v>
      </c>
      <c r="C218" s="13"/>
      <c r="D218" s="13"/>
      <c r="E218" s="13"/>
      <c r="F218" s="13"/>
      <c r="G218" s="13"/>
      <c r="H218" s="7"/>
      <c r="I218" s="7"/>
    </row>
    <row r="219" spans="1:9">
      <c r="A219" s="5" t="s">
        <v>1249</v>
      </c>
      <c r="B219" s="5" t="s">
        <v>1250</v>
      </c>
      <c r="C219" s="13"/>
      <c r="D219" s="13"/>
      <c r="E219" s="13"/>
      <c r="F219" s="13"/>
      <c r="G219" s="13"/>
      <c r="H219" s="7"/>
      <c r="I219" s="7"/>
    </row>
    <row r="220" spans="1:9" ht="37.5" customHeight="1">
      <c r="A220" s="536" t="s">
        <v>1253</v>
      </c>
      <c r="B220" s="543"/>
      <c r="C220" s="543"/>
      <c r="D220" s="543"/>
      <c r="E220" s="543"/>
      <c r="F220" s="543"/>
      <c r="G220" s="543"/>
      <c r="H220" s="550"/>
      <c r="I220" s="543"/>
    </row>
    <row r="221" spans="1:9">
      <c r="A221" s="5" t="s">
        <v>4</v>
      </c>
      <c r="B221" s="6" t="s">
        <v>5</v>
      </c>
      <c r="C221" s="7" t="s">
        <v>6</v>
      </c>
      <c r="D221" s="7" t="s">
        <v>7</v>
      </c>
      <c r="E221" s="7" t="s">
        <v>8</v>
      </c>
      <c r="F221" s="7" t="s">
        <v>9</v>
      </c>
      <c r="G221" s="7" t="s">
        <v>10</v>
      </c>
      <c r="H221" s="7" t="s">
        <v>11</v>
      </c>
      <c r="I221" s="7" t="s">
        <v>12</v>
      </c>
    </row>
    <row r="222" spans="1:9">
      <c r="A222" s="5" t="s">
        <v>1259</v>
      </c>
      <c r="B222" s="5" t="s">
        <v>1201</v>
      </c>
      <c r="C222" s="13"/>
      <c r="D222" s="13"/>
      <c r="E222" s="13"/>
      <c r="F222" s="13"/>
      <c r="G222" s="13"/>
      <c r="H222" s="7"/>
      <c r="I222" s="7"/>
    </row>
    <row r="223" spans="1:9">
      <c r="A223" s="5" t="s">
        <v>1262</v>
      </c>
      <c r="B223" s="5" t="s">
        <v>1263</v>
      </c>
      <c r="C223" s="13"/>
      <c r="D223" s="13"/>
      <c r="E223" s="13"/>
      <c r="F223" s="13"/>
      <c r="G223" s="13"/>
      <c r="H223" s="7"/>
      <c r="I223" s="7"/>
    </row>
    <row r="224" spans="1:9">
      <c r="A224" s="5" t="s">
        <v>1266</v>
      </c>
      <c r="B224" s="23" t="s">
        <v>1267</v>
      </c>
      <c r="C224" s="13"/>
      <c r="D224" s="13"/>
      <c r="E224" s="13"/>
      <c r="F224" s="13"/>
      <c r="G224" s="13"/>
      <c r="H224" s="7"/>
      <c r="I224" s="7"/>
    </row>
    <row r="225" spans="1:9">
      <c r="A225" s="5" t="s">
        <v>1268</v>
      </c>
      <c r="B225" s="5" t="s">
        <v>1269</v>
      </c>
      <c r="C225" s="13"/>
      <c r="D225" s="13"/>
      <c r="E225" s="13"/>
      <c r="F225" s="13"/>
      <c r="G225" s="13"/>
      <c r="H225" s="7"/>
      <c r="I225" s="7"/>
    </row>
    <row r="226" spans="1:9">
      <c r="A226" s="5" t="s">
        <v>1271</v>
      </c>
      <c r="B226" s="5" t="s">
        <v>1272</v>
      </c>
      <c r="C226" s="13"/>
      <c r="D226" s="13"/>
      <c r="E226" s="13"/>
      <c r="F226" s="13"/>
      <c r="G226" s="13"/>
      <c r="H226" s="7"/>
      <c r="I226" s="7"/>
    </row>
    <row r="227" spans="1:9">
      <c r="A227" s="5" t="s">
        <v>1273</v>
      </c>
      <c r="B227" s="23" t="s">
        <v>1274</v>
      </c>
      <c r="C227" s="13"/>
      <c r="D227" s="13"/>
      <c r="E227" s="13"/>
      <c r="F227" s="13"/>
      <c r="G227" s="13"/>
      <c r="H227" s="7"/>
      <c r="I227" s="7"/>
    </row>
    <row r="228" spans="1:9">
      <c r="A228" s="5" t="s">
        <v>1275</v>
      </c>
      <c r="B228" s="5" t="s">
        <v>939</v>
      </c>
      <c r="C228" s="13"/>
      <c r="D228" s="13"/>
      <c r="E228" s="13"/>
      <c r="F228" s="13"/>
      <c r="G228" s="13"/>
      <c r="H228" s="7"/>
      <c r="I228" s="7"/>
    </row>
    <row r="229" spans="1:9">
      <c r="A229" s="5" t="s">
        <v>1278</v>
      </c>
      <c r="B229" s="5" t="s">
        <v>1279</v>
      </c>
      <c r="C229" s="13"/>
      <c r="D229" s="13"/>
      <c r="E229" s="13"/>
      <c r="F229" s="13"/>
      <c r="G229" s="13"/>
      <c r="H229" s="7"/>
      <c r="I229" s="7"/>
    </row>
    <row r="230" spans="1:9">
      <c r="A230" s="5" t="s">
        <v>1282</v>
      </c>
      <c r="B230" s="5" t="s">
        <v>1283</v>
      </c>
      <c r="C230" s="13"/>
      <c r="D230" s="13"/>
      <c r="E230" s="13"/>
      <c r="F230" s="13"/>
      <c r="G230" s="13"/>
      <c r="H230" s="7"/>
      <c r="I230" s="7"/>
    </row>
    <row r="231" spans="1:9">
      <c r="A231" s="5" t="s">
        <v>1284</v>
      </c>
      <c r="B231" s="5" t="s">
        <v>1285</v>
      </c>
      <c r="C231" s="13"/>
      <c r="D231" s="13"/>
      <c r="E231" s="13"/>
      <c r="F231" s="13"/>
      <c r="G231" s="13"/>
      <c r="H231" s="7"/>
      <c r="I231" s="7"/>
    </row>
    <row r="232" spans="1:9">
      <c r="A232" s="5" t="s">
        <v>1288</v>
      </c>
      <c r="B232" s="23" t="s">
        <v>1129</v>
      </c>
      <c r="C232" s="13"/>
      <c r="D232" s="13"/>
      <c r="E232" s="13"/>
      <c r="F232" s="13"/>
      <c r="G232" s="13"/>
      <c r="H232" s="7"/>
      <c r="I232" s="7"/>
    </row>
    <row r="233" spans="1:9">
      <c r="A233" s="5" t="s">
        <v>1290</v>
      </c>
      <c r="B233" s="23" t="s">
        <v>1158</v>
      </c>
      <c r="C233" s="13"/>
      <c r="D233" s="13"/>
      <c r="E233" s="13"/>
      <c r="F233" s="13"/>
      <c r="G233" s="13"/>
      <c r="H233" s="7"/>
      <c r="I233" s="7"/>
    </row>
    <row r="234" spans="1:9">
      <c r="A234" s="5" t="s">
        <v>1292</v>
      </c>
      <c r="B234" s="23" t="s">
        <v>1293</v>
      </c>
      <c r="C234" s="13"/>
      <c r="D234" s="13"/>
      <c r="E234" s="13"/>
      <c r="F234" s="13"/>
      <c r="G234" s="13"/>
      <c r="H234" s="7"/>
      <c r="I234" s="7"/>
    </row>
    <row r="235" spans="1:9">
      <c r="A235" s="5" t="s">
        <v>1294</v>
      </c>
      <c r="B235" s="23" t="s">
        <v>1295</v>
      </c>
      <c r="C235" s="13"/>
      <c r="D235" s="13"/>
      <c r="E235" s="13"/>
      <c r="F235" s="13"/>
      <c r="G235" s="13"/>
      <c r="H235" s="7"/>
      <c r="I235" s="7"/>
    </row>
    <row r="236" spans="1:9">
      <c r="A236" s="5" t="s">
        <v>1297</v>
      </c>
      <c r="B236" s="5" t="s">
        <v>1298</v>
      </c>
      <c r="C236" s="13"/>
      <c r="D236" s="13"/>
      <c r="E236" s="13"/>
      <c r="F236" s="13"/>
      <c r="G236" s="13"/>
      <c r="H236" s="7"/>
      <c r="I236" s="7"/>
    </row>
    <row r="237" spans="1:9">
      <c r="A237" s="5" t="s">
        <v>1301</v>
      </c>
      <c r="B237" s="5" t="s">
        <v>1302</v>
      </c>
      <c r="C237" s="13"/>
      <c r="D237" s="13"/>
      <c r="E237" s="13"/>
      <c r="F237" s="13"/>
      <c r="G237" s="13"/>
      <c r="H237" s="7"/>
      <c r="I237" s="7"/>
    </row>
    <row r="238" spans="1:9">
      <c r="A238" s="5" t="s">
        <v>1305</v>
      </c>
      <c r="B238" s="5" t="s">
        <v>1306</v>
      </c>
      <c r="C238" s="13"/>
      <c r="D238" s="13"/>
      <c r="E238" s="13"/>
      <c r="F238" s="13"/>
      <c r="G238" s="13"/>
      <c r="H238" s="7"/>
      <c r="I238" s="7"/>
    </row>
    <row r="239" spans="1:9">
      <c r="A239" s="5" t="s">
        <v>1307</v>
      </c>
      <c r="B239" s="5" t="s">
        <v>1308</v>
      </c>
      <c r="C239" s="13"/>
      <c r="D239" s="13"/>
      <c r="E239" s="13"/>
      <c r="F239" s="13"/>
      <c r="G239" s="13"/>
      <c r="H239" s="7"/>
      <c r="I239" s="7"/>
    </row>
    <row r="240" spans="1:9">
      <c r="A240" s="5" t="s">
        <v>1310</v>
      </c>
      <c r="B240" s="5" t="s">
        <v>1085</v>
      </c>
      <c r="C240" s="13"/>
      <c r="D240" s="13"/>
      <c r="E240" s="13"/>
      <c r="F240" s="13"/>
      <c r="G240" s="13"/>
      <c r="H240" s="7"/>
      <c r="I240" s="7"/>
    </row>
    <row r="241" spans="1:9">
      <c r="A241" s="5" t="s">
        <v>1313</v>
      </c>
      <c r="B241" s="5" t="s">
        <v>1314</v>
      </c>
      <c r="C241" s="13"/>
      <c r="D241" s="13"/>
      <c r="E241" s="13"/>
      <c r="F241" s="13"/>
      <c r="G241" s="13"/>
      <c r="H241" s="7"/>
      <c r="I241" s="7"/>
    </row>
    <row r="242" spans="1:9">
      <c r="A242" s="5" t="s">
        <v>1315</v>
      </c>
      <c r="B242" s="5" t="s">
        <v>1316</v>
      </c>
      <c r="C242" s="13"/>
      <c r="D242" s="13"/>
      <c r="E242" s="13"/>
      <c r="F242" s="13"/>
      <c r="G242" s="13"/>
      <c r="H242" s="7"/>
      <c r="I242" s="7"/>
    </row>
    <row r="243" spans="1:9">
      <c r="A243" s="5" t="s">
        <v>1319</v>
      </c>
      <c r="B243" s="5" t="s">
        <v>1320</v>
      </c>
      <c r="C243" s="13"/>
      <c r="D243" s="13"/>
      <c r="E243" s="13"/>
      <c r="F243" s="13"/>
      <c r="G243" s="13"/>
      <c r="H243" s="7"/>
      <c r="I243" s="7"/>
    </row>
    <row r="244" spans="1:9">
      <c r="A244" s="5" t="s">
        <v>1323</v>
      </c>
      <c r="B244" s="5" t="s">
        <v>1079</v>
      </c>
      <c r="C244" s="13"/>
      <c r="D244" s="13"/>
      <c r="E244" s="13"/>
      <c r="F244" s="13"/>
      <c r="G244" s="13"/>
      <c r="H244" s="7"/>
      <c r="I244" s="7"/>
    </row>
    <row r="245" spans="1:9">
      <c r="A245" s="5" t="s">
        <v>1324</v>
      </c>
      <c r="B245" s="23" t="s">
        <v>1091</v>
      </c>
      <c r="C245" s="13"/>
      <c r="D245" s="13"/>
      <c r="E245" s="13"/>
      <c r="F245" s="13"/>
      <c r="G245" s="13"/>
      <c r="H245" s="7"/>
      <c r="I245" s="7"/>
    </row>
    <row r="246" spans="1:9">
      <c r="A246" s="5" t="s">
        <v>1327</v>
      </c>
      <c r="B246" s="5" t="s">
        <v>726</v>
      </c>
      <c r="C246" s="13"/>
      <c r="D246" s="13"/>
      <c r="E246" s="13"/>
      <c r="F246" s="13"/>
      <c r="G246" s="13"/>
      <c r="H246" s="7"/>
      <c r="I246" s="7"/>
    </row>
    <row r="247" spans="1:9">
      <c r="A247" s="5" t="s">
        <v>1330</v>
      </c>
      <c r="B247" s="5" t="s">
        <v>1102</v>
      </c>
      <c r="C247" s="13"/>
      <c r="D247" s="13"/>
      <c r="E247" s="13"/>
      <c r="F247" s="13"/>
      <c r="G247" s="13"/>
      <c r="H247" s="7"/>
      <c r="I247" s="7"/>
    </row>
    <row r="248" spans="1:9">
      <c r="A248" s="5" t="s">
        <v>1331</v>
      </c>
      <c r="B248" s="5" t="s">
        <v>1332</v>
      </c>
      <c r="C248" s="13"/>
      <c r="D248" s="13"/>
      <c r="E248" s="13"/>
      <c r="F248" s="13"/>
      <c r="G248" s="13"/>
      <c r="H248" s="7"/>
      <c r="I248" s="7"/>
    </row>
    <row r="249" spans="1:9">
      <c r="A249" s="5" t="s">
        <v>1336</v>
      </c>
      <c r="B249" s="5" t="s">
        <v>1168</v>
      </c>
      <c r="C249" s="13"/>
      <c r="D249" s="13"/>
      <c r="E249" s="13"/>
      <c r="F249" s="13"/>
      <c r="G249" s="13"/>
      <c r="H249" s="7"/>
      <c r="I249" s="7"/>
    </row>
    <row r="250" spans="1:9">
      <c r="A250" s="5" t="s">
        <v>1339</v>
      </c>
      <c r="B250" s="23" t="s">
        <v>1340</v>
      </c>
      <c r="C250" s="13"/>
      <c r="D250" s="13"/>
      <c r="E250" s="13"/>
      <c r="F250" s="13"/>
      <c r="G250" s="13"/>
      <c r="H250" s="7"/>
      <c r="I250" s="7"/>
    </row>
    <row r="251" spans="1:9">
      <c r="A251" s="5" t="s">
        <v>1343</v>
      </c>
      <c r="B251" s="5" t="s">
        <v>1063</v>
      </c>
      <c r="C251" s="13"/>
      <c r="D251" s="13"/>
      <c r="E251" s="13"/>
      <c r="F251" s="13"/>
      <c r="G251" s="13"/>
      <c r="H251" s="7"/>
      <c r="I251" s="7"/>
    </row>
    <row r="252" spans="1:9">
      <c r="A252" s="5" t="s">
        <v>1346</v>
      </c>
      <c r="B252" s="5" t="s">
        <v>1347</v>
      </c>
      <c r="C252" s="13"/>
      <c r="D252" s="13"/>
      <c r="E252" s="13"/>
      <c r="F252" s="13"/>
      <c r="G252" s="13"/>
      <c r="H252" s="7"/>
      <c r="I252" s="7"/>
    </row>
    <row r="253" spans="1:9">
      <c r="A253" s="5" t="s">
        <v>1350</v>
      </c>
      <c r="B253" s="5" t="s">
        <v>601</v>
      </c>
      <c r="C253" s="13"/>
      <c r="D253" s="13"/>
      <c r="E253" s="13"/>
      <c r="F253" s="13"/>
      <c r="G253" s="13"/>
      <c r="H253" s="7"/>
      <c r="I253" s="7"/>
    </row>
    <row r="254" spans="1:9">
      <c r="A254" s="5" t="s">
        <v>1351</v>
      </c>
      <c r="B254" s="5" t="s">
        <v>1352</v>
      </c>
      <c r="C254" s="13"/>
      <c r="D254" s="13"/>
      <c r="E254" s="13"/>
      <c r="F254" s="13"/>
      <c r="G254" s="13"/>
      <c r="H254" s="7"/>
      <c r="I254" s="7"/>
    </row>
    <row r="255" spans="1:9">
      <c r="A255" s="5" t="s">
        <v>1355</v>
      </c>
      <c r="B255" s="5" t="s">
        <v>1356</v>
      </c>
      <c r="C255" s="13"/>
      <c r="D255" s="13"/>
      <c r="E255" s="13"/>
      <c r="F255" s="13"/>
      <c r="G255" s="13"/>
      <c r="H255" s="7"/>
      <c r="I255" s="7"/>
    </row>
    <row r="256" spans="1:9">
      <c r="A256" s="5" t="s">
        <v>1357</v>
      </c>
      <c r="B256" s="5" t="s">
        <v>1358</v>
      </c>
      <c r="C256" s="13"/>
      <c r="D256" s="13"/>
      <c r="E256" s="13"/>
      <c r="F256" s="13"/>
      <c r="G256" s="13"/>
      <c r="H256" s="7"/>
      <c r="I256" s="7"/>
    </row>
    <row r="257" spans="1:9">
      <c r="A257" s="5" t="s">
        <v>1361</v>
      </c>
      <c r="B257" s="23" t="s">
        <v>1097</v>
      </c>
      <c r="C257" s="13"/>
      <c r="D257" s="13"/>
      <c r="E257" s="13"/>
      <c r="F257" s="13"/>
      <c r="G257" s="13"/>
      <c r="H257" s="7"/>
      <c r="I257" s="7"/>
    </row>
    <row r="258" spans="1:9">
      <c r="A258" s="5" t="s">
        <v>1364</v>
      </c>
      <c r="B258" s="5" t="s">
        <v>1117</v>
      </c>
      <c r="C258" s="13"/>
      <c r="D258" s="13"/>
      <c r="E258" s="13"/>
      <c r="F258" s="13"/>
      <c r="G258" s="13"/>
      <c r="H258" s="7"/>
      <c r="I258" s="7"/>
    </row>
    <row r="259" spans="1:9">
      <c r="A259" s="5" t="s">
        <v>1367</v>
      </c>
      <c r="B259" s="5" t="s">
        <v>1368</v>
      </c>
      <c r="C259" s="13"/>
      <c r="D259" s="13"/>
      <c r="E259" s="13"/>
      <c r="F259" s="13"/>
      <c r="G259" s="13"/>
      <c r="H259" s="7"/>
      <c r="I259" s="7"/>
    </row>
    <row r="260" spans="1:9">
      <c r="A260" s="5" t="s">
        <v>1369</v>
      </c>
      <c r="B260" s="5" t="s">
        <v>1370</v>
      </c>
      <c r="C260" s="13"/>
      <c r="D260" s="13"/>
      <c r="E260" s="13"/>
      <c r="F260" s="13"/>
      <c r="G260" s="13"/>
      <c r="H260" s="7"/>
      <c r="I260" s="7"/>
    </row>
    <row r="261" spans="1:9">
      <c r="A261" s="5" t="s">
        <v>1373</v>
      </c>
      <c r="B261" s="5" t="s">
        <v>1180</v>
      </c>
      <c r="C261" s="13"/>
      <c r="D261" s="13"/>
      <c r="E261" s="13"/>
      <c r="F261" s="13"/>
      <c r="G261" s="13"/>
      <c r="H261" s="7"/>
      <c r="I261" s="7"/>
    </row>
    <row r="262" spans="1:9">
      <c r="A262" s="5" t="s">
        <v>1376</v>
      </c>
      <c r="B262" s="5" t="s">
        <v>1143</v>
      </c>
      <c r="C262" s="13"/>
      <c r="D262" s="13"/>
      <c r="E262" s="13"/>
      <c r="F262" s="13"/>
      <c r="G262" s="13"/>
      <c r="H262" s="7"/>
      <c r="I262" s="7"/>
    </row>
    <row r="263" spans="1:9">
      <c r="A263" s="5" t="s">
        <v>1379</v>
      </c>
      <c r="B263" s="5" t="s">
        <v>1380</v>
      </c>
      <c r="C263" s="13"/>
      <c r="D263" s="13"/>
      <c r="E263" s="13"/>
      <c r="F263" s="13"/>
      <c r="G263" s="13"/>
      <c r="H263" s="7"/>
      <c r="I263" s="7"/>
    </row>
    <row r="264" spans="1:9">
      <c r="A264" s="5" t="s">
        <v>1381</v>
      </c>
      <c r="B264" s="5" t="s">
        <v>1039</v>
      </c>
      <c r="C264" s="13"/>
      <c r="D264" s="13"/>
      <c r="E264" s="13"/>
      <c r="F264" s="13"/>
      <c r="G264" s="13"/>
      <c r="H264" s="7"/>
      <c r="I264" s="7"/>
    </row>
    <row r="265" spans="1:9">
      <c r="A265" s="5" t="s">
        <v>1382</v>
      </c>
      <c r="B265" s="5" t="s">
        <v>1213</v>
      </c>
      <c r="C265" s="13"/>
      <c r="D265" s="13"/>
      <c r="E265" s="13"/>
      <c r="F265" s="13"/>
      <c r="G265" s="13"/>
      <c r="H265" s="7"/>
      <c r="I265" s="7"/>
    </row>
    <row r="266" spans="1:9">
      <c r="A266" s="5" t="s">
        <v>1383</v>
      </c>
      <c r="B266" s="5" t="s">
        <v>1384</v>
      </c>
      <c r="C266" s="13"/>
      <c r="D266" s="13"/>
      <c r="E266" s="13"/>
      <c r="F266" s="13"/>
      <c r="G266" s="13"/>
      <c r="H266" s="7"/>
      <c r="I266" s="7"/>
    </row>
  </sheetData>
  <autoFilter ref="A1:I266" xr:uid="{00000000-0009-0000-0000-000013000000}"/>
  <mergeCells count="6">
    <mergeCell ref="K2:R2"/>
    <mergeCell ref="A2:I2"/>
    <mergeCell ref="A1:I1"/>
    <mergeCell ref="A106:I106"/>
    <mergeCell ref="A220:I220"/>
    <mergeCell ref="A179:I179"/>
  </mergeCells>
  <phoneticPr fontId="89" type="noConversion"/>
  <dataValidations count="1">
    <dataValidation type="list" allowBlank="1" showInputMessage="1" showErrorMessage="1" sqref="C4:G105 C222:G266 C181:G219 C108:G178" xr:uid="{00000000-0002-0000-1300-000000000000}">
      <formula1>"S,A+,A,B+,B,C+,C,D+,D,?,"</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m乱打-SC"/>
  <dimension ref="A1:AB89"/>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8" width="54.5703125" style="1" customWidth="1"/>
    <col min="9" max="9" width="41.5703125" style="1" customWidth="1"/>
    <col min="10" max="10" width="6" style="313" customWidth="1"/>
    <col min="11" max="28" width="12.5703125" style="1" customWidth="1"/>
  </cols>
  <sheetData>
    <row r="1" spans="1:28" ht="76.5" customHeight="1">
      <c r="A1" s="551" t="s">
        <v>5245</v>
      </c>
      <c r="B1" s="543"/>
      <c r="C1" s="543"/>
      <c r="D1" s="543"/>
      <c r="E1" s="543"/>
      <c r="F1" s="543"/>
      <c r="G1" s="543"/>
      <c r="H1" s="552"/>
      <c r="I1" s="543"/>
      <c r="J1" s="2"/>
      <c r="K1" s="14"/>
      <c r="L1" s="14"/>
      <c r="M1" s="14"/>
      <c r="N1" s="14"/>
      <c r="O1" s="14"/>
      <c r="P1" s="14"/>
      <c r="Q1" s="14"/>
      <c r="R1" s="14"/>
      <c r="S1" s="14"/>
      <c r="T1" s="14"/>
      <c r="U1" s="14"/>
      <c r="V1" s="14"/>
      <c r="W1" s="14"/>
      <c r="X1" s="14"/>
      <c r="Y1" s="14"/>
      <c r="Z1" s="14"/>
      <c r="AA1" s="14"/>
      <c r="AB1" s="14"/>
    </row>
    <row r="2" spans="1:28" ht="39" customHeight="1">
      <c r="A2" s="540" t="s">
        <v>1034</v>
      </c>
      <c r="B2" s="543"/>
      <c r="C2" s="543"/>
      <c r="D2" s="543"/>
      <c r="E2" s="543"/>
      <c r="F2" s="543"/>
      <c r="G2" s="543"/>
      <c r="H2" s="550"/>
      <c r="I2" s="543"/>
    </row>
    <row r="3" spans="1:28">
      <c r="A3" s="5" t="s">
        <v>4</v>
      </c>
      <c r="B3" s="6" t="s">
        <v>5</v>
      </c>
      <c r="C3" s="7" t="s">
        <v>6</v>
      </c>
      <c r="D3" s="7" t="s">
        <v>7</v>
      </c>
      <c r="E3" s="7" t="s">
        <v>8</v>
      </c>
      <c r="F3" s="7" t="s">
        <v>9</v>
      </c>
      <c r="G3" s="7" t="s">
        <v>10</v>
      </c>
      <c r="H3" s="7" t="s">
        <v>11</v>
      </c>
      <c r="I3" s="7" t="s">
        <v>12</v>
      </c>
    </row>
    <row r="4" spans="1:28">
      <c r="A4" s="5" t="s">
        <v>1040</v>
      </c>
      <c r="B4" s="5" t="s">
        <v>1041</v>
      </c>
      <c r="C4" s="13" t="s">
        <v>18</v>
      </c>
      <c r="D4" s="13" t="s">
        <v>1562</v>
      </c>
      <c r="E4" s="13" t="s">
        <v>18</v>
      </c>
      <c r="F4" s="13" t="s">
        <v>1562</v>
      </c>
      <c r="G4" s="13" t="s">
        <v>1562</v>
      </c>
      <c r="H4" s="7"/>
      <c r="I4" s="7" t="s">
        <v>1042</v>
      </c>
    </row>
    <row r="5" spans="1:28">
      <c r="A5" s="5" t="s">
        <v>1046</v>
      </c>
      <c r="B5" s="5" t="s">
        <v>1047</v>
      </c>
      <c r="C5" s="13" t="s">
        <v>18</v>
      </c>
      <c r="D5" s="13" t="s">
        <v>18</v>
      </c>
      <c r="E5" s="13" t="s">
        <v>1562</v>
      </c>
      <c r="F5" s="13" t="s">
        <v>1562</v>
      </c>
      <c r="G5" s="13" t="s">
        <v>1562</v>
      </c>
      <c r="H5" s="7" t="s">
        <v>3193</v>
      </c>
      <c r="I5" s="7"/>
    </row>
    <row r="6" spans="1:28">
      <c r="A6" s="5" t="s">
        <v>1053</v>
      </c>
      <c r="B6" s="5" t="s">
        <v>975</v>
      </c>
      <c r="C6" s="13" t="s">
        <v>17</v>
      </c>
      <c r="D6" s="13" t="s">
        <v>17</v>
      </c>
      <c r="E6" s="13" t="s">
        <v>17</v>
      </c>
      <c r="F6" s="13" t="s">
        <v>17</v>
      </c>
      <c r="G6" s="13" t="s">
        <v>17</v>
      </c>
      <c r="H6" s="7" t="s">
        <v>3194</v>
      </c>
      <c r="I6" s="7" t="s">
        <v>3195</v>
      </c>
      <c r="K6" t="s">
        <v>3196</v>
      </c>
      <c r="M6" t="s">
        <v>3197</v>
      </c>
    </row>
    <row r="7" spans="1:28">
      <c r="A7" s="5" t="s">
        <v>1059</v>
      </c>
      <c r="B7" s="5" t="s">
        <v>1060</v>
      </c>
      <c r="C7" s="13" t="s">
        <v>1562</v>
      </c>
      <c r="D7" s="13" t="s">
        <v>1574</v>
      </c>
      <c r="E7" s="13" t="s">
        <v>1574</v>
      </c>
      <c r="F7" s="13" t="s">
        <v>1562</v>
      </c>
      <c r="G7" s="13" t="s">
        <v>1574</v>
      </c>
      <c r="H7" s="7"/>
      <c r="I7" s="7"/>
    </row>
    <row r="8" spans="1:28">
      <c r="A8" s="5" t="s">
        <v>1064</v>
      </c>
      <c r="B8" s="34" t="s">
        <v>1017</v>
      </c>
      <c r="C8" s="13" t="s">
        <v>21</v>
      </c>
      <c r="D8" s="13" t="s">
        <v>21</v>
      </c>
      <c r="E8" s="13" t="s">
        <v>21</v>
      </c>
      <c r="F8" s="13" t="s">
        <v>1567</v>
      </c>
      <c r="G8" s="13" t="s">
        <v>21</v>
      </c>
      <c r="H8" s="7" t="s">
        <v>3198</v>
      </c>
      <c r="I8" s="7"/>
    </row>
    <row r="9" spans="1:28">
      <c r="A9" s="5" t="s">
        <v>1069</v>
      </c>
      <c r="B9" s="34" t="s">
        <v>1017</v>
      </c>
      <c r="C9" s="13" t="s">
        <v>1567</v>
      </c>
      <c r="D9" s="13" t="s">
        <v>1567</v>
      </c>
      <c r="E9" s="13" t="s">
        <v>1562</v>
      </c>
      <c r="F9" s="13" t="s">
        <v>18</v>
      </c>
      <c r="G9" s="13" t="s">
        <v>18</v>
      </c>
      <c r="H9" s="7"/>
      <c r="I9" s="7"/>
    </row>
    <row r="10" spans="1:28">
      <c r="A10" s="5" t="s">
        <v>1075</v>
      </c>
      <c r="B10" s="5" t="s">
        <v>1076</v>
      </c>
      <c r="C10" s="13" t="s">
        <v>1562</v>
      </c>
      <c r="D10" s="13" t="s">
        <v>1574</v>
      </c>
      <c r="E10" s="13" t="s">
        <v>1562</v>
      </c>
      <c r="F10" s="13" t="s">
        <v>1574</v>
      </c>
      <c r="G10" s="13" t="s">
        <v>1574</v>
      </c>
      <c r="H10" s="7"/>
      <c r="I10" s="7"/>
    </row>
    <row r="11" spans="1:28">
      <c r="A11" s="5" t="s">
        <v>1080</v>
      </c>
      <c r="B11" s="5" t="s">
        <v>923</v>
      </c>
      <c r="C11" s="13" t="s">
        <v>1567</v>
      </c>
      <c r="D11" s="13" t="s">
        <v>21</v>
      </c>
      <c r="E11" s="13" t="s">
        <v>1567</v>
      </c>
      <c r="F11" s="13" t="s">
        <v>21</v>
      </c>
      <c r="G11" s="13" t="s">
        <v>1567</v>
      </c>
      <c r="H11" s="7" t="s">
        <v>3199</v>
      </c>
      <c r="I11" s="7"/>
    </row>
    <row r="12" spans="1:28">
      <c r="A12" s="5" t="s">
        <v>1086</v>
      </c>
      <c r="B12" s="5" t="s">
        <v>918</v>
      </c>
      <c r="C12" s="13" t="s">
        <v>1567</v>
      </c>
      <c r="D12" s="13" t="s">
        <v>1567</v>
      </c>
      <c r="E12" s="13" t="s">
        <v>18</v>
      </c>
      <c r="F12" s="13" t="s">
        <v>1567</v>
      </c>
      <c r="G12" s="13" t="s">
        <v>1567</v>
      </c>
      <c r="H12" s="7"/>
      <c r="I12" s="7"/>
    </row>
    <row r="13" spans="1:28">
      <c r="A13" s="5" t="s">
        <v>1092</v>
      </c>
      <c r="B13" s="5" t="s">
        <v>151</v>
      </c>
      <c r="C13" s="13" t="s">
        <v>17</v>
      </c>
      <c r="D13" s="13" t="s">
        <v>28</v>
      </c>
      <c r="E13" s="13" t="s">
        <v>28</v>
      </c>
      <c r="F13" s="13" t="s">
        <v>28</v>
      </c>
      <c r="G13" s="13" t="s">
        <v>28</v>
      </c>
      <c r="H13" s="7" t="s">
        <v>3200</v>
      </c>
      <c r="I13" s="7" t="s">
        <v>3201</v>
      </c>
    </row>
    <row r="14" spans="1:28">
      <c r="A14" s="5" t="s">
        <v>1098</v>
      </c>
      <c r="B14" s="5" t="s">
        <v>1099</v>
      </c>
      <c r="C14" s="13" t="s">
        <v>18</v>
      </c>
      <c r="D14" s="13" t="s">
        <v>18</v>
      </c>
      <c r="E14" s="13" t="s">
        <v>1574</v>
      </c>
      <c r="F14" s="13" t="s">
        <v>22</v>
      </c>
      <c r="G14" s="13" t="s">
        <v>1562</v>
      </c>
      <c r="H14" s="7" t="s">
        <v>3202</v>
      </c>
      <c r="I14" s="7"/>
    </row>
    <row r="15" spans="1:28">
      <c r="A15" s="5" t="s">
        <v>1103</v>
      </c>
      <c r="B15" s="5" t="s">
        <v>1104</v>
      </c>
      <c r="C15" s="13" t="s">
        <v>1562</v>
      </c>
      <c r="D15" s="13" t="s">
        <v>1562</v>
      </c>
      <c r="E15" s="13" t="s">
        <v>1574</v>
      </c>
      <c r="F15" s="13" t="s">
        <v>1562</v>
      </c>
      <c r="G15" s="13" t="s">
        <v>1562</v>
      </c>
      <c r="H15" s="7" t="s">
        <v>3203</v>
      </c>
      <c r="I15" s="7"/>
    </row>
    <row r="16" spans="1:28">
      <c r="A16" s="5" t="s">
        <v>1108</v>
      </c>
      <c r="B16" s="5" t="s">
        <v>970</v>
      </c>
      <c r="C16" s="13" t="s">
        <v>21</v>
      </c>
      <c r="D16" s="13" t="s">
        <v>28</v>
      </c>
      <c r="E16" s="13" t="s">
        <v>21</v>
      </c>
      <c r="F16" s="13" t="s">
        <v>28</v>
      </c>
      <c r="G16" s="13" t="s">
        <v>28</v>
      </c>
      <c r="H16" s="7" t="s">
        <v>3204</v>
      </c>
      <c r="I16" s="7"/>
    </row>
    <row r="17" spans="1:14">
      <c r="A17" s="5" t="s">
        <v>1111</v>
      </c>
      <c r="B17" s="5" t="s">
        <v>1112</v>
      </c>
      <c r="C17" s="13" t="s">
        <v>21</v>
      </c>
      <c r="D17" s="13" t="s">
        <v>21</v>
      </c>
      <c r="E17" s="13" t="s">
        <v>1567</v>
      </c>
      <c r="F17" s="13" t="s">
        <v>21</v>
      </c>
      <c r="G17" s="13" t="s">
        <v>21</v>
      </c>
      <c r="H17" s="7"/>
      <c r="I17" s="7"/>
    </row>
    <row r="18" spans="1:14">
      <c r="A18" s="5" t="s">
        <v>1118</v>
      </c>
      <c r="B18" s="5" t="s">
        <v>1119</v>
      </c>
      <c r="C18" s="13" t="s">
        <v>1562</v>
      </c>
      <c r="D18" s="13" t="s">
        <v>1562</v>
      </c>
      <c r="E18" s="13" t="s">
        <v>1574</v>
      </c>
      <c r="F18" s="13" t="s">
        <v>1574</v>
      </c>
      <c r="G18" s="13" t="s">
        <v>1574</v>
      </c>
      <c r="H18" s="7" t="s">
        <v>3205</v>
      </c>
      <c r="I18" s="7"/>
    </row>
    <row r="19" spans="1:14">
      <c r="A19" s="5" t="s">
        <v>1123</v>
      </c>
      <c r="B19" s="5" t="s">
        <v>1124</v>
      </c>
      <c r="C19" s="13" t="s">
        <v>1567</v>
      </c>
      <c r="D19" s="13" t="s">
        <v>1567</v>
      </c>
      <c r="E19" s="13" t="s">
        <v>18</v>
      </c>
      <c r="F19" s="13" t="s">
        <v>22</v>
      </c>
      <c r="G19" s="13" t="s">
        <v>1567</v>
      </c>
      <c r="H19" s="7" t="s">
        <v>3206</v>
      </c>
      <c r="I19" s="7" t="s">
        <v>3207</v>
      </c>
    </row>
    <row r="20" spans="1:14">
      <c r="A20" s="5" t="s">
        <v>1130</v>
      </c>
      <c r="B20" s="5" t="s">
        <v>1131</v>
      </c>
      <c r="C20" s="13" t="s">
        <v>1567</v>
      </c>
      <c r="D20" s="13" t="s">
        <v>18</v>
      </c>
      <c r="E20" s="13" t="s">
        <v>1562</v>
      </c>
      <c r="F20" s="13" t="s">
        <v>18</v>
      </c>
      <c r="G20" s="13" t="s">
        <v>18</v>
      </c>
      <c r="H20" s="7" t="s">
        <v>3208</v>
      </c>
      <c r="I20" s="7"/>
    </row>
    <row r="21" spans="1:14" ht="38">
      <c r="A21" s="5" t="s">
        <v>1137</v>
      </c>
      <c r="B21" s="5" t="s">
        <v>1138</v>
      </c>
      <c r="C21" s="13" t="s">
        <v>18</v>
      </c>
      <c r="D21" s="13" t="s">
        <v>1562</v>
      </c>
      <c r="E21" s="13" t="s">
        <v>1562</v>
      </c>
      <c r="F21" s="13" t="s">
        <v>18</v>
      </c>
      <c r="G21" s="13" t="s">
        <v>1562</v>
      </c>
      <c r="H21" s="89" t="s">
        <v>3209</v>
      </c>
      <c r="I21" s="7" t="s">
        <v>3210</v>
      </c>
    </row>
    <row r="22" spans="1:14">
      <c r="A22" s="5" t="s">
        <v>1144</v>
      </c>
      <c r="B22" s="5" t="s">
        <v>1145</v>
      </c>
      <c r="C22" s="13" t="s">
        <v>18</v>
      </c>
      <c r="D22" s="13" t="s">
        <v>1567</v>
      </c>
      <c r="E22" s="13" t="s">
        <v>1562</v>
      </c>
      <c r="F22" s="13" t="s">
        <v>22</v>
      </c>
      <c r="G22" s="13" t="s">
        <v>18</v>
      </c>
      <c r="H22" s="7"/>
      <c r="I22" s="7"/>
    </row>
    <row r="23" spans="1:14" ht="38">
      <c r="A23" s="5" t="s">
        <v>1149</v>
      </c>
      <c r="B23" s="5" t="s">
        <v>918</v>
      </c>
      <c r="C23" s="13" t="s">
        <v>28</v>
      </c>
      <c r="D23" s="13" t="s">
        <v>21</v>
      </c>
      <c r="E23" s="13" t="s">
        <v>21</v>
      </c>
      <c r="F23" s="13" t="s">
        <v>21</v>
      </c>
      <c r="G23" s="13" t="s">
        <v>21</v>
      </c>
      <c r="H23" s="89" t="s">
        <v>3211</v>
      </c>
      <c r="I23" s="7"/>
      <c r="J23" s="312"/>
    </row>
    <row r="24" spans="1:14">
      <c r="A24" s="5" t="s">
        <v>1155</v>
      </c>
      <c r="B24" s="5" t="s">
        <v>942</v>
      </c>
      <c r="C24" s="13" t="s">
        <v>28</v>
      </c>
      <c r="D24" s="13" t="s">
        <v>17</v>
      </c>
      <c r="E24" s="13" t="s">
        <v>28</v>
      </c>
      <c r="F24" s="13" t="s">
        <v>17</v>
      </c>
      <c r="G24" s="13" t="s">
        <v>17</v>
      </c>
      <c r="H24" s="7" t="s">
        <v>3212</v>
      </c>
      <c r="I24" s="7" t="s">
        <v>3213</v>
      </c>
    </row>
    <row r="25" spans="1:14" ht="38">
      <c r="A25" s="5" t="s">
        <v>1159</v>
      </c>
      <c r="B25" s="5" t="s">
        <v>159</v>
      </c>
      <c r="C25" s="13" t="s">
        <v>21</v>
      </c>
      <c r="D25" s="13" t="s">
        <v>28</v>
      </c>
      <c r="E25" s="13" t="s">
        <v>21</v>
      </c>
      <c r="F25" s="13" t="s">
        <v>28</v>
      </c>
      <c r="G25" s="13" t="s">
        <v>21</v>
      </c>
      <c r="H25" s="89" t="s">
        <v>3214</v>
      </c>
      <c r="I25" s="7" t="s">
        <v>159</v>
      </c>
      <c r="J25" s="313" t="s">
        <v>3215</v>
      </c>
    </row>
    <row r="26" spans="1:14" ht="38">
      <c r="A26" s="5" t="s">
        <v>1165</v>
      </c>
      <c r="B26" s="5" t="s">
        <v>288</v>
      </c>
      <c r="C26" s="13" t="s">
        <v>18</v>
      </c>
      <c r="D26" s="13" t="s">
        <v>18</v>
      </c>
      <c r="E26" s="13" t="s">
        <v>18</v>
      </c>
      <c r="F26" s="13" t="s">
        <v>18</v>
      </c>
      <c r="G26" s="13" t="s">
        <v>18</v>
      </c>
      <c r="H26" s="89" t="s">
        <v>3216</v>
      </c>
      <c r="I26" s="7" t="s">
        <v>3217</v>
      </c>
    </row>
    <row r="27" spans="1:14" ht="95">
      <c r="A27" s="5" t="s">
        <v>1169</v>
      </c>
      <c r="B27" s="5" t="s">
        <v>933</v>
      </c>
      <c r="C27" s="13" t="s">
        <v>28</v>
      </c>
      <c r="D27" s="13" t="s">
        <v>28</v>
      </c>
      <c r="E27" s="13" t="s">
        <v>28</v>
      </c>
      <c r="F27" s="13" t="s">
        <v>1567</v>
      </c>
      <c r="G27" s="13" t="s">
        <v>28</v>
      </c>
      <c r="H27" s="89" t="s">
        <v>3218</v>
      </c>
      <c r="I27" s="89" t="s">
        <v>3219</v>
      </c>
    </row>
    <row r="28" spans="1:14" ht="38">
      <c r="A28" s="5" t="s">
        <v>1175</v>
      </c>
      <c r="B28" s="5" t="s">
        <v>875</v>
      </c>
      <c r="C28" s="13" t="s">
        <v>21</v>
      </c>
      <c r="D28" s="13" t="s">
        <v>21</v>
      </c>
      <c r="E28" s="13" t="s">
        <v>21</v>
      </c>
      <c r="F28" s="13" t="s">
        <v>21</v>
      </c>
      <c r="G28" s="13" t="s">
        <v>21</v>
      </c>
      <c r="H28" s="89" t="s">
        <v>3220</v>
      </c>
      <c r="I28" s="89" t="s">
        <v>3221</v>
      </c>
      <c r="J28" s="312" t="s">
        <v>3222</v>
      </c>
      <c r="L28" t="s">
        <v>3223</v>
      </c>
    </row>
    <row r="29" spans="1:14">
      <c r="A29" s="5" t="s">
        <v>1181</v>
      </c>
      <c r="B29" s="5" t="s">
        <v>1182</v>
      </c>
      <c r="C29" s="13" t="s">
        <v>18</v>
      </c>
      <c r="D29" s="13" t="s">
        <v>1562</v>
      </c>
      <c r="E29" s="13" t="s">
        <v>1562</v>
      </c>
      <c r="F29" s="13" t="s">
        <v>1562</v>
      </c>
      <c r="G29" s="13" t="s">
        <v>1562</v>
      </c>
      <c r="H29" s="7" t="s">
        <v>3224</v>
      </c>
      <c r="I29" s="7" t="s">
        <v>3225</v>
      </c>
    </row>
    <row r="30" spans="1:14">
      <c r="A30" s="5" t="s">
        <v>1188</v>
      </c>
      <c r="B30" s="5" t="s">
        <v>911</v>
      </c>
      <c r="C30" s="13" t="s">
        <v>21</v>
      </c>
      <c r="D30" s="13" t="s">
        <v>28</v>
      </c>
      <c r="E30" s="13" t="s">
        <v>21</v>
      </c>
      <c r="F30" s="13" t="s">
        <v>28</v>
      </c>
      <c r="G30" s="13" t="s">
        <v>28</v>
      </c>
      <c r="H30" s="7" t="s">
        <v>3226</v>
      </c>
      <c r="I30" s="7"/>
    </row>
    <row r="31" spans="1:14" ht="38">
      <c r="A31" s="5" t="s">
        <v>1192</v>
      </c>
      <c r="B31" s="5" t="s">
        <v>1193</v>
      </c>
      <c r="C31" s="13" t="s">
        <v>18</v>
      </c>
      <c r="D31" s="13" t="s">
        <v>1562</v>
      </c>
      <c r="E31" s="13" t="s">
        <v>1562</v>
      </c>
      <c r="F31" s="13" t="s">
        <v>1562</v>
      </c>
      <c r="G31" s="13" t="s">
        <v>1562</v>
      </c>
      <c r="H31" s="89" t="s">
        <v>3227</v>
      </c>
      <c r="I31" s="7" t="s">
        <v>3228</v>
      </c>
      <c r="L31" s="314" t="s">
        <v>3229</v>
      </c>
      <c r="N31" t="s">
        <v>3230</v>
      </c>
    </row>
    <row r="32" spans="1:14">
      <c r="A32" s="5" t="s">
        <v>1197</v>
      </c>
      <c r="B32" s="5" t="s">
        <v>1198</v>
      </c>
      <c r="C32" s="13" t="s">
        <v>18</v>
      </c>
      <c r="D32" s="13" t="s">
        <v>1562</v>
      </c>
      <c r="E32" s="13" t="s">
        <v>18</v>
      </c>
      <c r="F32" s="13" t="s">
        <v>1562</v>
      </c>
      <c r="G32" s="13" t="s">
        <v>1562</v>
      </c>
      <c r="H32" s="7" t="s">
        <v>3231</v>
      </c>
      <c r="I32" s="7" t="s">
        <v>3232</v>
      </c>
      <c r="K32" s="314" t="s">
        <v>3233</v>
      </c>
      <c r="L32" t="s">
        <v>3234</v>
      </c>
      <c r="M32" t="s">
        <v>3235</v>
      </c>
    </row>
    <row r="33" spans="1:15">
      <c r="A33" s="5" t="s">
        <v>1202</v>
      </c>
      <c r="B33" s="5" t="s">
        <v>869</v>
      </c>
      <c r="C33" s="13" t="s">
        <v>1567</v>
      </c>
      <c r="D33" s="13" t="s">
        <v>1567</v>
      </c>
      <c r="E33" s="13" t="s">
        <v>1567</v>
      </c>
      <c r="F33" s="13" t="s">
        <v>1567</v>
      </c>
      <c r="G33" s="13" t="s">
        <v>1567</v>
      </c>
      <c r="H33" s="7" t="s">
        <v>3236</v>
      </c>
      <c r="I33" s="7"/>
      <c r="L33" s="314" t="s">
        <v>3237</v>
      </c>
    </row>
    <row r="34" spans="1:15" ht="19">
      <c r="A34" s="5" t="s">
        <v>1208</v>
      </c>
      <c r="B34" s="5" t="s">
        <v>1012</v>
      </c>
      <c r="C34" s="13" t="s">
        <v>28</v>
      </c>
      <c r="D34" s="13" t="s">
        <v>28</v>
      </c>
      <c r="E34" s="13" t="s">
        <v>28</v>
      </c>
      <c r="F34" s="13" t="s">
        <v>28</v>
      </c>
      <c r="G34" s="13" t="s">
        <v>28</v>
      </c>
      <c r="H34" s="89" t="s">
        <v>3238</v>
      </c>
      <c r="I34" s="7" t="s">
        <v>3239</v>
      </c>
      <c r="K34" t="s">
        <v>3240</v>
      </c>
      <c r="M34" s="314" t="s">
        <v>3196</v>
      </c>
    </row>
    <row r="35" spans="1:15">
      <c r="A35" s="5" t="s">
        <v>1214</v>
      </c>
      <c r="B35" s="5" t="s">
        <v>108</v>
      </c>
      <c r="C35" s="13" t="s">
        <v>22</v>
      </c>
      <c r="D35" s="13" t="s">
        <v>22</v>
      </c>
      <c r="E35" s="13" t="s">
        <v>22</v>
      </c>
      <c r="F35" s="13" t="s">
        <v>22</v>
      </c>
      <c r="G35" s="13" t="s">
        <v>22</v>
      </c>
      <c r="H35" s="7" t="s">
        <v>3241</v>
      </c>
      <c r="I35" s="7" t="s">
        <v>3242</v>
      </c>
      <c r="J35" s="313" t="s">
        <v>3243</v>
      </c>
      <c r="M35" s="315" t="s">
        <v>3196</v>
      </c>
    </row>
    <row r="36" spans="1:15">
      <c r="A36" s="5" t="s">
        <v>1217</v>
      </c>
      <c r="B36" s="5" t="s">
        <v>1218</v>
      </c>
      <c r="C36" s="13" t="s">
        <v>18</v>
      </c>
      <c r="D36" s="13" t="s">
        <v>1567</v>
      </c>
      <c r="E36" s="13" t="s">
        <v>18</v>
      </c>
      <c r="F36" s="13" t="s">
        <v>1567</v>
      </c>
      <c r="G36" s="13" t="s">
        <v>18</v>
      </c>
      <c r="H36" s="7" t="s">
        <v>3193</v>
      </c>
      <c r="I36" s="7"/>
      <c r="M36" t="s">
        <v>3244</v>
      </c>
    </row>
    <row r="37" spans="1:15">
      <c r="A37" s="5" t="s">
        <v>1223</v>
      </c>
      <c r="B37" s="5" t="s">
        <v>1224</v>
      </c>
      <c r="C37" s="13" t="s">
        <v>1562</v>
      </c>
      <c r="D37" s="13" t="s">
        <v>1562</v>
      </c>
      <c r="E37" s="13" t="s">
        <v>1562</v>
      </c>
      <c r="F37" s="13" t="s">
        <v>1562</v>
      </c>
      <c r="G37" s="13" t="s">
        <v>1562</v>
      </c>
      <c r="H37" s="7"/>
      <c r="I37" s="7"/>
    </row>
    <row r="38" spans="1:15">
      <c r="A38" s="5" t="s">
        <v>1230</v>
      </c>
      <c r="B38" s="5" t="s">
        <v>1231</v>
      </c>
      <c r="C38" s="13" t="s">
        <v>1567</v>
      </c>
      <c r="D38" s="13" t="s">
        <v>1567</v>
      </c>
      <c r="E38" s="13" t="s">
        <v>1567</v>
      </c>
      <c r="F38" s="13" t="s">
        <v>21</v>
      </c>
      <c r="G38" s="13" t="s">
        <v>1567</v>
      </c>
      <c r="H38" s="7" t="s">
        <v>3245</v>
      </c>
      <c r="I38" s="7" t="s">
        <v>3246</v>
      </c>
      <c r="L38" t="s">
        <v>3247</v>
      </c>
      <c r="N38" t="s">
        <v>3248</v>
      </c>
      <c r="O38" t="s">
        <v>3248</v>
      </c>
    </row>
    <row r="39" spans="1:15">
      <c r="A39" s="5" t="s">
        <v>1237</v>
      </c>
      <c r="B39" s="5" t="s">
        <v>1238</v>
      </c>
      <c r="C39" s="13" t="s">
        <v>1567</v>
      </c>
      <c r="D39" s="13" t="s">
        <v>1567</v>
      </c>
      <c r="E39" s="13" t="s">
        <v>18</v>
      </c>
      <c r="F39" s="13" t="s">
        <v>1567</v>
      </c>
      <c r="G39" s="13" t="s">
        <v>1567</v>
      </c>
      <c r="H39" s="7"/>
      <c r="I39" s="7"/>
      <c r="N39" t="s">
        <v>3248</v>
      </c>
      <c r="O39" t="s">
        <v>3248</v>
      </c>
    </row>
    <row r="40" spans="1:15">
      <c r="A40" s="5" t="s">
        <v>1241</v>
      </c>
      <c r="B40" s="5" t="s">
        <v>1242</v>
      </c>
      <c r="C40" s="13" t="s">
        <v>1567</v>
      </c>
      <c r="D40" s="13" t="s">
        <v>1567</v>
      </c>
      <c r="E40" s="13" t="s">
        <v>18</v>
      </c>
      <c r="F40" s="13" t="s">
        <v>1567</v>
      </c>
      <c r="G40" s="13" t="s">
        <v>1567</v>
      </c>
      <c r="H40" s="7" t="s">
        <v>3249</v>
      </c>
      <c r="I40" s="7"/>
    </row>
    <row r="41" spans="1:15">
      <c r="A41" s="5" t="s">
        <v>1245</v>
      </c>
      <c r="B41" s="5" t="s">
        <v>1246</v>
      </c>
      <c r="C41" s="13" t="s">
        <v>1567</v>
      </c>
      <c r="D41" s="13" t="s">
        <v>1567</v>
      </c>
      <c r="E41" s="13" t="s">
        <v>18</v>
      </c>
      <c r="F41" s="13" t="s">
        <v>1567</v>
      </c>
      <c r="G41" s="13" t="s">
        <v>1567</v>
      </c>
      <c r="H41" s="7" t="s">
        <v>3250</v>
      </c>
      <c r="I41" s="7" t="s">
        <v>3251</v>
      </c>
      <c r="J41" s="313" t="s">
        <v>3252</v>
      </c>
    </row>
    <row r="42" spans="1:15">
      <c r="A42" s="5" t="s">
        <v>1249</v>
      </c>
      <c r="B42" s="5" t="s">
        <v>1250</v>
      </c>
      <c r="C42" s="13" t="s">
        <v>18</v>
      </c>
      <c r="D42" s="13" t="s">
        <v>1567</v>
      </c>
      <c r="E42" s="13" t="s">
        <v>1574</v>
      </c>
      <c r="F42" s="13" t="s">
        <v>18</v>
      </c>
      <c r="G42" s="13" t="s">
        <v>1562</v>
      </c>
      <c r="H42" s="7" t="s">
        <v>3253</v>
      </c>
      <c r="I42" s="5" t="s">
        <v>3254</v>
      </c>
    </row>
    <row r="43" spans="1:15" ht="37.5" customHeight="1">
      <c r="A43" s="536" t="s">
        <v>1253</v>
      </c>
      <c r="B43" s="543"/>
      <c r="C43" s="543"/>
      <c r="D43" s="543"/>
      <c r="E43" s="543"/>
      <c r="F43" s="543"/>
      <c r="G43" s="543"/>
      <c r="H43" s="550"/>
      <c r="I43" s="543"/>
      <c r="K43" t="s">
        <v>3255</v>
      </c>
    </row>
    <row r="44" spans="1:15">
      <c r="A44" s="5" t="s">
        <v>4</v>
      </c>
      <c r="B44" s="6" t="s">
        <v>5</v>
      </c>
      <c r="C44" s="7" t="s">
        <v>6</v>
      </c>
      <c r="D44" s="7" t="s">
        <v>7</v>
      </c>
      <c r="E44" s="7" t="s">
        <v>8</v>
      </c>
      <c r="F44" s="7" t="s">
        <v>9</v>
      </c>
      <c r="G44" s="7" t="s">
        <v>10</v>
      </c>
      <c r="H44" s="7" t="s">
        <v>11</v>
      </c>
      <c r="I44" s="7" t="s">
        <v>12</v>
      </c>
    </row>
    <row r="45" spans="1:15">
      <c r="A45" s="5" t="s">
        <v>1259</v>
      </c>
      <c r="B45" s="5" t="s">
        <v>1201</v>
      </c>
      <c r="C45" s="13"/>
      <c r="D45" s="13"/>
      <c r="E45" s="13"/>
      <c r="F45" s="13"/>
      <c r="G45" s="13"/>
      <c r="H45" s="7"/>
      <c r="I45" s="7"/>
    </row>
    <row r="46" spans="1:15">
      <c r="A46" s="5" t="s">
        <v>1262</v>
      </c>
      <c r="B46" s="5" t="s">
        <v>1263</v>
      </c>
      <c r="C46" s="13"/>
      <c r="D46" s="13"/>
      <c r="E46" s="13"/>
      <c r="F46" s="13"/>
      <c r="G46" s="13"/>
      <c r="H46" s="7"/>
      <c r="I46" s="7"/>
    </row>
    <row r="47" spans="1:15">
      <c r="A47" s="5" t="s">
        <v>1266</v>
      </c>
      <c r="B47" s="23" t="s">
        <v>1267</v>
      </c>
      <c r="C47" s="13"/>
      <c r="D47" s="13"/>
      <c r="E47" s="13"/>
      <c r="F47" s="13"/>
      <c r="G47" s="13"/>
      <c r="H47" s="7"/>
      <c r="I47" s="7"/>
    </row>
    <row r="48" spans="1:15">
      <c r="A48" s="5" t="s">
        <v>1268</v>
      </c>
      <c r="B48" s="5" t="s">
        <v>1269</v>
      </c>
      <c r="C48" s="13"/>
      <c r="D48" s="13"/>
      <c r="E48" s="13"/>
      <c r="F48" s="13"/>
      <c r="G48" s="13"/>
      <c r="H48" s="7"/>
      <c r="I48" s="7"/>
    </row>
    <row r="49" spans="1:9">
      <c r="A49" s="5" t="s">
        <v>1271</v>
      </c>
      <c r="B49" s="5" t="s">
        <v>1272</v>
      </c>
      <c r="C49" s="13"/>
      <c r="D49" s="13"/>
      <c r="E49" s="13"/>
      <c r="F49" s="13"/>
      <c r="G49" s="13"/>
      <c r="H49" s="7"/>
      <c r="I49" s="7"/>
    </row>
    <row r="50" spans="1:9">
      <c r="A50" s="5" t="s">
        <v>1273</v>
      </c>
      <c r="B50" s="23" t="s">
        <v>1274</v>
      </c>
      <c r="C50" s="13"/>
      <c r="D50" s="13"/>
      <c r="E50" s="13"/>
      <c r="F50" s="13"/>
      <c r="G50" s="13"/>
      <c r="H50" s="7"/>
      <c r="I50" s="7"/>
    </row>
    <row r="51" spans="1:9">
      <c r="A51" s="5" t="s">
        <v>1275</v>
      </c>
      <c r="B51" s="5" t="s">
        <v>939</v>
      </c>
      <c r="C51" s="13"/>
      <c r="D51" s="13"/>
      <c r="E51" s="13"/>
      <c r="F51" s="13"/>
      <c r="G51" s="13"/>
      <c r="H51" s="7"/>
      <c r="I51" s="7"/>
    </row>
    <row r="52" spans="1:9">
      <c r="A52" s="5" t="s">
        <v>1278</v>
      </c>
      <c r="B52" s="5" t="s">
        <v>1279</v>
      </c>
      <c r="C52" s="13"/>
      <c r="D52" s="13"/>
      <c r="E52" s="13"/>
      <c r="F52" s="13"/>
      <c r="G52" s="13"/>
      <c r="H52" s="7"/>
      <c r="I52" s="7"/>
    </row>
    <row r="53" spans="1:9">
      <c r="A53" s="5" t="s">
        <v>1282</v>
      </c>
      <c r="B53" s="5" t="s">
        <v>1283</v>
      </c>
      <c r="C53" s="13"/>
      <c r="D53" s="13"/>
      <c r="E53" s="13"/>
      <c r="F53" s="13"/>
      <c r="G53" s="13"/>
      <c r="H53" s="7"/>
      <c r="I53" s="7"/>
    </row>
    <row r="54" spans="1:9">
      <c r="A54" s="5" t="s">
        <v>1284</v>
      </c>
      <c r="B54" s="5" t="s">
        <v>1285</v>
      </c>
      <c r="C54" s="13"/>
      <c r="D54" s="13"/>
      <c r="E54" s="13"/>
      <c r="F54" s="13"/>
      <c r="G54" s="13"/>
      <c r="H54" s="7"/>
      <c r="I54" s="7"/>
    </row>
    <row r="55" spans="1:9">
      <c r="A55" s="5" t="s">
        <v>1288</v>
      </c>
      <c r="B55" s="23" t="s">
        <v>1129</v>
      </c>
      <c r="C55" s="13"/>
      <c r="D55" s="13"/>
      <c r="E55" s="13"/>
      <c r="F55" s="13"/>
      <c r="G55" s="13"/>
      <c r="H55" s="7"/>
      <c r="I55" s="7"/>
    </row>
    <row r="56" spans="1:9">
      <c r="A56" s="5" t="s">
        <v>1290</v>
      </c>
      <c r="B56" s="23" t="s">
        <v>1158</v>
      </c>
      <c r="C56" s="13"/>
      <c r="D56" s="13"/>
      <c r="E56" s="13"/>
      <c r="F56" s="13"/>
      <c r="G56" s="13"/>
      <c r="H56" s="7"/>
      <c r="I56" s="7"/>
    </row>
    <row r="57" spans="1:9">
      <c r="A57" s="5" t="s">
        <v>1292</v>
      </c>
      <c r="B57" s="23" t="s">
        <v>1293</v>
      </c>
      <c r="C57" s="13"/>
      <c r="D57" s="13"/>
      <c r="E57" s="13"/>
      <c r="F57" s="13"/>
      <c r="G57" s="13"/>
      <c r="H57" s="7"/>
      <c r="I57" s="7"/>
    </row>
    <row r="58" spans="1:9">
      <c r="A58" s="5" t="s">
        <v>1294</v>
      </c>
      <c r="B58" s="23" t="s">
        <v>1295</v>
      </c>
      <c r="C58" s="13"/>
      <c r="D58" s="13"/>
      <c r="E58" s="13"/>
      <c r="F58" s="13"/>
      <c r="G58" s="13"/>
      <c r="H58" s="7"/>
      <c r="I58" s="7"/>
    </row>
    <row r="59" spans="1:9">
      <c r="A59" s="5" t="s">
        <v>1297</v>
      </c>
      <c r="B59" s="5" t="s">
        <v>1298</v>
      </c>
      <c r="C59" s="13"/>
      <c r="D59" s="13"/>
      <c r="E59" s="13"/>
      <c r="F59" s="13"/>
      <c r="G59" s="13"/>
      <c r="H59" s="7"/>
      <c r="I59" s="7"/>
    </row>
    <row r="60" spans="1:9">
      <c r="A60" s="5" t="s">
        <v>1301</v>
      </c>
      <c r="B60" s="5" t="s">
        <v>1302</v>
      </c>
      <c r="C60" s="13"/>
      <c r="D60" s="13"/>
      <c r="E60" s="13"/>
      <c r="F60" s="13"/>
      <c r="G60" s="13"/>
      <c r="H60" s="7"/>
      <c r="I60" s="7"/>
    </row>
    <row r="61" spans="1:9">
      <c r="A61" s="5" t="s">
        <v>1305</v>
      </c>
      <c r="B61" s="5" t="s">
        <v>1306</v>
      </c>
      <c r="C61" s="13"/>
      <c r="D61" s="13"/>
      <c r="E61" s="13"/>
      <c r="F61" s="13"/>
      <c r="G61" s="13"/>
      <c r="H61" s="7"/>
      <c r="I61" s="7"/>
    </row>
    <row r="62" spans="1:9">
      <c r="A62" s="5" t="s">
        <v>1307</v>
      </c>
      <c r="B62" s="5" t="s">
        <v>1308</v>
      </c>
      <c r="C62" s="13"/>
      <c r="D62" s="13"/>
      <c r="E62" s="13"/>
      <c r="F62" s="13"/>
      <c r="G62" s="13"/>
      <c r="H62" s="7"/>
      <c r="I62" s="7"/>
    </row>
    <row r="63" spans="1:9">
      <c r="A63" s="5" t="s">
        <v>1310</v>
      </c>
      <c r="B63" s="5" t="s">
        <v>1085</v>
      </c>
      <c r="C63" s="13"/>
      <c r="D63" s="13"/>
      <c r="E63" s="13"/>
      <c r="F63" s="13"/>
      <c r="G63" s="13"/>
      <c r="H63" s="7"/>
      <c r="I63" s="7"/>
    </row>
    <row r="64" spans="1:9">
      <c r="A64" s="5" t="s">
        <v>1313</v>
      </c>
      <c r="B64" s="5" t="s">
        <v>1314</v>
      </c>
      <c r="C64" s="13"/>
      <c r="D64" s="13"/>
      <c r="E64" s="13"/>
      <c r="F64" s="13"/>
      <c r="G64" s="13"/>
      <c r="H64" s="7"/>
      <c r="I64" s="7"/>
    </row>
    <row r="65" spans="1:9">
      <c r="A65" s="5" t="s">
        <v>1315</v>
      </c>
      <c r="B65" s="5" t="s">
        <v>1316</v>
      </c>
      <c r="C65" s="13"/>
      <c r="D65" s="13"/>
      <c r="E65" s="13"/>
      <c r="F65" s="13"/>
      <c r="G65" s="13"/>
      <c r="H65" s="7"/>
      <c r="I65" s="7"/>
    </row>
    <row r="66" spans="1:9">
      <c r="A66" s="5" t="s">
        <v>1319</v>
      </c>
      <c r="B66" s="5" t="s">
        <v>1320</v>
      </c>
      <c r="C66" s="13"/>
      <c r="D66" s="13"/>
      <c r="E66" s="13"/>
      <c r="F66" s="13"/>
      <c r="G66" s="13"/>
      <c r="H66" s="7"/>
      <c r="I66" s="7"/>
    </row>
    <row r="67" spans="1:9">
      <c r="A67" s="5" t="s">
        <v>1323</v>
      </c>
      <c r="B67" s="5" t="s">
        <v>1079</v>
      </c>
      <c r="C67" s="13"/>
      <c r="D67" s="13"/>
      <c r="E67" s="13"/>
      <c r="F67" s="13"/>
      <c r="G67" s="13"/>
      <c r="H67" s="7"/>
      <c r="I67" s="7"/>
    </row>
    <row r="68" spans="1:9">
      <c r="A68" s="5" t="s">
        <v>1324</v>
      </c>
      <c r="B68" s="23" t="s">
        <v>1091</v>
      </c>
      <c r="C68" s="13"/>
      <c r="D68" s="13"/>
      <c r="E68" s="13"/>
      <c r="F68" s="13"/>
      <c r="G68" s="13"/>
      <c r="H68" s="7"/>
      <c r="I68" s="7"/>
    </row>
    <row r="69" spans="1:9">
      <c r="A69" s="5" t="s">
        <v>1327</v>
      </c>
      <c r="B69" s="5" t="s">
        <v>726</v>
      </c>
      <c r="C69" s="13"/>
      <c r="D69" s="13"/>
      <c r="E69" s="13"/>
      <c r="F69" s="13"/>
      <c r="G69" s="13"/>
      <c r="H69" s="7"/>
      <c r="I69" s="7"/>
    </row>
    <row r="70" spans="1:9">
      <c r="A70" s="5" t="s">
        <v>1330</v>
      </c>
      <c r="B70" s="5" t="s">
        <v>1102</v>
      </c>
      <c r="C70" s="13"/>
      <c r="D70" s="13"/>
      <c r="E70" s="13"/>
      <c r="F70" s="13"/>
      <c r="G70" s="13"/>
      <c r="H70" s="7"/>
      <c r="I70" s="7"/>
    </row>
    <row r="71" spans="1:9">
      <c r="A71" s="5" t="s">
        <v>1331</v>
      </c>
      <c r="B71" s="5" t="s">
        <v>1332</v>
      </c>
      <c r="C71" s="13"/>
      <c r="D71" s="13"/>
      <c r="E71" s="13"/>
      <c r="F71" s="13"/>
      <c r="G71" s="13"/>
      <c r="H71" s="7"/>
      <c r="I71" s="7"/>
    </row>
    <row r="72" spans="1:9">
      <c r="A72" s="5" t="s">
        <v>1336</v>
      </c>
      <c r="B72" s="5" t="s">
        <v>1168</v>
      </c>
      <c r="C72" s="13"/>
      <c r="D72" s="13"/>
      <c r="E72" s="13"/>
      <c r="F72" s="13"/>
      <c r="G72" s="13"/>
      <c r="H72" s="7"/>
      <c r="I72" s="7"/>
    </row>
    <row r="73" spans="1:9">
      <c r="A73" s="5" t="s">
        <v>1339</v>
      </c>
      <c r="B73" s="23" t="s">
        <v>1340</v>
      </c>
      <c r="C73" s="13"/>
      <c r="D73" s="13"/>
      <c r="E73" s="13"/>
      <c r="F73" s="13"/>
      <c r="G73" s="13"/>
      <c r="H73" s="7"/>
      <c r="I73" s="7"/>
    </row>
    <row r="74" spans="1:9">
      <c r="A74" s="5" t="s">
        <v>1343</v>
      </c>
      <c r="B74" s="5" t="s">
        <v>1063</v>
      </c>
      <c r="C74" s="13"/>
      <c r="D74" s="13"/>
      <c r="E74" s="13"/>
      <c r="F74" s="13"/>
      <c r="G74" s="13"/>
      <c r="H74" s="7"/>
      <c r="I74" s="7"/>
    </row>
    <row r="75" spans="1:9">
      <c r="A75" s="5" t="s">
        <v>1346</v>
      </c>
      <c r="B75" s="5" t="s">
        <v>1347</v>
      </c>
      <c r="C75" s="13"/>
      <c r="D75" s="13"/>
      <c r="E75" s="13"/>
      <c r="F75" s="13"/>
      <c r="G75" s="13"/>
      <c r="H75" s="7"/>
      <c r="I75" s="7"/>
    </row>
    <row r="76" spans="1:9">
      <c r="A76" s="5" t="s">
        <v>1350</v>
      </c>
      <c r="B76" s="5" t="s">
        <v>601</v>
      </c>
      <c r="C76" s="13"/>
      <c r="D76" s="13"/>
      <c r="E76" s="13"/>
      <c r="F76" s="13"/>
      <c r="G76" s="13"/>
      <c r="H76" s="7"/>
      <c r="I76" s="7"/>
    </row>
    <row r="77" spans="1:9">
      <c r="A77" s="5" t="s">
        <v>1351</v>
      </c>
      <c r="B77" s="5" t="s">
        <v>1352</v>
      </c>
      <c r="C77" s="13"/>
      <c r="D77" s="13"/>
      <c r="E77" s="13"/>
      <c r="F77" s="13"/>
      <c r="G77" s="13"/>
      <c r="H77" s="7"/>
      <c r="I77" s="7"/>
    </row>
    <row r="78" spans="1:9">
      <c r="A78" s="5" t="s">
        <v>1355</v>
      </c>
      <c r="B78" s="5" t="s">
        <v>1356</v>
      </c>
      <c r="C78" s="13"/>
      <c r="D78" s="13"/>
      <c r="E78" s="13"/>
      <c r="F78" s="13"/>
      <c r="G78" s="13"/>
      <c r="H78" s="7"/>
      <c r="I78" s="7"/>
    </row>
    <row r="79" spans="1:9">
      <c r="A79" s="5" t="s">
        <v>1357</v>
      </c>
      <c r="B79" s="5" t="s">
        <v>1358</v>
      </c>
      <c r="C79" s="13"/>
      <c r="D79" s="13"/>
      <c r="E79" s="13"/>
      <c r="F79" s="13"/>
      <c r="G79" s="13"/>
      <c r="H79" s="7"/>
      <c r="I79" s="7"/>
    </row>
    <row r="80" spans="1:9">
      <c r="A80" s="5" t="s">
        <v>1361</v>
      </c>
      <c r="B80" s="23" t="s">
        <v>1097</v>
      </c>
      <c r="C80" s="13"/>
      <c r="D80" s="13"/>
      <c r="E80" s="13"/>
      <c r="F80" s="13"/>
      <c r="G80" s="13"/>
      <c r="H80" s="7"/>
      <c r="I80" s="7"/>
    </row>
    <row r="81" spans="1:9">
      <c r="A81" s="5" t="s">
        <v>1364</v>
      </c>
      <c r="B81" s="5" t="s">
        <v>1117</v>
      </c>
      <c r="C81" s="13"/>
      <c r="D81" s="13"/>
      <c r="E81" s="13"/>
      <c r="F81" s="13"/>
      <c r="G81" s="13"/>
      <c r="H81" s="7"/>
      <c r="I81" s="7"/>
    </row>
    <row r="82" spans="1:9">
      <c r="A82" s="5" t="s">
        <v>1367</v>
      </c>
      <c r="B82" s="5" t="s">
        <v>1368</v>
      </c>
      <c r="C82" s="13"/>
      <c r="D82" s="13"/>
      <c r="E82" s="13"/>
      <c r="F82" s="13"/>
      <c r="G82" s="13"/>
      <c r="H82" s="7"/>
      <c r="I82" s="7"/>
    </row>
    <row r="83" spans="1:9">
      <c r="A83" s="5" t="s">
        <v>1369</v>
      </c>
      <c r="B83" s="5" t="s">
        <v>1370</v>
      </c>
      <c r="C83" s="13"/>
      <c r="D83" s="13"/>
      <c r="E83" s="13"/>
      <c r="F83" s="13"/>
      <c r="G83" s="13"/>
      <c r="H83" s="7"/>
      <c r="I83" s="7"/>
    </row>
    <row r="84" spans="1:9">
      <c r="A84" s="5" t="s">
        <v>1373</v>
      </c>
      <c r="B84" s="5" t="s">
        <v>1180</v>
      </c>
      <c r="C84" s="13"/>
      <c r="D84" s="13"/>
      <c r="E84" s="13"/>
      <c r="F84" s="13"/>
      <c r="G84" s="13"/>
      <c r="H84" s="7"/>
      <c r="I84" s="7"/>
    </row>
    <row r="85" spans="1:9">
      <c r="A85" s="5" t="s">
        <v>1376</v>
      </c>
      <c r="B85" s="5" t="s">
        <v>1143</v>
      </c>
      <c r="C85" s="13"/>
      <c r="D85" s="13"/>
      <c r="E85" s="13"/>
      <c r="F85" s="13"/>
      <c r="G85" s="13"/>
      <c r="H85" s="7"/>
      <c r="I85" s="7"/>
    </row>
    <row r="86" spans="1:9">
      <c r="A86" s="5" t="s">
        <v>1379</v>
      </c>
      <c r="B86" s="5" t="s">
        <v>1380</v>
      </c>
      <c r="C86" s="13"/>
      <c r="D86" s="13"/>
      <c r="E86" s="13"/>
      <c r="F86" s="13"/>
      <c r="G86" s="13"/>
      <c r="H86" s="7"/>
      <c r="I86" s="7"/>
    </row>
    <row r="87" spans="1:9">
      <c r="A87" s="5" t="s">
        <v>1381</v>
      </c>
      <c r="B87" s="5" t="s">
        <v>1039</v>
      </c>
      <c r="C87" s="13"/>
      <c r="D87" s="13"/>
      <c r="E87" s="13"/>
      <c r="F87" s="13"/>
      <c r="G87" s="13"/>
      <c r="H87" s="7"/>
      <c r="I87" s="7"/>
    </row>
    <row r="88" spans="1:9">
      <c r="A88" s="5" t="s">
        <v>1382</v>
      </c>
      <c r="B88" s="5" t="s">
        <v>1213</v>
      </c>
      <c r="C88" s="13"/>
      <c r="D88" s="13"/>
      <c r="E88" s="13"/>
      <c r="F88" s="13"/>
      <c r="G88" s="13"/>
      <c r="H88" s="7"/>
      <c r="I88" s="7"/>
    </row>
    <row r="89" spans="1:9">
      <c r="A89" s="5" t="s">
        <v>1383</v>
      </c>
      <c r="B89" s="5" t="s">
        <v>1384</v>
      </c>
      <c r="C89" s="13"/>
      <c r="D89" s="13"/>
      <c r="E89" s="13"/>
      <c r="F89" s="13"/>
      <c r="G89" s="13"/>
      <c r="H89" s="7"/>
      <c r="I89" s="7"/>
    </row>
  </sheetData>
  <autoFilter ref="A1:I89" xr:uid="{00000000-0009-0000-0000-000014000000}"/>
  <mergeCells count="3">
    <mergeCell ref="A1:I1"/>
    <mergeCell ref="A43:I43"/>
    <mergeCell ref="A2:I2"/>
  </mergeCells>
  <phoneticPr fontId="89" type="noConversion"/>
  <dataValidations count="1">
    <dataValidation type="list" allowBlank="1" showInputMessage="1" showErrorMessage="1" sqref="C4:G42 C45:G89" xr:uid="{00000000-0002-0000-1400-000000000000}">
      <formula1>"S,A+,A,B+,B,C+,C,D+,D,?,"</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哈弗茨~ACAFSC"/>
  <dimension ref="A1:AD320"/>
  <sheetViews>
    <sheetView workbookViewId="0"/>
  </sheetViews>
  <sheetFormatPr baseColWidth="10" defaultColWidth="13.7109375" defaultRowHeight="18" customHeight="1"/>
  <cols>
    <col min="1" max="1" width="11" style="5" customWidth="1"/>
    <col min="2" max="2" width="34.85546875" style="5" customWidth="1"/>
    <col min="3" max="3" width="41" style="124" customWidth="1"/>
    <col min="4" max="8" width="14.85546875" style="124" customWidth="1"/>
    <col min="9" max="9" width="41.5703125" style="90" customWidth="1"/>
    <col min="10" max="10" width="41.5703125" style="124" customWidth="1"/>
    <col min="11" max="11" width="6" style="508" customWidth="1"/>
    <col min="12" max="12" width="12.5703125" style="5" customWidth="1"/>
    <col min="13" max="13" width="46.140625" style="5" customWidth="1"/>
    <col min="14" max="14" width="32" style="124" customWidth="1"/>
    <col min="15" max="17" width="14.140625" style="124" customWidth="1"/>
    <col min="18" max="18" width="9.85546875" style="124" customWidth="1"/>
    <col min="19" max="19" width="12.5703125" style="124" customWidth="1"/>
    <col min="20" max="20" width="40.140625" style="322" customWidth="1"/>
    <col min="21" max="21" width="44.42578125" style="124" customWidth="1"/>
    <col min="22" max="22" width="7.7109375" style="508" customWidth="1"/>
    <col min="23" max="30" width="12.5703125" style="124" customWidth="1"/>
  </cols>
  <sheetData>
    <row r="1" spans="1:30" ht="18" customHeight="1">
      <c r="A1" s="609" t="s">
        <v>3256</v>
      </c>
      <c r="B1" s="542"/>
      <c r="C1" s="609"/>
      <c r="D1" s="580"/>
      <c r="E1" s="580"/>
      <c r="F1" s="580"/>
      <c r="G1" s="580"/>
      <c r="H1" s="580"/>
      <c r="I1" s="609"/>
      <c r="J1" s="580"/>
      <c r="K1" s="316"/>
      <c r="L1" s="604" t="s">
        <v>0</v>
      </c>
      <c r="M1" s="605"/>
      <c r="N1" s="606"/>
      <c r="O1" s="605"/>
      <c r="P1" s="605"/>
      <c r="Q1" s="605"/>
      <c r="R1" s="605"/>
      <c r="S1" s="605"/>
      <c r="T1" s="605"/>
      <c r="U1" s="605"/>
      <c r="V1" s="317"/>
      <c r="W1" s="303"/>
      <c r="X1" s="303"/>
      <c r="Y1" s="303"/>
      <c r="Z1" s="303"/>
      <c r="AA1" s="303"/>
      <c r="AB1" s="303"/>
      <c r="AC1" s="303"/>
      <c r="AD1" s="303"/>
    </row>
    <row r="2" spans="1:30" ht="18" customHeight="1">
      <c r="A2" s="566" t="s">
        <v>1</v>
      </c>
      <c r="B2" s="542"/>
      <c r="C2" s="566"/>
      <c r="D2" s="580"/>
      <c r="E2" s="580"/>
      <c r="F2" s="580"/>
      <c r="G2" s="580"/>
      <c r="H2" s="580"/>
      <c r="I2" s="566"/>
      <c r="J2" s="580"/>
      <c r="K2" s="316"/>
      <c r="L2" s="566" t="s">
        <v>2</v>
      </c>
      <c r="M2" s="542"/>
      <c r="N2" s="566"/>
      <c r="O2" s="580"/>
      <c r="P2" s="580"/>
      <c r="Q2" s="580"/>
      <c r="R2" s="580"/>
      <c r="S2" s="580"/>
      <c r="T2" s="607"/>
      <c r="U2" s="588"/>
      <c r="V2" s="317"/>
      <c r="W2" s="303"/>
      <c r="X2" s="303"/>
      <c r="Y2" s="303"/>
      <c r="Z2" s="303"/>
      <c r="AA2" s="303"/>
      <c r="AB2" s="303"/>
      <c r="AC2" s="303"/>
      <c r="AD2" s="303"/>
    </row>
    <row r="3" spans="1:30" ht="18" customHeight="1">
      <c r="A3" s="24" t="s">
        <v>4</v>
      </c>
      <c r="B3" s="94" t="s">
        <v>5</v>
      </c>
      <c r="C3" s="11" t="s">
        <v>3257</v>
      </c>
      <c r="D3" s="11" t="s">
        <v>6</v>
      </c>
      <c r="E3" s="11" t="s">
        <v>7</v>
      </c>
      <c r="F3" s="11" t="s">
        <v>8</v>
      </c>
      <c r="G3" s="11" t="s">
        <v>9</v>
      </c>
      <c r="H3" s="11" t="s">
        <v>10</v>
      </c>
      <c r="I3" s="107" t="s">
        <v>11</v>
      </c>
      <c r="J3" s="11" t="s">
        <v>12</v>
      </c>
      <c r="K3" s="316"/>
      <c r="L3" s="24" t="s">
        <v>4</v>
      </c>
      <c r="M3" s="94" t="s">
        <v>5</v>
      </c>
      <c r="N3" s="11" t="s">
        <v>3257</v>
      </c>
      <c r="O3" s="11" t="s">
        <v>6</v>
      </c>
      <c r="P3" s="11" t="s">
        <v>7</v>
      </c>
      <c r="Q3" s="11" t="s">
        <v>8</v>
      </c>
      <c r="R3" s="11" t="s">
        <v>9</v>
      </c>
      <c r="S3" s="11" t="s">
        <v>10</v>
      </c>
      <c r="T3" s="318" t="s">
        <v>11</v>
      </c>
      <c r="U3" s="11" t="s">
        <v>12</v>
      </c>
      <c r="V3" s="317"/>
      <c r="W3" s="303"/>
      <c r="X3" s="303"/>
      <c r="Y3" s="303"/>
      <c r="Z3" s="303"/>
      <c r="AA3" s="303"/>
      <c r="AB3" s="303"/>
      <c r="AC3" s="303"/>
      <c r="AD3" s="303"/>
    </row>
    <row r="4" spans="1:30" ht="18" customHeight="1">
      <c r="A4" s="24" t="s">
        <v>14</v>
      </c>
      <c r="B4" s="24" t="s">
        <v>15</v>
      </c>
      <c r="C4" s="19" t="s">
        <v>1562</v>
      </c>
      <c r="D4" s="19"/>
      <c r="E4" s="19"/>
      <c r="F4" s="19"/>
      <c r="G4" s="19"/>
      <c r="H4" s="19"/>
      <c r="J4" s="11"/>
      <c r="K4" s="316"/>
      <c r="L4" s="24" t="s">
        <v>19</v>
      </c>
      <c r="M4" s="12" t="s">
        <v>20</v>
      </c>
      <c r="N4" s="19" t="s">
        <v>1661</v>
      </c>
      <c r="O4" s="19"/>
      <c r="P4" s="19"/>
      <c r="Q4" s="19"/>
      <c r="R4" s="19"/>
      <c r="S4" s="19"/>
      <c r="T4" s="107"/>
      <c r="U4" s="303"/>
      <c r="V4" s="317"/>
      <c r="W4" s="303"/>
      <c r="X4" s="303"/>
      <c r="Y4" s="303"/>
      <c r="Z4" s="303"/>
      <c r="AA4" s="303"/>
      <c r="AB4" s="303"/>
      <c r="AC4" s="303"/>
      <c r="AD4" s="303"/>
    </row>
    <row r="5" spans="1:30" ht="18" customHeight="1">
      <c r="A5" s="24" t="s">
        <v>26</v>
      </c>
      <c r="B5" s="24" t="s">
        <v>27</v>
      </c>
      <c r="C5" s="19" t="s">
        <v>21</v>
      </c>
      <c r="D5" s="19" t="s">
        <v>1567</v>
      </c>
      <c r="E5" s="19" t="s">
        <v>1567</v>
      </c>
      <c r="F5" s="19" t="s">
        <v>21</v>
      </c>
      <c r="G5" s="19" t="s">
        <v>1567</v>
      </c>
      <c r="H5" s="19" t="s">
        <v>1567</v>
      </c>
      <c r="I5" s="107" t="s">
        <v>3258</v>
      </c>
      <c r="J5" s="11"/>
      <c r="K5" s="316"/>
      <c r="L5" s="24" t="s">
        <v>29</v>
      </c>
      <c r="M5" s="12" t="s">
        <v>30</v>
      </c>
      <c r="N5" s="19" t="s">
        <v>1567</v>
      </c>
      <c r="O5" s="19" t="s">
        <v>21</v>
      </c>
      <c r="P5" s="19" t="s">
        <v>28</v>
      </c>
      <c r="Q5" s="19" t="s">
        <v>21</v>
      </c>
      <c r="R5" s="19" t="s">
        <v>28</v>
      </c>
      <c r="S5" s="19" t="s">
        <v>28</v>
      </c>
      <c r="T5" s="107" t="s">
        <v>3259</v>
      </c>
      <c r="U5" s="303"/>
      <c r="V5" s="317"/>
      <c r="W5" s="303"/>
      <c r="X5" s="303"/>
      <c r="Y5" s="303"/>
      <c r="Z5" s="303"/>
      <c r="AA5" s="303"/>
      <c r="AB5" s="303"/>
      <c r="AC5" s="303"/>
      <c r="AD5" s="303"/>
    </row>
    <row r="6" spans="1:30" ht="18" customHeight="1">
      <c r="A6" s="24" t="s">
        <v>34</v>
      </c>
      <c r="B6" s="24" t="s">
        <v>35</v>
      </c>
      <c r="C6" s="19" t="s">
        <v>18</v>
      </c>
      <c r="D6" s="19"/>
      <c r="E6" s="19"/>
      <c r="F6" s="19"/>
      <c r="G6" s="19"/>
      <c r="H6" s="19"/>
      <c r="J6" s="11"/>
      <c r="K6" s="316"/>
      <c r="L6" s="24" t="s">
        <v>36</v>
      </c>
      <c r="M6" s="12" t="s">
        <v>37</v>
      </c>
      <c r="N6" s="19" t="s">
        <v>18</v>
      </c>
      <c r="O6" s="19"/>
      <c r="P6" s="19"/>
      <c r="Q6" s="19"/>
      <c r="R6" s="19"/>
      <c r="S6" s="19"/>
      <c r="T6" s="107" t="s">
        <v>3260</v>
      </c>
      <c r="U6" s="303"/>
      <c r="V6" s="317"/>
      <c r="W6" s="303"/>
      <c r="X6" s="303"/>
      <c r="Y6" s="303"/>
      <c r="Z6" s="303"/>
      <c r="AA6" s="303"/>
      <c r="AB6" s="303"/>
      <c r="AC6" s="303"/>
      <c r="AD6" s="303"/>
    </row>
    <row r="7" spans="1:30" ht="18" customHeight="1">
      <c r="A7" s="24" t="s">
        <v>41</v>
      </c>
      <c r="B7" s="24" t="s">
        <v>42</v>
      </c>
      <c r="C7" s="19" t="s">
        <v>18</v>
      </c>
      <c r="D7" s="19"/>
      <c r="E7" s="19"/>
      <c r="F7" s="19"/>
      <c r="G7" s="19"/>
      <c r="H7" s="19"/>
      <c r="J7" s="11"/>
      <c r="K7" s="316"/>
      <c r="L7" s="24" t="s">
        <v>43</v>
      </c>
      <c r="M7" s="12" t="s">
        <v>44</v>
      </c>
      <c r="N7" s="19" t="s">
        <v>18</v>
      </c>
      <c r="O7" s="19"/>
      <c r="P7" s="19"/>
      <c r="Q7" s="19"/>
      <c r="R7" s="19"/>
      <c r="S7" s="19"/>
      <c r="T7" s="107"/>
      <c r="U7" s="303"/>
      <c r="V7" s="317"/>
      <c r="W7" s="303"/>
      <c r="X7" s="303"/>
      <c r="Y7" s="303"/>
      <c r="Z7" s="303"/>
      <c r="AA7" s="303"/>
      <c r="AB7" s="303"/>
      <c r="AC7" s="303"/>
      <c r="AD7" s="303"/>
    </row>
    <row r="8" spans="1:30" ht="18" customHeight="1">
      <c r="A8" s="24" t="s">
        <v>48</v>
      </c>
      <c r="B8" s="24" t="s">
        <v>49</v>
      </c>
      <c r="C8" s="19" t="s">
        <v>21</v>
      </c>
      <c r="D8" s="19" t="s">
        <v>28</v>
      </c>
      <c r="E8" s="19" t="s">
        <v>28</v>
      </c>
      <c r="F8" s="19" t="s">
        <v>28</v>
      </c>
      <c r="G8" s="19" t="s">
        <v>21</v>
      </c>
      <c r="H8" s="19" t="s">
        <v>28</v>
      </c>
      <c r="I8" s="107" t="s">
        <v>3261</v>
      </c>
      <c r="J8" s="11"/>
      <c r="K8" s="316"/>
      <c r="L8" s="24" t="s">
        <v>50</v>
      </c>
      <c r="M8" s="12" t="s">
        <v>51</v>
      </c>
      <c r="N8" s="19" t="s">
        <v>28</v>
      </c>
      <c r="O8" s="19" t="s">
        <v>28</v>
      </c>
      <c r="P8" s="19" t="s">
        <v>21</v>
      </c>
      <c r="Q8" s="19" t="s">
        <v>21</v>
      </c>
      <c r="R8" s="19" t="s">
        <v>28</v>
      </c>
      <c r="S8" s="19" t="s">
        <v>21</v>
      </c>
      <c r="T8" s="107" t="s">
        <v>3262</v>
      </c>
      <c r="U8" s="303"/>
      <c r="V8" s="317"/>
      <c r="W8" s="303"/>
      <c r="X8" s="303"/>
      <c r="Y8" s="303"/>
      <c r="Z8" s="303"/>
      <c r="AA8" s="303"/>
      <c r="AB8" s="303"/>
      <c r="AC8" s="303"/>
      <c r="AD8" s="303"/>
    </row>
    <row r="9" spans="1:30" ht="18" customHeight="1">
      <c r="A9" s="24" t="s">
        <v>55</v>
      </c>
      <c r="B9" s="24" t="s">
        <v>56</v>
      </c>
      <c r="C9" s="19" t="s">
        <v>28</v>
      </c>
      <c r="D9" s="19" t="s">
        <v>21</v>
      </c>
      <c r="E9" s="19" t="s">
        <v>28</v>
      </c>
      <c r="F9" s="19" t="s">
        <v>28</v>
      </c>
      <c r="G9" s="19" t="s">
        <v>17</v>
      </c>
      <c r="H9" s="19" t="s">
        <v>28</v>
      </c>
      <c r="I9" s="107" t="s">
        <v>3263</v>
      </c>
      <c r="J9" s="11"/>
      <c r="K9" s="316"/>
      <c r="L9" s="24" t="s">
        <v>57</v>
      </c>
      <c r="M9" s="12" t="s">
        <v>58</v>
      </c>
      <c r="N9" s="19" t="s">
        <v>1567</v>
      </c>
      <c r="O9" s="19" t="s">
        <v>21</v>
      </c>
      <c r="P9" s="19" t="s">
        <v>28</v>
      </c>
      <c r="Q9" s="19" t="s">
        <v>28</v>
      </c>
      <c r="R9" s="19" t="s">
        <v>28</v>
      </c>
      <c r="S9" s="19" t="s">
        <v>28</v>
      </c>
      <c r="T9" s="107" t="s">
        <v>3264</v>
      </c>
      <c r="U9" s="303"/>
      <c r="V9" s="317"/>
      <c r="W9" s="303"/>
      <c r="X9" s="303"/>
      <c r="Y9" s="303"/>
      <c r="Z9" s="303"/>
      <c r="AA9" s="303"/>
      <c r="AB9" s="303"/>
      <c r="AC9" s="303"/>
      <c r="AD9" s="303"/>
    </row>
    <row r="10" spans="1:30" ht="18" customHeight="1">
      <c r="A10" s="24" t="s">
        <v>62</v>
      </c>
      <c r="B10" s="24" t="s">
        <v>63</v>
      </c>
      <c r="C10" s="19" t="s">
        <v>18</v>
      </c>
      <c r="D10" s="19"/>
      <c r="E10" s="19"/>
      <c r="F10" s="19"/>
      <c r="G10" s="19"/>
      <c r="H10" s="19"/>
      <c r="J10" s="11"/>
      <c r="K10" s="316"/>
      <c r="L10" s="24" t="s">
        <v>64</v>
      </c>
      <c r="M10" s="12" t="s">
        <v>65</v>
      </c>
      <c r="N10" s="19" t="s">
        <v>21</v>
      </c>
      <c r="O10" s="19" t="s">
        <v>28</v>
      </c>
      <c r="P10" s="19" t="s">
        <v>17</v>
      </c>
      <c r="Q10" s="19" t="s">
        <v>28</v>
      </c>
      <c r="R10" s="19" t="s">
        <v>17</v>
      </c>
      <c r="S10" s="19" t="s">
        <v>28</v>
      </c>
      <c r="T10" s="107" t="s">
        <v>3265</v>
      </c>
      <c r="U10" s="303"/>
      <c r="V10" s="317"/>
      <c r="W10" s="303"/>
      <c r="X10" s="303"/>
      <c r="Y10" s="303"/>
      <c r="Z10" s="303"/>
      <c r="AA10" s="303"/>
      <c r="AB10" s="303"/>
      <c r="AC10" s="303"/>
      <c r="AD10" s="303"/>
    </row>
    <row r="11" spans="1:30" ht="18" customHeight="1">
      <c r="A11" s="24" t="s">
        <v>67</v>
      </c>
      <c r="B11" s="24" t="s">
        <v>68</v>
      </c>
      <c r="C11" s="19" t="s">
        <v>1574</v>
      </c>
      <c r="D11" s="19"/>
      <c r="E11" s="19"/>
      <c r="F11" s="19"/>
      <c r="G11" s="19"/>
      <c r="H11" s="19"/>
      <c r="J11" s="11"/>
      <c r="K11" s="316"/>
      <c r="L11" s="24" t="s">
        <v>69</v>
      </c>
      <c r="M11" s="12" t="s">
        <v>70</v>
      </c>
      <c r="N11" s="19" t="s">
        <v>1567</v>
      </c>
      <c r="O11" s="19" t="s">
        <v>1567</v>
      </c>
      <c r="P11" s="19" t="s">
        <v>1567</v>
      </c>
      <c r="Q11" s="19" t="s">
        <v>1567</v>
      </c>
      <c r="R11" s="19" t="s">
        <v>1567</v>
      </c>
      <c r="S11" s="19" t="s">
        <v>1567</v>
      </c>
      <c r="T11" s="107" t="s">
        <v>3266</v>
      </c>
      <c r="U11" s="303"/>
      <c r="V11" s="317"/>
      <c r="W11" s="303"/>
      <c r="X11" s="303"/>
      <c r="Y11" s="303"/>
      <c r="Z11" s="303"/>
      <c r="AA11" s="303"/>
      <c r="AB11" s="303"/>
      <c r="AC11" s="303"/>
      <c r="AD11" s="303"/>
    </row>
    <row r="12" spans="1:30" ht="18" customHeight="1">
      <c r="A12" s="24" t="s">
        <v>74</v>
      </c>
      <c r="B12" s="24" t="s">
        <v>75</v>
      </c>
      <c r="C12" s="19" t="s">
        <v>18</v>
      </c>
      <c r="D12" s="19"/>
      <c r="E12" s="19"/>
      <c r="F12" s="19"/>
      <c r="G12" s="19"/>
      <c r="H12" s="19"/>
      <c r="J12" s="11"/>
      <c r="K12" s="316"/>
      <c r="L12" s="24" t="s">
        <v>76</v>
      </c>
      <c r="M12" s="12" t="s">
        <v>77</v>
      </c>
      <c r="N12" s="19" t="s">
        <v>18</v>
      </c>
      <c r="O12" s="19"/>
      <c r="P12" s="19"/>
      <c r="Q12" s="19"/>
      <c r="R12" s="19"/>
      <c r="S12" s="19"/>
      <c r="T12" s="107"/>
      <c r="U12" s="303"/>
      <c r="V12" s="317"/>
      <c r="W12" s="303"/>
      <c r="X12" s="303"/>
      <c r="Y12" s="303"/>
      <c r="Z12" s="303"/>
      <c r="AA12" s="303"/>
      <c r="AB12" s="303"/>
      <c r="AC12" s="303"/>
      <c r="AD12" s="303"/>
    </row>
    <row r="13" spans="1:30" ht="18" customHeight="1">
      <c r="A13" s="24" t="s">
        <v>81</v>
      </c>
      <c r="B13" s="24" t="s">
        <v>82</v>
      </c>
      <c r="C13" s="19" t="s">
        <v>18</v>
      </c>
      <c r="D13" s="19"/>
      <c r="E13" s="19"/>
      <c r="F13" s="19"/>
      <c r="G13" s="19"/>
      <c r="H13" s="19"/>
      <c r="J13" s="11"/>
      <c r="K13" s="316"/>
      <c r="L13" s="24" t="s">
        <v>83</v>
      </c>
      <c r="M13" s="12" t="s">
        <v>84</v>
      </c>
      <c r="N13" s="19" t="s">
        <v>1567</v>
      </c>
      <c r="O13" s="19" t="s">
        <v>21</v>
      </c>
      <c r="P13" s="19" t="s">
        <v>21</v>
      </c>
      <c r="Q13" s="19" t="s">
        <v>1567</v>
      </c>
      <c r="R13" s="19" t="s">
        <v>21</v>
      </c>
      <c r="S13" s="19" t="s">
        <v>21</v>
      </c>
      <c r="T13" s="107" t="s">
        <v>3267</v>
      </c>
      <c r="U13" s="303"/>
      <c r="V13" s="317"/>
      <c r="W13" s="303"/>
      <c r="X13" s="303"/>
      <c r="Y13" s="303"/>
      <c r="Z13" s="303"/>
      <c r="AA13" s="303"/>
      <c r="AB13" s="303"/>
      <c r="AC13" s="303"/>
      <c r="AD13" s="303"/>
    </row>
    <row r="14" spans="1:30" ht="18" customHeight="1">
      <c r="A14" s="24" t="s">
        <v>88</v>
      </c>
      <c r="B14" s="24" t="s">
        <v>89</v>
      </c>
      <c r="C14" s="19" t="s">
        <v>28</v>
      </c>
      <c r="D14" s="19" t="s">
        <v>28</v>
      </c>
      <c r="E14" s="19" t="s">
        <v>28</v>
      </c>
      <c r="F14" s="19" t="s">
        <v>28</v>
      </c>
      <c r="G14" s="19" t="s">
        <v>28</v>
      </c>
      <c r="H14" s="19" t="s">
        <v>28</v>
      </c>
      <c r="I14" s="107" t="s">
        <v>3268</v>
      </c>
      <c r="J14" s="11"/>
      <c r="K14" s="316"/>
      <c r="L14" s="24" t="s">
        <v>90</v>
      </c>
      <c r="M14" s="12" t="s">
        <v>91</v>
      </c>
      <c r="N14" s="19" t="s">
        <v>18</v>
      </c>
      <c r="O14" s="19"/>
      <c r="P14" s="19"/>
      <c r="Q14" s="19"/>
      <c r="R14" s="19"/>
      <c r="S14" s="19"/>
      <c r="T14" s="107"/>
      <c r="U14" s="303"/>
      <c r="V14" s="317"/>
      <c r="W14" s="303"/>
      <c r="X14" s="303"/>
      <c r="Y14" s="303"/>
      <c r="Z14" s="303"/>
      <c r="AA14" s="303"/>
      <c r="AB14" s="303"/>
      <c r="AC14" s="303"/>
      <c r="AD14" s="303"/>
    </row>
    <row r="15" spans="1:30" ht="18" customHeight="1">
      <c r="A15" s="24" t="s">
        <v>95</v>
      </c>
      <c r="B15" s="24" t="s">
        <v>96</v>
      </c>
      <c r="C15" s="19" t="s">
        <v>18</v>
      </c>
      <c r="D15" s="19"/>
      <c r="E15" s="19"/>
      <c r="F15" s="19"/>
      <c r="G15" s="19"/>
      <c r="H15" s="19"/>
      <c r="J15" s="11"/>
      <c r="K15" s="316"/>
      <c r="L15" s="24" t="s">
        <v>97</v>
      </c>
      <c r="M15" s="12" t="s">
        <v>98</v>
      </c>
      <c r="N15" s="19" t="s">
        <v>18</v>
      </c>
      <c r="O15" s="19"/>
      <c r="P15" s="19"/>
      <c r="Q15" s="19"/>
      <c r="R15" s="19"/>
      <c r="S15" s="19"/>
      <c r="T15" s="107"/>
      <c r="U15" s="303"/>
      <c r="V15" s="317"/>
      <c r="W15" s="303"/>
      <c r="X15" s="303"/>
      <c r="Y15" s="303"/>
      <c r="Z15" s="303"/>
      <c r="AA15" s="303"/>
      <c r="AB15" s="303"/>
      <c r="AC15" s="303"/>
      <c r="AD15" s="303"/>
    </row>
    <row r="16" spans="1:30" ht="18" customHeight="1">
      <c r="A16" s="24" t="s">
        <v>102</v>
      </c>
      <c r="B16" s="24" t="s">
        <v>103</v>
      </c>
      <c r="C16" s="19" t="s">
        <v>21</v>
      </c>
      <c r="D16" s="19" t="s">
        <v>21</v>
      </c>
      <c r="E16" s="19" t="s">
        <v>28</v>
      </c>
      <c r="F16" s="19" t="s">
        <v>21</v>
      </c>
      <c r="G16" s="19" t="s">
        <v>28</v>
      </c>
      <c r="H16" s="19" t="s">
        <v>21</v>
      </c>
      <c r="I16" s="107" t="s">
        <v>3269</v>
      </c>
      <c r="J16" s="11"/>
      <c r="K16" s="316"/>
      <c r="L16" s="24" t="s">
        <v>104</v>
      </c>
      <c r="M16" s="12" t="s">
        <v>105</v>
      </c>
      <c r="N16" s="19" t="s">
        <v>17</v>
      </c>
      <c r="O16" s="19" t="s">
        <v>28</v>
      </c>
      <c r="P16" s="19" t="s">
        <v>17</v>
      </c>
      <c r="Q16" s="19" t="s">
        <v>28</v>
      </c>
      <c r="R16" s="19" t="s">
        <v>17</v>
      </c>
      <c r="S16" s="19" t="s">
        <v>28</v>
      </c>
      <c r="T16" s="107" t="s">
        <v>3270</v>
      </c>
      <c r="U16" s="303"/>
      <c r="V16" s="317"/>
      <c r="W16" s="303"/>
      <c r="X16" s="303"/>
      <c r="Y16" s="303"/>
      <c r="Z16" s="303"/>
      <c r="AA16" s="303"/>
      <c r="AB16" s="303"/>
      <c r="AC16" s="303"/>
      <c r="AD16" s="303"/>
    </row>
    <row r="17" spans="1:30" ht="18" customHeight="1">
      <c r="A17" s="24" t="s">
        <v>109</v>
      </c>
      <c r="B17" s="24" t="s">
        <v>110</v>
      </c>
      <c r="C17" s="19" t="s">
        <v>1567</v>
      </c>
      <c r="D17" s="19" t="s">
        <v>28</v>
      </c>
      <c r="E17" s="19" t="s">
        <v>21</v>
      </c>
      <c r="F17" s="19" t="s">
        <v>21</v>
      </c>
      <c r="G17" s="19" t="s">
        <v>21</v>
      </c>
      <c r="H17" s="19" t="s">
        <v>21</v>
      </c>
      <c r="I17" s="107" t="s">
        <v>3271</v>
      </c>
      <c r="J17" s="11"/>
      <c r="K17" s="316"/>
      <c r="L17" s="24" t="s">
        <v>111</v>
      </c>
      <c r="M17" s="12" t="s">
        <v>112</v>
      </c>
      <c r="N17" s="19" t="s">
        <v>1567</v>
      </c>
      <c r="O17" s="19" t="s">
        <v>21</v>
      </c>
      <c r="P17" s="19" t="s">
        <v>21</v>
      </c>
      <c r="Q17" s="19" t="s">
        <v>21</v>
      </c>
      <c r="R17" s="19" t="s">
        <v>21</v>
      </c>
      <c r="S17" s="19" t="s">
        <v>21</v>
      </c>
      <c r="T17" s="107" t="s">
        <v>3272</v>
      </c>
      <c r="U17" s="303"/>
      <c r="V17" s="317"/>
      <c r="W17" s="303"/>
      <c r="X17" s="303"/>
      <c r="Y17" s="303"/>
      <c r="Z17" s="303"/>
      <c r="AA17" s="303"/>
      <c r="AB17" s="303"/>
      <c r="AC17" s="303"/>
      <c r="AD17" s="303"/>
    </row>
    <row r="18" spans="1:30" ht="18" customHeight="1">
      <c r="A18" s="24" t="s">
        <v>116</v>
      </c>
      <c r="B18" s="24" t="s">
        <v>117</v>
      </c>
      <c r="C18" s="19" t="s">
        <v>1567</v>
      </c>
      <c r="D18" s="19" t="s">
        <v>21</v>
      </c>
      <c r="E18" s="19" t="s">
        <v>1567</v>
      </c>
      <c r="F18" s="19" t="s">
        <v>1567</v>
      </c>
      <c r="G18" s="19" t="s">
        <v>1567</v>
      </c>
      <c r="H18" s="19" t="s">
        <v>1567</v>
      </c>
      <c r="I18" s="107" t="s">
        <v>3273</v>
      </c>
      <c r="J18" s="11"/>
      <c r="K18" s="316"/>
      <c r="L18" s="24" t="s">
        <v>118</v>
      </c>
      <c r="M18" s="12" t="s">
        <v>119</v>
      </c>
      <c r="N18" s="19" t="s">
        <v>18</v>
      </c>
      <c r="O18" s="19"/>
      <c r="P18" s="19"/>
      <c r="Q18" s="19"/>
      <c r="R18" s="19"/>
      <c r="S18" s="19"/>
      <c r="T18" s="107"/>
      <c r="U18" s="303"/>
      <c r="V18" s="317"/>
      <c r="W18" s="303"/>
      <c r="X18" s="303"/>
      <c r="Y18" s="303"/>
      <c r="Z18" s="303"/>
      <c r="AA18" s="303"/>
      <c r="AB18" s="303"/>
      <c r="AC18" s="303"/>
      <c r="AD18" s="303"/>
    </row>
    <row r="19" spans="1:30" ht="18" customHeight="1">
      <c r="A19" s="24" t="s">
        <v>123</v>
      </c>
      <c r="B19" s="24" t="s">
        <v>124</v>
      </c>
      <c r="C19" s="19" t="s">
        <v>17</v>
      </c>
      <c r="D19" s="19" t="s">
        <v>17</v>
      </c>
      <c r="E19" s="19" t="s">
        <v>17</v>
      </c>
      <c r="F19" s="19" t="s">
        <v>17</v>
      </c>
      <c r="G19" s="19" t="s">
        <v>17</v>
      </c>
      <c r="H19" s="19" t="s">
        <v>17</v>
      </c>
      <c r="I19" s="107" t="s">
        <v>3274</v>
      </c>
      <c r="J19" s="11"/>
      <c r="K19" s="316"/>
      <c r="L19" s="24" t="s">
        <v>125</v>
      </c>
      <c r="M19" s="12" t="s">
        <v>126</v>
      </c>
      <c r="N19" s="19" t="s">
        <v>28</v>
      </c>
      <c r="O19" s="19" t="s">
        <v>21</v>
      </c>
      <c r="P19" s="19" t="s">
        <v>1567</v>
      </c>
      <c r="Q19" s="19" t="s">
        <v>1567</v>
      </c>
      <c r="R19" s="19" t="s">
        <v>1567</v>
      </c>
      <c r="S19" s="19" t="s">
        <v>1567</v>
      </c>
      <c r="T19" s="107"/>
      <c r="U19" s="303"/>
      <c r="V19" s="317"/>
      <c r="W19" s="303"/>
      <c r="X19" s="303"/>
      <c r="Y19" s="303"/>
      <c r="Z19" s="303"/>
      <c r="AA19" s="303"/>
      <c r="AB19" s="303"/>
      <c r="AC19" s="303"/>
      <c r="AD19" s="303"/>
    </row>
    <row r="20" spans="1:30" ht="18" customHeight="1">
      <c r="A20" s="24" t="s">
        <v>130</v>
      </c>
      <c r="B20" s="24" t="s">
        <v>129</v>
      </c>
      <c r="C20" s="19" t="s">
        <v>28</v>
      </c>
      <c r="D20" s="19" t="s">
        <v>28</v>
      </c>
      <c r="E20" s="19" t="s">
        <v>28</v>
      </c>
      <c r="F20" s="19" t="s">
        <v>28</v>
      </c>
      <c r="G20" s="19" t="s">
        <v>28</v>
      </c>
      <c r="H20" s="19" t="s">
        <v>28</v>
      </c>
      <c r="I20" s="107" t="s">
        <v>3275</v>
      </c>
      <c r="J20" s="11"/>
      <c r="K20" s="316"/>
      <c r="L20" s="24" t="s">
        <v>131</v>
      </c>
      <c r="M20" s="12" t="s">
        <v>132</v>
      </c>
      <c r="N20" s="19" t="s">
        <v>17</v>
      </c>
      <c r="O20" s="19" t="s">
        <v>28</v>
      </c>
      <c r="P20" s="19" t="s">
        <v>17</v>
      </c>
      <c r="Q20" s="19" t="s">
        <v>17</v>
      </c>
      <c r="R20" s="19" t="s">
        <v>17</v>
      </c>
      <c r="S20" s="19" t="s">
        <v>17</v>
      </c>
      <c r="T20" s="107" t="s">
        <v>3276</v>
      </c>
      <c r="U20" s="303"/>
      <c r="V20" s="317"/>
      <c r="W20" s="303"/>
      <c r="X20" s="303"/>
      <c r="Y20" s="303"/>
      <c r="Z20" s="303"/>
      <c r="AA20" s="303"/>
      <c r="AB20" s="303"/>
      <c r="AC20" s="303"/>
      <c r="AD20" s="303"/>
    </row>
    <row r="21" spans="1:30" ht="18" customHeight="1">
      <c r="A21" s="24" t="s">
        <v>136</v>
      </c>
      <c r="B21" s="24" t="s">
        <v>137</v>
      </c>
      <c r="C21" s="19" t="s">
        <v>28</v>
      </c>
      <c r="D21" s="19" t="s">
        <v>21</v>
      </c>
      <c r="E21" s="19" t="s">
        <v>28</v>
      </c>
      <c r="F21" s="19" t="s">
        <v>28</v>
      </c>
      <c r="G21" s="19" t="s">
        <v>28</v>
      </c>
      <c r="H21" s="19" t="s">
        <v>28</v>
      </c>
      <c r="I21" s="107" t="s">
        <v>3277</v>
      </c>
      <c r="J21" s="11"/>
      <c r="K21" s="316"/>
      <c r="L21" s="24" t="s">
        <v>138</v>
      </c>
      <c r="M21" s="12" t="s">
        <v>139</v>
      </c>
      <c r="N21" s="19" t="s">
        <v>1567</v>
      </c>
      <c r="O21" s="19" t="s">
        <v>1567</v>
      </c>
      <c r="P21" s="19" t="s">
        <v>1567</v>
      </c>
      <c r="Q21" s="19" t="s">
        <v>18</v>
      </c>
      <c r="R21" s="19" t="s">
        <v>18</v>
      </c>
      <c r="S21" s="19" t="s">
        <v>1567</v>
      </c>
      <c r="T21" s="107" t="s">
        <v>3278</v>
      </c>
      <c r="U21" s="303"/>
      <c r="V21" s="317"/>
      <c r="W21" s="303"/>
      <c r="X21" s="303"/>
      <c r="Y21" s="303"/>
      <c r="Z21" s="303"/>
      <c r="AA21" s="303"/>
      <c r="AB21" s="303"/>
      <c r="AC21" s="303"/>
      <c r="AD21" s="303"/>
    </row>
    <row r="22" spans="1:30" ht="18" customHeight="1">
      <c r="A22" s="24" t="s">
        <v>143</v>
      </c>
      <c r="B22" s="24" t="s">
        <v>144</v>
      </c>
      <c r="C22" s="19" t="s">
        <v>1661</v>
      </c>
      <c r="D22" s="19"/>
      <c r="E22" s="19"/>
      <c r="F22" s="19"/>
      <c r="G22" s="19"/>
      <c r="H22" s="19"/>
      <c r="J22" s="11"/>
      <c r="K22" s="316"/>
      <c r="L22" s="24" t="s">
        <v>145</v>
      </c>
      <c r="M22" s="12" t="s">
        <v>146</v>
      </c>
      <c r="N22" s="19" t="s">
        <v>1562</v>
      </c>
      <c r="O22" s="19"/>
      <c r="P22" s="19"/>
      <c r="Q22" s="19"/>
      <c r="R22" s="19"/>
      <c r="S22" s="19"/>
      <c r="T22" s="107"/>
      <c r="U22" s="303"/>
      <c r="V22" s="317"/>
      <c r="W22" s="303"/>
      <c r="X22" s="303"/>
      <c r="Y22" s="303"/>
      <c r="Z22" s="303"/>
      <c r="AA22" s="303"/>
      <c r="AB22" s="303"/>
      <c r="AC22" s="303"/>
      <c r="AD22" s="303"/>
    </row>
    <row r="23" spans="1:30" ht="18" customHeight="1">
      <c r="A23" s="24" t="s">
        <v>150</v>
      </c>
      <c r="B23" s="24" t="s">
        <v>151</v>
      </c>
      <c r="C23" s="19" t="s">
        <v>18</v>
      </c>
      <c r="D23" s="19"/>
      <c r="E23" s="19"/>
      <c r="F23" s="19"/>
      <c r="G23" s="19"/>
      <c r="H23" s="19"/>
      <c r="J23" s="11"/>
      <c r="K23" s="316"/>
      <c r="L23" s="24" t="s">
        <v>152</v>
      </c>
      <c r="M23" s="12" t="s">
        <v>30</v>
      </c>
      <c r="N23" s="19" t="s">
        <v>28</v>
      </c>
      <c r="O23" s="19" t="s">
        <v>21</v>
      </c>
      <c r="P23" s="19" t="s">
        <v>21</v>
      </c>
      <c r="Q23" s="19" t="s">
        <v>21</v>
      </c>
      <c r="R23" s="19" t="s">
        <v>21</v>
      </c>
      <c r="S23" s="19" t="s">
        <v>21</v>
      </c>
      <c r="T23" s="107" t="s">
        <v>3279</v>
      </c>
      <c r="U23" s="303"/>
      <c r="V23" s="317"/>
      <c r="W23" s="303"/>
      <c r="X23" s="303"/>
      <c r="Y23" s="303"/>
      <c r="Z23" s="303"/>
      <c r="AA23" s="303"/>
      <c r="AB23" s="303"/>
      <c r="AC23" s="303"/>
      <c r="AD23" s="303"/>
    </row>
    <row r="24" spans="1:30" ht="18" customHeight="1">
      <c r="A24" s="24" t="s">
        <v>156</v>
      </c>
      <c r="B24" s="24" t="s">
        <v>157</v>
      </c>
      <c r="C24" s="19" t="s">
        <v>16</v>
      </c>
      <c r="D24" s="19"/>
      <c r="E24" s="19"/>
      <c r="F24" s="19"/>
      <c r="G24" s="19"/>
      <c r="H24" s="19"/>
      <c r="I24" s="107"/>
      <c r="J24" s="11"/>
      <c r="K24" s="316"/>
      <c r="L24" s="24" t="s">
        <v>158</v>
      </c>
      <c r="M24" s="12" t="s">
        <v>159</v>
      </c>
      <c r="N24" s="19" t="s">
        <v>21</v>
      </c>
      <c r="O24" s="19" t="s">
        <v>28</v>
      </c>
      <c r="P24" s="19" t="s">
        <v>28</v>
      </c>
      <c r="Q24" s="19" t="s">
        <v>28</v>
      </c>
      <c r="R24" s="19" t="s">
        <v>28</v>
      </c>
      <c r="S24" s="19" t="s">
        <v>28</v>
      </c>
      <c r="T24" s="107" t="s">
        <v>3280</v>
      </c>
      <c r="U24" s="303"/>
      <c r="V24" s="317"/>
      <c r="W24" s="303"/>
      <c r="X24" s="303"/>
      <c r="Y24" s="303"/>
      <c r="Z24" s="303"/>
      <c r="AA24" s="303"/>
      <c r="AB24" s="303"/>
      <c r="AC24" s="303"/>
      <c r="AD24" s="303"/>
    </row>
    <row r="25" spans="1:30" ht="18" customHeight="1">
      <c r="A25" s="24" t="s">
        <v>163</v>
      </c>
      <c r="B25" s="24" t="s">
        <v>164</v>
      </c>
      <c r="C25" s="19" t="s">
        <v>1567</v>
      </c>
      <c r="D25" s="19" t="s">
        <v>21</v>
      </c>
      <c r="E25" s="19" t="s">
        <v>21</v>
      </c>
      <c r="F25" s="19" t="s">
        <v>1567</v>
      </c>
      <c r="G25" s="19" t="s">
        <v>21</v>
      </c>
      <c r="H25" s="19" t="s">
        <v>21</v>
      </c>
      <c r="I25" s="107" t="s">
        <v>3281</v>
      </c>
      <c r="J25" s="11"/>
      <c r="K25" s="316"/>
      <c r="L25" s="24" t="s">
        <v>165</v>
      </c>
      <c r="M25" s="12" t="s">
        <v>166</v>
      </c>
      <c r="N25" s="19" t="s">
        <v>1562</v>
      </c>
      <c r="O25" s="19"/>
      <c r="P25" s="19"/>
      <c r="Q25" s="19"/>
      <c r="R25" s="19"/>
      <c r="S25" s="19"/>
      <c r="T25" s="107"/>
      <c r="U25" s="303"/>
      <c r="V25" s="317"/>
      <c r="W25" s="303"/>
      <c r="X25" s="303"/>
      <c r="Y25" s="303"/>
      <c r="Z25" s="303"/>
      <c r="AA25" s="303"/>
      <c r="AB25" s="303"/>
      <c r="AC25" s="303"/>
      <c r="AD25" s="303"/>
    </row>
    <row r="26" spans="1:30" ht="18" customHeight="1">
      <c r="A26" s="24" t="s">
        <v>170</v>
      </c>
      <c r="B26" s="24" t="s">
        <v>171</v>
      </c>
      <c r="C26" s="19" t="s">
        <v>21</v>
      </c>
      <c r="D26" s="19" t="s">
        <v>1567</v>
      </c>
      <c r="E26" s="19" t="s">
        <v>1567</v>
      </c>
      <c r="F26" s="19" t="s">
        <v>1567</v>
      </c>
      <c r="G26" s="19" t="s">
        <v>1567</v>
      </c>
      <c r="H26" s="19" t="s">
        <v>1567</v>
      </c>
      <c r="I26" s="107" t="s">
        <v>3282</v>
      </c>
      <c r="J26" s="11"/>
      <c r="K26" s="316"/>
      <c r="L26" s="24" t="s">
        <v>172</v>
      </c>
      <c r="M26" s="12" t="s">
        <v>173</v>
      </c>
      <c r="N26" s="19" t="s">
        <v>21</v>
      </c>
      <c r="O26" s="19" t="s">
        <v>21</v>
      </c>
      <c r="P26" s="19" t="s">
        <v>21</v>
      </c>
      <c r="Q26" s="19" t="s">
        <v>21</v>
      </c>
      <c r="R26" s="19" t="s">
        <v>21</v>
      </c>
      <c r="S26" s="19" t="s">
        <v>21</v>
      </c>
      <c r="T26" s="107" t="s">
        <v>3283</v>
      </c>
      <c r="U26" s="303"/>
      <c r="V26" s="317"/>
      <c r="W26" s="303"/>
      <c r="X26" s="303"/>
      <c r="Y26" s="303"/>
      <c r="Z26" s="303"/>
      <c r="AA26" s="303"/>
      <c r="AB26" s="303"/>
      <c r="AC26" s="303"/>
      <c r="AD26" s="303"/>
    </row>
    <row r="27" spans="1:30" ht="18" customHeight="1">
      <c r="A27" s="24" t="s">
        <v>177</v>
      </c>
      <c r="B27" s="24" t="s">
        <v>178</v>
      </c>
      <c r="C27" s="19" t="s">
        <v>18</v>
      </c>
      <c r="D27" s="19"/>
      <c r="E27" s="19"/>
      <c r="F27" s="19"/>
      <c r="G27" s="19"/>
      <c r="H27" s="19"/>
      <c r="I27" s="107"/>
      <c r="J27" s="11"/>
      <c r="K27" s="316"/>
      <c r="L27" s="24" t="s">
        <v>179</v>
      </c>
      <c r="M27" s="12" t="s">
        <v>180</v>
      </c>
      <c r="N27" s="19" t="s">
        <v>1562</v>
      </c>
      <c r="O27" s="19"/>
      <c r="P27" s="19"/>
      <c r="Q27" s="19"/>
      <c r="R27" s="19"/>
      <c r="S27" s="19"/>
      <c r="T27" s="107"/>
      <c r="U27" s="303"/>
      <c r="V27" s="317"/>
      <c r="W27" s="303"/>
      <c r="X27" s="303"/>
      <c r="Y27" s="303"/>
      <c r="Z27" s="303"/>
      <c r="AA27" s="303"/>
      <c r="AB27" s="303"/>
      <c r="AC27" s="303"/>
      <c r="AD27" s="303"/>
    </row>
    <row r="28" spans="1:30" ht="18" customHeight="1">
      <c r="A28" s="24" t="s">
        <v>184</v>
      </c>
      <c r="B28" s="24" t="s">
        <v>185</v>
      </c>
      <c r="C28" s="19" t="s">
        <v>1562</v>
      </c>
      <c r="D28" s="19"/>
      <c r="E28" s="19"/>
      <c r="F28" s="19"/>
      <c r="G28" s="19"/>
      <c r="H28" s="19"/>
      <c r="I28" s="107"/>
      <c r="J28" s="11"/>
      <c r="K28" s="316"/>
      <c r="L28" s="24" t="s">
        <v>186</v>
      </c>
      <c r="M28" s="12" t="s">
        <v>187</v>
      </c>
      <c r="N28" s="19" t="s">
        <v>28</v>
      </c>
      <c r="O28" s="19" t="s">
        <v>28</v>
      </c>
      <c r="P28" s="19" t="s">
        <v>28</v>
      </c>
      <c r="Q28" s="19" t="s">
        <v>28</v>
      </c>
      <c r="R28" s="19" t="s">
        <v>28</v>
      </c>
      <c r="S28" s="19" t="s">
        <v>28</v>
      </c>
      <c r="T28" s="107" t="s">
        <v>3284</v>
      </c>
      <c r="U28" s="303"/>
      <c r="V28" s="317"/>
      <c r="W28" s="303"/>
      <c r="X28" s="303"/>
      <c r="Y28" s="303"/>
      <c r="Z28" s="303"/>
      <c r="AA28" s="303"/>
      <c r="AB28" s="303"/>
      <c r="AC28" s="303"/>
      <c r="AD28" s="303"/>
    </row>
    <row r="29" spans="1:30" ht="18" customHeight="1">
      <c r="A29" s="24" t="s">
        <v>191</v>
      </c>
      <c r="B29" s="24" t="s">
        <v>192</v>
      </c>
      <c r="C29" s="19" t="s">
        <v>18</v>
      </c>
      <c r="D29" s="19"/>
      <c r="E29" s="19"/>
      <c r="F29" s="19"/>
      <c r="G29" s="19"/>
      <c r="H29" s="19"/>
      <c r="I29" s="107"/>
      <c r="J29" s="11"/>
      <c r="K29" s="316"/>
      <c r="L29" s="24" t="s">
        <v>193</v>
      </c>
      <c r="M29" s="12" t="s">
        <v>194</v>
      </c>
      <c r="N29" s="19" t="s">
        <v>1567</v>
      </c>
      <c r="O29" s="19"/>
      <c r="P29" s="19"/>
      <c r="Q29" s="19"/>
      <c r="R29" s="19"/>
      <c r="S29" s="19"/>
      <c r="T29" s="107"/>
      <c r="U29" s="303"/>
      <c r="V29" s="317"/>
      <c r="W29" s="303"/>
      <c r="X29" s="303"/>
      <c r="Y29" s="303"/>
      <c r="Z29" s="303"/>
      <c r="AA29" s="303"/>
      <c r="AB29" s="303"/>
      <c r="AC29" s="303"/>
      <c r="AD29" s="303"/>
    </row>
    <row r="30" spans="1:30" ht="18" customHeight="1">
      <c r="A30" s="24" t="s">
        <v>198</v>
      </c>
      <c r="B30" s="24" t="s">
        <v>199</v>
      </c>
      <c r="C30" s="19" t="s">
        <v>21</v>
      </c>
      <c r="D30" s="19" t="s">
        <v>28</v>
      </c>
      <c r="E30" s="19" t="s">
        <v>28</v>
      </c>
      <c r="F30" s="19" t="s">
        <v>28</v>
      </c>
      <c r="G30" s="19" t="s">
        <v>28</v>
      </c>
      <c r="H30" s="19" t="s">
        <v>28</v>
      </c>
      <c r="I30" s="107" t="s">
        <v>3285</v>
      </c>
      <c r="J30" s="11"/>
      <c r="K30" s="316"/>
      <c r="L30" s="24" t="s">
        <v>200</v>
      </c>
      <c r="M30" s="12" t="s">
        <v>201</v>
      </c>
      <c r="N30" s="19" t="s">
        <v>18</v>
      </c>
      <c r="O30" s="19"/>
      <c r="P30" s="19"/>
      <c r="Q30" s="19"/>
      <c r="R30" s="19"/>
      <c r="S30" s="19"/>
      <c r="T30" s="107"/>
      <c r="U30" s="303"/>
      <c r="V30" s="317"/>
      <c r="W30" s="303"/>
      <c r="X30" s="303"/>
      <c r="Y30" s="303"/>
      <c r="Z30" s="303"/>
      <c r="AA30" s="303"/>
      <c r="AB30" s="303"/>
      <c r="AC30" s="303"/>
      <c r="AD30" s="303"/>
    </row>
    <row r="31" spans="1:30" ht="18" customHeight="1">
      <c r="A31" s="24" t="s">
        <v>205</v>
      </c>
      <c r="B31" s="24" t="s">
        <v>206</v>
      </c>
      <c r="C31" s="19" t="s">
        <v>18</v>
      </c>
      <c r="D31" s="19"/>
      <c r="E31" s="19"/>
      <c r="F31" s="19"/>
      <c r="G31" s="19"/>
      <c r="H31" s="19"/>
      <c r="I31" s="107"/>
      <c r="J31" s="11"/>
      <c r="K31" s="316"/>
      <c r="L31" s="24" t="s">
        <v>207</v>
      </c>
      <c r="M31" s="12" t="s">
        <v>208</v>
      </c>
      <c r="N31" s="19" t="s">
        <v>1567</v>
      </c>
      <c r="O31" s="19" t="s">
        <v>21</v>
      </c>
      <c r="P31" s="19" t="s">
        <v>1567</v>
      </c>
      <c r="Q31" s="19" t="s">
        <v>21</v>
      </c>
      <c r="R31" s="19" t="s">
        <v>1567</v>
      </c>
      <c r="S31" s="19" t="s">
        <v>1567</v>
      </c>
      <c r="T31" s="107" t="s">
        <v>3286</v>
      </c>
      <c r="U31" s="303"/>
      <c r="V31" s="317"/>
      <c r="W31" s="303"/>
      <c r="X31" s="303"/>
      <c r="Y31" s="303"/>
      <c r="Z31" s="303"/>
      <c r="AA31" s="303"/>
      <c r="AB31" s="303"/>
      <c r="AC31" s="303"/>
      <c r="AD31" s="303"/>
    </row>
    <row r="32" spans="1:30" ht="18" customHeight="1">
      <c r="A32" s="24" t="s">
        <v>212</v>
      </c>
      <c r="B32" s="24" t="s">
        <v>213</v>
      </c>
      <c r="C32" s="19" t="s">
        <v>28</v>
      </c>
      <c r="D32" s="19" t="s">
        <v>28</v>
      </c>
      <c r="E32" s="19" t="s">
        <v>21</v>
      </c>
      <c r="F32" s="19" t="s">
        <v>21</v>
      </c>
      <c r="G32" s="19" t="s">
        <v>21</v>
      </c>
      <c r="H32" s="19" t="s">
        <v>21</v>
      </c>
      <c r="I32" s="107" t="s">
        <v>3287</v>
      </c>
      <c r="J32" s="11"/>
      <c r="K32" s="316"/>
      <c r="L32" s="24" t="s">
        <v>214</v>
      </c>
      <c r="M32" s="12" t="s">
        <v>215</v>
      </c>
      <c r="N32" s="19" t="s">
        <v>1562</v>
      </c>
      <c r="O32" s="19"/>
      <c r="P32" s="19"/>
      <c r="Q32" s="19"/>
      <c r="R32" s="19"/>
      <c r="S32" s="19"/>
      <c r="T32" s="107"/>
      <c r="U32" s="303"/>
      <c r="V32" s="317"/>
      <c r="W32" s="303"/>
      <c r="X32" s="303"/>
      <c r="Y32" s="303"/>
      <c r="Z32" s="303"/>
      <c r="AA32" s="303"/>
      <c r="AB32" s="303"/>
      <c r="AC32" s="303"/>
      <c r="AD32" s="303"/>
    </row>
    <row r="33" spans="1:30" ht="18" customHeight="1">
      <c r="A33" s="24" t="s">
        <v>218</v>
      </c>
      <c r="B33" s="24" t="s">
        <v>219</v>
      </c>
      <c r="C33" s="19" t="s">
        <v>21</v>
      </c>
      <c r="D33" s="19" t="s">
        <v>21</v>
      </c>
      <c r="E33" s="19" t="s">
        <v>1567</v>
      </c>
      <c r="F33" s="19" t="s">
        <v>18</v>
      </c>
      <c r="G33" s="19" t="s">
        <v>1567</v>
      </c>
      <c r="H33" s="19" t="s">
        <v>1567</v>
      </c>
      <c r="I33" s="107" t="s">
        <v>3288</v>
      </c>
      <c r="J33" s="11"/>
      <c r="K33" s="316"/>
      <c r="L33" s="24" t="s">
        <v>220</v>
      </c>
      <c r="M33" s="12" t="s">
        <v>221</v>
      </c>
      <c r="N33" s="19" t="s">
        <v>18</v>
      </c>
      <c r="O33" s="19"/>
      <c r="P33" s="19"/>
      <c r="Q33" s="19"/>
      <c r="R33" s="19"/>
      <c r="S33" s="19"/>
      <c r="T33" s="107"/>
      <c r="U33" s="303"/>
      <c r="V33" s="317"/>
      <c r="W33" s="303"/>
      <c r="X33" s="303"/>
      <c r="Y33" s="303"/>
      <c r="Z33" s="303"/>
      <c r="AA33" s="303"/>
      <c r="AB33" s="303"/>
      <c r="AC33" s="303"/>
      <c r="AD33" s="303"/>
    </row>
    <row r="34" spans="1:30" ht="18" customHeight="1">
      <c r="A34" s="24" t="s">
        <v>225</v>
      </c>
      <c r="B34" s="24" t="s">
        <v>226</v>
      </c>
      <c r="C34" s="19" t="s">
        <v>18</v>
      </c>
      <c r="D34" s="19"/>
      <c r="E34" s="19"/>
      <c r="F34" s="19"/>
      <c r="G34" s="19"/>
      <c r="H34" s="19"/>
      <c r="I34" s="107"/>
      <c r="J34" s="11"/>
      <c r="K34" s="316"/>
      <c r="L34" s="24" t="s">
        <v>227</v>
      </c>
      <c r="M34" s="12" t="s">
        <v>228</v>
      </c>
      <c r="N34" s="19" t="s">
        <v>28</v>
      </c>
      <c r="O34" s="19" t="s">
        <v>21</v>
      </c>
      <c r="P34" s="19" t="s">
        <v>1567</v>
      </c>
      <c r="Q34" s="19" t="s">
        <v>21</v>
      </c>
      <c r="R34" s="19" t="s">
        <v>1567</v>
      </c>
      <c r="S34" s="19" t="s">
        <v>1567</v>
      </c>
      <c r="T34" s="107" t="s">
        <v>3289</v>
      </c>
      <c r="U34" s="303"/>
      <c r="V34" s="317"/>
      <c r="W34" s="303"/>
      <c r="X34" s="303"/>
      <c r="Y34" s="303"/>
      <c r="Z34" s="303"/>
      <c r="AA34" s="303"/>
      <c r="AB34" s="303"/>
      <c r="AC34" s="303"/>
      <c r="AD34" s="303"/>
    </row>
    <row r="35" spans="1:30" ht="18" customHeight="1">
      <c r="A35" s="24" t="s">
        <v>232</v>
      </c>
      <c r="B35" s="24" t="s">
        <v>233</v>
      </c>
      <c r="C35" s="19" t="s">
        <v>1661</v>
      </c>
      <c r="D35" s="19"/>
      <c r="E35" s="19"/>
      <c r="F35" s="19"/>
      <c r="G35" s="19"/>
      <c r="H35" s="19"/>
      <c r="I35" s="107" t="s">
        <v>3290</v>
      </c>
      <c r="J35" s="11"/>
      <c r="K35" s="316"/>
      <c r="L35" s="24" t="s">
        <v>234</v>
      </c>
      <c r="M35" s="12" t="s">
        <v>68</v>
      </c>
      <c r="N35" s="19" t="s">
        <v>1567</v>
      </c>
      <c r="O35" s="19" t="s">
        <v>21</v>
      </c>
      <c r="P35" s="19" t="s">
        <v>21</v>
      </c>
      <c r="Q35" s="19" t="s">
        <v>21</v>
      </c>
      <c r="R35" s="19" t="s">
        <v>21</v>
      </c>
      <c r="S35" s="19" t="s">
        <v>21</v>
      </c>
      <c r="T35" s="107" t="s">
        <v>3291</v>
      </c>
      <c r="U35" s="303"/>
      <c r="V35" s="317"/>
      <c r="W35" s="303"/>
      <c r="X35" s="303"/>
      <c r="Y35" s="303"/>
      <c r="Z35" s="303"/>
      <c r="AA35" s="303"/>
      <c r="AB35" s="303"/>
      <c r="AC35" s="303"/>
      <c r="AD35" s="303"/>
    </row>
    <row r="36" spans="1:30" ht="18" customHeight="1">
      <c r="A36" s="24" t="s">
        <v>238</v>
      </c>
      <c r="B36" s="24" t="s">
        <v>239</v>
      </c>
      <c r="C36" s="19" t="s">
        <v>21</v>
      </c>
      <c r="D36" s="19" t="s">
        <v>28</v>
      </c>
      <c r="E36" s="19" t="s">
        <v>28</v>
      </c>
      <c r="F36" s="19" t="s">
        <v>28</v>
      </c>
      <c r="G36" s="19" t="s">
        <v>28</v>
      </c>
      <c r="H36" s="19" t="s">
        <v>28</v>
      </c>
      <c r="I36" s="107" t="s">
        <v>3292</v>
      </c>
      <c r="J36" s="11"/>
      <c r="K36" s="316"/>
      <c r="L36" s="24" t="s">
        <v>240</v>
      </c>
      <c r="M36" s="12" t="s">
        <v>241</v>
      </c>
      <c r="N36" s="19" t="s">
        <v>18</v>
      </c>
      <c r="O36" s="19"/>
      <c r="P36" s="19"/>
      <c r="Q36" s="19"/>
      <c r="R36" s="19"/>
      <c r="S36" s="19"/>
      <c r="T36" s="107"/>
      <c r="U36" s="303"/>
      <c r="V36" s="317"/>
      <c r="W36" s="303"/>
      <c r="X36" s="303"/>
      <c r="Y36" s="303"/>
      <c r="Z36" s="303"/>
      <c r="AA36" s="303"/>
      <c r="AB36" s="303"/>
      <c r="AC36" s="303"/>
      <c r="AD36" s="303"/>
    </row>
    <row r="37" spans="1:30" ht="18" customHeight="1">
      <c r="A37" s="24" t="s">
        <v>243</v>
      </c>
      <c r="B37" s="24" t="s">
        <v>244</v>
      </c>
      <c r="C37" s="19" t="s">
        <v>18</v>
      </c>
      <c r="D37" s="19"/>
      <c r="E37" s="19"/>
      <c r="F37" s="19"/>
      <c r="G37" s="19"/>
      <c r="H37" s="19"/>
      <c r="I37" s="107"/>
      <c r="J37" s="11"/>
      <c r="K37" s="316"/>
      <c r="L37" s="24" t="s">
        <v>245</v>
      </c>
      <c r="M37" s="12" t="s">
        <v>246</v>
      </c>
      <c r="N37" s="19" t="s">
        <v>18</v>
      </c>
      <c r="O37" s="19"/>
      <c r="P37" s="19"/>
      <c r="Q37" s="19"/>
      <c r="R37" s="19"/>
      <c r="S37" s="19"/>
      <c r="T37" s="107"/>
      <c r="U37" s="303"/>
      <c r="V37" s="317"/>
      <c r="W37" s="303"/>
      <c r="X37" s="303"/>
      <c r="Y37" s="303"/>
      <c r="Z37" s="303"/>
      <c r="AA37" s="303"/>
      <c r="AB37" s="303"/>
      <c r="AC37" s="303"/>
      <c r="AD37" s="303"/>
    </row>
    <row r="38" spans="1:30" ht="18" customHeight="1">
      <c r="A38" s="24" t="s">
        <v>250</v>
      </c>
      <c r="B38" s="24" t="s">
        <v>80</v>
      </c>
      <c r="C38" s="19" t="s">
        <v>28</v>
      </c>
      <c r="D38" s="19" t="s">
        <v>28</v>
      </c>
      <c r="E38" s="19" t="s">
        <v>28</v>
      </c>
      <c r="F38" s="19" t="s">
        <v>28</v>
      </c>
      <c r="G38" s="19" t="s">
        <v>21</v>
      </c>
      <c r="H38" s="19" t="s">
        <v>28</v>
      </c>
      <c r="I38" s="107" t="s">
        <v>3293</v>
      </c>
      <c r="J38" s="11"/>
      <c r="K38" s="316"/>
      <c r="L38" s="24" t="s">
        <v>251</v>
      </c>
      <c r="M38" s="12" t="s">
        <v>252</v>
      </c>
      <c r="N38" s="19" t="s">
        <v>18</v>
      </c>
      <c r="O38" s="19"/>
      <c r="P38" s="19"/>
      <c r="Q38" s="19"/>
      <c r="R38" s="19"/>
      <c r="S38" s="19"/>
      <c r="T38" s="107"/>
      <c r="U38" s="303"/>
      <c r="V38" s="317"/>
      <c r="W38" s="303"/>
      <c r="X38" s="303"/>
      <c r="Y38" s="303"/>
      <c r="Z38" s="303"/>
      <c r="AA38" s="303"/>
      <c r="AB38" s="303"/>
      <c r="AC38" s="303"/>
      <c r="AD38" s="303"/>
    </row>
    <row r="39" spans="1:30" ht="18" customHeight="1">
      <c r="A39" s="24" t="s">
        <v>256</v>
      </c>
      <c r="B39" s="24" t="s">
        <v>257</v>
      </c>
      <c r="C39" s="19" t="s">
        <v>18</v>
      </c>
      <c r="D39" s="19"/>
      <c r="E39" s="19"/>
      <c r="F39" s="19"/>
      <c r="G39" s="19"/>
      <c r="H39" s="19"/>
      <c r="I39" s="107"/>
      <c r="J39" s="11"/>
      <c r="K39" s="316"/>
      <c r="L39" s="24" t="s">
        <v>258</v>
      </c>
      <c r="M39" s="12" t="s">
        <v>259</v>
      </c>
      <c r="N39" s="19" t="s">
        <v>21</v>
      </c>
      <c r="O39" s="19" t="s">
        <v>21</v>
      </c>
      <c r="P39" s="19" t="s">
        <v>21</v>
      </c>
      <c r="Q39" s="19" t="s">
        <v>21</v>
      </c>
      <c r="R39" s="19" t="s">
        <v>21</v>
      </c>
      <c r="S39" s="19" t="s">
        <v>21</v>
      </c>
      <c r="T39" s="107"/>
      <c r="U39" s="303"/>
      <c r="V39" s="317"/>
      <c r="W39" s="303"/>
      <c r="X39" s="303"/>
      <c r="Y39" s="303"/>
      <c r="Z39" s="303"/>
      <c r="AA39" s="303"/>
      <c r="AB39" s="303"/>
      <c r="AC39" s="303"/>
      <c r="AD39" s="303"/>
    </row>
    <row r="40" spans="1:30" ht="18" customHeight="1">
      <c r="A40" s="24" t="s">
        <v>263</v>
      </c>
      <c r="B40" s="24" t="s">
        <v>264</v>
      </c>
      <c r="C40" s="19" t="s">
        <v>1574</v>
      </c>
      <c r="D40" s="19"/>
      <c r="E40" s="19"/>
      <c r="F40" s="19"/>
      <c r="G40" s="19"/>
      <c r="H40" s="19"/>
      <c r="I40" s="107"/>
      <c r="J40" s="11"/>
      <c r="K40" s="316"/>
      <c r="L40" s="24" t="s">
        <v>265</v>
      </c>
      <c r="M40" s="12" t="s">
        <v>266</v>
      </c>
      <c r="N40" s="19" t="s">
        <v>1562</v>
      </c>
      <c r="O40" s="19"/>
      <c r="P40" s="19"/>
      <c r="Q40" s="19"/>
      <c r="R40" s="19"/>
      <c r="S40" s="19"/>
      <c r="T40" s="107"/>
      <c r="U40" s="303"/>
      <c r="V40" s="317"/>
      <c r="W40" s="303"/>
      <c r="X40" s="303"/>
      <c r="Y40" s="303"/>
      <c r="Z40" s="303"/>
      <c r="AA40" s="303"/>
      <c r="AB40" s="303"/>
      <c r="AC40" s="303"/>
      <c r="AD40" s="303"/>
    </row>
    <row r="41" spans="1:30" ht="18" customHeight="1">
      <c r="A41" s="24" t="s">
        <v>269</v>
      </c>
      <c r="B41" s="111" t="s">
        <v>270</v>
      </c>
      <c r="C41" s="19" t="s">
        <v>1562</v>
      </c>
      <c r="D41" s="19"/>
      <c r="E41" s="19"/>
      <c r="F41" s="19"/>
      <c r="G41" s="19"/>
      <c r="H41" s="19"/>
      <c r="I41" s="107"/>
      <c r="J41" s="11"/>
      <c r="K41" s="316"/>
      <c r="L41" s="24" t="s">
        <v>271</v>
      </c>
      <c r="M41" s="12" t="s">
        <v>272</v>
      </c>
      <c r="N41" s="19" t="s">
        <v>17</v>
      </c>
      <c r="O41" s="19" t="s">
        <v>28</v>
      </c>
      <c r="P41" s="19" t="s">
        <v>28</v>
      </c>
      <c r="Q41" s="19" t="s">
        <v>28</v>
      </c>
      <c r="R41" s="19" t="s">
        <v>28</v>
      </c>
      <c r="S41" s="19" t="s">
        <v>28</v>
      </c>
      <c r="T41" s="107" t="s">
        <v>3294</v>
      </c>
      <c r="U41" s="303"/>
      <c r="V41" s="317"/>
      <c r="W41" s="303"/>
      <c r="X41" s="303"/>
      <c r="Y41" s="303"/>
      <c r="Z41" s="303"/>
      <c r="AA41" s="303"/>
      <c r="AB41" s="303"/>
      <c r="AC41" s="303"/>
      <c r="AD41" s="303"/>
    </row>
    <row r="42" spans="1:30" ht="18" customHeight="1">
      <c r="A42" s="24" t="s">
        <v>274</v>
      </c>
      <c r="B42" s="24" t="s">
        <v>275</v>
      </c>
      <c r="C42" s="19" t="s">
        <v>1574</v>
      </c>
      <c r="D42" s="19"/>
      <c r="E42" s="19"/>
      <c r="F42" s="19"/>
      <c r="G42" s="19"/>
      <c r="H42" s="19"/>
      <c r="I42" s="107"/>
      <c r="J42" s="11"/>
      <c r="K42" s="316"/>
      <c r="L42" s="24" t="s">
        <v>121</v>
      </c>
      <c r="M42" s="12" t="s">
        <v>122</v>
      </c>
      <c r="N42" s="19" t="s">
        <v>18</v>
      </c>
      <c r="O42" s="19"/>
      <c r="P42" s="19"/>
      <c r="Q42" s="19"/>
      <c r="R42" s="19"/>
      <c r="S42" s="19"/>
      <c r="T42" s="107"/>
      <c r="U42" s="303"/>
      <c r="V42" s="317"/>
      <c r="W42" s="303"/>
      <c r="X42" s="303"/>
      <c r="Y42" s="303"/>
      <c r="Z42" s="303"/>
      <c r="AA42" s="303"/>
      <c r="AB42" s="303"/>
      <c r="AC42" s="303"/>
      <c r="AD42" s="303"/>
    </row>
    <row r="43" spans="1:30" ht="34">
      <c r="A43" s="24" t="s">
        <v>279</v>
      </c>
      <c r="B43" s="24" t="s">
        <v>280</v>
      </c>
      <c r="C43" s="19" t="s">
        <v>28</v>
      </c>
      <c r="D43" s="19" t="s">
        <v>28</v>
      </c>
      <c r="E43" s="19" t="s">
        <v>28</v>
      </c>
      <c r="F43" s="19" t="s">
        <v>28</v>
      </c>
      <c r="G43" s="19" t="s">
        <v>28</v>
      </c>
      <c r="H43" s="19" t="s">
        <v>28</v>
      </c>
      <c r="I43" s="107" t="s">
        <v>3295</v>
      </c>
      <c r="J43" s="11"/>
      <c r="K43" s="316"/>
      <c r="L43" s="24" t="s">
        <v>281</v>
      </c>
      <c r="M43" s="12" t="s">
        <v>282</v>
      </c>
      <c r="N43" s="19" t="s">
        <v>28</v>
      </c>
      <c r="O43" s="19" t="s">
        <v>28</v>
      </c>
      <c r="P43" s="19" t="s">
        <v>28</v>
      </c>
      <c r="Q43" s="19" t="s">
        <v>28</v>
      </c>
      <c r="R43" s="19" t="s">
        <v>28</v>
      </c>
      <c r="S43" s="19" t="s">
        <v>28</v>
      </c>
      <c r="T43" s="107" t="s">
        <v>3296</v>
      </c>
      <c r="U43" s="303"/>
      <c r="V43" s="317"/>
      <c r="W43" s="303"/>
      <c r="X43" s="303"/>
      <c r="Y43" s="303"/>
      <c r="Z43" s="303"/>
      <c r="AA43" s="303"/>
      <c r="AB43" s="303"/>
      <c r="AC43" s="303"/>
      <c r="AD43" s="303"/>
    </row>
    <row r="44" spans="1:30" ht="21">
      <c r="A44" s="24" t="s">
        <v>286</v>
      </c>
      <c r="B44" s="24" t="s">
        <v>54</v>
      </c>
      <c r="C44" s="19" t="s">
        <v>21</v>
      </c>
      <c r="D44" s="19" t="s">
        <v>1567</v>
      </c>
      <c r="E44" s="19" t="s">
        <v>1567</v>
      </c>
      <c r="F44" s="19" t="s">
        <v>1567</v>
      </c>
      <c r="G44" s="19" t="s">
        <v>21</v>
      </c>
      <c r="H44" s="19" t="s">
        <v>1567</v>
      </c>
      <c r="I44" s="107" t="s">
        <v>3297</v>
      </c>
      <c r="J44" s="11"/>
      <c r="K44" s="316"/>
      <c r="L44" s="24" t="s">
        <v>287</v>
      </c>
      <c r="M44" s="12" t="s">
        <v>288</v>
      </c>
      <c r="N44" s="19" t="s">
        <v>18</v>
      </c>
      <c r="O44" s="19"/>
      <c r="P44" s="19"/>
      <c r="Q44" s="19"/>
      <c r="R44" s="19"/>
      <c r="S44" s="19"/>
      <c r="T44" s="107"/>
      <c r="U44" s="303"/>
      <c r="V44" s="317"/>
      <c r="W44" s="303"/>
      <c r="X44" s="303"/>
      <c r="Y44" s="303"/>
      <c r="Z44" s="303"/>
      <c r="AA44" s="303"/>
      <c r="AB44" s="303"/>
      <c r="AC44" s="303"/>
      <c r="AD44" s="303"/>
    </row>
    <row r="45" spans="1:30" ht="34">
      <c r="A45" s="24" t="s">
        <v>292</v>
      </c>
      <c r="B45" s="24" t="s">
        <v>293</v>
      </c>
      <c r="C45" s="19" t="s">
        <v>18</v>
      </c>
      <c r="D45" s="19"/>
      <c r="E45" s="19"/>
      <c r="F45" s="19"/>
      <c r="G45" s="19"/>
      <c r="H45" s="19"/>
      <c r="I45" s="107"/>
      <c r="J45" s="11"/>
      <c r="K45" s="316"/>
      <c r="L45" s="24" t="s">
        <v>294</v>
      </c>
      <c r="M45" s="12" t="s">
        <v>295</v>
      </c>
      <c r="N45" s="19" t="s">
        <v>1567</v>
      </c>
      <c r="O45" s="19" t="s">
        <v>1567</v>
      </c>
      <c r="P45" s="19" t="s">
        <v>1567</v>
      </c>
      <c r="Q45" s="19" t="s">
        <v>1567</v>
      </c>
      <c r="R45" s="19" t="s">
        <v>1567</v>
      </c>
      <c r="S45" s="19" t="s">
        <v>1567</v>
      </c>
      <c r="T45" s="107" t="s">
        <v>3298</v>
      </c>
      <c r="U45" s="303"/>
      <c r="V45" s="317"/>
      <c r="W45" s="303"/>
      <c r="X45" s="303"/>
      <c r="Y45" s="303"/>
      <c r="Z45" s="303"/>
      <c r="AA45" s="303"/>
      <c r="AB45" s="303"/>
      <c r="AC45" s="303"/>
      <c r="AD45" s="303"/>
    </row>
    <row r="46" spans="1:30" ht="34">
      <c r="A46" s="24" t="s">
        <v>298</v>
      </c>
      <c r="B46" s="24" t="s">
        <v>299</v>
      </c>
      <c r="C46" s="19" t="s">
        <v>18</v>
      </c>
      <c r="D46" s="19"/>
      <c r="E46" s="19"/>
      <c r="F46" s="19"/>
      <c r="G46" s="19"/>
      <c r="H46" s="19"/>
      <c r="I46" s="107"/>
      <c r="J46" s="11"/>
      <c r="K46" s="316"/>
      <c r="L46" s="24" t="s">
        <v>39</v>
      </c>
      <c r="M46" s="12" t="s">
        <v>40</v>
      </c>
      <c r="N46" s="19" t="s">
        <v>28</v>
      </c>
      <c r="O46" s="19" t="s">
        <v>28</v>
      </c>
      <c r="P46" s="19" t="s">
        <v>28</v>
      </c>
      <c r="Q46" s="19" t="s">
        <v>28</v>
      </c>
      <c r="R46" s="19" t="s">
        <v>28</v>
      </c>
      <c r="S46" s="19" t="s">
        <v>28</v>
      </c>
      <c r="T46" s="107" t="s">
        <v>3299</v>
      </c>
      <c r="U46" s="303"/>
      <c r="V46" s="317"/>
      <c r="W46" s="303"/>
      <c r="X46" s="303"/>
      <c r="Y46" s="303"/>
      <c r="Z46" s="303"/>
      <c r="AA46" s="303"/>
      <c r="AB46" s="303"/>
      <c r="AC46" s="303"/>
      <c r="AD46" s="303"/>
    </row>
    <row r="47" spans="1:30" ht="21">
      <c r="A47" s="24" t="s">
        <v>302</v>
      </c>
      <c r="B47" s="24" t="s">
        <v>303</v>
      </c>
      <c r="C47" s="19" t="s">
        <v>1567</v>
      </c>
      <c r="D47" s="19" t="s">
        <v>21</v>
      </c>
      <c r="E47" s="19" t="s">
        <v>21</v>
      </c>
      <c r="F47" s="19" t="s">
        <v>21</v>
      </c>
      <c r="G47" s="19" t="s">
        <v>1567</v>
      </c>
      <c r="H47" s="19" t="s">
        <v>21</v>
      </c>
      <c r="I47" s="107" t="s">
        <v>3300</v>
      </c>
      <c r="J47" s="11"/>
      <c r="K47" s="316"/>
      <c r="L47" s="24" t="s">
        <v>304</v>
      </c>
      <c r="M47" s="12" t="s">
        <v>305</v>
      </c>
      <c r="N47" s="19" t="s">
        <v>18</v>
      </c>
      <c r="O47" s="19"/>
      <c r="P47" s="19"/>
      <c r="Q47" s="19"/>
      <c r="R47" s="19"/>
      <c r="S47" s="19"/>
      <c r="T47" s="107"/>
      <c r="U47" s="303"/>
      <c r="V47" s="317"/>
      <c r="W47" s="303"/>
      <c r="X47" s="303"/>
      <c r="Y47" s="303"/>
      <c r="Z47" s="303"/>
      <c r="AA47" s="303"/>
      <c r="AB47" s="303"/>
      <c r="AC47" s="303"/>
      <c r="AD47" s="303"/>
    </row>
    <row r="48" spans="1:30" ht="34">
      <c r="A48" s="24" t="s">
        <v>309</v>
      </c>
      <c r="B48" s="24" t="s">
        <v>310</v>
      </c>
      <c r="C48" s="19" t="s">
        <v>18</v>
      </c>
      <c r="D48" s="19"/>
      <c r="E48" s="19"/>
      <c r="F48" s="19"/>
      <c r="G48" s="19"/>
      <c r="H48" s="19"/>
      <c r="I48" s="107"/>
      <c r="J48" s="11"/>
      <c r="K48" s="316"/>
      <c r="L48" s="24" t="s">
        <v>311</v>
      </c>
      <c r="M48" s="12" t="s">
        <v>312</v>
      </c>
      <c r="N48" s="19" t="s">
        <v>1567</v>
      </c>
      <c r="O48" s="19" t="s">
        <v>21</v>
      </c>
      <c r="P48" s="19" t="s">
        <v>21</v>
      </c>
      <c r="Q48" s="19" t="s">
        <v>1567</v>
      </c>
      <c r="R48" s="19" t="s">
        <v>1567</v>
      </c>
      <c r="S48" s="19" t="s">
        <v>1567</v>
      </c>
      <c r="T48" s="107" t="s">
        <v>3301</v>
      </c>
      <c r="U48" s="303"/>
      <c r="V48" s="317"/>
      <c r="W48" s="303"/>
      <c r="X48" s="303"/>
      <c r="Y48" s="303"/>
      <c r="Z48" s="303"/>
      <c r="AA48" s="303"/>
      <c r="AB48" s="303"/>
      <c r="AC48" s="303"/>
      <c r="AD48" s="303"/>
    </row>
    <row r="49" spans="1:30" ht="51">
      <c r="A49" s="24" t="s">
        <v>315</v>
      </c>
      <c r="B49" s="24" t="s">
        <v>316</v>
      </c>
      <c r="C49" s="19" t="s">
        <v>1562</v>
      </c>
      <c r="D49" s="19"/>
      <c r="E49" s="19"/>
      <c r="F49" s="19"/>
      <c r="G49" s="19"/>
      <c r="H49" s="19"/>
      <c r="I49" s="107"/>
      <c r="J49" s="11"/>
      <c r="K49" s="316"/>
      <c r="L49" s="24" t="s">
        <v>317</v>
      </c>
      <c r="M49" s="12" t="s">
        <v>318</v>
      </c>
      <c r="N49" s="19" t="s">
        <v>21</v>
      </c>
      <c r="O49" s="19" t="s">
        <v>28</v>
      </c>
      <c r="P49" s="19" t="s">
        <v>28</v>
      </c>
      <c r="Q49" s="19" t="s">
        <v>28</v>
      </c>
      <c r="R49" s="19" t="s">
        <v>28</v>
      </c>
      <c r="S49" s="19" t="s">
        <v>28</v>
      </c>
      <c r="T49" s="107" t="s">
        <v>3302</v>
      </c>
      <c r="U49" s="303"/>
      <c r="V49" s="317"/>
      <c r="W49" s="303"/>
      <c r="X49" s="303"/>
      <c r="Y49" s="303"/>
      <c r="Z49" s="303"/>
      <c r="AA49" s="303"/>
      <c r="AB49" s="303"/>
      <c r="AC49" s="303"/>
      <c r="AD49" s="303"/>
    </row>
    <row r="50" spans="1:30" ht="21">
      <c r="A50" s="24" t="s">
        <v>322</v>
      </c>
      <c r="B50" s="24" t="s">
        <v>162</v>
      </c>
      <c r="C50" s="19" t="s">
        <v>28</v>
      </c>
      <c r="D50" s="19" t="s">
        <v>28</v>
      </c>
      <c r="E50" s="19" t="s">
        <v>28</v>
      </c>
      <c r="F50" s="19" t="s">
        <v>28</v>
      </c>
      <c r="G50" s="19" t="s">
        <v>28</v>
      </c>
      <c r="H50" s="19" t="s">
        <v>28</v>
      </c>
      <c r="I50" s="107" t="s">
        <v>3303</v>
      </c>
      <c r="J50" s="11"/>
      <c r="K50" s="316"/>
      <c r="L50" s="24" t="s">
        <v>323</v>
      </c>
      <c r="M50" s="12" t="s">
        <v>185</v>
      </c>
      <c r="N50" s="19" t="s">
        <v>21</v>
      </c>
      <c r="O50" s="19" t="s">
        <v>1567</v>
      </c>
      <c r="P50" s="19" t="s">
        <v>1567</v>
      </c>
      <c r="Q50" s="19" t="s">
        <v>1567</v>
      </c>
      <c r="R50" s="19" t="s">
        <v>1567</v>
      </c>
      <c r="S50" s="19" t="s">
        <v>1567</v>
      </c>
      <c r="T50" s="107" t="s">
        <v>3304</v>
      </c>
      <c r="U50" s="303"/>
      <c r="V50" s="317"/>
      <c r="W50" s="303"/>
      <c r="X50" s="303"/>
      <c r="Y50" s="303"/>
      <c r="Z50" s="303"/>
      <c r="AA50" s="303"/>
      <c r="AB50" s="303"/>
      <c r="AC50" s="303"/>
      <c r="AD50" s="303"/>
    </row>
    <row r="51" spans="1:30" ht="34">
      <c r="A51" s="24" t="s">
        <v>326</v>
      </c>
      <c r="B51" s="24" t="s">
        <v>94</v>
      </c>
      <c r="C51" s="19" t="s">
        <v>1567</v>
      </c>
      <c r="D51" s="19" t="s">
        <v>1567</v>
      </c>
      <c r="E51" s="19" t="s">
        <v>21</v>
      </c>
      <c r="F51" s="19" t="s">
        <v>21</v>
      </c>
      <c r="G51" s="19" t="s">
        <v>21</v>
      </c>
      <c r="H51" s="19" t="s">
        <v>21</v>
      </c>
      <c r="I51" s="107" t="s">
        <v>3305</v>
      </c>
      <c r="J51" s="11"/>
      <c r="K51" s="316"/>
      <c r="L51" s="24" t="s">
        <v>327</v>
      </c>
      <c r="M51" s="12" t="s">
        <v>328</v>
      </c>
      <c r="N51" s="19" t="s">
        <v>1567</v>
      </c>
      <c r="O51" s="19" t="s">
        <v>21</v>
      </c>
      <c r="P51" s="19" t="s">
        <v>21</v>
      </c>
      <c r="Q51" s="19" t="s">
        <v>21</v>
      </c>
      <c r="R51" s="19" t="s">
        <v>21</v>
      </c>
      <c r="S51" s="19" t="s">
        <v>21</v>
      </c>
      <c r="T51" s="107" t="s">
        <v>3306</v>
      </c>
      <c r="U51" s="303"/>
      <c r="V51" s="317"/>
      <c r="W51" s="303"/>
      <c r="X51" s="303"/>
      <c r="Y51" s="303"/>
      <c r="Z51" s="303"/>
      <c r="AA51" s="303"/>
      <c r="AB51" s="303"/>
      <c r="AC51" s="303"/>
      <c r="AD51" s="303"/>
    </row>
    <row r="52" spans="1:30" ht="34">
      <c r="A52" s="24" t="s">
        <v>331</v>
      </c>
      <c r="B52" s="24" t="s">
        <v>332</v>
      </c>
      <c r="C52" s="19" t="s">
        <v>1562</v>
      </c>
      <c r="D52" s="19"/>
      <c r="E52" s="19"/>
      <c r="F52" s="19"/>
      <c r="G52" s="19"/>
      <c r="H52" s="19"/>
      <c r="I52" s="107"/>
      <c r="J52" s="11"/>
      <c r="K52" s="316"/>
      <c r="L52" s="24" t="s">
        <v>217</v>
      </c>
      <c r="M52" s="12" t="s">
        <v>68</v>
      </c>
      <c r="N52" s="19" t="s">
        <v>21</v>
      </c>
      <c r="O52" s="19" t="s">
        <v>21</v>
      </c>
      <c r="P52" s="19" t="s">
        <v>21</v>
      </c>
      <c r="Q52" s="19" t="s">
        <v>21</v>
      </c>
      <c r="R52" s="19" t="s">
        <v>21</v>
      </c>
      <c r="S52" s="19" t="s">
        <v>21</v>
      </c>
      <c r="T52" s="107" t="s">
        <v>3307</v>
      </c>
      <c r="U52" s="303"/>
      <c r="V52" s="317"/>
      <c r="W52" s="303"/>
      <c r="X52" s="303"/>
      <c r="Y52" s="303"/>
      <c r="Z52" s="303"/>
      <c r="AA52" s="303"/>
      <c r="AB52" s="303"/>
      <c r="AC52" s="303"/>
      <c r="AD52" s="303"/>
    </row>
    <row r="53" spans="1:30" ht="21">
      <c r="A53" s="24" t="s">
        <v>334</v>
      </c>
      <c r="B53" s="24" t="s">
        <v>335</v>
      </c>
      <c r="C53" s="19" t="s">
        <v>21</v>
      </c>
      <c r="D53" s="19" t="s">
        <v>18</v>
      </c>
      <c r="E53" s="19" t="s">
        <v>18</v>
      </c>
      <c r="F53" s="19" t="s">
        <v>1567</v>
      </c>
      <c r="G53" s="19" t="s">
        <v>18</v>
      </c>
      <c r="H53" s="19" t="s">
        <v>18</v>
      </c>
      <c r="I53" s="107"/>
      <c r="J53" s="11"/>
      <c r="K53" s="316"/>
      <c r="L53" s="24" t="s">
        <v>336</v>
      </c>
      <c r="M53" s="12" t="s">
        <v>337</v>
      </c>
      <c r="N53" s="19" t="s">
        <v>18</v>
      </c>
      <c r="O53" s="19"/>
      <c r="P53" s="19"/>
      <c r="Q53" s="19"/>
      <c r="R53" s="19"/>
      <c r="S53" s="19"/>
      <c r="T53" s="107"/>
      <c r="U53" s="303"/>
      <c r="V53" s="317"/>
      <c r="W53" s="303"/>
      <c r="X53" s="303"/>
      <c r="Y53" s="303"/>
      <c r="Z53" s="303"/>
      <c r="AA53" s="303"/>
      <c r="AB53" s="303"/>
      <c r="AC53" s="303"/>
      <c r="AD53" s="303"/>
    </row>
    <row r="54" spans="1:30" ht="21">
      <c r="A54" s="24" t="s">
        <v>339</v>
      </c>
      <c r="B54" s="24" t="s">
        <v>340</v>
      </c>
      <c r="C54" s="19" t="s">
        <v>1574</v>
      </c>
      <c r="D54" s="19"/>
      <c r="E54" s="19"/>
      <c r="F54" s="19"/>
      <c r="G54" s="19"/>
      <c r="H54" s="19"/>
      <c r="I54" s="107"/>
      <c r="J54" s="11"/>
      <c r="K54" s="316"/>
      <c r="L54" s="24" t="s">
        <v>341</v>
      </c>
      <c r="M54" s="12" t="s">
        <v>342</v>
      </c>
      <c r="N54" s="19" t="s">
        <v>28</v>
      </c>
      <c r="O54" s="19" t="s">
        <v>21</v>
      </c>
      <c r="P54" s="19" t="s">
        <v>21</v>
      </c>
      <c r="Q54" s="19" t="s">
        <v>28</v>
      </c>
      <c r="R54" s="19" t="s">
        <v>21</v>
      </c>
      <c r="S54" s="19" t="s">
        <v>21</v>
      </c>
      <c r="T54" s="107" t="s">
        <v>3308</v>
      </c>
      <c r="U54" s="303"/>
      <c r="V54" s="317"/>
      <c r="W54" s="303"/>
      <c r="X54" s="303"/>
      <c r="Y54" s="303"/>
      <c r="Z54" s="303"/>
      <c r="AA54" s="303"/>
      <c r="AB54" s="303"/>
      <c r="AC54" s="303"/>
      <c r="AD54" s="303"/>
    </row>
    <row r="55" spans="1:30" ht="21">
      <c r="A55" s="24" t="s">
        <v>346</v>
      </c>
      <c r="B55" s="24" t="s">
        <v>347</v>
      </c>
      <c r="C55" s="19" t="s">
        <v>21</v>
      </c>
      <c r="D55" s="19" t="s">
        <v>21</v>
      </c>
      <c r="E55" s="19" t="s">
        <v>28</v>
      </c>
      <c r="F55" s="19" t="s">
        <v>28</v>
      </c>
      <c r="G55" s="19" t="s">
        <v>21</v>
      </c>
      <c r="H55" s="19" t="s">
        <v>28</v>
      </c>
      <c r="I55" s="107" t="s">
        <v>3309</v>
      </c>
      <c r="J55" s="11"/>
      <c r="K55" s="316"/>
      <c r="L55" s="24" t="s">
        <v>348</v>
      </c>
      <c r="M55" s="12" t="s">
        <v>349</v>
      </c>
      <c r="N55" s="19" t="s">
        <v>17</v>
      </c>
      <c r="O55" s="19" t="s">
        <v>17</v>
      </c>
      <c r="P55" s="19" t="s">
        <v>28</v>
      </c>
      <c r="Q55" s="19" t="s">
        <v>17</v>
      </c>
      <c r="R55" s="19" t="s">
        <v>17</v>
      </c>
      <c r="S55" s="19" t="s">
        <v>17</v>
      </c>
      <c r="T55" s="107" t="s">
        <v>3310</v>
      </c>
      <c r="U55" s="303"/>
      <c r="V55" s="317"/>
      <c r="W55" s="303"/>
      <c r="X55" s="303"/>
      <c r="Y55" s="303"/>
      <c r="Z55" s="303"/>
      <c r="AA55" s="303"/>
      <c r="AB55" s="303"/>
      <c r="AC55" s="303"/>
      <c r="AD55" s="303"/>
    </row>
    <row r="56" spans="1:30" ht="21">
      <c r="A56" s="24" t="s">
        <v>353</v>
      </c>
      <c r="B56" s="24" t="s">
        <v>354</v>
      </c>
      <c r="C56" s="19" t="s">
        <v>1574</v>
      </c>
      <c r="D56" s="19"/>
      <c r="E56" s="19"/>
      <c r="F56" s="19"/>
      <c r="G56" s="19"/>
      <c r="H56" s="19"/>
      <c r="I56" s="107"/>
      <c r="J56" s="11"/>
      <c r="K56" s="316"/>
      <c r="L56" s="24" t="s">
        <v>355</v>
      </c>
      <c r="M56" s="12" t="s">
        <v>356</v>
      </c>
      <c r="N56" s="19" t="s">
        <v>21</v>
      </c>
      <c r="O56" s="19" t="s">
        <v>21</v>
      </c>
      <c r="P56" s="19" t="s">
        <v>21</v>
      </c>
      <c r="Q56" s="19" t="s">
        <v>21</v>
      </c>
      <c r="R56" s="19" t="s">
        <v>21</v>
      </c>
      <c r="S56" s="19" t="s">
        <v>21</v>
      </c>
      <c r="T56" s="107" t="s">
        <v>3311</v>
      </c>
      <c r="U56" s="303"/>
      <c r="V56" s="317"/>
      <c r="W56" s="303"/>
      <c r="X56" s="303"/>
      <c r="Y56" s="303"/>
      <c r="Z56" s="303"/>
      <c r="AA56" s="303"/>
      <c r="AB56" s="303"/>
      <c r="AC56" s="303"/>
      <c r="AD56" s="303"/>
    </row>
    <row r="57" spans="1:30" ht="34">
      <c r="A57" s="24" t="s">
        <v>358</v>
      </c>
      <c r="B57" s="24" t="s">
        <v>359</v>
      </c>
      <c r="C57" s="19" t="s">
        <v>28</v>
      </c>
      <c r="D57" s="19" t="s">
        <v>28</v>
      </c>
      <c r="E57" s="19" t="s">
        <v>28</v>
      </c>
      <c r="F57" s="19" t="s">
        <v>28</v>
      </c>
      <c r="G57" s="19" t="s">
        <v>28</v>
      </c>
      <c r="H57" s="19" t="s">
        <v>28</v>
      </c>
      <c r="I57" s="107" t="s">
        <v>3312</v>
      </c>
      <c r="J57" s="11"/>
      <c r="K57" s="316"/>
      <c r="L57" s="24" t="s">
        <v>360</v>
      </c>
      <c r="M57" s="12" t="s">
        <v>361</v>
      </c>
      <c r="N57" s="19" t="s">
        <v>1567</v>
      </c>
      <c r="O57" s="19" t="s">
        <v>1567</v>
      </c>
      <c r="P57" s="19" t="s">
        <v>1567</v>
      </c>
      <c r="Q57" s="19" t="s">
        <v>21</v>
      </c>
      <c r="R57" s="19" t="s">
        <v>21</v>
      </c>
      <c r="S57" s="19" t="s">
        <v>21</v>
      </c>
      <c r="T57" s="107" t="s">
        <v>3313</v>
      </c>
      <c r="U57" s="303"/>
      <c r="V57" s="317"/>
      <c r="W57" s="303"/>
      <c r="X57" s="303"/>
      <c r="Y57" s="303"/>
      <c r="Z57" s="303"/>
      <c r="AA57" s="303"/>
      <c r="AB57" s="303"/>
      <c r="AC57" s="303"/>
      <c r="AD57" s="303"/>
    </row>
    <row r="58" spans="1:30" ht="21">
      <c r="A58" s="24" t="s">
        <v>365</v>
      </c>
      <c r="B58" s="24" t="s">
        <v>366</v>
      </c>
      <c r="C58" s="19" t="s">
        <v>1574</v>
      </c>
      <c r="D58" s="19"/>
      <c r="E58" s="19"/>
      <c r="F58" s="19"/>
      <c r="G58" s="19"/>
      <c r="H58" s="19"/>
      <c r="I58" s="107"/>
      <c r="J58" s="11"/>
      <c r="K58" s="316"/>
      <c r="L58" s="24" t="s">
        <v>367</v>
      </c>
      <c r="M58" s="12" t="s">
        <v>368</v>
      </c>
      <c r="N58" s="19" t="s">
        <v>18</v>
      </c>
      <c r="O58" s="19"/>
      <c r="P58" s="19"/>
      <c r="Q58" s="19"/>
      <c r="R58" s="19"/>
      <c r="S58" s="19"/>
      <c r="T58" s="107"/>
      <c r="U58" s="303"/>
      <c r="V58" s="317"/>
      <c r="W58" s="303"/>
      <c r="X58" s="303"/>
      <c r="Y58" s="303"/>
      <c r="Z58" s="303"/>
      <c r="AA58" s="303"/>
      <c r="AB58" s="303"/>
      <c r="AC58" s="303"/>
      <c r="AD58" s="303"/>
    </row>
    <row r="59" spans="1:30" ht="21">
      <c r="A59" s="24" t="s">
        <v>371</v>
      </c>
      <c r="B59" s="24" t="s">
        <v>372</v>
      </c>
      <c r="C59" s="19" t="s">
        <v>18</v>
      </c>
      <c r="D59" s="19"/>
      <c r="E59" s="19"/>
      <c r="F59" s="19"/>
      <c r="G59" s="19"/>
      <c r="H59" s="19"/>
      <c r="I59" s="107"/>
      <c r="J59" s="11"/>
      <c r="K59" s="316"/>
      <c r="L59" s="24" t="s">
        <v>210</v>
      </c>
      <c r="M59" s="12" t="s">
        <v>211</v>
      </c>
      <c r="N59" s="19" t="s">
        <v>28</v>
      </c>
      <c r="O59" s="19" t="s">
        <v>28</v>
      </c>
      <c r="P59" s="19" t="s">
        <v>28</v>
      </c>
      <c r="Q59" s="19" t="s">
        <v>28</v>
      </c>
      <c r="R59" s="19" t="s">
        <v>28</v>
      </c>
      <c r="S59" s="19" t="s">
        <v>28</v>
      </c>
      <c r="T59" s="107" t="s">
        <v>3314</v>
      </c>
      <c r="U59" s="303"/>
      <c r="V59" s="317"/>
      <c r="W59" s="303"/>
      <c r="X59" s="303"/>
      <c r="Y59" s="303"/>
      <c r="Z59" s="303"/>
      <c r="AA59" s="303"/>
      <c r="AB59" s="303"/>
      <c r="AC59" s="303"/>
      <c r="AD59" s="303"/>
    </row>
    <row r="60" spans="1:30" ht="21">
      <c r="A60" s="24" t="s">
        <v>376</v>
      </c>
      <c r="B60" s="24" t="s">
        <v>278</v>
      </c>
      <c r="C60" s="19" t="s">
        <v>21</v>
      </c>
      <c r="D60" s="19" t="s">
        <v>28</v>
      </c>
      <c r="E60" s="19" t="s">
        <v>28</v>
      </c>
      <c r="F60" s="19" t="s">
        <v>21</v>
      </c>
      <c r="G60" s="19" t="s">
        <v>28</v>
      </c>
      <c r="H60" s="19" t="s">
        <v>28</v>
      </c>
      <c r="I60" s="107" t="s">
        <v>3315</v>
      </c>
      <c r="J60" s="11"/>
      <c r="K60" s="316"/>
      <c r="L60" s="24" t="s">
        <v>377</v>
      </c>
      <c r="M60" s="12" t="s">
        <v>378</v>
      </c>
      <c r="N60" s="19" t="s">
        <v>18</v>
      </c>
      <c r="O60" s="19"/>
      <c r="P60" s="19"/>
      <c r="Q60" s="19"/>
      <c r="R60" s="19"/>
      <c r="S60" s="19"/>
      <c r="T60" s="107"/>
      <c r="U60" s="303"/>
      <c r="V60" s="317"/>
      <c r="W60" s="303"/>
      <c r="X60" s="303"/>
      <c r="Y60" s="303"/>
      <c r="Z60" s="303"/>
      <c r="AA60" s="303"/>
      <c r="AB60" s="303"/>
      <c r="AC60" s="303"/>
      <c r="AD60" s="303"/>
    </row>
    <row r="61" spans="1:30" ht="21">
      <c r="A61" s="24" t="s">
        <v>382</v>
      </c>
      <c r="B61" s="24" t="s">
        <v>383</v>
      </c>
      <c r="C61" s="19" t="s">
        <v>18</v>
      </c>
      <c r="D61" s="19"/>
      <c r="E61" s="19"/>
      <c r="F61" s="19"/>
      <c r="G61" s="19"/>
      <c r="H61" s="19"/>
      <c r="I61" s="107"/>
      <c r="J61" s="11"/>
      <c r="K61" s="316"/>
      <c r="L61" s="24" t="s">
        <v>384</v>
      </c>
      <c r="M61" s="12" t="s">
        <v>385</v>
      </c>
      <c r="N61" s="19" t="s">
        <v>18</v>
      </c>
      <c r="O61" s="19"/>
      <c r="P61" s="19"/>
      <c r="Q61" s="19"/>
      <c r="R61" s="19"/>
      <c r="S61" s="19"/>
      <c r="T61" s="107"/>
      <c r="U61" s="303"/>
      <c r="V61" s="317"/>
      <c r="W61" s="303"/>
      <c r="X61" s="303"/>
      <c r="Y61" s="303"/>
      <c r="Z61" s="303"/>
      <c r="AA61" s="303"/>
      <c r="AB61" s="303"/>
      <c r="AC61" s="303"/>
      <c r="AD61" s="303"/>
    </row>
    <row r="62" spans="1:30" ht="21">
      <c r="A62" s="24" t="s">
        <v>387</v>
      </c>
      <c r="B62" s="24" t="s">
        <v>388</v>
      </c>
      <c r="C62" s="19" t="s">
        <v>1562</v>
      </c>
      <c r="D62" s="19"/>
      <c r="E62" s="19"/>
      <c r="F62" s="19"/>
      <c r="G62" s="19"/>
      <c r="H62" s="19"/>
      <c r="I62" s="107"/>
      <c r="J62" s="11"/>
      <c r="K62" s="316"/>
      <c r="L62" s="24" t="s">
        <v>389</v>
      </c>
      <c r="M62" s="319" t="s">
        <v>390</v>
      </c>
      <c r="N62" s="19" t="s">
        <v>18</v>
      </c>
      <c r="O62" s="19"/>
      <c r="P62" s="19"/>
      <c r="Q62" s="19"/>
      <c r="R62" s="19"/>
      <c r="S62" s="19"/>
      <c r="T62" s="107"/>
      <c r="U62" s="303"/>
      <c r="V62" s="317"/>
      <c r="W62" s="303"/>
      <c r="X62" s="303"/>
      <c r="Y62" s="303"/>
      <c r="Z62" s="303"/>
      <c r="AA62" s="303"/>
      <c r="AB62" s="303"/>
      <c r="AC62" s="303"/>
      <c r="AD62" s="303"/>
    </row>
    <row r="63" spans="1:30" ht="34">
      <c r="A63" s="24" t="s">
        <v>393</v>
      </c>
      <c r="B63" s="24" t="s">
        <v>394</v>
      </c>
      <c r="C63" s="19" t="s">
        <v>18</v>
      </c>
      <c r="D63" s="19"/>
      <c r="E63" s="19"/>
      <c r="F63" s="19"/>
      <c r="G63" s="19"/>
      <c r="H63" s="19"/>
      <c r="I63" s="107"/>
      <c r="J63" s="11"/>
      <c r="K63" s="316"/>
      <c r="L63" s="24" t="s">
        <v>395</v>
      </c>
      <c r="M63" s="12" t="s">
        <v>396</v>
      </c>
      <c r="N63" s="19" t="s">
        <v>28</v>
      </c>
      <c r="O63" s="19" t="s">
        <v>21</v>
      </c>
      <c r="P63" s="19" t="s">
        <v>21</v>
      </c>
      <c r="Q63" s="19" t="s">
        <v>28</v>
      </c>
      <c r="R63" s="19" t="s">
        <v>28</v>
      </c>
      <c r="S63" s="19" t="s">
        <v>28</v>
      </c>
      <c r="T63" s="107" t="s">
        <v>3316</v>
      </c>
      <c r="U63" s="303"/>
      <c r="V63" s="317"/>
      <c r="W63" s="303"/>
      <c r="X63" s="303"/>
      <c r="Y63" s="303"/>
      <c r="Z63" s="303"/>
      <c r="AA63" s="303"/>
      <c r="AB63" s="303"/>
      <c r="AC63" s="303"/>
      <c r="AD63" s="303"/>
    </row>
    <row r="64" spans="1:30" ht="21">
      <c r="A64" s="24" t="s">
        <v>399</v>
      </c>
      <c r="B64" s="24" t="s">
        <v>400</v>
      </c>
      <c r="C64" s="19" t="s">
        <v>18</v>
      </c>
      <c r="D64" s="19"/>
      <c r="E64" s="19"/>
      <c r="F64" s="19"/>
      <c r="G64" s="19"/>
      <c r="H64" s="19"/>
      <c r="I64" s="107"/>
      <c r="J64" s="11"/>
      <c r="K64" s="316"/>
      <c r="L64" s="24" t="s">
        <v>401</v>
      </c>
      <c r="M64" s="12" t="s">
        <v>402</v>
      </c>
      <c r="N64" s="19" t="s">
        <v>18</v>
      </c>
      <c r="O64" s="19"/>
      <c r="P64" s="19"/>
      <c r="Q64" s="19"/>
      <c r="R64" s="19"/>
      <c r="S64" s="19"/>
      <c r="T64" s="107"/>
      <c r="U64" s="303"/>
      <c r="V64" s="317"/>
      <c r="W64" s="303"/>
      <c r="X64" s="303"/>
      <c r="Y64" s="303"/>
      <c r="Z64" s="303"/>
      <c r="AA64" s="303"/>
      <c r="AB64" s="303"/>
      <c r="AC64" s="303"/>
      <c r="AD64" s="303"/>
    </row>
    <row r="65" spans="1:30" ht="34">
      <c r="A65" s="24" t="s">
        <v>404</v>
      </c>
      <c r="B65" s="24" t="s">
        <v>405</v>
      </c>
      <c r="C65" s="19" t="s">
        <v>1567</v>
      </c>
      <c r="D65" s="19" t="s">
        <v>1567</v>
      </c>
      <c r="E65" s="19" t="s">
        <v>1567</v>
      </c>
      <c r="F65" s="19" t="s">
        <v>21</v>
      </c>
      <c r="G65" s="19" t="s">
        <v>21</v>
      </c>
      <c r="H65" s="19" t="s">
        <v>21</v>
      </c>
      <c r="I65" s="107" t="s">
        <v>3317</v>
      </c>
      <c r="J65" s="11"/>
      <c r="K65" s="316"/>
      <c r="L65" s="24" t="s">
        <v>374</v>
      </c>
      <c r="M65" s="12" t="s">
        <v>375</v>
      </c>
      <c r="N65" s="19" t="s">
        <v>21</v>
      </c>
      <c r="O65" s="19" t="s">
        <v>21</v>
      </c>
      <c r="P65" s="19" t="s">
        <v>28</v>
      </c>
      <c r="Q65" s="19" t="s">
        <v>28</v>
      </c>
      <c r="R65" s="19" t="s">
        <v>28</v>
      </c>
      <c r="S65" s="19" t="s">
        <v>28</v>
      </c>
      <c r="T65" s="107" t="s">
        <v>3318</v>
      </c>
      <c r="U65" s="303"/>
      <c r="V65" s="317"/>
      <c r="W65" s="303"/>
      <c r="X65" s="303"/>
      <c r="Y65" s="303"/>
      <c r="Z65" s="303"/>
      <c r="AA65" s="303"/>
      <c r="AB65" s="303"/>
      <c r="AC65" s="303"/>
      <c r="AD65" s="303"/>
    </row>
    <row r="66" spans="1:30" ht="21">
      <c r="A66" s="24" t="s">
        <v>409</v>
      </c>
      <c r="B66" s="24" t="s">
        <v>308</v>
      </c>
      <c r="C66" s="19" t="s">
        <v>21</v>
      </c>
      <c r="D66" s="19" t="s">
        <v>28</v>
      </c>
      <c r="E66" s="19" t="s">
        <v>21</v>
      </c>
      <c r="F66" s="19" t="s">
        <v>28</v>
      </c>
      <c r="G66" s="19" t="s">
        <v>21</v>
      </c>
      <c r="H66" s="19" t="s">
        <v>21</v>
      </c>
      <c r="I66" s="107"/>
      <c r="J66" s="11"/>
      <c r="K66" s="316"/>
      <c r="L66" s="24" t="s">
        <v>230</v>
      </c>
      <c r="M66" s="12" t="s">
        <v>231</v>
      </c>
      <c r="N66" s="19" t="s">
        <v>18</v>
      </c>
      <c r="O66" s="19"/>
      <c r="P66" s="19"/>
      <c r="Q66" s="19"/>
      <c r="R66" s="19"/>
      <c r="S66" s="19"/>
      <c r="T66" s="107"/>
      <c r="U66" s="303"/>
      <c r="V66" s="317"/>
      <c r="W66" s="303"/>
      <c r="X66" s="303"/>
      <c r="Y66" s="303"/>
      <c r="Z66" s="303"/>
      <c r="AA66" s="303"/>
      <c r="AB66" s="303"/>
      <c r="AC66" s="303"/>
      <c r="AD66" s="303"/>
    </row>
    <row r="67" spans="1:30" ht="21">
      <c r="A67" s="24" t="s">
        <v>413</v>
      </c>
      <c r="B67" s="24" t="s">
        <v>414</v>
      </c>
      <c r="C67" s="19" t="s">
        <v>1567</v>
      </c>
      <c r="D67" s="19" t="s">
        <v>1567</v>
      </c>
      <c r="E67" s="19" t="s">
        <v>1567</v>
      </c>
      <c r="F67" s="19" t="s">
        <v>1567</v>
      </c>
      <c r="G67" s="19" t="s">
        <v>1567</v>
      </c>
      <c r="H67" s="19" t="s">
        <v>1567</v>
      </c>
      <c r="I67" s="107"/>
      <c r="J67" s="11"/>
      <c r="K67" s="316"/>
      <c r="L67" s="24" t="s">
        <v>86</v>
      </c>
      <c r="M67" s="12" t="s">
        <v>87</v>
      </c>
      <c r="N67" s="19" t="s">
        <v>1567</v>
      </c>
      <c r="O67" s="19" t="s">
        <v>1567</v>
      </c>
      <c r="P67" s="19" t="s">
        <v>1567</v>
      </c>
      <c r="Q67" s="19" t="s">
        <v>1567</v>
      </c>
      <c r="R67" s="19" t="s">
        <v>1567</v>
      </c>
      <c r="S67" s="19" t="s">
        <v>1567</v>
      </c>
      <c r="T67" s="107" t="s">
        <v>3319</v>
      </c>
      <c r="U67" s="303"/>
      <c r="V67" s="317"/>
      <c r="W67" s="303"/>
      <c r="X67" s="303"/>
      <c r="Y67" s="303"/>
      <c r="Z67" s="303"/>
      <c r="AA67" s="303"/>
      <c r="AB67" s="303"/>
      <c r="AC67" s="303"/>
      <c r="AD67" s="303"/>
    </row>
    <row r="68" spans="1:30" ht="34">
      <c r="A68" s="24" t="s">
        <v>416</v>
      </c>
      <c r="B68" s="24" t="s">
        <v>417</v>
      </c>
      <c r="C68" s="19" t="s">
        <v>18</v>
      </c>
      <c r="D68" s="19"/>
      <c r="E68" s="19"/>
      <c r="F68" s="19"/>
      <c r="G68" s="19"/>
      <c r="H68" s="19"/>
      <c r="I68" s="107"/>
      <c r="J68" s="11"/>
      <c r="K68" s="316"/>
      <c r="L68" s="24" t="s">
        <v>100</v>
      </c>
      <c r="M68" s="12" t="s">
        <v>101</v>
      </c>
      <c r="N68" s="19" t="s">
        <v>21</v>
      </c>
      <c r="O68" s="19" t="s">
        <v>28</v>
      </c>
      <c r="P68" s="19" t="s">
        <v>28</v>
      </c>
      <c r="Q68" s="19" t="s">
        <v>28</v>
      </c>
      <c r="R68" s="19" t="s">
        <v>28</v>
      </c>
      <c r="S68" s="19" t="s">
        <v>28</v>
      </c>
      <c r="T68" s="107" t="s">
        <v>3320</v>
      </c>
      <c r="U68" s="303"/>
      <c r="V68" s="317"/>
      <c r="W68" s="303"/>
      <c r="X68" s="303"/>
      <c r="Y68" s="303"/>
      <c r="Z68" s="303"/>
      <c r="AA68" s="303"/>
      <c r="AB68" s="303"/>
      <c r="AC68" s="303"/>
      <c r="AD68" s="303"/>
    </row>
    <row r="69" spans="1:30" ht="34">
      <c r="A69" s="24" t="s">
        <v>421</v>
      </c>
      <c r="B69" s="24" t="s">
        <v>422</v>
      </c>
      <c r="C69" s="19" t="s">
        <v>17</v>
      </c>
      <c r="D69" s="19" t="s">
        <v>17</v>
      </c>
      <c r="E69" s="19" t="s">
        <v>17</v>
      </c>
      <c r="F69" s="19" t="s">
        <v>17</v>
      </c>
      <c r="G69" s="19" t="s">
        <v>17</v>
      </c>
      <c r="H69" s="19" t="s">
        <v>17</v>
      </c>
      <c r="I69" s="107" t="s">
        <v>3321</v>
      </c>
      <c r="J69" s="11"/>
      <c r="K69" s="316"/>
      <c r="L69" s="24" t="s">
        <v>423</v>
      </c>
      <c r="M69" s="12" t="s">
        <v>424</v>
      </c>
      <c r="N69" s="19" t="s">
        <v>1567</v>
      </c>
      <c r="O69" s="19" t="s">
        <v>28</v>
      </c>
      <c r="P69" s="19" t="s">
        <v>28</v>
      </c>
      <c r="Q69" s="19" t="s">
        <v>28</v>
      </c>
      <c r="R69" s="19" t="s">
        <v>28</v>
      </c>
      <c r="S69" s="19" t="s">
        <v>28</v>
      </c>
      <c r="T69" s="107" t="s">
        <v>3322</v>
      </c>
      <c r="U69" s="303"/>
      <c r="V69" s="317"/>
      <c r="W69" s="303"/>
      <c r="X69" s="303"/>
      <c r="Y69" s="303"/>
      <c r="Z69" s="303"/>
      <c r="AA69" s="303"/>
      <c r="AB69" s="303"/>
      <c r="AC69" s="303"/>
      <c r="AD69" s="303"/>
    </row>
    <row r="70" spans="1:30" ht="21">
      <c r="A70" s="24" t="s">
        <v>426</v>
      </c>
      <c r="B70" s="24" t="s">
        <v>427</v>
      </c>
      <c r="C70" s="19" t="s">
        <v>18</v>
      </c>
      <c r="D70" s="19"/>
      <c r="E70" s="19"/>
      <c r="F70" s="19"/>
      <c r="G70" s="19"/>
      <c r="H70" s="19"/>
      <c r="I70" s="107"/>
      <c r="J70" s="11"/>
      <c r="K70" s="316"/>
      <c r="L70" s="24" t="s">
        <v>428</v>
      </c>
      <c r="M70" s="12" t="s">
        <v>429</v>
      </c>
      <c r="N70" s="19" t="s">
        <v>1567</v>
      </c>
      <c r="O70" s="19"/>
      <c r="P70" s="19"/>
      <c r="Q70" s="19"/>
      <c r="R70" s="19"/>
      <c r="S70" s="19"/>
      <c r="T70" s="107"/>
      <c r="U70" s="303"/>
      <c r="V70" s="317"/>
      <c r="W70" s="303"/>
      <c r="X70" s="303"/>
      <c r="Y70" s="303"/>
      <c r="Z70" s="303"/>
      <c r="AA70" s="303"/>
      <c r="AB70" s="303"/>
      <c r="AC70" s="303"/>
      <c r="AD70" s="303"/>
    </row>
    <row r="71" spans="1:30" ht="34">
      <c r="A71" s="24" t="s">
        <v>432</v>
      </c>
      <c r="B71" s="24" t="s">
        <v>149</v>
      </c>
      <c r="C71" s="19" t="s">
        <v>17</v>
      </c>
      <c r="D71" s="19" t="s">
        <v>28</v>
      </c>
      <c r="E71" s="19" t="s">
        <v>28</v>
      </c>
      <c r="F71" s="19" t="s">
        <v>28</v>
      </c>
      <c r="G71" s="19" t="s">
        <v>21</v>
      </c>
      <c r="H71" s="19" t="s">
        <v>28</v>
      </c>
      <c r="I71" s="107" t="s">
        <v>3323</v>
      </c>
      <c r="J71" s="11"/>
      <c r="K71" s="316"/>
      <c r="L71" s="24" t="s">
        <v>261</v>
      </c>
      <c r="M71" s="12" t="s">
        <v>262</v>
      </c>
      <c r="N71" s="19" t="s">
        <v>1567</v>
      </c>
      <c r="O71" s="19" t="s">
        <v>21</v>
      </c>
      <c r="P71" s="19" t="s">
        <v>21</v>
      </c>
      <c r="Q71" s="19" t="s">
        <v>21</v>
      </c>
      <c r="R71" s="19" t="s">
        <v>21</v>
      </c>
      <c r="S71" s="19" t="s">
        <v>21</v>
      </c>
      <c r="T71" s="107" t="s">
        <v>3324</v>
      </c>
      <c r="U71" s="303"/>
      <c r="V71" s="317"/>
      <c r="W71" s="303"/>
      <c r="X71" s="303"/>
      <c r="Y71" s="303"/>
      <c r="Z71" s="303"/>
      <c r="AA71" s="303"/>
      <c r="AB71" s="303"/>
      <c r="AC71" s="303"/>
      <c r="AD71" s="303"/>
    </row>
    <row r="72" spans="1:30" ht="21">
      <c r="A72" s="24" t="s">
        <v>435</v>
      </c>
      <c r="B72" s="24" t="s">
        <v>436</v>
      </c>
      <c r="C72" s="19" t="s">
        <v>1562</v>
      </c>
      <c r="D72" s="19"/>
      <c r="E72" s="19"/>
      <c r="F72" s="19"/>
      <c r="G72" s="19"/>
      <c r="H72" s="19"/>
      <c r="I72" s="107"/>
      <c r="J72" s="11"/>
      <c r="K72" s="316"/>
      <c r="L72" s="24" t="s">
        <v>437</v>
      </c>
      <c r="M72" s="12" t="s">
        <v>438</v>
      </c>
      <c r="N72" s="19" t="s">
        <v>18</v>
      </c>
      <c r="O72" s="19"/>
      <c r="P72" s="19"/>
      <c r="Q72" s="19"/>
      <c r="R72" s="19"/>
      <c r="S72" s="19"/>
      <c r="T72" s="107"/>
      <c r="U72" s="303"/>
      <c r="V72" s="317"/>
      <c r="W72" s="303"/>
      <c r="X72" s="303"/>
      <c r="Y72" s="303"/>
      <c r="Z72" s="303"/>
      <c r="AA72" s="303"/>
      <c r="AB72" s="303"/>
      <c r="AC72" s="303"/>
      <c r="AD72" s="303"/>
    </row>
    <row r="73" spans="1:30" ht="21">
      <c r="A73" s="24" t="s">
        <v>442</v>
      </c>
      <c r="B73" s="24" t="s">
        <v>443</v>
      </c>
      <c r="C73" s="19" t="s">
        <v>21</v>
      </c>
      <c r="D73" s="19" t="s">
        <v>1567</v>
      </c>
      <c r="E73" s="19" t="s">
        <v>21</v>
      </c>
      <c r="F73" s="19" t="s">
        <v>1567</v>
      </c>
      <c r="G73" s="19" t="s">
        <v>21</v>
      </c>
      <c r="H73" s="19" t="s">
        <v>21</v>
      </c>
      <c r="I73" s="107" t="s">
        <v>3325</v>
      </c>
      <c r="J73" s="11"/>
      <c r="K73" s="316"/>
      <c r="L73" s="24" t="s">
        <v>444</v>
      </c>
      <c r="M73" s="12" t="s">
        <v>445</v>
      </c>
      <c r="N73" s="19" t="s">
        <v>1567</v>
      </c>
      <c r="O73" s="19" t="s">
        <v>1567</v>
      </c>
      <c r="P73" s="19" t="s">
        <v>18</v>
      </c>
      <c r="Q73" s="19" t="s">
        <v>18</v>
      </c>
      <c r="R73" s="19" t="s">
        <v>18</v>
      </c>
      <c r="S73" s="19" t="s">
        <v>18</v>
      </c>
      <c r="T73" s="107" t="s">
        <v>3326</v>
      </c>
      <c r="U73" s="303"/>
      <c r="V73" s="317"/>
      <c r="W73" s="303"/>
      <c r="X73" s="303"/>
      <c r="Y73" s="303"/>
      <c r="Z73" s="303"/>
      <c r="AA73" s="303"/>
      <c r="AB73" s="303"/>
      <c r="AC73" s="303"/>
      <c r="AD73" s="303"/>
    </row>
    <row r="74" spans="1:30" ht="34">
      <c r="A74" s="24" t="s">
        <v>447</v>
      </c>
      <c r="B74" s="24" t="s">
        <v>47</v>
      </c>
      <c r="C74" s="19" t="s">
        <v>21</v>
      </c>
      <c r="D74" s="19" t="s">
        <v>21</v>
      </c>
      <c r="E74" s="19" t="s">
        <v>21</v>
      </c>
      <c r="F74" s="19" t="s">
        <v>21</v>
      </c>
      <c r="G74" s="19" t="s">
        <v>21</v>
      </c>
      <c r="H74" s="19" t="s">
        <v>21</v>
      </c>
      <c r="I74" s="107" t="s">
        <v>3327</v>
      </c>
      <c r="J74" s="11"/>
      <c r="K74" s="316"/>
      <c r="L74" s="24" t="s">
        <v>448</v>
      </c>
      <c r="M74" s="12" t="s">
        <v>449</v>
      </c>
      <c r="N74" s="19" t="s">
        <v>18</v>
      </c>
      <c r="O74" s="19"/>
      <c r="P74" s="19"/>
      <c r="Q74" s="19"/>
      <c r="R74" s="19"/>
      <c r="S74" s="19"/>
      <c r="T74" s="107"/>
      <c r="U74" s="303"/>
      <c r="V74" s="317"/>
      <c r="W74" s="303"/>
      <c r="X74" s="303"/>
      <c r="Y74" s="303"/>
      <c r="Z74" s="303"/>
      <c r="AA74" s="303"/>
      <c r="AB74" s="303"/>
      <c r="AC74" s="303"/>
      <c r="AD74" s="303"/>
    </row>
    <row r="75" spans="1:30" ht="34">
      <c r="A75" s="24" t="s">
        <v>451</v>
      </c>
      <c r="B75" s="24" t="s">
        <v>169</v>
      </c>
      <c r="C75" s="19" t="s">
        <v>1567</v>
      </c>
      <c r="D75" s="19" t="s">
        <v>21</v>
      </c>
      <c r="E75" s="19" t="s">
        <v>21</v>
      </c>
      <c r="F75" s="19" t="s">
        <v>1567</v>
      </c>
      <c r="G75" s="19" t="s">
        <v>1567</v>
      </c>
      <c r="H75" s="19" t="s">
        <v>21</v>
      </c>
      <c r="I75" s="107" t="s">
        <v>3328</v>
      </c>
      <c r="J75" s="11"/>
      <c r="K75" s="316"/>
      <c r="L75" s="24" t="s">
        <v>452</v>
      </c>
      <c r="M75" s="12" t="s">
        <v>453</v>
      </c>
      <c r="N75" s="19" t="s">
        <v>1562</v>
      </c>
      <c r="O75" s="19"/>
      <c r="P75" s="19"/>
      <c r="Q75" s="19"/>
      <c r="R75" s="19"/>
      <c r="S75" s="19"/>
      <c r="T75" s="107"/>
      <c r="U75" s="303"/>
      <c r="V75" s="317"/>
      <c r="W75" s="303"/>
      <c r="X75" s="303"/>
      <c r="Y75" s="303"/>
      <c r="Z75" s="303"/>
      <c r="AA75" s="303"/>
      <c r="AB75" s="303"/>
      <c r="AC75" s="303"/>
      <c r="AD75" s="303"/>
    </row>
    <row r="76" spans="1:30" ht="21">
      <c r="A76" s="24" t="s">
        <v>455</v>
      </c>
      <c r="B76" s="24" t="s">
        <v>197</v>
      </c>
      <c r="C76" s="19" t="s">
        <v>18</v>
      </c>
      <c r="D76" s="19"/>
      <c r="E76" s="19"/>
      <c r="F76" s="19"/>
      <c r="G76" s="19"/>
      <c r="H76" s="19"/>
      <c r="I76" s="107"/>
      <c r="J76" s="11"/>
      <c r="K76" s="316"/>
      <c r="L76" s="24" t="s">
        <v>456</v>
      </c>
      <c r="M76" s="12" t="s">
        <v>457</v>
      </c>
      <c r="N76" s="19" t="s">
        <v>1574</v>
      </c>
      <c r="O76" s="19"/>
      <c r="P76" s="19"/>
      <c r="Q76" s="19"/>
      <c r="R76" s="19"/>
      <c r="S76" s="19"/>
      <c r="T76" s="107"/>
      <c r="U76" s="303"/>
      <c r="V76" s="317"/>
      <c r="W76" s="303"/>
      <c r="X76" s="303"/>
      <c r="Y76" s="303"/>
      <c r="Z76" s="303"/>
      <c r="AA76" s="303"/>
      <c r="AB76" s="303"/>
      <c r="AC76" s="303"/>
      <c r="AD76" s="303"/>
    </row>
    <row r="77" spans="1:30" ht="21">
      <c r="A77" s="24" t="s">
        <v>461</v>
      </c>
      <c r="B77" s="94" t="s">
        <v>378</v>
      </c>
      <c r="C77" s="19" t="s">
        <v>1562</v>
      </c>
      <c r="D77" s="19"/>
      <c r="E77" s="19"/>
      <c r="F77" s="19"/>
      <c r="G77" s="19"/>
      <c r="H77" s="19"/>
      <c r="I77" s="107"/>
      <c r="J77" s="11"/>
      <c r="K77" s="316"/>
      <c r="L77" s="24" t="s">
        <v>462</v>
      </c>
      <c r="M77" s="12" t="s">
        <v>463</v>
      </c>
      <c r="N77" s="19" t="s">
        <v>18</v>
      </c>
      <c r="O77" s="19"/>
      <c r="P77" s="19"/>
      <c r="Q77" s="19"/>
      <c r="R77" s="19"/>
      <c r="S77" s="19"/>
      <c r="T77" s="107"/>
      <c r="U77" s="303"/>
      <c r="V77" s="317"/>
      <c r="W77" s="303"/>
      <c r="X77" s="303"/>
      <c r="Y77" s="303"/>
      <c r="Z77" s="303"/>
      <c r="AA77" s="303"/>
      <c r="AB77" s="303"/>
      <c r="AC77" s="303"/>
      <c r="AD77" s="303"/>
    </row>
    <row r="78" spans="1:30" ht="34">
      <c r="A78" s="24" t="s">
        <v>467</v>
      </c>
      <c r="B78" s="24" t="s">
        <v>30</v>
      </c>
      <c r="C78" s="19" t="s">
        <v>17</v>
      </c>
      <c r="D78" s="19" t="s">
        <v>28</v>
      </c>
      <c r="E78" s="19" t="s">
        <v>28</v>
      </c>
      <c r="F78" s="19" t="s">
        <v>28</v>
      </c>
      <c r="G78" s="19" t="s">
        <v>17</v>
      </c>
      <c r="H78" s="19" t="s">
        <v>28</v>
      </c>
      <c r="I78" s="107" t="s">
        <v>3329</v>
      </c>
      <c r="J78" s="11"/>
      <c r="K78" s="316"/>
      <c r="L78" s="24" t="s">
        <v>468</v>
      </c>
      <c r="M78" s="12" t="s">
        <v>469</v>
      </c>
      <c r="N78" s="19" t="s">
        <v>1562</v>
      </c>
      <c r="O78" s="19"/>
      <c r="P78" s="19"/>
      <c r="Q78" s="19"/>
      <c r="R78" s="19"/>
      <c r="S78" s="19"/>
      <c r="T78" s="107"/>
      <c r="U78" s="303"/>
      <c r="V78" s="317"/>
      <c r="W78" s="303"/>
      <c r="X78" s="303"/>
      <c r="Y78" s="303"/>
      <c r="Z78" s="303"/>
      <c r="AA78" s="303"/>
      <c r="AB78" s="303"/>
      <c r="AC78" s="303"/>
      <c r="AD78" s="303"/>
    </row>
    <row r="79" spans="1:30" ht="51">
      <c r="A79" s="24" t="s">
        <v>472</v>
      </c>
      <c r="B79" s="24" t="s">
        <v>473</v>
      </c>
      <c r="C79" s="19" t="s">
        <v>1567</v>
      </c>
      <c r="D79" s="19" t="s">
        <v>21</v>
      </c>
      <c r="E79" s="19" t="s">
        <v>21</v>
      </c>
      <c r="F79" s="19" t="s">
        <v>21</v>
      </c>
      <c r="G79" s="19" t="s">
        <v>28</v>
      </c>
      <c r="H79" s="19" t="s">
        <v>21</v>
      </c>
      <c r="I79" s="107" t="s">
        <v>3330</v>
      </c>
      <c r="J79" s="11"/>
      <c r="K79" s="316"/>
      <c r="L79" s="24" t="s">
        <v>175</v>
      </c>
      <c r="M79" s="12" t="s">
        <v>176</v>
      </c>
      <c r="N79" s="19" t="s">
        <v>28</v>
      </c>
      <c r="O79" s="19" t="s">
        <v>17</v>
      </c>
      <c r="P79" s="19" t="s">
        <v>28</v>
      </c>
      <c r="Q79" s="19" t="s">
        <v>28</v>
      </c>
      <c r="R79" s="19" t="s">
        <v>17</v>
      </c>
      <c r="S79" s="19" t="s">
        <v>28</v>
      </c>
      <c r="T79" s="107" t="s">
        <v>3331</v>
      </c>
      <c r="U79" s="303"/>
      <c r="V79" s="317"/>
      <c r="W79" s="303"/>
      <c r="X79" s="303"/>
      <c r="Y79" s="303"/>
      <c r="Z79" s="303"/>
      <c r="AA79" s="303"/>
      <c r="AB79" s="303"/>
      <c r="AC79" s="303"/>
      <c r="AD79" s="303"/>
    </row>
    <row r="80" spans="1:30" ht="51">
      <c r="A80" s="24" t="s">
        <v>475</v>
      </c>
      <c r="B80" s="24" t="s">
        <v>476</v>
      </c>
      <c r="C80" s="19" t="s">
        <v>1562</v>
      </c>
      <c r="D80" s="19"/>
      <c r="E80" s="19"/>
      <c r="F80" s="19"/>
      <c r="G80" s="19"/>
      <c r="H80" s="19"/>
      <c r="I80" s="107"/>
      <c r="J80" s="11"/>
      <c r="K80" s="316"/>
      <c r="L80" s="24" t="s">
        <v>189</v>
      </c>
      <c r="M80" s="12" t="s">
        <v>190</v>
      </c>
      <c r="N80" s="19" t="s">
        <v>28</v>
      </c>
      <c r="O80" s="19" t="s">
        <v>28</v>
      </c>
      <c r="P80" s="19" t="s">
        <v>28</v>
      </c>
      <c r="Q80" s="19" t="s">
        <v>28</v>
      </c>
      <c r="R80" s="19" t="s">
        <v>28</v>
      </c>
      <c r="S80" s="19" t="s">
        <v>28</v>
      </c>
      <c r="T80" s="107" t="s">
        <v>3332</v>
      </c>
      <c r="U80" s="303"/>
      <c r="V80" s="317"/>
      <c r="W80" s="303"/>
      <c r="X80" s="303"/>
      <c r="Y80" s="303"/>
      <c r="Z80" s="303"/>
      <c r="AA80" s="303"/>
      <c r="AB80" s="303"/>
      <c r="AC80" s="303"/>
      <c r="AD80" s="303"/>
    </row>
    <row r="81" spans="1:30" ht="34">
      <c r="A81" s="24" t="s">
        <v>478</v>
      </c>
      <c r="B81" s="24" t="s">
        <v>321</v>
      </c>
      <c r="C81" s="19" t="s">
        <v>21</v>
      </c>
      <c r="D81" s="19" t="s">
        <v>17</v>
      </c>
      <c r="E81" s="19" t="s">
        <v>17</v>
      </c>
      <c r="F81" s="19" t="s">
        <v>17</v>
      </c>
      <c r="G81" s="19" t="s">
        <v>17</v>
      </c>
      <c r="H81" s="19" t="s">
        <v>17</v>
      </c>
      <c r="I81" s="107" t="s">
        <v>3333</v>
      </c>
      <c r="J81" s="11"/>
      <c r="K81" s="316"/>
      <c r="L81" s="24" t="s">
        <v>479</v>
      </c>
      <c r="M81" s="12" t="s">
        <v>480</v>
      </c>
      <c r="N81" s="19" t="s">
        <v>18</v>
      </c>
      <c r="O81" s="19"/>
      <c r="P81" s="19"/>
      <c r="Q81" s="19"/>
      <c r="R81" s="19"/>
      <c r="S81" s="19"/>
      <c r="T81" s="107"/>
      <c r="U81" s="303"/>
      <c r="V81" s="317"/>
      <c r="W81" s="303"/>
      <c r="X81" s="303"/>
      <c r="Y81" s="303"/>
      <c r="Z81" s="303"/>
      <c r="AA81" s="303"/>
      <c r="AB81" s="303"/>
      <c r="AC81" s="303"/>
      <c r="AD81" s="303"/>
    </row>
    <row r="82" spans="1:30" ht="21">
      <c r="A82" s="24" t="s">
        <v>483</v>
      </c>
      <c r="B82" s="24" t="s">
        <v>484</v>
      </c>
      <c r="C82" s="19" t="s">
        <v>1574</v>
      </c>
      <c r="D82" s="19"/>
      <c r="E82" s="19"/>
      <c r="F82" s="19"/>
      <c r="G82" s="19"/>
      <c r="H82" s="19"/>
      <c r="I82" s="107"/>
      <c r="J82" s="11"/>
      <c r="K82" s="316"/>
      <c r="L82" s="24" t="s">
        <v>485</v>
      </c>
      <c r="M82" s="12" t="s">
        <v>486</v>
      </c>
      <c r="N82" s="19" t="s">
        <v>21</v>
      </c>
      <c r="O82" s="19" t="s">
        <v>21</v>
      </c>
      <c r="P82" s="19" t="s">
        <v>21</v>
      </c>
      <c r="Q82" s="19" t="s">
        <v>1567</v>
      </c>
      <c r="R82" s="19" t="s">
        <v>21</v>
      </c>
      <c r="S82" s="19" t="s">
        <v>21</v>
      </c>
      <c r="T82" s="107" t="s">
        <v>3334</v>
      </c>
      <c r="U82" s="303"/>
      <c r="V82" s="317"/>
      <c r="W82" s="303"/>
      <c r="X82" s="303"/>
      <c r="Y82" s="303"/>
      <c r="Z82" s="303"/>
      <c r="AA82" s="303"/>
      <c r="AB82" s="303"/>
      <c r="AC82" s="303"/>
      <c r="AD82" s="303"/>
    </row>
    <row r="83" spans="1:30" ht="21">
      <c r="A83" s="24" t="s">
        <v>488</v>
      </c>
      <c r="B83" s="24" t="s">
        <v>489</v>
      </c>
      <c r="C83" s="19" t="s">
        <v>1567</v>
      </c>
      <c r="D83" s="19" t="s">
        <v>21</v>
      </c>
      <c r="E83" s="19" t="s">
        <v>1567</v>
      </c>
      <c r="F83" s="19" t="s">
        <v>1567</v>
      </c>
      <c r="G83" s="19" t="s">
        <v>21</v>
      </c>
      <c r="H83" s="19" t="s">
        <v>1567</v>
      </c>
      <c r="I83" s="107" t="s">
        <v>3335</v>
      </c>
      <c r="J83" s="11"/>
      <c r="K83" s="316"/>
      <c r="L83" s="24" t="s">
        <v>490</v>
      </c>
      <c r="M83" s="12" t="s">
        <v>491</v>
      </c>
      <c r="N83" s="19" t="s">
        <v>18</v>
      </c>
      <c r="O83" s="19"/>
      <c r="P83" s="19"/>
      <c r="Q83" s="19"/>
      <c r="R83" s="19"/>
      <c r="S83" s="19"/>
      <c r="T83" s="107"/>
      <c r="U83" s="303"/>
      <c r="V83" s="317"/>
      <c r="W83" s="303"/>
      <c r="X83" s="303"/>
      <c r="Y83" s="303"/>
      <c r="Z83" s="303"/>
      <c r="AA83" s="303"/>
      <c r="AB83" s="303"/>
      <c r="AC83" s="303"/>
      <c r="AD83" s="303"/>
    </row>
    <row r="84" spans="1:30" ht="21">
      <c r="A84" s="24" t="s">
        <v>494</v>
      </c>
      <c r="B84" s="24" t="s">
        <v>495</v>
      </c>
      <c r="C84" s="19" t="s">
        <v>1574</v>
      </c>
      <c r="D84" s="19"/>
      <c r="E84" s="19"/>
      <c r="F84" s="19"/>
      <c r="G84" s="19"/>
      <c r="H84" s="19"/>
      <c r="I84" s="107"/>
      <c r="J84" s="11"/>
      <c r="K84" s="316"/>
      <c r="L84" s="24" t="s">
        <v>496</v>
      </c>
      <c r="M84" s="12" t="s">
        <v>497</v>
      </c>
      <c r="N84" s="19" t="s">
        <v>21</v>
      </c>
      <c r="O84" s="19" t="s">
        <v>1567</v>
      </c>
      <c r="P84" s="19" t="s">
        <v>18</v>
      </c>
      <c r="Q84" s="19" t="s">
        <v>1567</v>
      </c>
      <c r="R84" s="19" t="s">
        <v>18</v>
      </c>
      <c r="S84" s="19" t="s">
        <v>1567</v>
      </c>
      <c r="T84" s="107" t="s">
        <v>3336</v>
      </c>
      <c r="U84" s="303"/>
      <c r="V84" s="317"/>
      <c r="W84" s="303"/>
      <c r="X84" s="303"/>
      <c r="Y84" s="303"/>
      <c r="Z84" s="303"/>
      <c r="AA84" s="303"/>
      <c r="AB84" s="303"/>
      <c r="AC84" s="303"/>
      <c r="AD84" s="303"/>
    </row>
    <row r="85" spans="1:30" ht="34">
      <c r="A85" s="24" t="s">
        <v>500</v>
      </c>
      <c r="B85" s="24" t="s">
        <v>501</v>
      </c>
      <c r="C85" s="19" t="s">
        <v>1567</v>
      </c>
      <c r="D85" s="19" t="s">
        <v>1567</v>
      </c>
      <c r="E85" s="19" t="s">
        <v>1567</v>
      </c>
      <c r="F85" s="19" t="s">
        <v>21</v>
      </c>
      <c r="G85" s="19" t="s">
        <v>1567</v>
      </c>
      <c r="H85" s="19" t="s">
        <v>1567</v>
      </c>
      <c r="I85" s="107" t="s">
        <v>3337</v>
      </c>
      <c r="J85" s="11"/>
      <c r="K85" s="316"/>
      <c r="L85" s="24" t="s">
        <v>502</v>
      </c>
      <c r="M85" s="12" t="s">
        <v>503</v>
      </c>
      <c r="N85" s="19" t="s">
        <v>28</v>
      </c>
      <c r="O85" s="19" t="s">
        <v>28</v>
      </c>
      <c r="P85" s="19" t="s">
        <v>21</v>
      </c>
      <c r="Q85" s="19" t="s">
        <v>21</v>
      </c>
      <c r="R85" s="19" t="s">
        <v>21</v>
      </c>
      <c r="S85" s="19" t="s">
        <v>21</v>
      </c>
      <c r="T85" s="107" t="s">
        <v>3338</v>
      </c>
      <c r="U85" s="303"/>
      <c r="V85" s="317"/>
      <c r="W85" s="303"/>
      <c r="X85" s="303"/>
      <c r="Y85" s="303"/>
      <c r="Z85" s="303"/>
      <c r="AA85" s="303"/>
      <c r="AB85" s="303"/>
      <c r="AC85" s="303"/>
      <c r="AD85" s="303"/>
    </row>
    <row r="86" spans="1:30" ht="21">
      <c r="A86" s="24" t="s">
        <v>505</v>
      </c>
      <c r="B86" s="24" t="s">
        <v>506</v>
      </c>
      <c r="C86" s="19" t="s">
        <v>1661</v>
      </c>
      <c r="D86" s="19"/>
      <c r="E86" s="19"/>
      <c r="F86" s="19"/>
      <c r="G86" s="19"/>
      <c r="H86" s="19"/>
      <c r="I86" s="107"/>
      <c r="J86" s="11"/>
      <c r="K86" s="316"/>
      <c r="L86" s="24" t="s">
        <v>507</v>
      </c>
      <c r="M86" s="12" t="s">
        <v>508</v>
      </c>
      <c r="N86" s="19" t="s">
        <v>18</v>
      </c>
      <c r="O86" s="19"/>
      <c r="P86" s="19"/>
      <c r="Q86" s="19"/>
      <c r="R86" s="19"/>
      <c r="S86" s="19"/>
      <c r="T86" s="107"/>
      <c r="U86" s="303"/>
      <c r="V86" s="317"/>
      <c r="W86" s="303"/>
      <c r="X86" s="303"/>
      <c r="Y86" s="303"/>
      <c r="Z86" s="303"/>
      <c r="AA86" s="303"/>
      <c r="AB86" s="303"/>
      <c r="AC86" s="303"/>
      <c r="AD86" s="303"/>
    </row>
    <row r="87" spans="1:30" ht="21">
      <c r="A87" s="24" t="s">
        <v>509</v>
      </c>
      <c r="B87" s="24" t="s">
        <v>237</v>
      </c>
      <c r="C87" s="19" t="s">
        <v>18</v>
      </c>
      <c r="D87" s="19"/>
      <c r="E87" s="19"/>
      <c r="F87" s="19"/>
      <c r="G87" s="19"/>
      <c r="H87" s="19"/>
      <c r="I87" s="107"/>
      <c r="J87" s="11"/>
      <c r="K87" s="316"/>
      <c r="L87" s="24" t="s">
        <v>182</v>
      </c>
      <c r="M87" s="12" t="s">
        <v>183</v>
      </c>
      <c r="N87" s="19" t="s">
        <v>28</v>
      </c>
      <c r="O87" s="19" t="s">
        <v>28</v>
      </c>
      <c r="P87" s="19" t="s">
        <v>28</v>
      </c>
      <c r="Q87" s="19" t="s">
        <v>28</v>
      </c>
      <c r="R87" s="19" t="s">
        <v>28</v>
      </c>
      <c r="S87" s="19" t="s">
        <v>28</v>
      </c>
      <c r="T87" s="107" t="s">
        <v>3339</v>
      </c>
      <c r="U87" s="303"/>
      <c r="V87" s="317"/>
      <c r="W87" s="303"/>
      <c r="X87" s="303"/>
      <c r="Y87" s="303"/>
      <c r="Z87" s="303"/>
      <c r="AA87" s="303"/>
      <c r="AB87" s="303"/>
      <c r="AC87" s="303"/>
      <c r="AD87" s="303"/>
    </row>
    <row r="88" spans="1:30" ht="21">
      <c r="A88" s="24" t="s">
        <v>510</v>
      </c>
      <c r="B88" s="24" t="s">
        <v>511</v>
      </c>
      <c r="C88" s="19" t="s">
        <v>1567</v>
      </c>
      <c r="D88" s="19" t="s">
        <v>21</v>
      </c>
      <c r="E88" s="19" t="s">
        <v>28</v>
      </c>
      <c r="F88" s="19" t="s">
        <v>21</v>
      </c>
      <c r="G88" s="19" t="s">
        <v>21</v>
      </c>
      <c r="H88" s="19" t="s">
        <v>21</v>
      </c>
      <c r="I88" s="107" t="s">
        <v>3340</v>
      </c>
      <c r="J88" s="11"/>
      <c r="K88" s="316"/>
      <c r="L88" s="24" t="s">
        <v>512</v>
      </c>
      <c r="M88" s="12" t="s">
        <v>513</v>
      </c>
      <c r="N88" s="19" t="s">
        <v>28</v>
      </c>
      <c r="O88" s="19" t="s">
        <v>28</v>
      </c>
      <c r="P88" s="19" t="s">
        <v>28</v>
      </c>
      <c r="Q88" s="19" t="s">
        <v>28</v>
      </c>
      <c r="R88" s="19" t="s">
        <v>28</v>
      </c>
      <c r="S88" s="19" t="s">
        <v>28</v>
      </c>
      <c r="T88" s="107" t="s">
        <v>3341</v>
      </c>
      <c r="U88" s="303"/>
      <c r="V88" s="317"/>
      <c r="W88" s="303"/>
      <c r="X88" s="303"/>
      <c r="Y88" s="303"/>
      <c r="Z88" s="303"/>
      <c r="AA88" s="303"/>
      <c r="AB88" s="303"/>
      <c r="AC88" s="303"/>
      <c r="AD88" s="303"/>
    </row>
    <row r="89" spans="1:30" ht="21">
      <c r="A89" s="24" t="s">
        <v>517</v>
      </c>
      <c r="B89" s="24" t="s">
        <v>224</v>
      </c>
      <c r="C89" s="19" t="s">
        <v>21</v>
      </c>
      <c r="D89" s="19" t="s">
        <v>28</v>
      </c>
      <c r="E89" s="19" t="s">
        <v>28</v>
      </c>
      <c r="F89" s="19" t="s">
        <v>28</v>
      </c>
      <c r="G89" s="19" t="s">
        <v>28</v>
      </c>
      <c r="H89" s="19" t="s">
        <v>28</v>
      </c>
      <c r="I89" s="107" t="s">
        <v>3342</v>
      </c>
      <c r="J89" s="11"/>
      <c r="K89" s="316"/>
      <c r="L89" s="24" t="s">
        <v>518</v>
      </c>
      <c r="M89" s="12" t="s">
        <v>519</v>
      </c>
      <c r="N89" s="19" t="s">
        <v>21</v>
      </c>
      <c r="O89" s="19" t="s">
        <v>1567</v>
      </c>
      <c r="P89" s="19" t="s">
        <v>1567</v>
      </c>
      <c r="Q89" s="19" t="s">
        <v>1567</v>
      </c>
      <c r="R89" s="19" t="s">
        <v>21</v>
      </c>
      <c r="S89" s="19" t="s">
        <v>1567</v>
      </c>
      <c r="T89" s="107" t="s">
        <v>3343</v>
      </c>
      <c r="U89" s="303"/>
      <c r="V89" s="317"/>
      <c r="W89" s="303"/>
      <c r="X89" s="303"/>
      <c r="Y89" s="303"/>
      <c r="Z89" s="303"/>
      <c r="AA89" s="303"/>
      <c r="AB89" s="303"/>
      <c r="AC89" s="303"/>
      <c r="AD89" s="303"/>
    </row>
    <row r="90" spans="1:30" ht="34">
      <c r="A90" s="24" t="s">
        <v>523</v>
      </c>
      <c r="B90" s="24" t="s">
        <v>460</v>
      </c>
      <c r="C90" s="19" t="s">
        <v>17</v>
      </c>
      <c r="D90" s="19" t="s">
        <v>17</v>
      </c>
      <c r="E90" s="19" t="s">
        <v>17</v>
      </c>
      <c r="F90" s="19" t="s">
        <v>17</v>
      </c>
      <c r="G90" s="19" t="s">
        <v>17</v>
      </c>
      <c r="H90" s="19" t="s">
        <v>17</v>
      </c>
      <c r="I90" s="107" t="s">
        <v>3344</v>
      </c>
      <c r="J90" s="11"/>
      <c r="K90" s="316"/>
      <c r="L90" s="24" t="s">
        <v>524</v>
      </c>
      <c r="M90" s="12" t="s">
        <v>525</v>
      </c>
      <c r="N90" s="19" t="s">
        <v>21</v>
      </c>
      <c r="O90" s="19" t="s">
        <v>21</v>
      </c>
      <c r="P90" s="19" t="s">
        <v>21</v>
      </c>
      <c r="Q90" s="19" t="s">
        <v>21</v>
      </c>
      <c r="R90" s="19" t="s">
        <v>21</v>
      </c>
      <c r="S90" s="19" t="s">
        <v>21</v>
      </c>
      <c r="T90" s="107" t="s">
        <v>3345</v>
      </c>
      <c r="U90" s="303"/>
      <c r="V90" s="317"/>
      <c r="W90" s="303"/>
      <c r="X90" s="303"/>
      <c r="Y90" s="303"/>
      <c r="Z90" s="303"/>
      <c r="AA90" s="303"/>
      <c r="AB90" s="303"/>
      <c r="AC90" s="303"/>
      <c r="AD90" s="303"/>
    </row>
    <row r="91" spans="1:30" ht="21">
      <c r="A91" s="24" t="s">
        <v>529</v>
      </c>
      <c r="B91" s="24" t="s">
        <v>530</v>
      </c>
      <c r="C91" s="19" t="s">
        <v>18</v>
      </c>
      <c r="D91" s="19"/>
      <c r="E91" s="19"/>
      <c r="F91" s="19"/>
      <c r="G91" s="19"/>
      <c r="H91" s="19"/>
      <c r="I91" s="107"/>
      <c r="J91" s="11"/>
      <c r="K91" s="316"/>
      <c r="L91" s="24" t="s">
        <v>72</v>
      </c>
      <c r="M91" s="12" t="s">
        <v>73</v>
      </c>
      <c r="N91" s="19" t="s">
        <v>18</v>
      </c>
      <c r="O91" s="19"/>
      <c r="P91" s="19"/>
      <c r="Q91" s="19"/>
      <c r="R91" s="19"/>
      <c r="S91" s="19"/>
      <c r="T91" s="107"/>
      <c r="U91" s="303"/>
      <c r="V91" s="317"/>
      <c r="W91" s="303"/>
      <c r="X91" s="303"/>
      <c r="Y91" s="303"/>
      <c r="Z91" s="303"/>
      <c r="AA91" s="303"/>
      <c r="AB91" s="303"/>
      <c r="AC91" s="303"/>
      <c r="AD91" s="303"/>
    </row>
    <row r="92" spans="1:30" ht="21">
      <c r="A92" s="24" t="s">
        <v>534</v>
      </c>
      <c r="B92" s="24" t="s">
        <v>535</v>
      </c>
      <c r="C92" s="19" t="s">
        <v>21</v>
      </c>
      <c r="D92" s="19" t="s">
        <v>28</v>
      </c>
      <c r="E92" s="19" t="s">
        <v>28</v>
      </c>
      <c r="F92" s="19" t="s">
        <v>28</v>
      </c>
      <c r="G92" s="19" t="s">
        <v>28</v>
      </c>
      <c r="H92" s="19" t="s">
        <v>28</v>
      </c>
      <c r="I92" s="107" t="s">
        <v>3346</v>
      </c>
      <c r="J92" s="11"/>
      <c r="K92" s="316"/>
      <c r="L92" s="24" t="s">
        <v>536</v>
      </c>
      <c r="M92" s="12" t="s">
        <v>537</v>
      </c>
      <c r="N92" s="19" t="s">
        <v>1562</v>
      </c>
      <c r="O92" s="19"/>
      <c r="P92" s="19"/>
      <c r="Q92" s="19"/>
      <c r="R92" s="19"/>
      <c r="S92" s="19"/>
      <c r="T92" s="107"/>
      <c r="U92" s="303"/>
      <c r="V92" s="317"/>
      <c r="W92" s="303"/>
      <c r="X92" s="303"/>
      <c r="Y92" s="303"/>
      <c r="Z92" s="303"/>
      <c r="AA92" s="303"/>
      <c r="AB92" s="303"/>
      <c r="AC92" s="303"/>
      <c r="AD92" s="303"/>
    </row>
    <row r="93" spans="1:30" ht="34">
      <c r="A93" s="24" t="s">
        <v>541</v>
      </c>
      <c r="B93" s="24" t="s">
        <v>542</v>
      </c>
      <c r="C93" s="19" t="s">
        <v>1574</v>
      </c>
      <c r="D93" s="19"/>
      <c r="E93" s="19"/>
      <c r="F93" s="19"/>
      <c r="G93" s="19"/>
      <c r="H93" s="19"/>
      <c r="I93" s="107"/>
      <c r="J93" s="11"/>
      <c r="K93" s="316"/>
      <c r="L93" s="24" t="s">
        <v>543</v>
      </c>
      <c r="M93" s="12" t="s">
        <v>544</v>
      </c>
      <c r="N93" s="19" t="s">
        <v>28</v>
      </c>
      <c r="O93" s="19" t="s">
        <v>21</v>
      </c>
      <c r="P93" s="19" t="s">
        <v>21</v>
      </c>
      <c r="Q93" s="19" t="s">
        <v>21</v>
      </c>
      <c r="R93" s="19" t="s">
        <v>21</v>
      </c>
      <c r="S93" s="19" t="s">
        <v>21</v>
      </c>
      <c r="T93" s="107" t="s">
        <v>3347</v>
      </c>
      <c r="U93" s="303"/>
      <c r="V93" s="317"/>
      <c r="W93" s="303"/>
      <c r="X93" s="303"/>
      <c r="Y93" s="303"/>
      <c r="Z93" s="303"/>
      <c r="AA93" s="303"/>
      <c r="AB93" s="303"/>
      <c r="AC93" s="303"/>
      <c r="AD93" s="303"/>
    </row>
    <row r="94" spans="1:30" ht="21">
      <c r="A94" s="24" t="s">
        <v>548</v>
      </c>
      <c r="B94" s="24" t="s">
        <v>549</v>
      </c>
      <c r="C94" s="19" t="s">
        <v>28</v>
      </c>
      <c r="D94" s="19" t="s">
        <v>28</v>
      </c>
      <c r="E94" s="19" t="s">
        <v>28</v>
      </c>
      <c r="F94" s="19" t="s">
        <v>21</v>
      </c>
      <c r="G94" s="19" t="s">
        <v>28</v>
      </c>
      <c r="H94" s="19" t="s">
        <v>28</v>
      </c>
      <c r="I94" s="107" t="s">
        <v>3348</v>
      </c>
      <c r="J94" s="11"/>
      <c r="K94" s="316"/>
      <c r="L94" s="24" t="s">
        <v>363</v>
      </c>
      <c r="M94" s="12" t="s">
        <v>364</v>
      </c>
      <c r="N94" s="19" t="s">
        <v>28</v>
      </c>
      <c r="O94" s="19" t="s">
        <v>28</v>
      </c>
      <c r="P94" s="19" t="s">
        <v>21</v>
      </c>
      <c r="Q94" s="19" t="s">
        <v>21</v>
      </c>
      <c r="R94" s="19" t="s">
        <v>28</v>
      </c>
      <c r="S94" s="19" t="s">
        <v>21</v>
      </c>
      <c r="T94" s="107" t="s">
        <v>3349</v>
      </c>
      <c r="U94" s="303"/>
      <c r="V94" s="317"/>
      <c r="W94" s="303"/>
      <c r="X94" s="303"/>
      <c r="Y94" s="303"/>
      <c r="Z94" s="303"/>
      <c r="AA94" s="303"/>
      <c r="AB94" s="303"/>
      <c r="AC94" s="303"/>
      <c r="AD94" s="303"/>
    </row>
    <row r="95" spans="1:30" ht="21">
      <c r="A95" s="24" t="s">
        <v>553</v>
      </c>
      <c r="B95" s="24" t="s">
        <v>352</v>
      </c>
      <c r="C95" s="19" t="s">
        <v>18</v>
      </c>
      <c r="D95" s="19"/>
      <c r="E95" s="19"/>
      <c r="F95" s="19"/>
      <c r="G95" s="19"/>
      <c r="H95" s="19"/>
      <c r="I95" s="107"/>
      <c r="J95" s="11"/>
      <c r="K95" s="316"/>
      <c r="L95" s="24" t="s">
        <v>554</v>
      </c>
      <c r="M95" s="12" t="s">
        <v>555</v>
      </c>
      <c r="N95" s="19" t="s">
        <v>21</v>
      </c>
      <c r="O95" s="19" t="s">
        <v>21</v>
      </c>
      <c r="P95" s="19" t="s">
        <v>21</v>
      </c>
      <c r="Q95" s="19" t="s">
        <v>21</v>
      </c>
      <c r="R95" s="19" t="s">
        <v>21</v>
      </c>
      <c r="S95" s="19" t="s">
        <v>21</v>
      </c>
      <c r="T95" s="107" t="s">
        <v>3350</v>
      </c>
      <c r="U95" s="303"/>
      <c r="V95" s="317"/>
      <c r="W95" s="303"/>
      <c r="X95" s="303"/>
      <c r="Y95" s="303"/>
      <c r="Z95" s="303"/>
      <c r="AA95" s="303"/>
      <c r="AB95" s="303"/>
      <c r="AC95" s="303"/>
      <c r="AD95" s="303"/>
    </row>
    <row r="96" spans="1:30" ht="21">
      <c r="A96" s="24" t="s">
        <v>559</v>
      </c>
      <c r="B96" s="24" t="s">
        <v>560</v>
      </c>
      <c r="C96" s="19" t="s">
        <v>18</v>
      </c>
      <c r="D96" s="19"/>
      <c r="E96" s="19"/>
      <c r="F96" s="19"/>
      <c r="G96" s="19"/>
      <c r="H96" s="19"/>
      <c r="I96" s="107"/>
      <c r="J96" s="11"/>
      <c r="K96" s="316"/>
      <c r="L96" s="24" t="s">
        <v>561</v>
      </c>
      <c r="M96" s="12"/>
      <c r="N96" s="19"/>
      <c r="O96" s="19"/>
      <c r="P96" s="19"/>
      <c r="Q96" s="19"/>
      <c r="R96" s="19"/>
      <c r="S96" s="19"/>
      <c r="T96" s="107"/>
      <c r="U96" s="303"/>
      <c r="V96" s="317"/>
      <c r="W96" s="303"/>
      <c r="X96" s="303"/>
      <c r="Y96" s="303"/>
      <c r="Z96" s="303"/>
      <c r="AA96" s="303"/>
      <c r="AB96" s="303"/>
      <c r="AC96" s="303"/>
      <c r="AD96" s="303"/>
    </row>
    <row r="97" spans="1:30" ht="21">
      <c r="A97" s="24" t="s">
        <v>565</v>
      </c>
      <c r="B97" s="24" t="s">
        <v>441</v>
      </c>
      <c r="C97" s="19" t="s">
        <v>18</v>
      </c>
      <c r="D97" s="19"/>
      <c r="E97" s="19"/>
      <c r="F97" s="19"/>
      <c r="G97" s="19"/>
      <c r="H97" s="19"/>
      <c r="I97" s="107"/>
      <c r="J97" s="11"/>
      <c r="K97" s="316"/>
      <c r="L97" s="24" t="s">
        <v>566</v>
      </c>
      <c r="M97" s="12" t="s">
        <v>567</v>
      </c>
      <c r="N97" s="19" t="s">
        <v>1562</v>
      </c>
      <c r="O97" s="19"/>
      <c r="P97" s="19"/>
      <c r="Q97" s="19"/>
      <c r="R97" s="19"/>
      <c r="S97" s="19"/>
      <c r="T97" s="107"/>
      <c r="U97" s="303"/>
      <c r="V97" s="317"/>
      <c r="W97" s="303"/>
      <c r="X97" s="303"/>
      <c r="Y97" s="303"/>
      <c r="Z97" s="303"/>
      <c r="AA97" s="303"/>
      <c r="AB97" s="303"/>
      <c r="AC97" s="303"/>
      <c r="AD97" s="303"/>
    </row>
    <row r="98" spans="1:30" ht="34">
      <c r="A98" s="24" t="s">
        <v>571</v>
      </c>
      <c r="B98" s="24" t="s">
        <v>572</v>
      </c>
      <c r="C98" s="19" t="s">
        <v>21</v>
      </c>
      <c r="D98" s="19" t="s">
        <v>21</v>
      </c>
      <c r="E98" s="19" t="s">
        <v>28</v>
      </c>
      <c r="F98" s="19" t="s">
        <v>28</v>
      </c>
      <c r="G98" s="19" t="s">
        <v>21</v>
      </c>
      <c r="H98" s="19" t="s">
        <v>21</v>
      </c>
      <c r="I98" s="107" t="s">
        <v>3351</v>
      </c>
      <c r="J98" s="11"/>
      <c r="K98" s="316"/>
      <c r="L98" s="24" t="s">
        <v>573</v>
      </c>
      <c r="M98" s="12" t="s">
        <v>574</v>
      </c>
      <c r="N98" s="19" t="s">
        <v>18</v>
      </c>
      <c r="O98" s="19"/>
      <c r="P98" s="19"/>
      <c r="Q98" s="19"/>
      <c r="R98" s="19"/>
      <c r="S98" s="19"/>
      <c r="T98" s="107"/>
      <c r="U98" s="303"/>
      <c r="V98" s="317"/>
      <c r="W98" s="303"/>
      <c r="X98" s="303"/>
      <c r="Y98" s="303"/>
      <c r="Z98" s="303"/>
      <c r="AA98" s="303"/>
      <c r="AB98" s="303"/>
      <c r="AC98" s="303"/>
      <c r="AD98" s="303"/>
    </row>
    <row r="99" spans="1:30" ht="34">
      <c r="A99" s="24" t="s">
        <v>578</v>
      </c>
      <c r="B99" s="24" t="s">
        <v>579</v>
      </c>
      <c r="C99" s="19" t="s">
        <v>1567</v>
      </c>
      <c r="D99" s="19" t="s">
        <v>21</v>
      </c>
      <c r="E99" s="19" t="s">
        <v>28</v>
      </c>
      <c r="F99" s="19" t="s">
        <v>21</v>
      </c>
      <c r="G99" s="19" t="s">
        <v>28</v>
      </c>
      <c r="H99" s="19" t="s">
        <v>21</v>
      </c>
      <c r="I99" s="107" t="s">
        <v>3352</v>
      </c>
      <c r="J99" s="11"/>
      <c r="K99" s="316"/>
      <c r="L99" s="24" t="s">
        <v>580</v>
      </c>
      <c r="M99" s="12" t="s">
        <v>581</v>
      </c>
      <c r="N99" s="19" t="s">
        <v>1567</v>
      </c>
      <c r="O99" s="19" t="s">
        <v>21</v>
      </c>
      <c r="P99" s="19" t="s">
        <v>21</v>
      </c>
      <c r="Q99" s="19" t="s">
        <v>21</v>
      </c>
      <c r="R99" s="19" t="s">
        <v>21</v>
      </c>
      <c r="S99" s="19" t="s">
        <v>21</v>
      </c>
      <c r="T99" s="107"/>
      <c r="U99" s="303"/>
      <c r="V99" s="317"/>
      <c r="W99" s="303"/>
      <c r="X99" s="303"/>
      <c r="Y99" s="303"/>
      <c r="Z99" s="303"/>
      <c r="AA99" s="303"/>
      <c r="AB99" s="303"/>
      <c r="AC99" s="303"/>
      <c r="AD99" s="303"/>
    </row>
    <row r="100" spans="1:30" ht="21">
      <c r="A100" s="24" t="s">
        <v>585</v>
      </c>
      <c r="B100" s="24" t="s">
        <v>586</v>
      </c>
      <c r="C100" s="19" t="s">
        <v>18</v>
      </c>
      <c r="D100" s="19"/>
      <c r="E100" s="19"/>
      <c r="F100" s="19"/>
      <c r="G100" s="19"/>
      <c r="H100" s="19"/>
      <c r="I100" s="107"/>
      <c r="J100" s="11"/>
      <c r="K100" s="316"/>
      <c r="L100" s="24" t="s">
        <v>154</v>
      </c>
      <c r="M100" s="12" t="s">
        <v>155</v>
      </c>
      <c r="N100" s="19" t="s">
        <v>17</v>
      </c>
      <c r="O100" s="19" t="s">
        <v>28</v>
      </c>
      <c r="P100" s="19" t="s">
        <v>28</v>
      </c>
      <c r="Q100" s="19" t="s">
        <v>28</v>
      </c>
      <c r="R100" s="19" t="s">
        <v>17</v>
      </c>
      <c r="S100" s="19" t="s">
        <v>28</v>
      </c>
      <c r="T100" s="107" t="s">
        <v>3353</v>
      </c>
      <c r="U100" s="303"/>
      <c r="V100" s="317"/>
      <c r="W100" s="303"/>
      <c r="X100" s="303"/>
      <c r="Y100" s="303"/>
      <c r="Z100" s="303"/>
      <c r="AA100" s="303"/>
      <c r="AB100" s="303"/>
      <c r="AC100" s="303"/>
      <c r="AD100" s="303"/>
    </row>
    <row r="101" spans="1:30" ht="34">
      <c r="A101" s="24" t="s">
        <v>590</v>
      </c>
      <c r="B101" s="24" t="s">
        <v>591</v>
      </c>
      <c r="C101" s="19" t="s">
        <v>28</v>
      </c>
      <c r="D101" s="19" t="s">
        <v>21</v>
      </c>
      <c r="E101" s="19" t="s">
        <v>21</v>
      </c>
      <c r="F101" s="19" t="s">
        <v>21</v>
      </c>
      <c r="G101" s="19" t="s">
        <v>21</v>
      </c>
      <c r="H101" s="19" t="s">
        <v>21</v>
      </c>
      <c r="I101" s="107" t="s">
        <v>3354</v>
      </c>
      <c r="J101" s="11"/>
      <c r="K101" s="316"/>
      <c r="L101" s="24" t="s">
        <v>248</v>
      </c>
      <c r="M101" s="12" t="s">
        <v>249</v>
      </c>
      <c r="N101" s="19" t="s">
        <v>21</v>
      </c>
      <c r="O101" s="19" t="s">
        <v>28</v>
      </c>
      <c r="P101" s="19" t="s">
        <v>28</v>
      </c>
      <c r="Q101" s="19" t="s">
        <v>28</v>
      </c>
      <c r="R101" s="19" t="s">
        <v>28</v>
      </c>
      <c r="S101" s="19" t="s">
        <v>28</v>
      </c>
      <c r="T101" s="107" t="s">
        <v>3355</v>
      </c>
      <c r="U101" s="303"/>
      <c r="V101" s="317"/>
      <c r="W101" s="303"/>
      <c r="X101" s="303"/>
      <c r="Y101" s="303"/>
      <c r="Z101" s="303"/>
      <c r="AA101" s="303"/>
      <c r="AB101" s="303"/>
      <c r="AC101" s="303"/>
      <c r="AD101" s="303"/>
    </row>
    <row r="102" spans="1:30" ht="21">
      <c r="A102" s="24" t="s">
        <v>595</v>
      </c>
      <c r="B102" s="24" t="s">
        <v>596</v>
      </c>
      <c r="C102" s="19" t="s">
        <v>1574</v>
      </c>
      <c r="D102" s="19"/>
      <c r="E102" s="19"/>
      <c r="F102" s="19"/>
      <c r="G102" s="19"/>
      <c r="H102" s="19"/>
      <c r="I102" s="107"/>
      <c r="J102" s="11"/>
      <c r="K102" s="316"/>
      <c r="L102" s="24" t="s">
        <v>597</v>
      </c>
      <c r="M102" s="12" t="s">
        <v>598</v>
      </c>
      <c r="N102" s="19" t="s">
        <v>18</v>
      </c>
      <c r="O102" s="19"/>
      <c r="P102" s="19"/>
      <c r="Q102" s="19"/>
      <c r="R102" s="19"/>
      <c r="S102" s="19"/>
      <c r="T102" s="107"/>
      <c r="U102" s="303"/>
      <c r="V102" s="317"/>
      <c r="W102" s="303"/>
      <c r="X102" s="303"/>
      <c r="Y102" s="303"/>
      <c r="Z102" s="303"/>
      <c r="AA102" s="303"/>
      <c r="AB102" s="303"/>
      <c r="AC102" s="303"/>
      <c r="AD102" s="303"/>
    </row>
    <row r="103" spans="1:30" ht="34">
      <c r="A103" s="24" t="s">
        <v>602</v>
      </c>
      <c r="B103" s="24" t="s">
        <v>603</v>
      </c>
      <c r="C103" s="19" t="s">
        <v>18</v>
      </c>
      <c r="D103" s="19"/>
      <c r="E103" s="19"/>
      <c r="F103" s="19"/>
      <c r="G103" s="19"/>
      <c r="H103" s="19"/>
      <c r="I103" s="107"/>
      <c r="J103" s="11"/>
      <c r="K103" s="316"/>
      <c r="L103" s="24" t="s">
        <v>141</v>
      </c>
      <c r="M103" s="12" t="s">
        <v>142</v>
      </c>
      <c r="N103" s="19" t="s">
        <v>17</v>
      </c>
      <c r="O103" s="19" t="s">
        <v>17</v>
      </c>
      <c r="P103" s="19" t="s">
        <v>17</v>
      </c>
      <c r="Q103" s="19" t="s">
        <v>17</v>
      </c>
      <c r="R103" s="19" t="s">
        <v>17</v>
      </c>
      <c r="S103" s="19" t="s">
        <v>17</v>
      </c>
      <c r="T103" s="107" t="s">
        <v>3356</v>
      </c>
      <c r="U103" s="303"/>
      <c r="V103" s="317"/>
      <c r="W103" s="303"/>
      <c r="X103" s="303"/>
      <c r="Y103" s="303"/>
      <c r="Z103" s="303"/>
      <c r="AA103" s="303"/>
      <c r="AB103" s="303"/>
      <c r="AC103" s="303"/>
      <c r="AD103" s="303"/>
    </row>
    <row r="104" spans="1:30" ht="21">
      <c r="A104" s="24" t="s">
        <v>607</v>
      </c>
      <c r="B104" s="24" t="s">
        <v>381</v>
      </c>
      <c r="C104" s="19" t="s">
        <v>21</v>
      </c>
      <c r="D104" s="19" t="s">
        <v>17</v>
      </c>
      <c r="E104" s="19" t="s">
        <v>17</v>
      </c>
      <c r="F104" s="19" t="s">
        <v>17</v>
      </c>
      <c r="G104" s="19" t="s">
        <v>17</v>
      </c>
      <c r="H104" s="19" t="s">
        <v>17</v>
      </c>
      <c r="I104" s="107" t="s">
        <v>3357</v>
      </c>
      <c r="J104" s="11"/>
      <c r="K104" s="316"/>
      <c r="L104" s="24" t="s">
        <v>608</v>
      </c>
      <c r="M104" s="12" t="s">
        <v>609</v>
      </c>
      <c r="N104" s="19" t="s">
        <v>1567</v>
      </c>
      <c r="O104" s="19"/>
      <c r="P104" s="19"/>
      <c r="Q104" s="19"/>
      <c r="R104" s="19"/>
      <c r="S104" s="19"/>
      <c r="T104" s="107"/>
      <c r="U104" s="303"/>
      <c r="V104" s="317"/>
      <c r="W104" s="303"/>
      <c r="X104" s="303"/>
      <c r="Y104" s="303"/>
      <c r="Z104" s="303"/>
      <c r="AA104" s="303"/>
      <c r="AB104" s="303"/>
      <c r="AC104" s="303"/>
      <c r="AD104" s="303"/>
    </row>
    <row r="105" spans="1:30" ht="21">
      <c r="A105" s="24" t="s">
        <v>613</v>
      </c>
      <c r="B105" s="24" t="s">
        <v>108</v>
      </c>
      <c r="C105" s="19" t="s">
        <v>21</v>
      </c>
      <c r="D105" s="19" t="s">
        <v>28</v>
      </c>
      <c r="E105" s="19" t="s">
        <v>28</v>
      </c>
      <c r="F105" s="19" t="s">
        <v>28</v>
      </c>
      <c r="G105" s="19" t="s">
        <v>21</v>
      </c>
      <c r="H105" s="19" t="s">
        <v>28</v>
      </c>
      <c r="I105" s="107" t="s">
        <v>3358</v>
      </c>
      <c r="J105" s="11"/>
      <c r="K105" s="316"/>
      <c r="L105" s="24" t="s">
        <v>614</v>
      </c>
      <c r="M105" s="12" t="s">
        <v>615</v>
      </c>
      <c r="N105" s="19" t="s">
        <v>28</v>
      </c>
      <c r="O105" s="19" t="s">
        <v>28</v>
      </c>
      <c r="P105" s="19" t="s">
        <v>28</v>
      </c>
      <c r="Q105" s="19" t="s">
        <v>21</v>
      </c>
      <c r="R105" s="19" t="s">
        <v>21</v>
      </c>
      <c r="S105" s="19" t="s">
        <v>28</v>
      </c>
      <c r="T105" s="107" t="s">
        <v>3359</v>
      </c>
      <c r="U105" s="303"/>
      <c r="V105" s="317"/>
      <c r="W105" s="303"/>
      <c r="X105" s="303"/>
      <c r="Y105" s="303"/>
      <c r="Z105" s="303"/>
      <c r="AA105" s="303"/>
      <c r="AB105" s="303"/>
      <c r="AC105" s="303"/>
      <c r="AD105" s="303"/>
    </row>
    <row r="106" spans="1:30" ht="21">
      <c r="A106" s="566" t="s">
        <v>619</v>
      </c>
      <c r="B106" s="542"/>
      <c r="C106" s="566"/>
      <c r="D106" s="580"/>
      <c r="E106" s="580"/>
      <c r="F106" s="580"/>
      <c r="G106" s="580"/>
      <c r="H106" s="580"/>
      <c r="I106" s="566"/>
      <c r="J106" s="580"/>
      <c r="K106" s="316"/>
      <c r="L106" s="24" t="s">
        <v>620</v>
      </c>
      <c r="M106" s="12" t="s">
        <v>621</v>
      </c>
      <c r="N106" s="19" t="s">
        <v>1567</v>
      </c>
      <c r="O106" s="19" t="s">
        <v>21</v>
      </c>
      <c r="P106" s="19" t="s">
        <v>21</v>
      </c>
      <c r="Q106" s="19" t="s">
        <v>21</v>
      </c>
      <c r="R106" s="19" t="s">
        <v>21</v>
      </c>
      <c r="S106" s="19" t="s">
        <v>21</v>
      </c>
      <c r="T106" s="107" t="s">
        <v>3360</v>
      </c>
      <c r="U106" s="303"/>
      <c r="V106" s="317"/>
      <c r="W106" s="303"/>
      <c r="X106" s="303"/>
      <c r="Y106" s="303"/>
      <c r="Z106" s="303"/>
      <c r="AA106" s="303"/>
      <c r="AB106" s="303"/>
      <c r="AC106" s="303"/>
      <c r="AD106" s="303"/>
    </row>
    <row r="107" spans="1:30" ht="21">
      <c r="A107" s="24" t="s">
        <v>4</v>
      </c>
      <c r="B107" s="94" t="s">
        <v>5</v>
      </c>
      <c r="C107" s="11" t="s">
        <v>1998</v>
      </c>
      <c r="D107" s="11" t="s">
        <v>6</v>
      </c>
      <c r="E107" s="11" t="s">
        <v>7</v>
      </c>
      <c r="F107" s="11" t="s">
        <v>8</v>
      </c>
      <c r="G107" s="11" t="s">
        <v>9</v>
      </c>
      <c r="H107" s="11" t="s">
        <v>10</v>
      </c>
      <c r="I107" s="107" t="s">
        <v>11</v>
      </c>
      <c r="J107" s="11" t="s">
        <v>12</v>
      </c>
      <c r="K107" s="316"/>
      <c r="L107" s="24" t="s">
        <v>419</v>
      </c>
      <c r="M107" s="12" t="s">
        <v>420</v>
      </c>
      <c r="N107" s="19" t="s">
        <v>17</v>
      </c>
      <c r="O107" s="19" t="s">
        <v>17</v>
      </c>
      <c r="P107" s="19" t="s">
        <v>17</v>
      </c>
      <c r="Q107" s="19" t="s">
        <v>17</v>
      </c>
      <c r="R107" s="19" t="s">
        <v>17</v>
      </c>
      <c r="S107" s="19" t="s">
        <v>17</v>
      </c>
      <c r="T107" s="107" t="s">
        <v>3361</v>
      </c>
      <c r="U107" s="303"/>
      <c r="V107" s="317"/>
      <c r="W107" s="303"/>
      <c r="X107" s="303"/>
      <c r="Y107" s="303"/>
      <c r="Z107" s="303"/>
      <c r="AA107" s="303"/>
      <c r="AB107" s="303"/>
      <c r="AC107" s="303"/>
      <c r="AD107" s="303"/>
    </row>
    <row r="108" spans="1:30" ht="21">
      <c r="A108" s="24" t="s">
        <v>633</v>
      </c>
      <c r="B108" s="24" t="s">
        <v>594</v>
      </c>
      <c r="C108" s="19" t="s">
        <v>18</v>
      </c>
      <c r="D108" s="19"/>
      <c r="E108" s="19"/>
      <c r="F108" s="19"/>
      <c r="G108" s="19"/>
      <c r="H108" s="19"/>
      <c r="I108" s="107"/>
      <c r="J108" s="11"/>
      <c r="K108" s="316"/>
      <c r="L108" s="24" t="s">
        <v>628</v>
      </c>
      <c r="M108" s="12" t="s">
        <v>629</v>
      </c>
      <c r="N108" s="19" t="s">
        <v>1567</v>
      </c>
      <c r="O108" s="19" t="s">
        <v>1567</v>
      </c>
      <c r="P108" s="19" t="s">
        <v>21</v>
      </c>
      <c r="Q108" s="19" t="s">
        <v>21</v>
      </c>
      <c r="R108" s="19" t="s">
        <v>21</v>
      </c>
      <c r="S108" s="19" t="s">
        <v>21</v>
      </c>
      <c r="T108" s="107" t="s">
        <v>3362</v>
      </c>
      <c r="U108" s="303"/>
      <c r="V108" s="317"/>
      <c r="W108" s="303"/>
      <c r="X108" s="303"/>
      <c r="Y108" s="303"/>
      <c r="Z108" s="303"/>
      <c r="AA108" s="303"/>
      <c r="AB108" s="303"/>
      <c r="AC108" s="303"/>
      <c r="AD108" s="303"/>
    </row>
    <row r="109" spans="1:30" ht="34">
      <c r="A109" s="24" t="s">
        <v>639</v>
      </c>
      <c r="B109" s="24" t="s">
        <v>640</v>
      </c>
      <c r="C109" s="19" t="s">
        <v>21</v>
      </c>
      <c r="D109" s="19" t="s">
        <v>28</v>
      </c>
      <c r="E109" s="19" t="s">
        <v>21</v>
      </c>
      <c r="F109" s="19" t="s">
        <v>21</v>
      </c>
      <c r="G109" s="19" t="s">
        <v>21</v>
      </c>
      <c r="H109" s="19" t="s">
        <v>21</v>
      </c>
      <c r="I109" s="107" t="s">
        <v>3363</v>
      </c>
      <c r="J109" s="11"/>
      <c r="K109" s="316"/>
      <c r="L109" s="24" t="s">
        <v>634</v>
      </c>
      <c r="M109" s="12" t="s">
        <v>635</v>
      </c>
      <c r="N109" s="19" t="s">
        <v>21</v>
      </c>
      <c r="O109" s="19" t="s">
        <v>1567</v>
      </c>
      <c r="P109" s="19" t="s">
        <v>21</v>
      </c>
      <c r="Q109" s="19" t="s">
        <v>21</v>
      </c>
      <c r="R109" s="19" t="s">
        <v>21</v>
      </c>
      <c r="S109" s="19" t="s">
        <v>21</v>
      </c>
      <c r="T109" s="107" t="s">
        <v>3364</v>
      </c>
      <c r="U109" s="303"/>
      <c r="V109" s="317"/>
      <c r="W109" s="303"/>
      <c r="X109" s="303"/>
      <c r="Y109" s="303"/>
      <c r="Z109" s="303"/>
      <c r="AA109" s="303"/>
      <c r="AB109" s="303"/>
      <c r="AC109" s="303"/>
      <c r="AD109" s="303"/>
    </row>
    <row r="110" spans="1:30" ht="21">
      <c r="A110" s="24" t="s">
        <v>644</v>
      </c>
      <c r="B110" s="24" t="s">
        <v>645</v>
      </c>
      <c r="C110" s="19" t="s">
        <v>18</v>
      </c>
      <c r="D110" s="19"/>
      <c r="E110" s="19"/>
      <c r="F110" s="19"/>
      <c r="G110" s="19"/>
      <c r="H110" s="19"/>
      <c r="I110" s="107"/>
      <c r="J110" s="11"/>
      <c r="K110" s="316"/>
      <c r="L110" s="24" t="s">
        <v>284</v>
      </c>
      <c r="M110" s="12" t="s">
        <v>285</v>
      </c>
      <c r="N110" s="19" t="s">
        <v>21</v>
      </c>
      <c r="O110" s="19" t="s">
        <v>28</v>
      </c>
      <c r="P110" s="19" t="s">
        <v>28</v>
      </c>
      <c r="Q110" s="19" t="s">
        <v>28</v>
      </c>
      <c r="R110" s="19" t="s">
        <v>28</v>
      </c>
      <c r="S110" s="19" t="s">
        <v>28</v>
      </c>
      <c r="T110" s="107" t="s">
        <v>3365</v>
      </c>
      <c r="U110" s="303"/>
      <c r="V110" s="317"/>
      <c r="W110" s="303"/>
      <c r="X110" s="303"/>
      <c r="Y110" s="303"/>
      <c r="Z110" s="303"/>
      <c r="AA110" s="303"/>
      <c r="AB110" s="303"/>
      <c r="AC110" s="303"/>
      <c r="AD110" s="303"/>
    </row>
    <row r="111" spans="1:30" ht="21">
      <c r="A111" s="24" t="s">
        <v>651</v>
      </c>
      <c r="B111" s="24" t="s">
        <v>652</v>
      </c>
      <c r="C111" s="19" t="s">
        <v>1562</v>
      </c>
      <c r="D111" s="19"/>
      <c r="E111" s="19"/>
      <c r="F111" s="19"/>
      <c r="G111" s="19"/>
      <c r="H111" s="19"/>
      <c r="I111" s="107"/>
      <c r="J111" s="11"/>
      <c r="K111" s="316"/>
      <c r="L111" s="24" t="s">
        <v>646</v>
      </c>
      <c r="M111" s="12" t="s">
        <v>647</v>
      </c>
      <c r="N111" s="19" t="s">
        <v>18</v>
      </c>
      <c r="O111" s="19"/>
      <c r="P111" s="19"/>
      <c r="Q111" s="19"/>
      <c r="R111" s="19"/>
      <c r="S111" s="19"/>
      <c r="T111" s="107"/>
      <c r="U111" s="303"/>
      <c r="V111" s="317"/>
      <c r="W111" s="303"/>
      <c r="X111" s="303"/>
      <c r="Y111" s="303"/>
      <c r="Z111" s="303"/>
      <c r="AA111" s="303"/>
      <c r="AB111" s="303"/>
      <c r="AC111" s="303"/>
      <c r="AD111" s="303"/>
    </row>
    <row r="112" spans="1:30" ht="34">
      <c r="A112" s="24" t="s">
        <v>658</v>
      </c>
      <c r="B112" s="24" t="s">
        <v>659</v>
      </c>
      <c r="C112" s="19" t="s">
        <v>28</v>
      </c>
      <c r="D112" s="19" t="s">
        <v>28</v>
      </c>
      <c r="E112" s="19" t="s">
        <v>28</v>
      </c>
      <c r="F112" s="19" t="s">
        <v>28</v>
      </c>
      <c r="G112" s="19" t="s">
        <v>28</v>
      </c>
      <c r="H112" s="19" t="s">
        <v>28</v>
      </c>
      <c r="I112" s="107" t="s">
        <v>3366</v>
      </c>
      <c r="J112" s="11"/>
      <c r="K112" s="316"/>
      <c r="L112" s="24" t="s">
        <v>653</v>
      </c>
      <c r="M112" s="12" t="s">
        <v>654</v>
      </c>
      <c r="N112" s="19" t="s">
        <v>1574</v>
      </c>
      <c r="O112" s="19"/>
      <c r="P112" s="19"/>
      <c r="Q112" s="19"/>
      <c r="R112" s="19"/>
      <c r="S112" s="19"/>
      <c r="T112" s="107"/>
      <c r="U112" s="303"/>
      <c r="V112" s="317"/>
      <c r="W112" s="303"/>
      <c r="X112" s="303"/>
      <c r="Y112" s="303"/>
      <c r="Z112" s="303"/>
      <c r="AA112" s="303"/>
      <c r="AB112" s="303"/>
      <c r="AC112" s="303"/>
      <c r="AD112" s="303"/>
    </row>
    <row r="113" spans="1:30" ht="21">
      <c r="A113" s="24" t="s">
        <v>663</v>
      </c>
      <c r="B113" s="24" t="s">
        <v>5246</v>
      </c>
      <c r="C113" s="19" t="s">
        <v>1567</v>
      </c>
      <c r="D113" s="19" t="s">
        <v>21</v>
      </c>
      <c r="E113" s="19" t="s">
        <v>1567</v>
      </c>
      <c r="F113" s="19" t="s">
        <v>21</v>
      </c>
      <c r="G113" s="19" t="s">
        <v>21</v>
      </c>
      <c r="H113" s="19" t="s">
        <v>21</v>
      </c>
      <c r="I113" s="107" t="s">
        <v>3367</v>
      </c>
      <c r="J113" s="11"/>
      <c r="K113" s="316"/>
      <c r="L113" s="24" t="s">
        <v>203</v>
      </c>
      <c r="M113" s="12" t="s">
        <v>204</v>
      </c>
      <c r="N113" s="19" t="s">
        <v>1567</v>
      </c>
      <c r="O113" s="19"/>
      <c r="P113" s="19"/>
      <c r="Q113" s="19"/>
      <c r="R113" s="19"/>
      <c r="S113" s="19"/>
      <c r="T113" s="107"/>
      <c r="U113" s="303"/>
      <c r="V113" s="317"/>
      <c r="W113" s="303"/>
      <c r="X113" s="303"/>
      <c r="Y113" s="303"/>
      <c r="Z113" s="303"/>
      <c r="AA113" s="303"/>
      <c r="AB113" s="303"/>
      <c r="AC113" s="303"/>
      <c r="AD113" s="303"/>
    </row>
    <row r="114" spans="1:30" ht="21">
      <c r="A114" s="24" t="s">
        <v>667</v>
      </c>
      <c r="B114" s="130" t="s">
        <v>668</v>
      </c>
      <c r="C114" s="19" t="s">
        <v>1574</v>
      </c>
      <c r="D114" s="19"/>
      <c r="E114" s="19"/>
      <c r="F114" s="19"/>
      <c r="G114" s="19"/>
      <c r="H114" s="19"/>
      <c r="I114" s="107"/>
      <c r="J114" s="11"/>
      <c r="K114" s="316"/>
      <c r="L114" s="24" t="s">
        <v>60</v>
      </c>
      <c r="M114" s="12" t="s">
        <v>61</v>
      </c>
      <c r="N114" s="19" t="s">
        <v>17</v>
      </c>
      <c r="O114" s="19" t="s">
        <v>17</v>
      </c>
      <c r="P114" s="19" t="s">
        <v>17</v>
      </c>
      <c r="Q114" s="19" t="s">
        <v>17</v>
      </c>
      <c r="R114" s="19" t="s">
        <v>17</v>
      </c>
      <c r="S114" s="19" t="s">
        <v>17</v>
      </c>
      <c r="T114" s="107" t="s">
        <v>3368</v>
      </c>
      <c r="U114" s="303"/>
      <c r="V114" s="317"/>
      <c r="W114" s="303"/>
      <c r="X114" s="303"/>
      <c r="Y114" s="303"/>
      <c r="Z114" s="303"/>
      <c r="AA114" s="303"/>
      <c r="AB114" s="303"/>
      <c r="AC114" s="303"/>
      <c r="AD114" s="303"/>
    </row>
    <row r="115" spans="1:30" ht="21">
      <c r="A115" s="24" t="s">
        <v>674</v>
      </c>
      <c r="B115" s="130" t="s">
        <v>675</v>
      </c>
      <c r="C115" s="19" t="s">
        <v>1567</v>
      </c>
      <c r="D115" s="19" t="s">
        <v>21</v>
      </c>
      <c r="E115" s="19" t="s">
        <v>21</v>
      </c>
      <c r="F115" s="19" t="s">
        <v>21</v>
      </c>
      <c r="G115" s="19" t="s">
        <v>21</v>
      </c>
      <c r="H115" s="19" t="s">
        <v>21</v>
      </c>
      <c r="I115" s="107" t="s">
        <v>3369</v>
      </c>
      <c r="J115" s="11"/>
      <c r="K115" s="316"/>
      <c r="L115" s="24" t="s">
        <v>669</v>
      </c>
      <c r="M115" s="12" t="s">
        <v>670</v>
      </c>
      <c r="N115" s="19" t="s">
        <v>1562</v>
      </c>
      <c r="O115" s="19"/>
      <c r="P115" s="19"/>
      <c r="Q115" s="19"/>
      <c r="R115" s="19"/>
      <c r="S115" s="19"/>
      <c r="T115" s="107"/>
      <c r="U115" s="303"/>
      <c r="V115" s="317"/>
      <c r="W115" s="303"/>
      <c r="X115" s="303"/>
      <c r="Y115" s="303"/>
      <c r="Z115" s="303"/>
      <c r="AA115" s="303"/>
      <c r="AB115" s="303"/>
      <c r="AC115" s="303"/>
      <c r="AD115" s="303"/>
    </row>
    <row r="116" spans="1:30" ht="34">
      <c r="A116" s="24" t="s">
        <v>681</v>
      </c>
      <c r="B116" s="24" t="s">
        <v>666</v>
      </c>
      <c r="C116" s="19" t="s">
        <v>21</v>
      </c>
      <c r="D116" s="19" t="s">
        <v>21</v>
      </c>
      <c r="E116" s="19" t="s">
        <v>21</v>
      </c>
      <c r="F116" s="19" t="s">
        <v>1567</v>
      </c>
      <c r="G116" s="19" t="s">
        <v>1567</v>
      </c>
      <c r="H116" s="19" t="s">
        <v>1567</v>
      </c>
      <c r="I116" s="107" t="s">
        <v>3370</v>
      </c>
      <c r="J116" s="11"/>
      <c r="K116" s="316"/>
      <c r="L116" s="24" t="s">
        <v>676</v>
      </c>
      <c r="M116" s="12" t="s">
        <v>677</v>
      </c>
      <c r="N116" s="19" t="s">
        <v>18</v>
      </c>
      <c r="O116" s="19"/>
      <c r="P116" s="19"/>
      <c r="Q116" s="19"/>
      <c r="R116" s="19"/>
      <c r="S116" s="19"/>
      <c r="T116" s="107"/>
      <c r="U116" s="303"/>
      <c r="V116" s="317"/>
      <c r="W116" s="303"/>
      <c r="X116" s="303"/>
      <c r="Y116" s="303"/>
      <c r="Z116" s="303"/>
      <c r="AA116" s="303"/>
      <c r="AB116" s="303"/>
      <c r="AC116" s="303"/>
      <c r="AD116" s="303"/>
    </row>
    <row r="117" spans="1:30" ht="21">
      <c r="A117" s="24" t="s">
        <v>687</v>
      </c>
      <c r="B117" s="24" t="s">
        <v>688</v>
      </c>
      <c r="C117" s="19" t="s">
        <v>18</v>
      </c>
      <c r="D117" s="19"/>
      <c r="E117" s="19"/>
      <c r="F117" s="19"/>
      <c r="G117" s="19"/>
      <c r="H117" s="19"/>
      <c r="I117" s="107"/>
      <c r="J117" s="11"/>
      <c r="K117" s="316"/>
      <c r="L117" s="24" t="s">
        <v>682</v>
      </c>
      <c r="M117" s="12" t="s">
        <v>683</v>
      </c>
      <c r="N117" s="19" t="s">
        <v>21</v>
      </c>
      <c r="O117" s="19" t="s">
        <v>21</v>
      </c>
      <c r="P117" s="19" t="s">
        <v>1567</v>
      </c>
      <c r="Q117" s="19" t="s">
        <v>21</v>
      </c>
      <c r="R117" s="19" t="s">
        <v>21</v>
      </c>
      <c r="S117" s="19" t="s">
        <v>21</v>
      </c>
      <c r="T117" s="107" t="s">
        <v>3371</v>
      </c>
      <c r="U117" s="303"/>
      <c r="V117" s="317"/>
      <c r="W117" s="303"/>
      <c r="X117" s="303"/>
      <c r="Y117" s="303"/>
      <c r="Z117" s="303"/>
      <c r="AA117" s="303"/>
      <c r="AB117" s="303"/>
      <c r="AC117" s="303"/>
      <c r="AD117" s="303"/>
    </row>
    <row r="118" spans="1:30" ht="21">
      <c r="A118" s="24" t="s">
        <v>694</v>
      </c>
      <c r="B118" s="24" t="s">
        <v>695</v>
      </c>
      <c r="C118" s="19" t="s">
        <v>18</v>
      </c>
      <c r="D118" s="19"/>
      <c r="E118" s="19"/>
      <c r="F118" s="19"/>
      <c r="G118" s="19"/>
      <c r="H118" s="19"/>
      <c r="I118" s="107"/>
      <c r="J118" s="11"/>
      <c r="K118" s="316"/>
      <c r="L118" s="24" t="s">
        <v>689</v>
      </c>
      <c r="M118" s="12" t="s">
        <v>690</v>
      </c>
      <c r="N118" s="19" t="s">
        <v>1567</v>
      </c>
      <c r="O118" s="19" t="s">
        <v>1567</v>
      </c>
      <c r="P118" s="19" t="s">
        <v>1567</v>
      </c>
      <c r="Q118" s="19" t="s">
        <v>1567</v>
      </c>
      <c r="R118" s="19" t="s">
        <v>1567</v>
      </c>
      <c r="S118" s="19" t="s">
        <v>1567</v>
      </c>
      <c r="T118" s="107" t="s">
        <v>3372</v>
      </c>
      <c r="U118" s="303"/>
      <c r="V118" s="317"/>
      <c r="W118" s="303"/>
      <c r="X118" s="303"/>
      <c r="Y118" s="303"/>
      <c r="Z118" s="303"/>
      <c r="AA118" s="303"/>
      <c r="AB118" s="303"/>
      <c r="AC118" s="303"/>
      <c r="AD118" s="303"/>
    </row>
    <row r="119" spans="1:30" ht="21">
      <c r="A119" s="24" t="s">
        <v>701</v>
      </c>
      <c r="B119" s="24" t="s">
        <v>702</v>
      </c>
      <c r="C119" s="19" t="s">
        <v>1661</v>
      </c>
      <c r="D119" s="19"/>
      <c r="E119" s="19"/>
      <c r="F119" s="19"/>
      <c r="G119" s="19"/>
      <c r="H119" s="19"/>
      <c r="I119" s="107"/>
      <c r="J119" s="11"/>
      <c r="K119" s="316"/>
      <c r="L119" s="24" t="s">
        <v>696</v>
      </c>
      <c r="M119" s="12" t="s">
        <v>697</v>
      </c>
      <c r="N119" s="19" t="s">
        <v>1562</v>
      </c>
      <c r="O119" s="19"/>
      <c r="P119" s="19"/>
      <c r="Q119" s="19"/>
      <c r="R119" s="19"/>
      <c r="S119" s="19"/>
      <c r="T119" s="107"/>
      <c r="U119" s="303"/>
      <c r="V119" s="317"/>
      <c r="W119" s="303"/>
      <c r="X119" s="303"/>
      <c r="Y119" s="303"/>
      <c r="Z119" s="303"/>
      <c r="AA119" s="303"/>
      <c r="AB119" s="303"/>
      <c r="AC119" s="303"/>
      <c r="AD119" s="303"/>
    </row>
    <row r="120" spans="1:30" ht="21">
      <c r="A120" s="24" t="s">
        <v>708</v>
      </c>
      <c r="B120" s="24" t="s">
        <v>709</v>
      </c>
      <c r="C120" s="19" t="s">
        <v>21</v>
      </c>
      <c r="D120" s="19" t="s">
        <v>1567</v>
      </c>
      <c r="E120" s="19" t="s">
        <v>1567</v>
      </c>
      <c r="F120" s="19" t="s">
        <v>1567</v>
      </c>
      <c r="G120" s="19" t="s">
        <v>1567</v>
      </c>
      <c r="H120" s="19" t="s">
        <v>1567</v>
      </c>
      <c r="I120" s="107" t="s">
        <v>3373</v>
      </c>
      <c r="J120" s="11"/>
      <c r="K120" s="316"/>
      <c r="L120" s="24" t="s">
        <v>703</v>
      </c>
      <c r="M120" s="12" t="s">
        <v>704</v>
      </c>
      <c r="N120" s="19" t="s">
        <v>18</v>
      </c>
      <c r="O120" s="19"/>
      <c r="P120" s="19"/>
      <c r="Q120" s="19"/>
      <c r="R120" s="19"/>
      <c r="S120" s="19"/>
      <c r="T120" s="107"/>
      <c r="U120" s="303"/>
      <c r="V120" s="317"/>
      <c r="W120" s="303"/>
      <c r="X120" s="303"/>
      <c r="Y120" s="303"/>
      <c r="Z120" s="303"/>
      <c r="AA120" s="303"/>
      <c r="AB120" s="303"/>
      <c r="AC120" s="303"/>
      <c r="AD120" s="303"/>
    </row>
    <row r="121" spans="1:30" ht="21">
      <c r="A121" s="24" t="s">
        <v>715</v>
      </c>
      <c r="B121" s="24" t="s">
        <v>716</v>
      </c>
      <c r="C121" s="19" t="s">
        <v>18</v>
      </c>
      <c r="D121" s="19"/>
      <c r="E121" s="19"/>
      <c r="F121" s="19"/>
      <c r="G121" s="19"/>
      <c r="H121" s="19"/>
      <c r="I121" s="107"/>
      <c r="J121" s="11"/>
      <c r="K121" s="316"/>
      <c r="L121" s="24" t="s">
        <v>710</v>
      </c>
      <c r="M121" s="12" t="s">
        <v>711</v>
      </c>
      <c r="N121" s="19" t="s">
        <v>1567</v>
      </c>
      <c r="O121" s="19" t="s">
        <v>21</v>
      </c>
      <c r="P121" s="19" t="s">
        <v>21</v>
      </c>
      <c r="Q121" s="19" t="s">
        <v>28</v>
      </c>
      <c r="R121" s="19" t="s">
        <v>21</v>
      </c>
      <c r="S121" s="19" t="s">
        <v>21</v>
      </c>
      <c r="T121" s="107" t="s">
        <v>3374</v>
      </c>
      <c r="U121" s="303"/>
      <c r="V121" s="317"/>
      <c r="W121" s="303"/>
      <c r="X121" s="303"/>
      <c r="Y121" s="303"/>
      <c r="Z121" s="303"/>
      <c r="AA121" s="303"/>
      <c r="AB121" s="303"/>
      <c r="AC121" s="303"/>
      <c r="AD121" s="303"/>
    </row>
    <row r="122" spans="1:30" ht="21">
      <c r="A122" s="24" t="s">
        <v>722</v>
      </c>
      <c r="B122" s="24" t="s">
        <v>723</v>
      </c>
      <c r="C122" s="19" t="s">
        <v>1567</v>
      </c>
      <c r="D122" s="19" t="s">
        <v>1567</v>
      </c>
      <c r="E122" s="19" t="s">
        <v>1567</v>
      </c>
      <c r="F122" s="19" t="s">
        <v>1567</v>
      </c>
      <c r="G122" s="19" t="s">
        <v>1567</v>
      </c>
      <c r="H122" s="19" t="s">
        <v>1567</v>
      </c>
      <c r="I122" s="107"/>
      <c r="J122" s="11"/>
      <c r="K122" s="316"/>
      <c r="L122" s="24" t="s">
        <v>717</v>
      </c>
      <c r="M122" s="12" t="s">
        <v>718</v>
      </c>
      <c r="N122" s="19" t="s">
        <v>1567</v>
      </c>
      <c r="O122" s="19" t="s">
        <v>28</v>
      </c>
      <c r="P122" s="19" t="s">
        <v>28</v>
      </c>
      <c r="Q122" s="19" t="s">
        <v>28</v>
      </c>
      <c r="R122" s="19" t="s">
        <v>28</v>
      </c>
      <c r="S122" s="19" t="s">
        <v>28</v>
      </c>
      <c r="T122" s="107" t="s">
        <v>3375</v>
      </c>
      <c r="U122" s="303"/>
      <c r="V122" s="317"/>
      <c r="W122" s="303"/>
      <c r="X122" s="303"/>
      <c r="Y122" s="303"/>
      <c r="Z122" s="303"/>
      <c r="AA122" s="303"/>
      <c r="AB122" s="303"/>
      <c r="AC122" s="303"/>
      <c r="AD122" s="303"/>
    </row>
    <row r="123" spans="1:30" ht="51">
      <c r="A123" s="24" t="s">
        <v>727</v>
      </c>
      <c r="B123" s="130" t="s">
        <v>558</v>
      </c>
      <c r="C123" s="19" t="s">
        <v>1567</v>
      </c>
      <c r="D123" s="19" t="s">
        <v>21</v>
      </c>
      <c r="E123" s="19" t="s">
        <v>1567</v>
      </c>
      <c r="F123" s="19" t="s">
        <v>28</v>
      </c>
      <c r="G123" s="19" t="s">
        <v>21</v>
      </c>
      <c r="H123" s="19" t="s">
        <v>21</v>
      </c>
      <c r="I123" s="107" t="s">
        <v>3376</v>
      </c>
      <c r="J123" s="11"/>
      <c r="K123" s="316"/>
      <c r="L123" s="24" t="s">
        <v>134</v>
      </c>
      <c r="M123" s="12" t="s">
        <v>135</v>
      </c>
      <c r="N123" s="19" t="s">
        <v>17</v>
      </c>
      <c r="O123" s="19" t="s">
        <v>28</v>
      </c>
      <c r="P123" s="19" t="s">
        <v>28</v>
      </c>
      <c r="Q123" s="19" t="s">
        <v>28</v>
      </c>
      <c r="R123" s="19" t="s">
        <v>28</v>
      </c>
      <c r="S123" s="19" t="s">
        <v>28</v>
      </c>
      <c r="T123" s="107" t="s">
        <v>3377</v>
      </c>
      <c r="U123" s="303"/>
      <c r="V123" s="317"/>
      <c r="W123" s="303"/>
      <c r="X123" s="303"/>
      <c r="Y123" s="303"/>
      <c r="Z123" s="303"/>
      <c r="AA123" s="303"/>
      <c r="AB123" s="303"/>
      <c r="AC123" s="303"/>
      <c r="AD123" s="303"/>
    </row>
    <row r="124" spans="1:30" ht="21">
      <c r="A124" s="24" t="s">
        <v>733</v>
      </c>
      <c r="B124" s="24" t="s">
        <v>686</v>
      </c>
      <c r="C124" s="19" t="s">
        <v>18</v>
      </c>
      <c r="D124" s="19"/>
      <c r="E124" s="19"/>
      <c r="F124" s="19"/>
      <c r="G124" s="19"/>
      <c r="H124" s="19"/>
      <c r="I124" s="107"/>
      <c r="J124" s="11"/>
      <c r="K124" s="316"/>
      <c r="L124" s="24" t="s">
        <v>728</v>
      </c>
      <c r="M124" s="12" t="s">
        <v>729</v>
      </c>
      <c r="N124" s="19" t="s">
        <v>1562</v>
      </c>
      <c r="O124" s="19"/>
      <c r="P124" s="19"/>
      <c r="Q124" s="19"/>
      <c r="R124" s="19"/>
      <c r="S124" s="19"/>
      <c r="T124" s="107"/>
      <c r="U124" s="303"/>
      <c r="V124" s="317"/>
      <c r="W124" s="303"/>
      <c r="X124" s="303"/>
      <c r="Y124" s="303"/>
      <c r="Z124" s="303"/>
      <c r="AA124" s="303"/>
      <c r="AB124" s="303"/>
      <c r="AC124" s="303"/>
      <c r="AD124" s="303"/>
    </row>
    <row r="125" spans="1:30" ht="34">
      <c r="A125" s="24" t="s">
        <v>737</v>
      </c>
      <c r="B125" s="24" t="s">
        <v>700</v>
      </c>
      <c r="C125" s="19" t="s">
        <v>28</v>
      </c>
      <c r="D125" s="19" t="s">
        <v>28</v>
      </c>
      <c r="E125" s="19" t="s">
        <v>28</v>
      </c>
      <c r="F125" s="19" t="s">
        <v>28</v>
      </c>
      <c r="G125" s="19" t="s">
        <v>28</v>
      </c>
      <c r="H125" s="19" t="s">
        <v>28</v>
      </c>
      <c r="I125" s="107" t="s">
        <v>3378</v>
      </c>
      <c r="J125" s="11"/>
      <c r="K125" s="316"/>
      <c r="L125" s="24" t="s">
        <v>290</v>
      </c>
      <c r="M125" s="12" t="s">
        <v>291</v>
      </c>
      <c r="N125" s="19" t="s">
        <v>1567</v>
      </c>
      <c r="O125" s="19" t="s">
        <v>28</v>
      </c>
      <c r="P125" s="19" t="s">
        <v>28</v>
      </c>
      <c r="Q125" s="19" t="s">
        <v>28</v>
      </c>
      <c r="R125" s="19" t="s">
        <v>28</v>
      </c>
      <c r="S125" s="19" t="s">
        <v>28</v>
      </c>
      <c r="T125" s="107" t="s">
        <v>3379</v>
      </c>
      <c r="U125" s="303"/>
      <c r="V125" s="317"/>
      <c r="W125" s="303"/>
      <c r="X125" s="303"/>
      <c r="Y125" s="303"/>
      <c r="Z125" s="303"/>
      <c r="AA125" s="303"/>
      <c r="AB125" s="303"/>
      <c r="AC125" s="303"/>
      <c r="AD125" s="303"/>
    </row>
    <row r="126" spans="1:30" ht="21">
      <c r="A126" s="24" t="s">
        <v>741</v>
      </c>
      <c r="B126" s="24" t="s">
        <v>742</v>
      </c>
      <c r="C126" s="19" t="s">
        <v>18</v>
      </c>
      <c r="D126" s="19"/>
      <c r="E126" s="19"/>
      <c r="F126" s="19"/>
      <c r="G126" s="19"/>
      <c r="H126" s="19"/>
      <c r="I126" s="107"/>
      <c r="J126" s="11"/>
      <c r="K126" s="316"/>
      <c r="L126" s="24" t="s">
        <v>254</v>
      </c>
      <c r="M126" s="12" t="s">
        <v>255</v>
      </c>
      <c r="N126" s="19" t="s">
        <v>28</v>
      </c>
      <c r="O126" s="19" t="s">
        <v>28</v>
      </c>
      <c r="P126" s="19" t="s">
        <v>28</v>
      </c>
      <c r="Q126" s="19" t="s">
        <v>28</v>
      </c>
      <c r="R126" s="19" t="s">
        <v>28</v>
      </c>
      <c r="S126" s="19" t="s">
        <v>28</v>
      </c>
      <c r="T126" s="107" t="s">
        <v>3380</v>
      </c>
      <c r="U126" s="303"/>
      <c r="V126" s="317"/>
    </row>
    <row r="127" spans="1:30" ht="51">
      <c r="A127" s="24" t="s">
        <v>746</v>
      </c>
      <c r="B127" s="24" t="s">
        <v>693</v>
      </c>
      <c r="C127" s="19" t="s">
        <v>17</v>
      </c>
      <c r="D127" s="19" t="s">
        <v>28</v>
      </c>
      <c r="E127" s="19" t="s">
        <v>17</v>
      </c>
      <c r="F127" s="19" t="s">
        <v>17</v>
      </c>
      <c r="G127" s="19" t="s">
        <v>17</v>
      </c>
      <c r="H127" s="19" t="s">
        <v>17</v>
      </c>
      <c r="I127" s="107" t="s">
        <v>3381</v>
      </c>
      <c r="J127" s="11"/>
      <c r="K127" s="320"/>
      <c r="L127" s="24" t="s">
        <v>407</v>
      </c>
      <c r="M127" s="25" t="s">
        <v>408</v>
      </c>
      <c r="N127" s="19" t="s">
        <v>21</v>
      </c>
      <c r="O127" s="19" t="s">
        <v>28</v>
      </c>
      <c r="P127" s="19" t="s">
        <v>28</v>
      </c>
      <c r="Q127" s="19" t="s">
        <v>28</v>
      </c>
      <c r="R127" s="19" t="s">
        <v>28</v>
      </c>
      <c r="S127" s="19" t="s">
        <v>28</v>
      </c>
      <c r="T127" s="107" t="s">
        <v>3382</v>
      </c>
      <c r="U127"/>
      <c r="V127" s="123"/>
    </row>
    <row r="128" spans="1:30">
      <c r="A128" s="24" t="s">
        <v>752</v>
      </c>
      <c r="B128" s="130" t="s">
        <v>753</v>
      </c>
      <c r="C128" s="19" t="s">
        <v>1567</v>
      </c>
      <c r="D128" s="19" t="s">
        <v>1567</v>
      </c>
      <c r="E128" s="19" t="s">
        <v>1567</v>
      </c>
      <c r="F128" s="19" t="s">
        <v>21</v>
      </c>
      <c r="G128" s="19" t="s">
        <v>21</v>
      </c>
      <c r="H128" s="19" t="s">
        <v>21</v>
      </c>
      <c r="I128" s="107" t="s">
        <v>3383</v>
      </c>
      <c r="J128" s="11"/>
      <c r="K128" s="320"/>
      <c r="L128" s="24" t="s">
        <v>747</v>
      </c>
      <c r="M128" s="25" t="s">
        <v>748</v>
      </c>
      <c r="N128" s="19" t="s">
        <v>18</v>
      </c>
      <c r="O128" s="19"/>
      <c r="P128" s="19"/>
      <c r="Q128" s="19"/>
      <c r="R128" s="19"/>
      <c r="S128" s="19"/>
      <c r="T128" s="107"/>
      <c r="U128"/>
      <c r="V128" s="123"/>
    </row>
    <row r="129" spans="1:22">
      <c r="A129" s="24" t="s">
        <v>757</v>
      </c>
      <c r="B129" s="24" t="s">
        <v>758</v>
      </c>
      <c r="C129" s="19" t="s">
        <v>21</v>
      </c>
      <c r="D129" s="19" t="s">
        <v>21</v>
      </c>
      <c r="E129" s="19" t="s">
        <v>21</v>
      </c>
      <c r="F129" s="19" t="s">
        <v>21</v>
      </c>
      <c r="G129" s="19" t="s">
        <v>21</v>
      </c>
      <c r="H129" s="19" t="s">
        <v>21</v>
      </c>
      <c r="I129" s="107" t="s">
        <v>3384</v>
      </c>
      <c r="J129" s="11"/>
      <c r="K129" s="320"/>
      <c r="L129" s="24" t="s">
        <v>411</v>
      </c>
      <c r="M129" s="25" t="s">
        <v>412</v>
      </c>
      <c r="N129" s="19" t="s">
        <v>28</v>
      </c>
      <c r="O129" s="19" t="s">
        <v>28</v>
      </c>
      <c r="P129" s="19" t="s">
        <v>28</v>
      </c>
      <c r="Q129" s="19" t="s">
        <v>28</v>
      </c>
      <c r="R129" s="19" t="s">
        <v>28</v>
      </c>
      <c r="S129" s="19" t="s">
        <v>28</v>
      </c>
      <c r="T129" s="107" t="s">
        <v>3385</v>
      </c>
      <c r="U129"/>
      <c r="V129" s="123"/>
    </row>
    <row r="130" spans="1:22" ht="34">
      <c r="A130" s="24" t="s">
        <v>762</v>
      </c>
      <c r="B130" s="24" t="s">
        <v>763</v>
      </c>
      <c r="C130" s="19" t="s">
        <v>18</v>
      </c>
      <c r="D130" s="19" t="s">
        <v>21</v>
      </c>
      <c r="E130" s="19" t="s">
        <v>21</v>
      </c>
      <c r="F130" s="19" t="s">
        <v>21</v>
      </c>
      <c r="G130" s="19" t="s">
        <v>21</v>
      </c>
      <c r="H130" s="19" t="s">
        <v>21</v>
      </c>
      <c r="I130" s="107" t="s">
        <v>3386</v>
      </c>
      <c r="J130" s="11"/>
      <c r="K130" s="320"/>
      <c r="L130" s="24" t="s">
        <v>32</v>
      </c>
      <c r="M130" s="25" t="s">
        <v>33</v>
      </c>
      <c r="N130" s="19" t="s">
        <v>17</v>
      </c>
      <c r="O130" s="19" t="s">
        <v>28</v>
      </c>
      <c r="P130" s="19" t="s">
        <v>28</v>
      </c>
      <c r="Q130" s="19" t="s">
        <v>17</v>
      </c>
      <c r="R130" s="19" t="s">
        <v>17</v>
      </c>
      <c r="S130" s="19" t="s">
        <v>17</v>
      </c>
      <c r="T130" s="107" t="s">
        <v>3387</v>
      </c>
      <c r="U130"/>
      <c r="V130" s="123"/>
    </row>
    <row r="131" spans="1:22">
      <c r="A131" s="24" t="s">
        <v>767</v>
      </c>
      <c r="B131" s="24" t="s">
        <v>768</v>
      </c>
      <c r="C131" s="19" t="s">
        <v>18</v>
      </c>
      <c r="D131" s="19"/>
      <c r="E131" s="19"/>
      <c r="F131" s="19"/>
      <c r="G131" s="19"/>
      <c r="H131" s="19"/>
      <c r="I131" s="107"/>
      <c r="J131" s="11"/>
      <c r="K131" s="320"/>
      <c r="L131" s="24" t="s">
        <v>301</v>
      </c>
      <c r="M131" s="25" t="s">
        <v>280</v>
      </c>
      <c r="N131" s="19" t="s">
        <v>28</v>
      </c>
      <c r="O131" s="19" t="s">
        <v>28</v>
      </c>
      <c r="P131" s="19" t="s">
        <v>28</v>
      </c>
      <c r="Q131" s="19" t="s">
        <v>28</v>
      </c>
      <c r="R131" s="19" t="s">
        <v>28</v>
      </c>
      <c r="S131" s="19" t="s">
        <v>28</v>
      </c>
      <c r="T131" s="107" t="s">
        <v>3388</v>
      </c>
      <c r="U131"/>
      <c r="V131" s="123"/>
    </row>
    <row r="132" spans="1:22">
      <c r="A132" s="24" t="s">
        <v>772</v>
      </c>
      <c r="B132" s="24" t="s">
        <v>773</v>
      </c>
      <c r="C132" s="19" t="s">
        <v>18</v>
      </c>
      <c r="D132" s="19"/>
      <c r="E132" s="19"/>
      <c r="F132" s="19"/>
      <c r="G132" s="19"/>
      <c r="H132" s="19"/>
      <c r="I132" s="107"/>
      <c r="J132" s="11"/>
      <c r="K132" s="320"/>
      <c r="L132" s="24" t="s">
        <v>344</v>
      </c>
      <c r="M132" s="25" t="s">
        <v>345</v>
      </c>
      <c r="N132" s="19" t="s">
        <v>1567</v>
      </c>
      <c r="O132" s="19" t="s">
        <v>28</v>
      </c>
      <c r="P132" s="19" t="s">
        <v>28</v>
      </c>
      <c r="Q132" s="19" t="s">
        <v>28</v>
      </c>
      <c r="R132" s="19" t="s">
        <v>28</v>
      </c>
      <c r="S132" s="19" t="s">
        <v>28</v>
      </c>
      <c r="T132" s="107" t="s">
        <v>3389</v>
      </c>
      <c r="U132"/>
      <c r="V132" s="123"/>
    </row>
    <row r="133" spans="1:22">
      <c r="A133" s="24" t="s">
        <v>779</v>
      </c>
      <c r="B133" s="24" t="s">
        <v>780</v>
      </c>
      <c r="C133" s="19" t="s">
        <v>1567</v>
      </c>
      <c r="D133" s="19" t="s">
        <v>21</v>
      </c>
      <c r="E133" s="19" t="s">
        <v>28</v>
      </c>
      <c r="F133" s="19" t="s">
        <v>21</v>
      </c>
      <c r="G133" s="19" t="s">
        <v>28</v>
      </c>
      <c r="H133" s="19" t="s">
        <v>28</v>
      </c>
      <c r="I133" s="107" t="s">
        <v>3390</v>
      </c>
      <c r="J133" s="11"/>
      <c r="K133" s="320"/>
      <c r="L133" s="24" t="s">
        <v>774</v>
      </c>
      <c r="M133" s="25" t="s">
        <v>775</v>
      </c>
      <c r="N133" s="19" t="s">
        <v>18</v>
      </c>
      <c r="O133" s="19"/>
      <c r="P133" s="19"/>
      <c r="Q133" s="19"/>
      <c r="R133" s="19"/>
      <c r="S133" s="19"/>
      <c r="T133" s="107"/>
      <c r="U133"/>
      <c r="V133" s="123"/>
    </row>
    <row r="134" spans="1:22" ht="34">
      <c r="A134" s="24" t="s">
        <v>785</v>
      </c>
      <c r="B134" s="130" t="s">
        <v>786</v>
      </c>
      <c r="C134" s="19" t="s">
        <v>28</v>
      </c>
      <c r="D134" s="19" t="s">
        <v>28</v>
      </c>
      <c r="E134" s="19" t="s">
        <v>21</v>
      </c>
      <c r="F134" s="19" t="s">
        <v>28</v>
      </c>
      <c r="G134" s="19" t="s">
        <v>28</v>
      </c>
      <c r="H134" s="19" t="s">
        <v>28</v>
      </c>
      <c r="I134" s="107" t="s">
        <v>3391</v>
      </c>
      <c r="J134" s="11"/>
      <c r="K134" s="320"/>
      <c r="L134" s="24" t="s">
        <v>781</v>
      </c>
      <c r="M134" s="25" t="s">
        <v>544</v>
      </c>
      <c r="N134" s="19" t="s">
        <v>1567</v>
      </c>
      <c r="O134" s="19" t="s">
        <v>21</v>
      </c>
      <c r="P134" s="19" t="s">
        <v>21</v>
      </c>
      <c r="Q134" s="19" t="s">
        <v>28</v>
      </c>
      <c r="R134" s="19" t="s">
        <v>28</v>
      </c>
      <c r="S134" s="19" t="s">
        <v>21</v>
      </c>
      <c r="T134" s="107" t="s">
        <v>3392</v>
      </c>
      <c r="U134"/>
      <c r="V134" s="123"/>
    </row>
    <row r="135" spans="1:22">
      <c r="A135" s="24" t="s">
        <v>791</v>
      </c>
      <c r="B135" s="24" t="s">
        <v>792</v>
      </c>
      <c r="C135" s="19" t="s">
        <v>18</v>
      </c>
      <c r="D135" s="19"/>
      <c r="E135" s="19"/>
      <c r="F135" s="19"/>
      <c r="G135" s="19"/>
      <c r="H135" s="19"/>
      <c r="I135" s="107"/>
      <c r="J135" s="11"/>
      <c r="K135" s="320"/>
      <c r="L135" s="549" t="s">
        <v>787</v>
      </c>
      <c r="M135" s="547"/>
      <c r="N135" s="608"/>
      <c r="O135" s="547"/>
      <c r="P135" s="547"/>
      <c r="Q135" s="547"/>
      <c r="R135" s="547"/>
      <c r="S135" s="547"/>
      <c r="T135" s="547"/>
      <c r="U135" s="547"/>
      <c r="V135" s="123"/>
    </row>
    <row r="136" spans="1:22">
      <c r="A136" s="24" t="s">
        <v>796</v>
      </c>
      <c r="B136" s="24" t="s">
        <v>797</v>
      </c>
      <c r="C136" s="19" t="s">
        <v>18</v>
      </c>
      <c r="D136" s="19"/>
      <c r="E136" s="19"/>
      <c r="F136" s="19"/>
      <c r="G136" s="19"/>
      <c r="H136" s="19"/>
      <c r="I136" s="107"/>
      <c r="J136" s="11"/>
      <c r="K136" s="320"/>
      <c r="L136" s="571"/>
      <c r="M136" s="571"/>
      <c r="N136" s="566"/>
      <c r="O136" s="571"/>
      <c r="P136" s="571"/>
      <c r="Q136" s="571"/>
      <c r="R136" s="571"/>
      <c r="S136" s="571"/>
      <c r="T136" s="571"/>
      <c r="U136" s="571"/>
      <c r="V136" s="123"/>
    </row>
    <row r="137" spans="1:22">
      <c r="A137" s="24" t="s">
        <v>800</v>
      </c>
      <c r="B137" s="130" t="s">
        <v>801</v>
      </c>
      <c r="C137" s="19" t="s">
        <v>16</v>
      </c>
      <c r="D137" s="19"/>
      <c r="E137" s="19"/>
      <c r="F137" s="19"/>
      <c r="G137" s="19"/>
      <c r="H137" s="19"/>
      <c r="I137" s="107"/>
      <c r="J137" s="11"/>
      <c r="K137" s="320"/>
      <c r="L137" s="308" t="s">
        <v>802</v>
      </c>
      <c r="M137" s="25" t="s">
        <v>803</v>
      </c>
      <c r="N137" s="19" t="s">
        <v>1567</v>
      </c>
      <c r="O137" s="19" t="s">
        <v>21</v>
      </c>
      <c r="P137" s="19" t="s">
        <v>21</v>
      </c>
      <c r="Q137" s="19" t="s">
        <v>21</v>
      </c>
      <c r="R137" s="19" t="s">
        <v>1567</v>
      </c>
      <c r="S137" s="19" t="s">
        <v>21</v>
      </c>
      <c r="T137" s="321" t="s">
        <v>3393</v>
      </c>
      <c r="U137"/>
      <c r="V137" s="123"/>
    </row>
    <row r="138" spans="1:22">
      <c r="A138" s="24" t="s">
        <v>807</v>
      </c>
      <c r="B138" s="24" t="s">
        <v>808</v>
      </c>
      <c r="C138" s="19" t="s">
        <v>18</v>
      </c>
      <c r="D138" s="19"/>
      <c r="E138" s="19"/>
      <c r="F138" s="19"/>
      <c r="G138" s="19"/>
      <c r="H138" s="19"/>
      <c r="I138" s="107"/>
      <c r="J138" s="11"/>
      <c r="K138" s="320"/>
      <c r="L138" s="24" t="s">
        <v>809</v>
      </c>
      <c r="M138" s="25" t="s">
        <v>810</v>
      </c>
      <c r="N138" s="19" t="s">
        <v>18</v>
      </c>
      <c r="O138" s="19"/>
      <c r="P138" s="19"/>
      <c r="Q138" s="19"/>
      <c r="R138" s="19"/>
      <c r="S138" s="19"/>
      <c r="T138" s="321"/>
      <c r="U138"/>
      <c r="V138" s="123"/>
    </row>
    <row r="139" spans="1:22">
      <c r="A139" s="24" t="s">
        <v>814</v>
      </c>
      <c r="B139" s="24" t="s">
        <v>736</v>
      </c>
      <c r="C139" s="19" t="s">
        <v>28</v>
      </c>
      <c r="D139" s="19" t="s">
        <v>17</v>
      </c>
      <c r="E139" s="19" t="s">
        <v>28</v>
      </c>
      <c r="F139" s="19" t="s">
        <v>17</v>
      </c>
      <c r="G139" s="19" t="s">
        <v>28</v>
      </c>
      <c r="H139" s="19" t="s">
        <v>28</v>
      </c>
      <c r="I139" s="107" t="s">
        <v>3394</v>
      </c>
      <c r="J139" s="11"/>
      <c r="K139" s="320"/>
      <c r="L139" s="24" t="s">
        <v>755</v>
      </c>
      <c r="M139" s="25" t="s">
        <v>756</v>
      </c>
      <c r="N139" s="19" t="s">
        <v>28</v>
      </c>
      <c r="O139" s="19" t="s">
        <v>28</v>
      </c>
      <c r="P139" s="19" t="s">
        <v>28</v>
      </c>
      <c r="Q139" s="19" t="s">
        <v>28</v>
      </c>
      <c r="R139" s="19" t="s">
        <v>28</v>
      </c>
      <c r="S139" s="19" t="s">
        <v>28</v>
      </c>
      <c r="T139" s="321" t="s">
        <v>3395</v>
      </c>
      <c r="U139"/>
      <c r="V139" s="123"/>
    </row>
    <row r="140" spans="1:22" ht="34">
      <c r="A140" s="24" t="s">
        <v>818</v>
      </c>
      <c r="B140" s="24" t="s">
        <v>819</v>
      </c>
      <c r="C140" s="19" t="s">
        <v>18</v>
      </c>
      <c r="D140" s="19"/>
      <c r="E140" s="19"/>
      <c r="F140" s="19"/>
      <c r="G140" s="19"/>
      <c r="H140" s="19"/>
      <c r="I140" s="107"/>
      <c r="J140" s="11"/>
      <c r="K140" s="320"/>
      <c r="L140" s="24" t="s">
        <v>820</v>
      </c>
      <c r="M140" s="25" t="s">
        <v>821</v>
      </c>
      <c r="N140" s="19" t="s">
        <v>1567</v>
      </c>
      <c r="O140" s="19" t="s">
        <v>1567</v>
      </c>
      <c r="P140" s="19" t="s">
        <v>1567</v>
      </c>
      <c r="Q140" s="19" t="s">
        <v>1567</v>
      </c>
      <c r="R140" s="19" t="s">
        <v>21</v>
      </c>
      <c r="S140" s="19" t="s">
        <v>1567</v>
      </c>
      <c r="T140" s="321" t="s">
        <v>3396</v>
      </c>
      <c r="U140"/>
      <c r="V140" s="123"/>
    </row>
    <row r="141" spans="1:22">
      <c r="A141" s="24" t="s">
        <v>825</v>
      </c>
      <c r="B141" s="130" t="s">
        <v>826</v>
      </c>
      <c r="C141" s="19" t="s">
        <v>18</v>
      </c>
      <c r="D141" s="19"/>
      <c r="E141" s="19"/>
      <c r="F141" s="19"/>
      <c r="G141" s="19"/>
      <c r="H141" s="19"/>
      <c r="I141" s="107"/>
      <c r="J141" s="11"/>
      <c r="K141" s="320"/>
      <c r="L141" s="24" t="s">
        <v>827</v>
      </c>
      <c r="M141" s="25" t="s">
        <v>828</v>
      </c>
      <c r="N141" s="19" t="s">
        <v>28</v>
      </c>
      <c r="O141" s="19" t="s">
        <v>21</v>
      </c>
      <c r="P141" s="19" t="s">
        <v>28</v>
      </c>
      <c r="Q141" s="19" t="s">
        <v>28</v>
      </c>
      <c r="R141" s="19" t="s">
        <v>21</v>
      </c>
      <c r="S141" s="19" t="s">
        <v>28</v>
      </c>
      <c r="T141" s="321" t="s">
        <v>3397</v>
      </c>
      <c r="U141"/>
      <c r="V141" s="123"/>
    </row>
    <row r="142" spans="1:22" ht="51">
      <c r="A142" s="24" t="s">
        <v>832</v>
      </c>
      <c r="B142" s="24" t="s">
        <v>833</v>
      </c>
      <c r="C142" s="19" t="s">
        <v>1567</v>
      </c>
      <c r="D142" s="19" t="s">
        <v>21</v>
      </c>
      <c r="E142" s="19" t="s">
        <v>21</v>
      </c>
      <c r="F142" s="19" t="s">
        <v>21</v>
      </c>
      <c r="G142" s="19" t="s">
        <v>21</v>
      </c>
      <c r="H142" s="19" t="s">
        <v>21</v>
      </c>
      <c r="I142" s="107" t="s">
        <v>3398</v>
      </c>
      <c r="J142" s="11"/>
      <c r="K142" s="320"/>
      <c r="L142" s="24" t="s">
        <v>812</v>
      </c>
      <c r="M142" s="25" t="s">
        <v>813</v>
      </c>
      <c r="N142" s="19" t="s">
        <v>21</v>
      </c>
      <c r="O142" s="19" t="s">
        <v>28</v>
      </c>
      <c r="P142" s="19" t="s">
        <v>21</v>
      </c>
      <c r="Q142" s="19" t="s">
        <v>28</v>
      </c>
      <c r="R142" s="19" t="s">
        <v>28</v>
      </c>
      <c r="S142" s="19" t="s">
        <v>28</v>
      </c>
      <c r="T142" s="321" t="s">
        <v>3399</v>
      </c>
      <c r="U142"/>
      <c r="V142" s="123"/>
    </row>
    <row r="143" spans="1:22">
      <c r="A143" s="24" t="s">
        <v>837</v>
      </c>
      <c r="B143" s="24" t="s">
        <v>838</v>
      </c>
      <c r="C143" s="19" t="s">
        <v>21</v>
      </c>
      <c r="D143" s="19" t="s">
        <v>1567</v>
      </c>
      <c r="E143" s="19" t="s">
        <v>1567</v>
      </c>
      <c r="F143" s="19" t="s">
        <v>1567</v>
      </c>
      <c r="G143" s="19" t="s">
        <v>1567</v>
      </c>
      <c r="H143" s="19" t="s">
        <v>1567</v>
      </c>
      <c r="I143" s="107"/>
      <c r="J143" s="11"/>
      <c r="K143" s="320"/>
      <c r="L143" s="24" t="s">
        <v>839</v>
      </c>
      <c r="M143" s="25" t="s">
        <v>840</v>
      </c>
      <c r="N143" s="19" t="s">
        <v>21</v>
      </c>
      <c r="O143" s="19" t="s">
        <v>21</v>
      </c>
      <c r="P143" s="19" t="s">
        <v>21</v>
      </c>
      <c r="Q143" s="19" t="s">
        <v>21</v>
      </c>
      <c r="R143" s="19" t="s">
        <v>21</v>
      </c>
      <c r="S143" s="19" t="s">
        <v>21</v>
      </c>
      <c r="T143" s="321" t="s">
        <v>3400</v>
      </c>
      <c r="U143"/>
      <c r="V143" s="123"/>
    </row>
    <row r="144" spans="1:22">
      <c r="A144" s="24" t="s">
        <v>844</v>
      </c>
      <c r="B144" s="130" t="s">
        <v>627</v>
      </c>
      <c r="C144" s="19" t="s">
        <v>18</v>
      </c>
      <c r="D144" s="19"/>
      <c r="E144" s="19"/>
      <c r="F144" s="19"/>
      <c r="G144" s="19"/>
      <c r="H144" s="19"/>
      <c r="I144" s="107"/>
      <c r="J144" s="11"/>
      <c r="K144" s="320"/>
      <c r="L144" s="24" t="s">
        <v>845</v>
      </c>
      <c r="M144" s="25" t="s">
        <v>846</v>
      </c>
      <c r="N144" s="19" t="s">
        <v>18</v>
      </c>
      <c r="O144" s="19"/>
      <c r="P144" s="19"/>
      <c r="Q144" s="19"/>
      <c r="R144" s="19"/>
      <c r="S144" s="19"/>
      <c r="T144" s="321"/>
      <c r="U144"/>
      <c r="V144" s="123"/>
    </row>
    <row r="145" spans="1:22" ht="34">
      <c r="A145" s="24" t="s">
        <v>850</v>
      </c>
      <c r="B145" s="24" t="s">
        <v>851</v>
      </c>
      <c r="C145" s="19" t="s">
        <v>1567</v>
      </c>
      <c r="D145" s="19" t="s">
        <v>1567</v>
      </c>
      <c r="E145" s="19" t="s">
        <v>1567</v>
      </c>
      <c r="F145" s="19" t="s">
        <v>1567</v>
      </c>
      <c r="G145" s="19" t="s">
        <v>1567</v>
      </c>
      <c r="H145" s="19" t="s">
        <v>1567</v>
      </c>
      <c r="I145" s="107" t="s">
        <v>3401</v>
      </c>
      <c r="J145" s="11"/>
      <c r="K145" s="320"/>
      <c r="L145" s="24" t="s">
        <v>617</v>
      </c>
      <c r="M145" s="25" t="s">
        <v>618</v>
      </c>
      <c r="N145" s="19" t="s">
        <v>21</v>
      </c>
      <c r="O145" s="19" t="s">
        <v>21</v>
      </c>
      <c r="P145" s="19" t="s">
        <v>28</v>
      </c>
      <c r="Q145" s="19" t="s">
        <v>21</v>
      </c>
      <c r="R145" s="19" t="s">
        <v>28</v>
      </c>
      <c r="S145" s="19" t="s">
        <v>21</v>
      </c>
      <c r="T145" s="321" t="s">
        <v>3402</v>
      </c>
      <c r="U145"/>
      <c r="V145" s="123"/>
    </row>
    <row r="146" spans="1:22">
      <c r="A146" s="24" t="s">
        <v>855</v>
      </c>
      <c r="B146" s="130" t="s">
        <v>662</v>
      </c>
      <c r="C146" s="19" t="s">
        <v>21</v>
      </c>
      <c r="D146" s="19" t="s">
        <v>28</v>
      </c>
      <c r="E146" s="19" t="s">
        <v>28</v>
      </c>
      <c r="F146" s="19" t="s">
        <v>28</v>
      </c>
      <c r="G146" s="19" t="s">
        <v>17</v>
      </c>
      <c r="H146" s="19" t="s">
        <v>28</v>
      </c>
      <c r="I146" s="107" t="s">
        <v>3403</v>
      </c>
      <c r="J146" s="11"/>
      <c r="K146" s="320"/>
      <c r="L146" s="24" t="s">
        <v>856</v>
      </c>
      <c r="M146" s="25" t="s">
        <v>857</v>
      </c>
      <c r="N146" s="19" t="s">
        <v>1562</v>
      </c>
      <c r="O146" s="19"/>
      <c r="P146" s="19"/>
      <c r="Q146" s="19"/>
      <c r="R146" s="19"/>
      <c r="S146" s="19"/>
      <c r="T146" s="321"/>
      <c r="U146"/>
      <c r="V146" s="123"/>
    </row>
    <row r="147" spans="1:22">
      <c r="A147" s="24" t="s">
        <v>859</v>
      </c>
      <c r="B147" s="24" t="s">
        <v>860</v>
      </c>
      <c r="C147" s="19" t="s">
        <v>1562</v>
      </c>
      <c r="D147" s="19"/>
      <c r="E147" s="19"/>
      <c r="F147" s="19"/>
      <c r="G147" s="19"/>
      <c r="H147" s="19"/>
      <c r="I147" s="107"/>
      <c r="J147" s="11"/>
      <c r="K147" s="320"/>
      <c r="L147" s="24" t="s">
        <v>783</v>
      </c>
      <c r="M147" s="25" t="s">
        <v>784</v>
      </c>
      <c r="N147" s="19" t="s">
        <v>28</v>
      </c>
      <c r="O147" s="19" t="s">
        <v>28</v>
      </c>
      <c r="P147" s="19" t="s">
        <v>28</v>
      </c>
      <c r="Q147" s="19" t="s">
        <v>28</v>
      </c>
      <c r="R147" s="19" t="s">
        <v>28</v>
      </c>
      <c r="S147" s="19" t="s">
        <v>28</v>
      </c>
      <c r="T147" s="321" t="s">
        <v>3404</v>
      </c>
      <c r="U147"/>
      <c r="V147" s="123"/>
    </row>
    <row r="148" spans="1:22">
      <c r="A148" s="24" t="s">
        <v>861</v>
      </c>
      <c r="B148" s="24" t="s">
        <v>862</v>
      </c>
      <c r="C148" s="19" t="s">
        <v>1567</v>
      </c>
      <c r="D148" s="19" t="s">
        <v>1567</v>
      </c>
      <c r="E148" s="19" t="s">
        <v>1567</v>
      </c>
      <c r="F148" s="19" t="s">
        <v>21</v>
      </c>
      <c r="G148" s="19" t="s">
        <v>21</v>
      </c>
      <c r="H148" s="19" t="s">
        <v>1567</v>
      </c>
      <c r="I148" s="107" t="s">
        <v>3405</v>
      </c>
      <c r="J148" s="11"/>
      <c r="K148" s="320"/>
      <c r="L148" s="24" t="s">
        <v>863</v>
      </c>
      <c r="M148" s="25" t="s">
        <v>864</v>
      </c>
      <c r="N148" s="19" t="s">
        <v>1562</v>
      </c>
      <c r="O148" s="19"/>
      <c r="P148" s="19"/>
      <c r="Q148" s="19"/>
      <c r="R148" s="19"/>
      <c r="S148" s="19"/>
      <c r="T148" s="321"/>
      <c r="U148"/>
      <c r="V148" s="123"/>
    </row>
    <row r="149" spans="1:22" ht="34">
      <c r="A149" s="24" t="s">
        <v>865</v>
      </c>
      <c r="B149" s="24" t="s">
        <v>866</v>
      </c>
      <c r="C149" s="19" t="s">
        <v>18</v>
      </c>
      <c r="D149" s="19"/>
      <c r="E149" s="19"/>
      <c r="F149" s="19"/>
      <c r="G149" s="19"/>
      <c r="H149" s="19"/>
      <c r="I149" s="107"/>
      <c r="J149" s="11"/>
      <c r="K149" s="320"/>
      <c r="L149" s="24" t="s">
        <v>551</v>
      </c>
      <c r="M149" s="25" t="s">
        <v>552</v>
      </c>
      <c r="N149" s="19" t="s">
        <v>17</v>
      </c>
      <c r="O149" s="19" t="s">
        <v>17</v>
      </c>
      <c r="P149" s="19" t="s">
        <v>28</v>
      </c>
      <c r="Q149" s="19" t="s">
        <v>28</v>
      </c>
      <c r="R149" s="19" t="s">
        <v>17</v>
      </c>
      <c r="S149" s="19" t="s">
        <v>28</v>
      </c>
      <c r="T149" s="321" t="s">
        <v>3406</v>
      </c>
      <c r="U149"/>
      <c r="V149" s="123"/>
    </row>
    <row r="150" spans="1:22" ht="51">
      <c r="A150" s="24" t="s">
        <v>870</v>
      </c>
      <c r="B150" s="24" t="s">
        <v>843</v>
      </c>
      <c r="C150" s="19" t="s">
        <v>28</v>
      </c>
      <c r="D150" s="19" t="s">
        <v>17</v>
      </c>
      <c r="E150" s="19" t="s">
        <v>17</v>
      </c>
      <c r="F150" s="19" t="s">
        <v>17</v>
      </c>
      <c r="G150" s="19" t="s">
        <v>17</v>
      </c>
      <c r="H150" s="19" t="s">
        <v>17</v>
      </c>
      <c r="I150" s="107" t="s">
        <v>3407</v>
      </c>
      <c r="J150" s="11"/>
      <c r="K150" s="320"/>
      <c r="L150" s="24" t="s">
        <v>871</v>
      </c>
      <c r="M150" s="25" t="s">
        <v>872</v>
      </c>
      <c r="N150" s="19" t="s">
        <v>21</v>
      </c>
      <c r="O150" s="19" t="s">
        <v>21</v>
      </c>
      <c r="P150" s="19" t="s">
        <v>28</v>
      </c>
      <c r="Q150" s="19" t="s">
        <v>21</v>
      </c>
      <c r="R150" s="19" t="s">
        <v>21</v>
      </c>
      <c r="S150" s="19" t="s">
        <v>21</v>
      </c>
      <c r="T150" s="321" t="s">
        <v>3408</v>
      </c>
      <c r="U150"/>
      <c r="V150" s="123"/>
    </row>
    <row r="151" spans="1:22">
      <c r="A151" s="24" t="s">
        <v>876</v>
      </c>
      <c r="B151" s="130" t="s">
        <v>877</v>
      </c>
      <c r="C151" s="19" t="s">
        <v>18</v>
      </c>
      <c r="D151" s="19"/>
      <c r="E151" s="19"/>
      <c r="F151" s="19"/>
      <c r="G151" s="19"/>
      <c r="H151" s="19"/>
      <c r="I151" s="107"/>
      <c r="J151" s="11"/>
      <c r="K151" s="320"/>
      <c r="L151" s="24" t="s">
        <v>760</v>
      </c>
      <c r="M151" s="25" t="s">
        <v>761</v>
      </c>
      <c r="N151" s="19" t="s">
        <v>1567</v>
      </c>
      <c r="O151" s="19" t="s">
        <v>21</v>
      </c>
      <c r="P151" s="19" t="s">
        <v>21</v>
      </c>
      <c r="Q151" s="19" t="s">
        <v>21</v>
      </c>
      <c r="R151" s="19" t="s">
        <v>21</v>
      </c>
      <c r="S151" s="19" t="s">
        <v>21</v>
      </c>
      <c r="T151" s="321" t="s">
        <v>3409</v>
      </c>
      <c r="U151"/>
      <c r="V151" s="123"/>
    </row>
    <row r="152" spans="1:22">
      <c r="A152" s="24" t="s">
        <v>881</v>
      </c>
      <c r="B152" s="130" t="s">
        <v>882</v>
      </c>
      <c r="C152" s="19" t="s">
        <v>18</v>
      </c>
      <c r="D152" s="19"/>
      <c r="E152" s="19"/>
      <c r="F152" s="19"/>
      <c r="G152" s="19"/>
      <c r="H152" s="19"/>
      <c r="I152" s="107"/>
      <c r="J152" s="11"/>
      <c r="K152" s="320"/>
      <c r="L152" s="24" t="s">
        <v>883</v>
      </c>
      <c r="M152" s="25" t="s">
        <v>884</v>
      </c>
      <c r="N152" s="19" t="s">
        <v>1562</v>
      </c>
      <c r="O152" s="19"/>
      <c r="P152" s="19"/>
      <c r="Q152" s="19"/>
      <c r="R152" s="19"/>
      <c r="S152" s="19"/>
      <c r="T152" s="321"/>
      <c r="U152"/>
      <c r="V152" s="123"/>
    </row>
    <row r="153" spans="1:22">
      <c r="A153" s="24" t="s">
        <v>888</v>
      </c>
      <c r="B153" s="130" t="s">
        <v>889</v>
      </c>
      <c r="C153" s="19" t="s">
        <v>18</v>
      </c>
      <c r="D153" s="19"/>
      <c r="E153" s="19"/>
      <c r="F153" s="19"/>
      <c r="G153" s="19"/>
      <c r="H153" s="19"/>
      <c r="I153" s="107"/>
      <c r="J153" s="11"/>
      <c r="K153" s="320"/>
      <c r="L153" s="24" t="s">
        <v>890</v>
      </c>
      <c r="M153" s="25" t="s">
        <v>891</v>
      </c>
      <c r="N153" s="19" t="s">
        <v>1562</v>
      </c>
      <c r="O153" s="19"/>
      <c r="P153" s="19"/>
      <c r="Q153" s="19"/>
      <c r="R153" s="19"/>
      <c r="S153" s="19"/>
      <c r="T153" s="321"/>
      <c r="U153"/>
      <c r="V153" s="123"/>
    </row>
    <row r="154" spans="1:22">
      <c r="A154" s="24" t="s">
        <v>895</v>
      </c>
      <c r="B154" s="130" t="s">
        <v>849</v>
      </c>
      <c r="C154" s="19" t="s">
        <v>28</v>
      </c>
      <c r="D154" s="19" t="s">
        <v>28</v>
      </c>
      <c r="E154" s="19" t="s">
        <v>28</v>
      </c>
      <c r="F154" s="19" t="s">
        <v>28</v>
      </c>
      <c r="G154" s="19" t="s">
        <v>28</v>
      </c>
      <c r="H154" s="19" t="s">
        <v>28</v>
      </c>
      <c r="I154" s="107" t="s">
        <v>3410</v>
      </c>
      <c r="J154" s="11"/>
      <c r="K154" s="320"/>
      <c r="L154" s="24" t="s">
        <v>750</v>
      </c>
      <c r="M154" s="25" t="s">
        <v>751</v>
      </c>
      <c r="N154" s="19" t="s">
        <v>21</v>
      </c>
      <c r="O154" s="19" t="s">
        <v>21</v>
      </c>
      <c r="P154" s="19" t="s">
        <v>21</v>
      </c>
      <c r="Q154" s="19" t="s">
        <v>21</v>
      </c>
      <c r="R154" s="19" t="s">
        <v>21</v>
      </c>
      <c r="S154" s="19" t="s">
        <v>21</v>
      </c>
      <c r="T154" s="321" t="s">
        <v>3411</v>
      </c>
      <c r="U154"/>
      <c r="V154" s="123"/>
    </row>
    <row r="155" spans="1:22">
      <c r="A155" s="24" t="s">
        <v>898</v>
      </c>
      <c r="B155" s="130" t="s">
        <v>899</v>
      </c>
      <c r="C155" s="19" t="s">
        <v>18</v>
      </c>
      <c r="D155" s="19"/>
      <c r="E155" s="19"/>
      <c r="F155" s="19"/>
      <c r="G155" s="19"/>
      <c r="H155" s="19"/>
      <c r="I155" s="107"/>
      <c r="J155" s="11"/>
      <c r="K155" s="320"/>
      <c r="L155" s="24" t="s">
        <v>900</v>
      </c>
      <c r="M155" s="25" t="s">
        <v>901</v>
      </c>
      <c r="N155" s="19" t="s">
        <v>1567</v>
      </c>
      <c r="O155" s="19" t="s">
        <v>1567</v>
      </c>
      <c r="P155" s="19" t="s">
        <v>1567</v>
      </c>
      <c r="Q155" s="19" t="s">
        <v>1567</v>
      </c>
      <c r="R155" s="19" t="s">
        <v>1567</v>
      </c>
      <c r="S155" s="19" t="s">
        <v>1567</v>
      </c>
      <c r="T155" s="321" t="s">
        <v>3412</v>
      </c>
      <c r="U155"/>
      <c r="V155" s="123"/>
    </row>
    <row r="156" spans="1:22">
      <c r="A156" s="24" t="s">
        <v>905</v>
      </c>
      <c r="B156" s="24" t="s">
        <v>906</v>
      </c>
      <c r="C156" s="19" t="s">
        <v>1562</v>
      </c>
      <c r="D156" s="19"/>
      <c r="E156" s="19"/>
      <c r="F156" s="19"/>
      <c r="G156" s="19"/>
      <c r="H156" s="19"/>
      <c r="I156" s="107"/>
      <c r="J156" s="11"/>
      <c r="K156" s="320"/>
      <c r="L156" s="24" t="s">
        <v>907</v>
      </c>
      <c r="M156" s="25" t="s">
        <v>908</v>
      </c>
      <c r="N156" s="19" t="s">
        <v>1574</v>
      </c>
      <c r="O156" s="19"/>
      <c r="P156" s="19"/>
      <c r="Q156" s="19"/>
      <c r="R156" s="19"/>
      <c r="S156" s="19"/>
      <c r="T156" s="321"/>
      <c r="U156"/>
      <c r="V156" s="123"/>
    </row>
    <row r="157" spans="1:22">
      <c r="A157" s="24" t="s">
        <v>912</v>
      </c>
      <c r="B157" s="24" t="s">
        <v>913</v>
      </c>
      <c r="C157" s="19" t="s">
        <v>18</v>
      </c>
      <c r="D157" s="19"/>
      <c r="E157" s="19"/>
      <c r="F157" s="19"/>
      <c r="G157" s="19"/>
      <c r="H157" s="19"/>
      <c r="I157" s="107"/>
      <c r="J157" s="11"/>
      <c r="K157" s="320"/>
      <c r="L157" s="24" t="s">
        <v>914</v>
      </c>
      <c r="M157" s="25" t="s">
        <v>915</v>
      </c>
      <c r="N157" s="19" t="s">
        <v>1661</v>
      </c>
      <c r="O157" s="19"/>
      <c r="P157" s="19"/>
      <c r="Q157" s="19"/>
      <c r="R157" s="19"/>
      <c r="S157" s="19"/>
      <c r="T157" s="321"/>
      <c r="U157"/>
      <c r="V157" s="123"/>
    </row>
    <row r="158" spans="1:22" ht="34">
      <c r="A158" s="24" t="s">
        <v>919</v>
      </c>
      <c r="B158" s="24" t="s">
        <v>920</v>
      </c>
      <c r="C158" s="19" t="s">
        <v>18</v>
      </c>
      <c r="D158" s="19"/>
      <c r="E158" s="19"/>
      <c r="F158" s="19"/>
      <c r="G158" s="19"/>
      <c r="H158" s="19"/>
      <c r="I158" s="107"/>
      <c r="J158" s="11"/>
      <c r="K158" s="320"/>
      <c r="L158" s="24" t="s">
        <v>515</v>
      </c>
      <c r="M158" s="25" t="s">
        <v>516</v>
      </c>
      <c r="N158" s="19" t="s">
        <v>21</v>
      </c>
      <c r="O158" s="19" t="s">
        <v>28</v>
      </c>
      <c r="P158" s="19" t="s">
        <v>28</v>
      </c>
      <c r="Q158" s="19" t="s">
        <v>21</v>
      </c>
      <c r="R158" s="19" t="s">
        <v>21</v>
      </c>
      <c r="S158" s="19" t="s">
        <v>28</v>
      </c>
      <c r="T158" s="321" t="s">
        <v>3413</v>
      </c>
      <c r="U158"/>
      <c r="V158" s="123"/>
    </row>
    <row r="159" spans="1:22" ht="34">
      <c r="A159" s="24" t="s">
        <v>924</v>
      </c>
      <c r="B159" s="24" t="s">
        <v>925</v>
      </c>
      <c r="C159" s="19" t="s">
        <v>18</v>
      </c>
      <c r="D159" s="19"/>
      <c r="E159" s="19"/>
      <c r="F159" s="19"/>
      <c r="G159" s="19"/>
      <c r="H159" s="19"/>
      <c r="I159" s="107"/>
      <c r="J159" s="11"/>
      <c r="K159" s="320"/>
      <c r="L159" s="24" t="s">
        <v>679</v>
      </c>
      <c r="M159" s="25" t="s">
        <v>680</v>
      </c>
      <c r="N159" s="19" t="s">
        <v>28</v>
      </c>
      <c r="O159" s="19" t="s">
        <v>28</v>
      </c>
      <c r="P159" s="19" t="s">
        <v>28</v>
      </c>
      <c r="Q159" s="19" t="s">
        <v>28</v>
      </c>
      <c r="R159" s="19" t="s">
        <v>28</v>
      </c>
      <c r="S159" s="19" t="s">
        <v>28</v>
      </c>
      <c r="T159" s="321" t="s">
        <v>3414</v>
      </c>
      <c r="U159"/>
      <c r="V159" s="123"/>
    </row>
    <row r="160" spans="1:22" ht="34">
      <c r="A160" s="24" t="s">
        <v>929</v>
      </c>
      <c r="B160" s="24" t="s">
        <v>930</v>
      </c>
      <c r="C160" s="19" t="s">
        <v>21</v>
      </c>
      <c r="D160" s="19" t="s">
        <v>28</v>
      </c>
      <c r="E160" s="19" t="s">
        <v>28</v>
      </c>
      <c r="F160" s="19" t="s">
        <v>21</v>
      </c>
      <c r="G160" s="19" t="s">
        <v>28</v>
      </c>
      <c r="H160" s="19" t="s">
        <v>28</v>
      </c>
      <c r="I160" s="107" t="s">
        <v>3415</v>
      </c>
      <c r="J160" s="11"/>
      <c r="K160" s="320"/>
      <c r="L160" s="24" t="s">
        <v>611</v>
      </c>
      <c r="M160" s="25" t="s">
        <v>612</v>
      </c>
      <c r="N160" s="19" t="s">
        <v>21</v>
      </c>
      <c r="O160" s="19" t="s">
        <v>28</v>
      </c>
      <c r="P160" s="19" t="s">
        <v>28</v>
      </c>
      <c r="Q160" s="19" t="s">
        <v>21</v>
      </c>
      <c r="R160" s="19" t="s">
        <v>21</v>
      </c>
      <c r="S160" s="19" t="s">
        <v>21</v>
      </c>
      <c r="T160" s="321" t="s">
        <v>3416</v>
      </c>
      <c r="U160"/>
      <c r="V160" s="123"/>
    </row>
    <row r="161" spans="1:22">
      <c r="A161" s="24" t="s">
        <v>934</v>
      </c>
      <c r="B161" s="24" t="s">
        <v>522</v>
      </c>
      <c r="C161" s="19" t="s">
        <v>21</v>
      </c>
      <c r="D161" s="19" t="s">
        <v>21</v>
      </c>
      <c r="E161" s="19" t="s">
        <v>21</v>
      </c>
      <c r="F161" s="19" t="s">
        <v>21</v>
      </c>
      <c r="G161" s="19" t="s">
        <v>21</v>
      </c>
      <c r="H161" s="19" t="s">
        <v>21</v>
      </c>
      <c r="I161" s="107" t="s">
        <v>3417</v>
      </c>
      <c r="J161" s="11"/>
      <c r="K161" s="320"/>
      <c r="L161" s="24" t="s">
        <v>713</v>
      </c>
      <c r="M161" s="25" t="s">
        <v>714</v>
      </c>
      <c r="N161" s="19" t="s">
        <v>28</v>
      </c>
      <c r="O161" s="19" t="s">
        <v>28</v>
      </c>
      <c r="P161" s="19" t="s">
        <v>28</v>
      </c>
      <c r="Q161" s="19" t="s">
        <v>17</v>
      </c>
      <c r="R161" s="19" t="s">
        <v>28</v>
      </c>
      <c r="S161" s="19" t="s">
        <v>28</v>
      </c>
      <c r="T161" s="321" t="s">
        <v>3418</v>
      </c>
      <c r="U161"/>
      <c r="V161" s="123"/>
    </row>
    <row r="162" spans="1:22">
      <c r="A162" s="24" t="s">
        <v>937</v>
      </c>
      <c r="B162" s="24" t="s">
        <v>547</v>
      </c>
      <c r="C162" s="19" t="s">
        <v>18</v>
      </c>
      <c r="D162" s="19" t="s">
        <v>1567</v>
      </c>
      <c r="E162" s="19" t="s">
        <v>1567</v>
      </c>
      <c r="F162" s="19" t="s">
        <v>1567</v>
      </c>
      <c r="G162" s="19" t="s">
        <v>1567</v>
      </c>
      <c r="H162" s="19" t="s">
        <v>1567</v>
      </c>
      <c r="I162" s="107" t="s">
        <v>3419</v>
      </c>
      <c r="J162" s="11"/>
      <c r="K162" s="320"/>
      <c r="L162" s="24" t="s">
        <v>938</v>
      </c>
      <c r="M162" s="25" t="s">
        <v>939</v>
      </c>
      <c r="N162" s="19" t="s">
        <v>18</v>
      </c>
      <c r="O162" s="19"/>
      <c r="P162" s="19"/>
      <c r="Q162" s="19"/>
      <c r="R162" s="19"/>
      <c r="S162" s="19"/>
      <c r="T162" s="321"/>
      <c r="U162"/>
      <c r="V162" s="123"/>
    </row>
    <row r="163" spans="1:22">
      <c r="A163" s="24" t="s">
        <v>943</v>
      </c>
      <c r="B163" s="24" t="s">
        <v>944</v>
      </c>
      <c r="C163" s="19" t="s">
        <v>1562</v>
      </c>
      <c r="D163" s="19"/>
      <c r="E163" s="19"/>
      <c r="F163" s="19"/>
      <c r="G163" s="19"/>
      <c r="H163" s="19"/>
      <c r="I163" s="107"/>
      <c r="J163" s="11"/>
      <c r="K163" s="320"/>
      <c r="L163" s="24" t="s">
        <v>945</v>
      </c>
      <c r="M163" s="25" t="s">
        <v>946</v>
      </c>
      <c r="N163" s="19" t="s">
        <v>1567</v>
      </c>
      <c r="O163" s="19" t="s">
        <v>21</v>
      </c>
      <c r="P163" s="19" t="s">
        <v>21</v>
      </c>
      <c r="Q163" s="19" t="s">
        <v>21</v>
      </c>
      <c r="R163" s="19" t="s">
        <v>21</v>
      </c>
      <c r="S163" s="19" t="s">
        <v>21</v>
      </c>
      <c r="T163" s="321" t="s">
        <v>3420</v>
      </c>
      <c r="U163"/>
      <c r="V163" s="123"/>
    </row>
    <row r="164" spans="1:22" ht="34">
      <c r="A164" s="24" t="s">
        <v>950</v>
      </c>
      <c r="B164" s="24" t="s">
        <v>951</v>
      </c>
      <c r="C164" s="19" t="s">
        <v>18</v>
      </c>
      <c r="D164" s="19"/>
      <c r="E164" s="19"/>
      <c r="F164" s="19"/>
      <c r="G164" s="19"/>
      <c r="H164" s="19"/>
      <c r="I164" s="107"/>
      <c r="J164" s="11"/>
      <c r="K164" s="320"/>
      <c r="L164" s="24" t="s">
        <v>952</v>
      </c>
      <c r="M164" s="25" t="s">
        <v>953</v>
      </c>
      <c r="N164" s="19" t="s">
        <v>21</v>
      </c>
      <c r="O164" s="19" t="s">
        <v>21</v>
      </c>
      <c r="P164" s="19" t="s">
        <v>28</v>
      </c>
      <c r="Q164" s="19" t="s">
        <v>28</v>
      </c>
      <c r="R164" s="19" t="s">
        <v>28</v>
      </c>
      <c r="S164" s="19" t="s">
        <v>28</v>
      </c>
      <c r="T164" s="321" t="s">
        <v>3421</v>
      </c>
      <c r="U164"/>
      <c r="V164" s="123"/>
    </row>
    <row r="165" spans="1:22" ht="34">
      <c r="A165" s="24" t="s">
        <v>957</v>
      </c>
      <c r="B165" s="24" t="s">
        <v>958</v>
      </c>
      <c r="C165" s="19" t="s">
        <v>18</v>
      </c>
      <c r="D165" s="19" t="s">
        <v>1567</v>
      </c>
      <c r="E165" s="19" t="s">
        <v>21</v>
      </c>
      <c r="F165" s="19" t="s">
        <v>1567</v>
      </c>
      <c r="G165" s="19" t="s">
        <v>21</v>
      </c>
      <c r="H165" s="19" t="s">
        <v>21</v>
      </c>
      <c r="I165" s="107" t="s">
        <v>3422</v>
      </c>
      <c r="J165" s="11"/>
      <c r="K165" s="320"/>
      <c r="L165" s="24" t="s">
        <v>959</v>
      </c>
      <c r="M165" s="25" t="s">
        <v>960</v>
      </c>
      <c r="N165" s="19" t="s">
        <v>18</v>
      </c>
      <c r="O165" s="19"/>
      <c r="P165" s="19"/>
      <c r="Q165" s="19"/>
      <c r="R165" s="19"/>
      <c r="S165" s="19"/>
      <c r="T165" s="321"/>
      <c r="U165"/>
      <c r="V165" s="123"/>
    </row>
    <row r="166" spans="1:22" ht="34">
      <c r="A166" s="24" t="s">
        <v>964</v>
      </c>
      <c r="B166" s="24" t="s">
        <v>965</v>
      </c>
      <c r="C166" s="19" t="s">
        <v>28</v>
      </c>
      <c r="D166" s="19" t="s">
        <v>1567</v>
      </c>
      <c r="E166" s="19" t="s">
        <v>21</v>
      </c>
      <c r="F166" s="19" t="s">
        <v>21</v>
      </c>
      <c r="G166" s="19" t="s">
        <v>1567</v>
      </c>
      <c r="H166" s="19" t="s">
        <v>21</v>
      </c>
      <c r="I166" s="107" t="s">
        <v>3423</v>
      </c>
      <c r="J166" s="11"/>
      <c r="K166" s="320"/>
      <c r="L166" s="24" t="s">
        <v>966</v>
      </c>
      <c r="M166" s="25" t="s">
        <v>967</v>
      </c>
      <c r="N166" s="19" t="s">
        <v>1567</v>
      </c>
      <c r="O166" s="19" t="s">
        <v>21</v>
      </c>
      <c r="P166" s="19" t="s">
        <v>21</v>
      </c>
      <c r="Q166" s="19" t="s">
        <v>21</v>
      </c>
      <c r="R166" s="19" t="s">
        <v>21</v>
      </c>
      <c r="S166" s="19" t="s">
        <v>21</v>
      </c>
      <c r="T166" s="321" t="s">
        <v>3424</v>
      </c>
      <c r="U166"/>
      <c r="V166" s="123"/>
    </row>
    <row r="167" spans="1:22" ht="34">
      <c r="A167" s="24" t="s">
        <v>971</v>
      </c>
      <c r="B167" s="130" t="s">
        <v>972</v>
      </c>
      <c r="C167" s="19" t="s">
        <v>18</v>
      </c>
      <c r="D167" s="19"/>
      <c r="E167" s="19"/>
      <c r="F167" s="19"/>
      <c r="G167" s="19"/>
      <c r="H167" s="19"/>
      <c r="I167" s="107"/>
      <c r="J167" s="11"/>
      <c r="K167" s="320"/>
      <c r="L167" s="24" t="s">
        <v>649</v>
      </c>
      <c r="M167" s="25" t="s">
        <v>650</v>
      </c>
      <c r="N167" s="19" t="s">
        <v>1567</v>
      </c>
      <c r="O167" s="19" t="s">
        <v>28</v>
      </c>
      <c r="P167" s="19" t="s">
        <v>28</v>
      </c>
      <c r="Q167" s="19" t="s">
        <v>21</v>
      </c>
      <c r="R167" s="19" t="s">
        <v>28</v>
      </c>
      <c r="S167" s="19" t="s">
        <v>28</v>
      </c>
      <c r="T167" s="321" t="s">
        <v>3425</v>
      </c>
      <c r="U167"/>
      <c r="V167" s="123"/>
    </row>
    <row r="168" spans="1:22">
      <c r="A168" s="24" t="s">
        <v>976</v>
      </c>
      <c r="B168" s="24" t="s">
        <v>977</v>
      </c>
      <c r="C168" s="19" t="s">
        <v>18</v>
      </c>
      <c r="D168" s="19"/>
      <c r="E168" s="19"/>
      <c r="F168" s="19"/>
      <c r="G168" s="19"/>
      <c r="H168" s="19"/>
      <c r="I168" s="107"/>
      <c r="J168" s="11"/>
      <c r="K168" s="320"/>
      <c r="L168" s="24" t="s">
        <v>631</v>
      </c>
      <c r="M168" s="25" t="s">
        <v>632</v>
      </c>
      <c r="N168" s="19" t="s">
        <v>28</v>
      </c>
      <c r="O168" s="19" t="s">
        <v>17</v>
      </c>
      <c r="P168" s="19" t="s">
        <v>17</v>
      </c>
      <c r="Q168" s="19" t="s">
        <v>17</v>
      </c>
      <c r="R168" s="19" t="s">
        <v>17</v>
      </c>
      <c r="S168" s="19" t="s">
        <v>17</v>
      </c>
      <c r="T168" s="321" t="s">
        <v>3426</v>
      </c>
      <c r="U168"/>
      <c r="V168" s="123"/>
    </row>
    <row r="169" spans="1:22">
      <c r="A169" s="24" t="s">
        <v>981</v>
      </c>
      <c r="B169" s="130" t="s">
        <v>624</v>
      </c>
      <c r="C169" s="19" t="s">
        <v>28</v>
      </c>
      <c r="D169" s="19" t="s">
        <v>28</v>
      </c>
      <c r="E169" s="19" t="s">
        <v>28</v>
      </c>
      <c r="F169" s="19" t="s">
        <v>28</v>
      </c>
      <c r="G169" s="19" t="s">
        <v>28</v>
      </c>
      <c r="H169" s="19" t="s">
        <v>28</v>
      </c>
      <c r="I169" s="107" t="s">
        <v>3427</v>
      </c>
      <c r="J169" s="11"/>
      <c r="K169" s="320"/>
      <c r="L169" s="24" t="s">
        <v>982</v>
      </c>
      <c r="M169" s="25" t="s">
        <v>983</v>
      </c>
      <c r="N169" s="19" t="s">
        <v>1562</v>
      </c>
      <c r="O169" s="19"/>
      <c r="P169" s="19"/>
      <c r="Q169" s="19"/>
      <c r="R169" s="19"/>
      <c r="S169" s="19"/>
      <c r="T169" s="321"/>
      <c r="U169"/>
      <c r="V169" s="123"/>
    </row>
    <row r="170" spans="1:22" ht="34">
      <c r="A170" s="24" t="s">
        <v>986</v>
      </c>
      <c r="B170" s="130" t="s">
        <v>657</v>
      </c>
      <c r="C170" s="19" t="s">
        <v>28</v>
      </c>
      <c r="D170" s="19" t="s">
        <v>17</v>
      </c>
      <c r="E170" s="19" t="s">
        <v>17</v>
      </c>
      <c r="F170" s="19" t="s">
        <v>17</v>
      </c>
      <c r="G170" s="19" t="s">
        <v>17</v>
      </c>
      <c r="H170" s="19" t="s">
        <v>17</v>
      </c>
      <c r="I170" s="107" t="s">
        <v>3428</v>
      </c>
      <c r="J170" s="11"/>
      <c r="K170" s="320"/>
      <c r="L170" s="24" t="s">
        <v>765</v>
      </c>
      <c r="M170" s="25" t="s">
        <v>766</v>
      </c>
      <c r="N170" s="19" t="s">
        <v>28</v>
      </c>
      <c r="O170" s="19" t="s">
        <v>28</v>
      </c>
      <c r="P170" s="19" t="s">
        <v>28</v>
      </c>
      <c r="Q170" s="19" t="s">
        <v>28</v>
      </c>
      <c r="R170" s="19" t="s">
        <v>28</v>
      </c>
      <c r="S170" s="19" t="s">
        <v>28</v>
      </c>
      <c r="T170" s="321" t="s">
        <v>3429</v>
      </c>
      <c r="U170"/>
      <c r="V170" s="123"/>
    </row>
    <row r="171" spans="1:22">
      <c r="A171" s="24" t="s">
        <v>990</v>
      </c>
      <c r="B171" s="130" t="s">
        <v>836</v>
      </c>
      <c r="C171" s="19" t="s">
        <v>28</v>
      </c>
      <c r="D171" s="19" t="s">
        <v>28</v>
      </c>
      <c r="E171" s="19" t="s">
        <v>28</v>
      </c>
      <c r="F171" s="19" t="s">
        <v>28</v>
      </c>
      <c r="G171" s="19" t="s">
        <v>28</v>
      </c>
      <c r="H171" s="19" t="s">
        <v>28</v>
      </c>
      <c r="I171" s="107" t="s">
        <v>3430</v>
      </c>
      <c r="J171" s="11"/>
      <c r="K171" s="320"/>
      <c r="L171" s="24" t="s">
        <v>991</v>
      </c>
      <c r="M171" s="25" t="s">
        <v>992</v>
      </c>
      <c r="N171" s="19" t="s">
        <v>18</v>
      </c>
      <c r="O171" s="19"/>
      <c r="P171" s="19"/>
      <c r="Q171" s="19"/>
      <c r="R171" s="19"/>
      <c r="S171" s="19"/>
      <c r="T171" s="321"/>
      <c r="U171"/>
      <c r="V171" s="123"/>
    </row>
    <row r="172" spans="1:22">
      <c r="A172" s="24" t="s">
        <v>996</v>
      </c>
      <c r="B172" s="24" t="s">
        <v>806</v>
      </c>
      <c r="C172" s="19" t="s">
        <v>1567</v>
      </c>
      <c r="D172" s="19" t="s">
        <v>28</v>
      </c>
      <c r="E172" s="19" t="s">
        <v>28</v>
      </c>
      <c r="F172" s="19" t="s">
        <v>21</v>
      </c>
      <c r="G172" s="19" t="s">
        <v>21</v>
      </c>
      <c r="H172" s="19" t="s">
        <v>28</v>
      </c>
      <c r="I172" s="107" t="s">
        <v>3431</v>
      </c>
      <c r="J172" s="11"/>
      <c r="K172" s="320"/>
      <c r="L172" s="24" t="s">
        <v>997</v>
      </c>
      <c r="M172" s="25" t="s">
        <v>998</v>
      </c>
      <c r="N172" s="19" t="s">
        <v>18</v>
      </c>
      <c r="O172" s="19"/>
      <c r="P172" s="19"/>
      <c r="Q172" s="19"/>
      <c r="R172" s="19"/>
      <c r="S172" s="19"/>
      <c r="T172" s="321"/>
      <c r="U172"/>
      <c r="V172" s="123"/>
    </row>
    <row r="173" spans="1:22">
      <c r="A173" s="24" t="s">
        <v>1002</v>
      </c>
      <c r="B173" s="130" t="s">
        <v>1003</v>
      </c>
      <c r="C173" s="19" t="s">
        <v>1567</v>
      </c>
      <c r="D173" s="19" t="s">
        <v>21</v>
      </c>
      <c r="E173" s="19" t="s">
        <v>21</v>
      </c>
      <c r="F173" s="19" t="s">
        <v>21</v>
      </c>
      <c r="G173" s="19" t="s">
        <v>21</v>
      </c>
      <c r="H173" s="19" t="s">
        <v>21</v>
      </c>
      <c r="I173" s="107" t="s">
        <v>3432</v>
      </c>
      <c r="J173" s="11"/>
      <c r="K173" s="320"/>
      <c r="L173" s="24" t="s">
        <v>1004</v>
      </c>
      <c r="M173" s="25" t="s">
        <v>1005</v>
      </c>
      <c r="N173" s="19" t="s">
        <v>18</v>
      </c>
      <c r="O173" s="19"/>
      <c r="P173" s="19"/>
      <c r="Q173" s="19"/>
      <c r="R173" s="19"/>
      <c r="S173" s="19"/>
      <c r="T173" s="321"/>
      <c r="U173"/>
      <c r="V173" s="123"/>
    </row>
    <row r="174" spans="1:22" ht="34">
      <c r="A174" s="24" t="s">
        <v>1009</v>
      </c>
      <c r="B174" s="24" t="s">
        <v>795</v>
      </c>
      <c r="C174" s="19" t="s">
        <v>28</v>
      </c>
      <c r="D174" s="19" t="s">
        <v>28</v>
      </c>
      <c r="E174" s="19" t="s">
        <v>28</v>
      </c>
      <c r="F174" s="19" t="s">
        <v>28</v>
      </c>
      <c r="G174" s="19" t="s">
        <v>28</v>
      </c>
      <c r="H174" s="19" t="s">
        <v>28</v>
      </c>
      <c r="I174" s="107" t="s">
        <v>3433</v>
      </c>
      <c r="J174" s="11"/>
      <c r="K174" s="320"/>
      <c r="L174" s="24" t="s">
        <v>830</v>
      </c>
      <c r="M174" s="25" t="s">
        <v>831</v>
      </c>
      <c r="N174" s="19" t="s">
        <v>28</v>
      </c>
      <c r="O174" s="19" t="s">
        <v>17</v>
      </c>
      <c r="P174" s="19" t="s">
        <v>17</v>
      </c>
      <c r="Q174" s="19" t="s">
        <v>17</v>
      </c>
      <c r="R174" s="19" t="s">
        <v>17</v>
      </c>
      <c r="S174" s="19" t="s">
        <v>17</v>
      </c>
      <c r="T174" s="321" t="s">
        <v>3434</v>
      </c>
      <c r="U174"/>
      <c r="V174" s="123"/>
    </row>
    <row r="175" spans="1:22" ht="34">
      <c r="A175" s="24" t="s">
        <v>1013</v>
      </c>
      <c r="B175" s="130" t="s">
        <v>1014</v>
      </c>
      <c r="C175" s="19" t="s">
        <v>18</v>
      </c>
      <c r="D175" s="19"/>
      <c r="E175" s="19"/>
      <c r="F175" s="19"/>
      <c r="G175" s="19"/>
      <c r="H175" s="19"/>
      <c r="I175" s="107"/>
      <c r="J175" s="11"/>
      <c r="K175" s="320"/>
      <c r="L175" s="24" t="s">
        <v>789</v>
      </c>
      <c r="M175" s="25" t="s">
        <v>790</v>
      </c>
      <c r="N175" s="19" t="s">
        <v>28</v>
      </c>
      <c r="O175" s="19" t="s">
        <v>28</v>
      </c>
      <c r="P175" s="19" t="s">
        <v>28</v>
      </c>
      <c r="Q175" s="19" t="s">
        <v>28</v>
      </c>
      <c r="R175" s="19" t="s">
        <v>28</v>
      </c>
      <c r="S175" s="19" t="s">
        <v>28</v>
      </c>
      <c r="T175" s="321" t="s">
        <v>3435</v>
      </c>
      <c r="U175"/>
      <c r="V175" s="123"/>
    </row>
    <row r="176" spans="1:22">
      <c r="A176" s="24" t="s">
        <v>1018</v>
      </c>
      <c r="B176" s="24" t="s">
        <v>1019</v>
      </c>
      <c r="C176" s="19" t="s">
        <v>18</v>
      </c>
      <c r="D176" s="19"/>
      <c r="E176" s="19"/>
      <c r="F176" s="19"/>
      <c r="G176" s="19"/>
      <c r="H176" s="19"/>
      <c r="I176" s="107"/>
      <c r="J176" s="11"/>
      <c r="K176" s="320"/>
      <c r="L176" s="24" t="s">
        <v>527</v>
      </c>
      <c r="M176" s="25" t="s">
        <v>528</v>
      </c>
      <c r="N176" s="19" t="s">
        <v>28</v>
      </c>
      <c r="O176" s="19" t="s">
        <v>28</v>
      </c>
      <c r="P176" s="19" t="s">
        <v>28</v>
      </c>
      <c r="Q176" s="19" t="s">
        <v>28</v>
      </c>
      <c r="R176" s="19" t="s">
        <v>17</v>
      </c>
      <c r="S176" s="19" t="s">
        <v>28</v>
      </c>
      <c r="T176" s="321" t="s">
        <v>3436</v>
      </c>
      <c r="U176"/>
      <c r="V176" s="123"/>
    </row>
    <row r="177" spans="1:22" ht="34">
      <c r="A177" s="24" t="s">
        <v>1023</v>
      </c>
      <c r="B177" s="24" t="s">
        <v>540</v>
      </c>
      <c r="C177" s="19" t="s">
        <v>28</v>
      </c>
      <c r="D177" s="19" t="s">
        <v>21</v>
      </c>
      <c r="E177" s="19" t="s">
        <v>21</v>
      </c>
      <c r="F177" s="19" t="s">
        <v>21</v>
      </c>
      <c r="G177" s="19" t="s">
        <v>21</v>
      </c>
      <c r="H177" s="19" t="s">
        <v>21</v>
      </c>
      <c r="I177" s="107" t="s">
        <v>3437</v>
      </c>
      <c r="J177" s="11"/>
      <c r="K177" s="320"/>
      <c r="L177" s="24" t="s">
        <v>1024</v>
      </c>
      <c r="M177" s="25" t="s">
        <v>1025</v>
      </c>
      <c r="N177" s="19" t="s">
        <v>18</v>
      </c>
      <c r="O177" s="19"/>
      <c r="P177" s="19"/>
      <c r="Q177" s="19"/>
      <c r="R177" s="19"/>
      <c r="S177" s="19"/>
      <c r="T177" s="321"/>
      <c r="U177"/>
      <c r="V177" s="123"/>
    </row>
    <row r="178" spans="1:22">
      <c r="A178" s="24" t="s">
        <v>1029</v>
      </c>
      <c r="B178" s="24" t="s">
        <v>1030</v>
      </c>
      <c r="C178" s="19" t="s">
        <v>18</v>
      </c>
      <c r="D178" s="19"/>
      <c r="E178" s="19"/>
      <c r="F178" s="19"/>
      <c r="G178" s="19"/>
      <c r="H178" s="19"/>
      <c r="I178" s="107"/>
      <c r="J178" s="11"/>
      <c r="K178" s="320"/>
      <c r="L178" s="24" t="s">
        <v>1031</v>
      </c>
      <c r="M178" s="25" t="s">
        <v>1032</v>
      </c>
      <c r="N178" s="19" t="s">
        <v>18</v>
      </c>
      <c r="O178" s="19"/>
      <c r="P178" s="19"/>
      <c r="Q178" s="19"/>
      <c r="R178" s="19"/>
      <c r="S178" s="19"/>
      <c r="T178" s="321"/>
      <c r="U178"/>
      <c r="V178" s="123"/>
    </row>
    <row r="179" spans="1:22" ht="34">
      <c r="A179" s="566" t="s">
        <v>1034</v>
      </c>
      <c r="B179" s="542"/>
      <c r="C179" s="566"/>
      <c r="D179" s="580"/>
      <c r="E179" s="580"/>
      <c r="F179" s="580"/>
      <c r="G179" s="580"/>
      <c r="H179" s="580"/>
      <c r="I179" s="566"/>
      <c r="J179" s="580"/>
      <c r="K179" s="320"/>
      <c r="L179" s="24" t="s">
        <v>816</v>
      </c>
      <c r="M179" s="25" t="s">
        <v>817</v>
      </c>
      <c r="N179" s="19" t="s">
        <v>21</v>
      </c>
      <c r="O179" s="19" t="s">
        <v>21</v>
      </c>
      <c r="P179" s="19" t="s">
        <v>21</v>
      </c>
      <c r="Q179" s="19" t="s">
        <v>21</v>
      </c>
      <c r="R179" s="19" t="s">
        <v>21</v>
      </c>
      <c r="S179" s="19" t="s">
        <v>21</v>
      </c>
      <c r="T179" s="321" t="s">
        <v>3438</v>
      </c>
      <c r="U179"/>
      <c r="V179" s="123"/>
    </row>
    <row r="180" spans="1:22">
      <c r="A180" s="24" t="s">
        <v>4</v>
      </c>
      <c r="B180" s="94" t="s">
        <v>5</v>
      </c>
      <c r="C180" s="11" t="s">
        <v>1998</v>
      </c>
      <c r="D180" s="11" t="s">
        <v>6</v>
      </c>
      <c r="E180" s="11" t="s">
        <v>7</v>
      </c>
      <c r="F180" s="11" t="s">
        <v>8</v>
      </c>
      <c r="G180" s="11" t="s">
        <v>9</v>
      </c>
      <c r="H180" s="11" t="s">
        <v>10</v>
      </c>
      <c r="I180" s="107" t="s">
        <v>11</v>
      </c>
      <c r="J180" s="11" t="s">
        <v>12</v>
      </c>
      <c r="K180" s="320"/>
      <c r="L180" s="24" t="s">
        <v>1035</v>
      </c>
      <c r="M180" s="25" t="s">
        <v>1036</v>
      </c>
      <c r="N180" s="19" t="s">
        <v>1567</v>
      </c>
      <c r="O180" s="19" t="s">
        <v>1567</v>
      </c>
      <c r="P180" s="19" t="s">
        <v>18</v>
      </c>
      <c r="Q180" s="19" t="s">
        <v>1567</v>
      </c>
      <c r="R180" s="19" t="s">
        <v>18</v>
      </c>
      <c r="S180" s="19" t="s">
        <v>1567</v>
      </c>
      <c r="T180" s="321" t="s">
        <v>3439</v>
      </c>
      <c r="U180"/>
      <c r="V180" s="123"/>
    </row>
    <row r="181" spans="1:22" ht="34">
      <c r="A181" s="24" t="s">
        <v>1040</v>
      </c>
      <c r="B181" s="24" t="s">
        <v>1041</v>
      </c>
      <c r="C181" s="19" t="s">
        <v>1562</v>
      </c>
      <c r="D181" s="19"/>
      <c r="E181" s="19"/>
      <c r="F181" s="19"/>
      <c r="G181" s="19"/>
      <c r="H181" s="19"/>
      <c r="I181" s="107"/>
      <c r="J181" s="11" t="s">
        <v>1042</v>
      </c>
      <c r="K181" s="320"/>
      <c r="L181" s="24" t="s">
        <v>672</v>
      </c>
      <c r="M181" s="25" t="s">
        <v>673</v>
      </c>
      <c r="N181" s="19" t="s">
        <v>28</v>
      </c>
      <c r="O181" s="19" t="s">
        <v>21</v>
      </c>
      <c r="P181" s="19" t="s">
        <v>28</v>
      </c>
      <c r="Q181" s="19" t="s">
        <v>21</v>
      </c>
      <c r="R181" s="19" t="s">
        <v>28</v>
      </c>
      <c r="S181" s="19" t="s">
        <v>28</v>
      </c>
      <c r="T181" s="321" t="s">
        <v>3440</v>
      </c>
      <c r="U181"/>
      <c r="V181" s="123"/>
    </row>
    <row r="182" spans="1:22">
      <c r="A182" s="24" t="s">
        <v>1046</v>
      </c>
      <c r="B182" s="24" t="s">
        <v>1047</v>
      </c>
      <c r="C182" s="19" t="s">
        <v>1574</v>
      </c>
      <c r="D182" s="19"/>
      <c r="E182" s="19"/>
      <c r="F182" s="19"/>
      <c r="G182" s="19"/>
      <c r="H182" s="19"/>
      <c r="I182" s="107"/>
      <c r="J182" s="11"/>
      <c r="K182" s="320"/>
      <c r="L182" s="24" t="s">
        <v>706</v>
      </c>
      <c r="M182" s="25" t="s">
        <v>707</v>
      </c>
      <c r="N182" s="19" t="s">
        <v>1567</v>
      </c>
      <c r="O182" s="19" t="s">
        <v>1567</v>
      </c>
      <c r="P182" s="19" t="s">
        <v>1567</v>
      </c>
      <c r="Q182" s="19" t="s">
        <v>1567</v>
      </c>
      <c r="R182" s="19" t="s">
        <v>1567</v>
      </c>
      <c r="S182" s="19" t="s">
        <v>1567</v>
      </c>
      <c r="T182" s="321" t="s">
        <v>3441</v>
      </c>
      <c r="U182"/>
      <c r="V182" s="123"/>
    </row>
    <row r="183" spans="1:22">
      <c r="A183" s="24" t="s">
        <v>1053</v>
      </c>
      <c r="B183" s="24" t="s">
        <v>975</v>
      </c>
      <c r="C183" s="19" t="s">
        <v>17</v>
      </c>
      <c r="D183" s="19" t="s">
        <v>17</v>
      </c>
      <c r="E183" s="19" t="s">
        <v>17</v>
      </c>
      <c r="F183" s="19" t="s">
        <v>17</v>
      </c>
      <c r="G183" s="19" t="s">
        <v>17</v>
      </c>
      <c r="H183" s="19" t="s">
        <v>17</v>
      </c>
      <c r="I183" s="107" t="s">
        <v>3442</v>
      </c>
      <c r="J183" s="11"/>
      <c r="K183" s="320"/>
      <c r="L183" s="24" t="s">
        <v>1048</v>
      </c>
      <c r="M183" s="25" t="s">
        <v>1049</v>
      </c>
      <c r="N183" s="19" t="s">
        <v>1562</v>
      </c>
      <c r="O183" s="19"/>
      <c r="P183" s="19"/>
      <c r="Q183" s="19"/>
      <c r="R183" s="19"/>
      <c r="S183" s="19"/>
      <c r="T183" s="321"/>
      <c r="U183"/>
      <c r="V183" s="123"/>
    </row>
    <row r="184" spans="1:22">
      <c r="A184" s="24" t="s">
        <v>1059</v>
      </c>
      <c r="B184" s="24" t="s">
        <v>1060</v>
      </c>
      <c r="C184" s="19" t="s">
        <v>1562</v>
      </c>
      <c r="D184" s="19"/>
      <c r="E184" s="19"/>
      <c r="F184" s="19"/>
      <c r="G184" s="19"/>
      <c r="H184" s="19"/>
      <c r="I184" s="107"/>
      <c r="J184" s="11"/>
      <c r="K184" s="320"/>
      <c r="L184" s="24" t="s">
        <v>1054</v>
      </c>
      <c r="M184" s="25" t="s">
        <v>1055</v>
      </c>
      <c r="N184" s="19" t="s">
        <v>1567</v>
      </c>
      <c r="O184" s="19" t="s">
        <v>21</v>
      </c>
      <c r="P184" s="19" t="s">
        <v>1567</v>
      </c>
      <c r="Q184" s="19" t="s">
        <v>1567</v>
      </c>
      <c r="R184" s="19" t="s">
        <v>1567</v>
      </c>
      <c r="S184" s="19" t="s">
        <v>1567</v>
      </c>
      <c r="T184" s="321" t="s">
        <v>3443</v>
      </c>
      <c r="U184"/>
      <c r="V184" s="123"/>
    </row>
    <row r="185" spans="1:22" ht="34">
      <c r="A185" s="24" t="s">
        <v>1064</v>
      </c>
      <c r="B185" s="129" t="s">
        <v>1017</v>
      </c>
      <c r="C185" s="19" t="s">
        <v>21</v>
      </c>
      <c r="D185" s="19" t="s">
        <v>28</v>
      </c>
      <c r="E185" s="19" t="s">
        <v>21</v>
      </c>
      <c r="F185" s="19" t="s">
        <v>28</v>
      </c>
      <c r="G185" s="19" t="s">
        <v>21</v>
      </c>
      <c r="H185" s="19" t="s">
        <v>21</v>
      </c>
      <c r="I185" s="107" t="s">
        <v>3444</v>
      </c>
      <c r="J185" s="11"/>
      <c r="K185" s="320"/>
      <c r="L185" s="24" t="s">
        <v>569</v>
      </c>
      <c r="M185" s="25" t="s">
        <v>707</v>
      </c>
      <c r="N185" s="19" t="s">
        <v>28</v>
      </c>
      <c r="O185" s="19" t="s">
        <v>28</v>
      </c>
      <c r="P185" s="19" t="s">
        <v>28</v>
      </c>
      <c r="Q185" s="19" t="s">
        <v>28</v>
      </c>
      <c r="R185" s="19" t="s">
        <v>28</v>
      </c>
      <c r="S185" s="19" t="s">
        <v>28</v>
      </c>
      <c r="T185" s="321" t="s">
        <v>3445</v>
      </c>
      <c r="U185"/>
      <c r="V185" s="123"/>
    </row>
    <row r="186" spans="1:22" ht="34">
      <c r="A186" s="24" t="s">
        <v>1069</v>
      </c>
      <c r="B186" s="129" t="s">
        <v>1017</v>
      </c>
      <c r="C186" s="19" t="s">
        <v>18</v>
      </c>
      <c r="D186" s="19" t="s">
        <v>18</v>
      </c>
      <c r="E186" s="19" t="s">
        <v>1567</v>
      </c>
      <c r="F186" s="19" t="s">
        <v>1567</v>
      </c>
      <c r="G186" s="19" t="s">
        <v>21</v>
      </c>
      <c r="H186" s="19" t="s">
        <v>1567</v>
      </c>
      <c r="I186" s="107"/>
      <c r="J186" s="11"/>
      <c r="K186" s="320"/>
      <c r="L186" s="24" t="s">
        <v>1065</v>
      </c>
      <c r="M186" s="25" t="s">
        <v>1066</v>
      </c>
      <c r="N186" s="19" t="s">
        <v>21</v>
      </c>
      <c r="O186" s="19" t="s">
        <v>28</v>
      </c>
      <c r="P186" s="19" t="s">
        <v>28</v>
      </c>
      <c r="Q186" s="19" t="s">
        <v>21</v>
      </c>
      <c r="R186" s="19" t="s">
        <v>28</v>
      </c>
      <c r="S186" s="19" t="s">
        <v>28</v>
      </c>
      <c r="T186" s="321" t="s">
        <v>3446</v>
      </c>
      <c r="U186"/>
      <c r="V186" s="123"/>
    </row>
    <row r="187" spans="1:22">
      <c r="A187" s="24" t="s">
        <v>1075</v>
      </c>
      <c r="B187" s="24" t="s">
        <v>1076</v>
      </c>
      <c r="C187" s="19" t="s">
        <v>18</v>
      </c>
      <c r="D187" s="19"/>
      <c r="E187" s="19"/>
      <c r="F187" s="19"/>
      <c r="G187" s="19"/>
      <c r="H187" s="19"/>
      <c r="I187" s="107"/>
      <c r="J187" s="11"/>
      <c r="K187" s="320"/>
      <c r="L187" s="24" t="s">
        <v>1070</v>
      </c>
      <c r="M187" s="25" t="s">
        <v>1071</v>
      </c>
      <c r="N187" s="19" t="s">
        <v>18</v>
      </c>
      <c r="O187" s="19"/>
      <c r="P187" s="19"/>
      <c r="Q187" s="19"/>
      <c r="R187" s="19"/>
      <c r="S187" s="19"/>
      <c r="T187" s="321"/>
      <c r="U187"/>
      <c r="V187" s="123"/>
    </row>
    <row r="188" spans="1:22" ht="34">
      <c r="A188" s="24" t="s">
        <v>1080</v>
      </c>
      <c r="B188" s="24" t="s">
        <v>923</v>
      </c>
      <c r="C188" s="19" t="s">
        <v>28</v>
      </c>
      <c r="D188" s="19" t="s">
        <v>21</v>
      </c>
      <c r="E188" s="19" t="s">
        <v>1567</v>
      </c>
      <c r="F188" s="19" t="s">
        <v>21</v>
      </c>
      <c r="G188" s="19" t="s">
        <v>21</v>
      </c>
      <c r="H188" s="19" t="s">
        <v>21</v>
      </c>
      <c r="I188" s="107" t="s">
        <v>3447</v>
      </c>
      <c r="J188" s="11"/>
      <c r="K188" s="320"/>
      <c r="L188" s="24" t="s">
        <v>605</v>
      </c>
      <c r="M188" s="25" t="s">
        <v>606</v>
      </c>
      <c r="N188" s="19" t="s">
        <v>21</v>
      </c>
      <c r="O188" s="19" t="s">
        <v>21</v>
      </c>
      <c r="P188" s="19" t="s">
        <v>28</v>
      </c>
      <c r="Q188" s="19" t="s">
        <v>28</v>
      </c>
      <c r="R188" s="19" t="s">
        <v>28</v>
      </c>
      <c r="S188" s="19" t="s">
        <v>28</v>
      </c>
      <c r="T188" s="321" t="s">
        <v>3448</v>
      </c>
      <c r="U188"/>
      <c r="V188" s="123"/>
    </row>
    <row r="189" spans="1:22">
      <c r="A189" s="24" t="s">
        <v>1086</v>
      </c>
      <c r="B189" s="24" t="s">
        <v>918</v>
      </c>
      <c r="C189" s="19" t="s">
        <v>18</v>
      </c>
      <c r="D189" s="19"/>
      <c r="E189" s="19"/>
      <c r="F189" s="19"/>
      <c r="G189" s="19"/>
      <c r="H189" s="19"/>
      <c r="I189" s="107"/>
      <c r="J189" s="11"/>
      <c r="K189" s="320"/>
      <c r="L189" s="24" t="s">
        <v>1081</v>
      </c>
      <c r="M189" s="25" t="s">
        <v>1082</v>
      </c>
      <c r="N189" s="19" t="s">
        <v>18</v>
      </c>
      <c r="O189" s="19"/>
      <c r="P189" s="19"/>
      <c r="Q189" s="19"/>
      <c r="R189" s="19"/>
      <c r="S189" s="19"/>
      <c r="T189" s="321"/>
      <c r="U189"/>
      <c r="V189" s="123"/>
    </row>
    <row r="190" spans="1:22" ht="34">
      <c r="A190" s="24" t="s">
        <v>1092</v>
      </c>
      <c r="B190" s="24" t="s">
        <v>151</v>
      </c>
      <c r="C190" s="19" t="s">
        <v>17</v>
      </c>
      <c r="D190" s="19" t="s">
        <v>28</v>
      </c>
      <c r="E190" s="19" t="s">
        <v>17</v>
      </c>
      <c r="F190" s="19" t="s">
        <v>17</v>
      </c>
      <c r="G190" s="19" t="s">
        <v>17</v>
      </c>
      <c r="H190" s="19" t="s">
        <v>17</v>
      </c>
      <c r="I190" s="107" t="s">
        <v>3449</v>
      </c>
      <c r="J190" s="11"/>
      <c r="K190" s="320"/>
      <c r="L190" s="24" t="s">
        <v>1087</v>
      </c>
      <c r="M190" s="25" t="s">
        <v>1088</v>
      </c>
      <c r="N190" s="19" t="s">
        <v>1567</v>
      </c>
      <c r="O190" s="19" t="s">
        <v>18</v>
      </c>
      <c r="P190" s="19" t="s">
        <v>1562</v>
      </c>
      <c r="Q190" s="19" t="s">
        <v>18</v>
      </c>
      <c r="R190" s="19" t="s">
        <v>1562</v>
      </c>
      <c r="S190" s="19" t="s">
        <v>1562</v>
      </c>
      <c r="T190" s="321" t="s">
        <v>3450</v>
      </c>
      <c r="U190"/>
      <c r="V190" s="123"/>
    </row>
    <row r="191" spans="1:22">
      <c r="A191" s="24" t="s">
        <v>1098</v>
      </c>
      <c r="B191" s="24" t="s">
        <v>1099</v>
      </c>
      <c r="C191" s="19" t="s">
        <v>1574</v>
      </c>
      <c r="D191" s="19"/>
      <c r="E191" s="19"/>
      <c r="F191" s="19"/>
      <c r="G191" s="19"/>
      <c r="H191" s="19"/>
      <c r="I191" s="107"/>
      <c r="J191" s="11"/>
      <c r="K191" s="320"/>
      <c r="L191" s="24" t="s">
        <v>1093</v>
      </c>
      <c r="M191" s="25" t="s">
        <v>1094</v>
      </c>
      <c r="N191" s="19" t="s">
        <v>18</v>
      </c>
      <c r="O191" s="19"/>
      <c r="P191" s="19"/>
      <c r="Q191" s="19"/>
      <c r="R191" s="19"/>
      <c r="S191" s="19"/>
      <c r="T191" s="321"/>
      <c r="U191"/>
      <c r="V191" s="123"/>
    </row>
    <row r="192" spans="1:22">
      <c r="A192" s="24" t="s">
        <v>1103</v>
      </c>
      <c r="B192" s="24" t="s">
        <v>1104</v>
      </c>
      <c r="C192" s="19" t="s">
        <v>18</v>
      </c>
      <c r="D192" s="19"/>
      <c r="E192" s="19"/>
      <c r="F192" s="19"/>
      <c r="G192" s="19"/>
      <c r="H192" s="19"/>
      <c r="I192" s="107"/>
      <c r="J192" s="11"/>
      <c r="K192" s="320"/>
      <c r="L192" s="24" t="s">
        <v>853</v>
      </c>
      <c r="M192" s="25" t="s">
        <v>854</v>
      </c>
      <c r="N192" s="19" t="s">
        <v>28</v>
      </c>
      <c r="O192" s="19" t="s">
        <v>28</v>
      </c>
      <c r="P192" s="19" t="s">
        <v>28</v>
      </c>
      <c r="Q192" s="19" t="s">
        <v>21</v>
      </c>
      <c r="R192" s="19" t="s">
        <v>28</v>
      </c>
      <c r="S192" s="19" t="s">
        <v>28</v>
      </c>
      <c r="T192" s="321" t="s">
        <v>3451</v>
      </c>
      <c r="U192"/>
      <c r="V192" s="123"/>
    </row>
    <row r="193" spans="1:22" ht="34">
      <c r="A193" s="24" t="s">
        <v>1108</v>
      </c>
      <c r="B193" s="24" t="s">
        <v>970</v>
      </c>
      <c r="C193" s="19" t="s">
        <v>17</v>
      </c>
      <c r="D193" s="19" t="s">
        <v>21</v>
      </c>
      <c r="E193" s="19" t="s">
        <v>28</v>
      </c>
      <c r="F193" s="19" t="s">
        <v>28</v>
      </c>
      <c r="G193" s="19" t="s">
        <v>17</v>
      </c>
      <c r="H193" s="19" t="s">
        <v>28</v>
      </c>
      <c r="I193" s="107" t="s">
        <v>3452</v>
      </c>
      <c r="J193" s="11"/>
      <c r="K193" s="320"/>
      <c r="L193" s="24" t="s">
        <v>725</v>
      </c>
      <c r="M193" s="25" t="s">
        <v>726</v>
      </c>
      <c r="N193" s="19" t="s">
        <v>21</v>
      </c>
      <c r="O193" s="19" t="s">
        <v>28</v>
      </c>
      <c r="P193" s="19" t="s">
        <v>28</v>
      </c>
      <c r="Q193" s="19" t="s">
        <v>28</v>
      </c>
      <c r="R193" s="19" t="s">
        <v>28</v>
      </c>
      <c r="S193" s="19" t="s">
        <v>28</v>
      </c>
      <c r="T193" s="321" t="s">
        <v>3453</v>
      </c>
      <c r="U193"/>
      <c r="V193" s="123"/>
    </row>
    <row r="194" spans="1:22">
      <c r="A194" s="24" t="s">
        <v>1111</v>
      </c>
      <c r="B194" s="24" t="s">
        <v>1112</v>
      </c>
      <c r="C194" s="19" t="s">
        <v>21</v>
      </c>
      <c r="D194" s="19" t="s">
        <v>18</v>
      </c>
      <c r="E194" s="19" t="s">
        <v>18</v>
      </c>
      <c r="F194" s="19" t="s">
        <v>1567</v>
      </c>
      <c r="G194" s="19" t="s">
        <v>1567</v>
      </c>
      <c r="H194" s="19" t="s">
        <v>1567</v>
      </c>
      <c r="I194" s="107" t="s">
        <v>3454</v>
      </c>
      <c r="J194" s="11"/>
      <c r="K194" s="320"/>
      <c r="L194" s="24" t="s">
        <v>731</v>
      </c>
      <c r="M194" s="25" t="s">
        <v>732</v>
      </c>
      <c r="N194" s="19" t="s">
        <v>17</v>
      </c>
      <c r="O194" s="19" t="s">
        <v>17</v>
      </c>
      <c r="P194" s="19" t="s">
        <v>17</v>
      </c>
      <c r="Q194" s="19" t="s">
        <v>17</v>
      </c>
      <c r="R194" s="19" t="s">
        <v>17</v>
      </c>
      <c r="S194" s="19" t="s">
        <v>17</v>
      </c>
      <c r="T194" s="321" t="s">
        <v>3455</v>
      </c>
      <c r="U194"/>
      <c r="V194" s="123"/>
    </row>
    <row r="195" spans="1:22">
      <c r="A195" s="24" t="s">
        <v>1118</v>
      </c>
      <c r="B195" s="24" t="s">
        <v>1119</v>
      </c>
      <c r="C195" s="19" t="s">
        <v>1574</v>
      </c>
      <c r="D195" s="19"/>
      <c r="E195" s="19"/>
      <c r="F195" s="19"/>
      <c r="G195" s="19"/>
      <c r="H195" s="19"/>
      <c r="I195" s="107"/>
      <c r="J195" s="11"/>
      <c r="K195" s="320"/>
      <c r="L195" s="24" t="s">
        <v>1113</v>
      </c>
      <c r="M195" s="25" t="s">
        <v>1114</v>
      </c>
      <c r="N195" s="19" t="s">
        <v>1567</v>
      </c>
      <c r="O195" s="19" t="s">
        <v>21</v>
      </c>
      <c r="P195" s="19" t="s">
        <v>1567</v>
      </c>
      <c r="Q195" s="19" t="s">
        <v>1567</v>
      </c>
      <c r="R195" s="19" t="s">
        <v>21</v>
      </c>
      <c r="S195" s="19" t="s">
        <v>1567</v>
      </c>
      <c r="T195" s="321" t="s">
        <v>3456</v>
      </c>
      <c r="U195"/>
      <c r="V195" s="123"/>
    </row>
    <row r="196" spans="1:22">
      <c r="A196" s="24" t="s">
        <v>1123</v>
      </c>
      <c r="B196" s="24" t="s">
        <v>1124</v>
      </c>
      <c r="C196" s="19" t="s">
        <v>18</v>
      </c>
      <c r="D196" s="19"/>
      <c r="E196" s="19"/>
      <c r="F196" s="19"/>
      <c r="G196" s="19"/>
      <c r="H196" s="19"/>
      <c r="I196" s="107"/>
      <c r="J196" s="11"/>
      <c r="K196" s="320"/>
      <c r="L196" s="24" t="s">
        <v>642</v>
      </c>
      <c r="M196" s="25" t="s">
        <v>643</v>
      </c>
      <c r="N196" s="19" t="s">
        <v>28</v>
      </c>
      <c r="O196" s="19" t="s">
        <v>28</v>
      </c>
      <c r="P196" s="19" t="s">
        <v>17</v>
      </c>
      <c r="Q196" s="19" t="s">
        <v>17</v>
      </c>
      <c r="R196" s="19" t="s">
        <v>17</v>
      </c>
      <c r="S196" s="19" t="s">
        <v>17</v>
      </c>
      <c r="T196" s="321" t="s">
        <v>3457</v>
      </c>
      <c r="U196"/>
      <c r="V196" s="123"/>
    </row>
    <row r="197" spans="1:22">
      <c r="A197" s="24" t="s">
        <v>1130</v>
      </c>
      <c r="B197" s="24" t="s">
        <v>1131</v>
      </c>
      <c r="C197" s="19" t="s">
        <v>1567</v>
      </c>
      <c r="D197" s="19" t="s">
        <v>1567</v>
      </c>
      <c r="E197" s="19" t="s">
        <v>1567</v>
      </c>
      <c r="F197" s="19" t="s">
        <v>1567</v>
      </c>
      <c r="G197" s="19" t="s">
        <v>21</v>
      </c>
      <c r="H197" s="19" t="s">
        <v>1567</v>
      </c>
      <c r="I197" s="107" t="s">
        <v>3458</v>
      </c>
      <c r="J197" s="11"/>
      <c r="K197" s="320"/>
      <c r="L197" s="24" t="s">
        <v>1125</v>
      </c>
      <c r="M197" s="25" t="s">
        <v>1126</v>
      </c>
      <c r="N197" s="19" t="s">
        <v>16</v>
      </c>
      <c r="O197" s="19"/>
      <c r="P197" s="19"/>
      <c r="Q197" s="19"/>
      <c r="R197" s="19"/>
      <c r="S197" s="19"/>
      <c r="T197" s="321"/>
      <c r="U197"/>
      <c r="V197" s="123"/>
    </row>
    <row r="198" spans="1:22">
      <c r="A198" s="24" t="s">
        <v>1137</v>
      </c>
      <c r="B198" s="24" t="s">
        <v>1138</v>
      </c>
      <c r="C198" s="19" t="s">
        <v>1562</v>
      </c>
      <c r="D198" s="19"/>
      <c r="E198" s="19"/>
      <c r="F198" s="19"/>
      <c r="G198" s="19"/>
      <c r="H198" s="19"/>
      <c r="I198" s="107"/>
      <c r="J198" s="11"/>
      <c r="K198" s="320"/>
      <c r="L198" s="24" t="s">
        <v>1132</v>
      </c>
      <c r="M198" s="25" t="s">
        <v>1133</v>
      </c>
      <c r="N198" s="19" t="s">
        <v>18</v>
      </c>
      <c r="O198" s="19"/>
      <c r="P198" s="19"/>
      <c r="Q198" s="19"/>
      <c r="R198" s="19"/>
      <c r="S198" s="19"/>
      <c r="T198" s="321"/>
      <c r="U198"/>
      <c r="V198" s="123"/>
    </row>
    <row r="199" spans="1:22">
      <c r="A199" s="24" t="s">
        <v>1144</v>
      </c>
      <c r="B199" s="24" t="s">
        <v>1145</v>
      </c>
      <c r="C199" s="19" t="s">
        <v>21</v>
      </c>
      <c r="D199" s="19" t="s">
        <v>1567</v>
      </c>
      <c r="E199" s="19" t="s">
        <v>1567</v>
      </c>
      <c r="F199" s="19" t="s">
        <v>1567</v>
      </c>
      <c r="G199" s="19" t="s">
        <v>21</v>
      </c>
      <c r="H199" s="19" t="s">
        <v>1567</v>
      </c>
      <c r="I199" s="107" t="s">
        <v>3459</v>
      </c>
      <c r="J199" s="11"/>
      <c r="K199" s="320"/>
      <c r="L199" s="24" t="s">
        <v>1139</v>
      </c>
      <c r="M199" s="25" t="s">
        <v>1140</v>
      </c>
      <c r="N199" s="19" t="s">
        <v>1574</v>
      </c>
      <c r="O199" s="19"/>
      <c r="P199" s="19"/>
      <c r="Q199" s="19"/>
      <c r="R199" s="19"/>
      <c r="S199" s="19"/>
      <c r="T199" s="321"/>
      <c r="U199"/>
      <c r="V199" s="123"/>
    </row>
    <row r="200" spans="1:22" ht="34">
      <c r="A200" s="24" t="s">
        <v>1149</v>
      </c>
      <c r="B200" s="24" t="s">
        <v>918</v>
      </c>
      <c r="C200" s="19" t="s">
        <v>18</v>
      </c>
      <c r="D200" s="19"/>
      <c r="E200" s="19"/>
      <c r="F200" s="19"/>
      <c r="G200" s="19"/>
      <c r="H200" s="19"/>
      <c r="I200" s="107"/>
      <c r="J200" s="11"/>
      <c r="K200" s="320"/>
      <c r="L200" s="24" t="s">
        <v>600</v>
      </c>
      <c r="M200" s="25" t="s">
        <v>601</v>
      </c>
      <c r="N200" s="19" t="s">
        <v>28</v>
      </c>
      <c r="O200" s="19" t="s">
        <v>28</v>
      </c>
      <c r="P200" s="19" t="s">
        <v>28</v>
      </c>
      <c r="Q200" s="19" t="s">
        <v>28</v>
      </c>
      <c r="R200" s="19" t="s">
        <v>28</v>
      </c>
      <c r="S200" s="19" t="s">
        <v>28</v>
      </c>
      <c r="T200" s="321" t="s">
        <v>3460</v>
      </c>
      <c r="U200"/>
      <c r="V200" s="123"/>
    </row>
    <row r="201" spans="1:22" ht="34">
      <c r="A201" s="24" t="s">
        <v>1155</v>
      </c>
      <c r="B201" s="24" t="s">
        <v>942</v>
      </c>
      <c r="C201" s="19" t="s">
        <v>17</v>
      </c>
      <c r="D201" s="19" t="s">
        <v>28</v>
      </c>
      <c r="E201" s="19" t="s">
        <v>17</v>
      </c>
      <c r="F201" s="19" t="s">
        <v>17</v>
      </c>
      <c r="G201" s="19" t="s">
        <v>17</v>
      </c>
      <c r="H201" s="19" t="s">
        <v>17</v>
      </c>
      <c r="I201" s="107" t="s">
        <v>3461</v>
      </c>
      <c r="J201" s="11"/>
      <c r="K201" s="320"/>
      <c r="L201" s="24" t="s">
        <v>1150</v>
      </c>
      <c r="M201" s="25" t="s">
        <v>1151</v>
      </c>
      <c r="N201" s="19" t="s">
        <v>1567</v>
      </c>
      <c r="O201" s="19" t="s">
        <v>21</v>
      </c>
      <c r="P201" s="19" t="s">
        <v>1567</v>
      </c>
      <c r="Q201" s="19" t="s">
        <v>1567</v>
      </c>
      <c r="R201" s="19" t="s">
        <v>1567</v>
      </c>
      <c r="S201" s="19" t="s">
        <v>1567</v>
      </c>
      <c r="T201" s="321" t="s">
        <v>3462</v>
      </c>
      <c r="U201"/>
      <c r="V201" s="123"/>
    </row>
    <row r="202" spans="1:22" ht="34">
      <c r="A202" s="24" t="s">
        <v>1159</v>
      </c>
      <c r="B202" s="24" t="s">
        <v>159</v>
      </c>
      <c r="C202" s="19" t="s">
        <v>17</v>
      </c>
      <c r="D202" s="19" t="s">
        <v>28</v>
      </c>
      <c r="E202" s="19" t="s">
        <v>28</v>
      </c>
      <c r="F202" s="19" t="s">
        <v>28</v>
      </c>
      <c r="G202" s="19" t="s">
        <v>28</v>
      </c>
      <c r="H202" s="19" t="s">
        <v>28</v>
      </c>
      <c r="I202" s="107" t="s">
        <v>3463</v>
      </c>
      <c r="J202" s="11"/>
      <c r="K202" s="320"/>
      <c r="L202" s="24" t="s">
        <v>637</v>
      </c>
      <c r="M202" s="25" t="s">
        <v>638</v>
      </c>
      <c r="N202" s="19" t="s">
        <v>21</v>
      </c>
      <c r="O202" s="19" t="s">
        <v>28</v>
      </c>
      <c r="P202" s="19" t="s">
        <v>21</v>
      </c>
      <c r="Q202" s="19" t="s">
        <v>28</v>
      </c>
      <c r="R202" s="19" t="s">
        <v>21</v>
      </c>
      <c r="S202" s="19" t="s">
        <v>21</v>
      </c>
      <c r="T202" s="321" t="s">
        <v>3464</v>
      </c>
      <c r="U202"/>
      <c r="V202" s="123"/>
    </row>
    <row r="203" spans="1:22">
      <c r="A203" s="24" t="s">
        <v>1165</v>
      </c>
      <c r="B203" s="24" t="s">
        <v>288</v>
      </c>
      <c r="C203" s="19" t="s">
        <v>18</v>
      </c>
      <c r="D203" s="19"/>
      <c r="E203" s="19"/>
      <c r="F203" s="19"/>
      <c r="G203" s="19"/>
      <c r="H203" s="19"/>
      <c r="I203" s="107"/>
      <c r="J203" s="11"/>
      <c r="K203" s="320"/>
      <c r="L203" s="24" t="s">
        <v>1160</v>
      </c>
      <c r="M203" s="25" t="s">
        <v>1161</v>
      </c>
      <c r="N203" s="19" t="s">
        <v>18</v>
      </c>
      <c r="O203" s="19"/>
      <c r="P203" s="19"/>
      <c r="Q203" s="19"/>
      <c r="R203" s="19"/>
      <c r="S203" s="19"/>
      <c r="T203" s="321"/>
      <c r="U203"/>
      <c r="V203" s="123"/>
    </row>
    <row r="204" spans="1:22" ht="51">
      <c r="A204" s="24" t="s">
        <v>1169</v>
      </c>
      <c r="B204" s="24" t="s">
        <v>933</v>
      </c>
      <c r="C204" s="19" t="s">
        <v>28</v>
      </c>
      <c r="D204" s="19" t="s">
        <v>28</v>
      </c>
      <c r="E204" s="19" t="s">
        <v>28</v>
      </c>
      <c r="F204" s="19" t="s">
        <v>28</v>
      </c>
      <c r="G204" s="19" t="s">
        <v>28</v>
      </c>
      <c r="H204" s="19" t="s">
        <v>28</v>
      </c>
      <c r="I204" s="107" t="s">
        <v>3465</v>
      </c>
      <c r="J204" s="11"/>
      <c r="K204" s="320"/>
      <c r="L204" s="24" t="s">
        <v>777</v>
      </c>
      <c r="M204" s="25" t="s">
        <v>778</v>
      </c>
      <c r="N204" s="19" t="s">
        <v>1567</v>
      </c>
      <c r="O204" s="19" t="s">
        <v>21</v>
      </c>
      <c r="P204" s="19" t="s">
        <v>21</v>
      </c>
      <c r="Q204" s="19" t="s">
        <v>21</v>
      </c>
      <c r="R204" s="19" t="s">
        <v>21</v>
      </c>
      <c r="S204" s="19" t="s">
        <v>21</v>
      </c>
      <c r="T204" s="321" t="s">
        <v>3466</v>
      </c>
      <c r="U204"/>
      <c r="V204" s="123"/>
    </row>
    <row r="205" spans="1:22">
      <c r="A205" s="24" t="s">
        <v>1175</v>
      </c>
      <c r="B205" s="24" t="s">
        <v>875</v>
      </c>
      <c r="C205" s="19" t="s">
        <v>1567</v>
      </c>
      <c r="D205" s="19" t="s">
        <v>28</v>
      </c>
      <c r="E205" s="19" t="s">
        <v>21</v>
      </c>
      <c r="F205" s="19" t="s">
        <v>21</v>
      </c>
      <c r="G205" s="19" t="s">
        <v>21</v>
      </c>
      <c r="H205" s="19" t="s">
        <v>21</v>
      </c>
      <c r="I205" s="107" t="s">
        <v>3467</v>
      </c>
      <c r="J205" s="11"/>
      <c r="K205" s="320"/>
      <c r="L205" s="24" t="s">
        <v>1170</v>
      </c>
      <c r="M205" s="25" t="s">
        <v>1171</v>
      </c>
      <c r="N205" s="19" t="s">
        <v>1562</v>
      </c>
      <c r="O205" s="19"/>
      <c r="P205" s="19"/>
      <c r="Q205" s="19"/>
      <c r="R205" s="19"/>
      <c r="S205" s="19"/>
      <c r="T205" s="321"/>
      <c r="U205"/>
      <c r="V205" s="123"/>
    </row>
    <row r="206" spans="1:22">
      <c r="A206" s="24" t="s">
        <v>1181</v>
      </c>
      <c r="B206" s="24" t="s">
        <v>1182</v>
      </c>
      <c r="C206" s="19" t="s">
        <v>1574</v>
      </c>
      <c r="D206" s="19"/>
      <c r="E206" s="19"/>
      <c r="F206" s="19"/>
      <c r="G206" s="19"/>
      <c r="H206" s="19"/>
      <c r="I206" s="107"/>
      <c r="J206" s="11"/>
      <c r="K206" s="320"/>
      <c r="L206" s="24" t="s">
        <v>1176</v>
      </c>
      <c r="M206" s="25" t="s">
        <v>1177</v>
      </c>
      <c r="N206" s="19" t="s">
        <v>18</v>
      </c>
      <c r="O206" s="19"/>
      <c r="P206" s="19"/>
      <c r="Q206" s="19"/>
      <c r="R206" s="19"/>
      <c r="S206" s="19"/>
      <c r="T206" s="321"/>
      <c r="U206"/>
      <c r="V206" s="123"/>
    </row>
    <row r="207" spans="1:22">
      <c r="A207" s="24" t="s">
        <v>1188</v>
      </c>
      <c r="B207" s="24" t="s">
        <v>911</v>
      </c>
      <c r="C207" s="19" t="s">
        <v>28</v>
      </c>
      <c r="D207" s="19" t="s">
        <v>17</v>
      </c>
      <c r="E207" s="19" t="s">
        <v>17</v>
      </c>
      <c r="F207" s="19" t="s">
        <v>17</v>
      </c>
      <c r="G207" s="19" t="s">
        <v>17</v>
      </c>
      <c r="H207" s="19" t="s">
        <v>17</v>
      </c>
      <c r="I207" s="107" t="s">
        <v>3468</v>
      </c>
      <c r="J207" s="11"/>
      <c r="K207" s="320"/>
      <c r="L207" s="24" t="s">
        <v>1183</v>
      </c>
      <c r="M207" s="25" t="s">
        <v>1184</v>
      </c>
      <c r="N207" s="19" t="s">
        <v>21</v>
      </c>
      <c r="O207" s="19" t="s">
        <v>21</v>
      </c>
      <c r="P207" s="19" t="s">
        <v>21</v>
      </c>
      <c r="Q207" s="19" t="s">
        <v>21</v>
      </c>
      <c r="R207" s="19" t="s">
        <v>21</v>
      </c>
      <c r="S207" s="19" t="s">
        <v>21</v>
      </c>
      <c r="T207" s="321" t="s">
        <v>3469</v>
      </c>
      <c r="U207"/>
      <c r="V207" s="123"/>
    </row>
    <row r="208" spans="1:22">
      <c r="A208" s="24" t="s">
        <v>1192</v>
      </c>
      <c r="B208" s="24" t="s">
        <v>1193</v>
      </c>
      <c r="C208" s="19" t="s">
        <v>1562</v>
      </c>
      <c r="D208" s="19"/>
      <c r="E208" s="19"/>
      <c r="F208" s="19"/>
      <c r="G208" s="19"/>
      <c r="H208" s="19"/>
      <c r="I208" s="107"/>
      <c r="J208" s="11"/>
      <c r="K208" s="320"/>
      <c r="L208" s="24" t="s">
        <v>739</v>
      </c>
      <c r="M208" s="25" t="s">
        <v>740</v>
      </c>
      <c r="N208" s="19" t="s">
        <v>28</v>
      </c>
      <c r="O208" s="19" t="s">
        <v>28</v>
      </c>
      <c r="P208" s="19" t="s">
        <v>21</v>
      </c>
      <c r="Q208" s="19" t="s">
        <v>28</v>
      </c>
      <c r="R208" s="19" t="s">
        <v>28</v>
      </c>
      <c r="S208" s="19" t="s">
        <v>28</v>
      </c>
      <c r="T208" s="321" t="s">
        <v>3470</v>
      </c>
      <c r="U208"/>
      <c r="V208" s="123"/>
    </row>
    <row r="209" spans="1:22" ht="34">
      <c r="A209" s="24" t="s">
        <v>1197</v>
      </c>
      <c r="B209" s="24" t="s">
        <v>1198</v>
      </c>
      <c r="C209" s="19" t="s">
        <v>1574</v>
      </c>
      <c r="D209" s="19"/>
      <c r="E209" s="19"/>
      <c r="F209" s="19"/>
      <c r="G209" s="19"/>
      <c r="H209" s="19"/>
      <c r="I209" s="107"/>
      <c r="J209" s="11"/>
      <c r="K209" s="320"/>
      <c r="L209" s="24" t="s">
        <v>720</v>
      </c>
      <c r="M209" s="25" t="s">
        <v>721</v>
      </c>
      <c r="N209" s="19" t="s">
        <v>28</v>
      </c>
      <c r="O209" s="19" t="s">
        <v>28</v>
      </c>
      <c r="P209" s="19" t="s">
        <v>21</v>
      </c>
      <c r="Q209" s="19" t="s">
        <v>21</v>
      </c>
      <c r="R209" s="19" t="s">
        <v>28</v>
      </c>
      <c r="S209" s="19" t="s">
        <v>28</v>
      </c>
      <c r="T209" s="321" t="s">
        <v>3471</v>
      </c>
      <c r="U209"/>
      <c r="V209" s="123"/>
    </row>
    <row r="210" spans="1:22">
      <c r="A210" s="24" t="s">
        <v>1202</v>
      </c>
      <c r="B210" s="24" t="s">
        <v>869</v>
      </c>
      <c r="C210" s="19" t="s">
        <v>21</v>
      </c>
      <c r="D210" s="19" t="s">
        <v>21</v>
      </c>
      <c r="E210" s="19" t="s">
        <v>1567</v>
      </c>
      <c r="F210" s="19" t="s">
        <v>21</v>
      </c>
      <c r="G210" s="19" t="s">
        <v>21</v>
      </c>
      <c r="H210" s="19" t="s">
        <v>21</v>
      </c>
      <c r="I210" s="107" t="s">
        <v>3472</v>
      </c>
      <c r="J210" s="11"/>
      <c r="K210" s="320"/>
      <c r="L210" s="24" t="s">
        <v>563</v>
      </c>
      <c r="M210" s="25" t="s">
        <v>564</v>
      </c>
      <c r="N210" s="19" t="s">
        <v>21</v>
      </c>
      <c r="O210" s="19" t="s">
        <v>28</v>
      </c>
      <c r="P210" s="19" t="s">
        <v>21</v>
      </c>
      <c r="Q210" s="19" t="s">
        <v>21</v>
      </c>
      <c r="R210" s="19" t="s">
        <v>28</v>
      </c>
      <c r="S210" s="19" t="s">
        <v>21</v>
      </c>
      <c r="T210" s="321" t="s">
        <v>3473</v>
      </c>
      <c r="U210"/>
      <c r="V210" s="123"/>
    </row>
    <row r="211" spans="1:22">
      <c r="A211" s="24" t="s">
        <v>1208</v>
      </c>
      <c r="B211" s="24" t="s">
        <v>1012</v>
      </c>
      <c r="C211" s="19" t="s">
        <v>28</v>
      </c>
      <c r="D211" s="19" t="s">
        <v>17</v>
      </c>
      <c r="E211" s="19" t="s">
        <v>17</v>
      </c>
      <c r="F211" s="19" t="s">
        <v>17</v>
      </c>
      <c r="G211" s="19" t="s">
        <v>28</v>
      </c>
      <c r="H211" s="19" t="s">
        <v>17</v>
      </c>
      <c r="I211" s="107" t="s">
        <v>3474</v>
      </c>
      <c r="J211" s="11"/>
      <c r="K211" s="320"/>
      <c r="L211" s="24" t="s">
        <v>1203</v>
      </c>
      <c r="M211" s="25" t="s">
        <v>1204</v>
      </c>
      <c r="N211" s="19" t="s">
        <v>18</v>
      </c>
      <c r="O211" s="19"/>
      <c r="P211" s="19"/>
      <c r="Q211" s="19"/>
      <c r="R211" s="19"/>
      <c r="S211" s="19"/>
      <c r="T211" s="321"/>
      <c r="U211"/>
      <c r="V211" s="123"/>
    </row>
    <row r="212" spans="1:22" ht="34">
      <c r="A212" s="24" t="s">
        <v>1214</v>
      </c>
      <c r="B212" s="24" t="s">
        <v>108</v>
      </c>
      <c r="C212" s="19"/>
      <c r="D212" s="19"/>
      <c r="E212" s="19"/>
      <c r="F212" s="19"/>
      <c r="G212" s="19"/>
      <c r="H212" s="19"/>
      <c r="I212" s="107"/>
      <c r="J212" s="11"/>
      <c r="K212" s="320"/>
      <c r="L212" s="24" t="s">
        <v>1209</v>
      </c>
      <c r="M212" s="35" t="s">
        <v>1210</v>
      </c>
      <c r="N212" s="19" t="s">
        <v>1567</v>
      </c>
      <c r="O212" s="19" t="s">
        <v>21</v>
      </c>
      <c r="P212" s="19" t="s">
        <v>21</v>
      </c>
      <c r="Q212" s="19" t="s">
        <v>28</v>
      </c>
      <c r="R212" s="19" t="s">
        <v>21</v>
      </c>
      <c r="S212" s="19" t="s">
        <v>21</v>
      </c>
      <c r="T212" s="321" t="s">
        <v>3475</v>
      </c>
      <c r="U212"/>
      <c r="V212" s="123"/>
    </row>
    <row r="213" spans="1:22">
      <c r="A213" s="24" t="s">
        <v>1217</v>
      </c>
      <c r="B213" s="24" t="s">
        <v>1218</v>
      </c>
      <c r="C213" s="19" t="s">
        <v>1562</v>
      </c>
      <c r="D213" s="19"/>
      <c r="E213" s="19"/>
      <c r="F213" s="19"/>
      <c r="G213" s="19"/>
      <c r="H213" s="19"/>
      <c r="I213" s="107"/>
      <c r="J213" s="11"/>
      <c r="K213" s="320"/>
      <c r="L213" s="24" t="s">
        <v>532</v>
      </c>
      <c r="M213" s="25" t="s">
        <v>533</v>
      </c>
      <c r="N213" s="19" t="s">
        <v>28</v>
      </c>
      <c r="O213" s="19" t="s">
        <v>28</v>
      </c>
      <c r="P213" s="19" t="s">
        <v>28</v>
      </c>
      <c r="Q213" s="19" t="s">
        <v>17</v>
      </c>
      <c r="R213" s="19" t="s">
        <v>17</v>
      </c>
      <c r="S213" s="19" t="s">
        <v>28</v>
      </c>
      <c r="T213" s="321" t="s">
        <v>3476</v>
      </c>
      <c r="U213"/>
      <c r="V213" s="123"/>
    </row>
    <row r="214" spans="1:22">
      <c r="A214" s="24" t="s">
        <v>1223</v>
      </c>
      <c r="B214" s="24" t="s">
        <v>1224</v>
      </c>
      <c r="C214" s="19" t="s">
        <v>18</v>
      </c>
      <c r="D214" s="19"/>
      <c r="E214" s="19"/>
      <c r="F214" s="19"/>
      <c r="G214" s="19"/>
      <c r="H214" s="19"/>
      <c r="I214" s="107"/>
      <c r="J214" s="11"/>
      <c r="K214" s="320"/>
      <c r="L214" s="24" t="s">
        <v>770</v>
      </c>
      <c r="M214" s="25" t="s">
        <v>1219</v>
      </c>
      <c r="N214" s="19" t="s">
        <v>28</v>
      </c>
      <c r="O214" s="19" t="s">
        <v>28</v>
      </c>
      <c r="P214" s="19" t="s">
        <v>17</v>
      </c>
      <c r="Q214" s="19" t="s">
        <v>28</v>
      </c>
      <c r="R214" s="19" t="s">
        <v>17</v>
      </c>
      <c r="S214" s="19" t="s">
        <v>28</v>
      </c>
      <c r="T214" s="321" t="s">
        <v>3477</v>
      </c>
      <c r="U214"/>
      <c r="V214" s="123"/>
    </row>
    <row r="215" spans="1:22" ht="34">
      <c r="A215" s="24" t="s">
        <v>1230</v>
      </c>
      <c r="B215" s="24" t="s">
        <v>1231</v>
      </c>
      <c r="C215" s="19" t="s">
        <v>1567</v>
      </c>
      <c r="D215" s="19" t="s">
        <v>1567</v>
      </c>
      <c r="E215" s="19" t="s">
        <v>1567</v>
      </c>
      <c r="F215" s="19" t="s">
        <v>21</v>
      </c>
      <c r="G215" s="19" t="s">
        <v>1567</v>
      </c>
      <c r="H215" s="19" t="s">
        <v>1567</v>
      </c>
      <c r="I215" s="107" t="s">
        <v>3478</v>
      </c>
      <c r="J215" s="11"/>
      <c r="K215" s="320"/>
      <c r="L215" s="24" t="s">
        <v>1225</v>
      </c>
      <c r="M215" s="25" t="s">
        <v>1226</v>
      </c>
      <c r="N215" s="19" t="s">
        <v>1567</v>
      </c>
      <c r="O215" s="19" t="s">
        <v>21</v>
      </c>
      <c r="P215" s="19" t="s">
        <v>1567</v>
      </c>
      <c r="Q215" s="19" t="s">
        <v>1567</v>
      </c>
      <c r="R215" s="19" t="s">
        <v>21</v>
      </c>
      <c r="S215" s="19" t="s">
        <v>21</v>
      </c>
      <c r="T215" s="321" t="s">
        <v>3479</v>
      </c>
      <c r="U215"/>
      <c r="V215" s="123"/>
    </row>
    <row r="216" spans="1:22">
      <c r="A216" s="24" t="s">
        <v>1237</v>
      </c>
      <c r="B216" s="24" t="s">
        <v>1238</v>
      </c>
      <c r="C216" s="19" t="s">
        <v>1562</v>
      </c>
      <c r="D216" s="19"/>
      <c r="E216" s="19"/>
      <c r="F216" s="19"/>
      <c r="G216" s="19"/>
      <c r="H216" s="19"/>
      <c r="I216" s="107"/>
      <c r="J216" s="11"/>
      <c r="K216" s="320"/>
      <c r="L216" s="24" t="s">
        <v>1232</v>
      </c>
      <c r="M216" s="25" t="s">
        <v>1233</v>
      </c>
      <c r="N216" s="19" t="s">
        <v>1567</v>
      </c>
      <c r="O216" s="19" t="s">
        <v>1567</v>
      </c>
      <c r="P216" s="19" t="s">
        <v>1567</v>
      </c>
      <c r="Q216" s="19" t="s">
        <v>1567</v>
      </c>
      <c r="R216" s="19" t="s">
        <v>1567</v>
      </c>
      <c r="S216" s="19" t="s">
        <v>1567</v>
      </c>
      <c r="T216" s="321" t="s">
        <v>3480</v>
      </c>
      <c r="U216"/>
      <c r="V216" s="123"/>
    </row>
    <row r="217" spans="1:22">
      <c r="A217" s="24" t="s">
        <v>1241</v>
      </c>
      <c r="B217" s="24" t="s">
        <v>1242</v>
      </c>
      <c r="C217" s="19" t="s">
        <v>21</v>
      </c>
      <c r="D217" s="19" t="s">
        <v>18</v>
      </c>
      <c r="E217" s="19" t="s">
        <v>1567</v>
      </c>
      <c r="F217" s="19" t="s">
        <v>1567</v>
      </c>
      <c r="G217" s="19" t="s">
        <v>1567</v>
      </c>
      <c r="H217" s="19" t="s">
        <v>1567</v>
      </c>
      <c r="I217" s="107" t="s">
        <v>3481</v>
      </c>
      <c r="J217" s="11"/>
      <c r="K217" s="320"/>
      <c r="L217" s="24" t="s">
        <v>1239</v>
      </c>
      <c r="M217" s="25" t="s">
        <v>1240</v>
      </c>
      <c r="N217" s="19" t="s">
        <v>21</v>
      </c>
      <c r="O217" s="19" t="s">
        <v>21</v>
      </c>
      <c r="P217" s="19" t="s">
        <v>21</v>
      </c>
      <c r="Q217" s="19" t="s">
        <v>21</v>
      </c>
      <c r="R217" s="19" t="s">
        <v>21</v>
      </c>
      <c r="S217" s="19" t="s">
        <v>21</v>
      </c>
      <c r="T217" s="321" t="s">
        <v>3482</v>
      </c>
      <c r="U217"/>
      <c r="V217" s="123"/>
    </row>
    <row r="218" spans="1:22" ht="34">
      <c r="A218" s="24" t="s">
        <v>1245</v>
      </c>
      <c r="B218" s="24" t="s">
        <v>1246</v>
      </c>
      <c r="C218" s="19" t="s">
        <v>28</v>
      </c>
      <c r="D218" s="19" t="s">
        <v>21</v>
      </c>
      <c r="E218" s="19" t="s">
        <v>21</v>
      </c>
      <c r="F218" s="19" t="s">
        <v>28</v>
      </c>
      <c r="G218" s="19" t="s">
        <v>28</v>
      </c>
      <c r="H218" s="19" t="s">
        <v>28</v>
      </c>
      <c r="I218" s="107" t="s">
        <v>3483</v>
      </c>
      <c r="J218" s="11"/>
      <c r="K218" s="320"/>
      <c r="L218" s="24" t="s">
        <v>1243</v>
      </c>
      <c r="M218" s="25" t="s">
        <v>1244</v>
      </c>
      <c r="N218" s="19" t="s">
        <v>1562</v>
      </c>
      <c r="O218" s="19"/>
      <c r="P218" s="19"/>
      <c r="Q218" s="19"/>
      <c r="R218" s="19"/>
      <c r="S218" s="19"/>
      <c r="T218" s="321"/>
      <c r="U218"/>
      <c r="V218" s="123"/>
    </row>
    <row r="219" spans="1:22" ht="51">
      <c r="A219" s="24" t="s">
        <v>1249</v>
      </c>
      <c r="B219" s="24" t="s">
        <v>1250</v>
      </c>
      <c r="C219" s="19" t="s">
        <v>18</v>
      </c>
      <c r="D219" s="19" t="s">
        <v>18</v>
      </c>
      <c r="E219" s="19" t="s">
        <v>1567</v>
      </c>
      <c r="F219" s="19" t="s">
        <v>1567</v>
      </c>
      <c r="G219" s="19" t="s">
        <v>18</v>
      </c>
      <c r="H219" s="19" t="s">
        <v>1567</v>
      </c>
      <c r="I219" s="107" t="s">
        <v>3484</v>
      </c>
      <c r="J219" s="11"/>
      <c r="K219" s="320"/>
      <c r="L219" s="24" t="s">
        <v>1247</v>
      </c>
      <c r="M219" s="25" t="s">
        <v>1248</v>
      </c>
      <c r="N219" s="19" t="s">
        <v>1661</v>
      </c>
      <c r="O219" s="19"/>
      <c r="P219" s="19"/>
      <c r="Q219" s="19"/>
      <c r="R219" s="19"/>
      <c r="S219" s="19"/>
      <c r="T219" s="321"/>
      <c r="U219"/>
      <c r="V219" s="123"/>
    </row>
    <row r="220" spans="1:22">
      <c r="A220" s="566" t="s">
        <v>1253</v>
      </c>
      <c r="B220" s="542"/>
      <c r="C220" s="566"/>
      <c r="D220" s="580"/>
      <c r="E220" s="580"/>
      <c r="F220" s="580"/>
      <c r="G220" s="580"/>
      <c r="H220" s="580"/>
      <c r="I220" s="566"/>
      <c r="J220" s="580"/>
      <c r="K220" s="320"/>
      <c r="L220" s="24" t="s">
        <v>1251</v>
      </c>
      <c r="M220" s="25" t="s">
        <v>1252</v>
      </c>
      <c r="N220" s="19" t="s">
        <v>18</v>
      </c>
      <c r="O220" s="19"/>
      <c r="P220" s="19"/>
      <c r="Q220" s="19"/>
      <c r="R220" s="19"/>
      <c r="S220" s="19"/>
      <c r="T220" s="321"/>
      <c r="U220"/>
      <c r="V220" s="123"/>
    </row>
    <row r="221" spans="1:22">
      <c r="A221" s="24" t="s">
        <v>4</v>
      </c>
      <c r="B221" s="94" t="s">
        <v>5</v>
      </c>
      <c r="C221" s="11"/>
      <c r="D221" s="11" t="s">
        <v>6</v>
      </c>
      <c r="E221" s="11" t="s">
        <v>7</v>
      </c>
      <c r="F221" s="11" t="s">
        <v>8</v>
      </c>
      <c r="G221" s="11" t="s">
        <v>9</v>
      </c>
      <c r="H221" s="11" t="s">
        <v>10</v>
      </c>
      <c r="I221" s="107" t="s">
        <v>11</v>
      </c>
      <c r="J221" s="11" t="s">
        <v>12</v>
      </c>
      <c r="K221" s="320"/>
      <c r="L221" s="24" t="s">
        <v>1254</v>
      </c>
      <c r="M221" s="25" t="s">
        <v>659</v>
      </c>
      <c r="N221" s="19" t="s">
        <v>18</v>
      </c>
      <c r="O221" s="19"/>
      <c r="P221" s="19"/>
      <c r="Q221" s="19"/>
      <c r="R221" s="19"/>
      <c r="S221" s="19"/>
      <c r="T221" s="321"/>
      <c r="U221"/>
      <c r="V221" s="123"/>
    </row>
    <row r="222" spans="1:22">
      <c r="A222" s="24" t="s">
        <v>1259</v>
      </c>
      <c r="B222" s="24" t="s">
        <v>1201</v>
      </c>
      <c r="C222" s="19"/>
      <c r="D222" s="19"/>
      <c r="E222" s="19"/>
      <c r="F222" s="19"/>
      <c r="G222" s="19"/>
      <c r="H222" s="19"/>
      <c r="I222" s="107"/>
      <c r="J222" s="11"/>
      <c r="K222" s="320"/>
      <c r="L222" s="24" t="s">
        <v>1255</v>
      </c>
      <c r="M222" s="25" t="s">
        <v>1256</v>
      </c>
      <c r="N222" s="19" t="s">
        <v>1562</v>
      </c>
      <c r="O222" s="19"/>
      <c r="P222" s="19"/>
      <c r="Q222" s="19"/>
      <c r="R222" s="19"/>
      <c r="S222" s="19"/>
      <c r="T222" s="321"/>
      <c r="U222"/>
      <c r="V222" s="123"/>
    </row>
    <row r="223" spans="1:22">
      <c r="A223" s="24" t="s">
        <v>1262</v>
      </c>
      <c r="B223" s="24" t="s">
        <v>1263</v>
      </c>
      <c r="C223" s="19"/>
      <c r="D223" s="19"/>
      <c r="E223" s="19"/>
      <c r="F223" s="19"/>
      <c r="G223" s="19"/>
      <c r="H223" s="19"/>
      <c r="I223" s="107"/>
      <c r="J223" s="11"/>
      <c r="K223" s="320"/>
      <c r="L223" s="24" t="s">
        <v>1257</v>
      </c>
      <c r="M223" s="25" t="s">
        <v>1258</v>
      </c>
      <c r="N223" s="19" t="s">
        <v>21</v>
      </c>
      <c r="O223" s="19" t="s">
        <v>21</v>
      </c>
      <c r="P223" s="19" t="s">
        <v>21</v>
      </c>
      <c r="Q223" s="19" t="s">
        <v>21</v>
      </c>
      <c r="R223" s="19" t="s">
        <v>21</v>
      </c>
      <c r="S223" s="19" t="s">
        <v>21</v>
      </c>
      <c r="T223" s="321" t="s">
        <v>3485</v>
      </c>
      <c r="U223"/>
      <c r="V223" s="123"/>
    </row>
    <row r="224" spans="1:22">
      <c r="A224" s="24" t="s">
        <v>1266</v>
      </c>
      <c r="B224" s="130" t="s">
        <v>1267</v>
      </c>
      <c r="C224" s="19"/>
      <c r="D224" s="19"/>
      <c r="E224" s="19"/>
      <c r="F224" s="19"/>
      <c r="G224" s="19"/>
      <c r="H224" s="19"/>
      <c r="I224" s="107"/>
      <c r="J224" s="11"/>
      <c r="K224" s="320"/>
      <c r="L224" s="24" t="s">
        <v>1260</v>
      </c>
      <c r="M224" s="25" t="s">
        <v>1261</v>
      </c>
      <c r="N224" s="19" t="s">
        <v>21</v>
      </c>
      <c r="O224" s="19" t="s">
        <v>21</v>
      </c>
      <c r="P224" s="19" t="s">
        <v>21</v>
      </c>
      <c r="Q224" s="19" t="s">
        <v>21</v>
      </c>
      <c r="R224" s="19" t="s">
        <v>21</v>
      </c>
      <c r="S224" s="19" t="s">
        <v>21</v>
      </c>
      <c r="T224" s="321" t="s">
        <v>3486</v>
      </c>
      <c r="U224"/>
      <c r="V224" s="123"/>
    </row>
    <row r="225" spans="1:22">
      <c r="A225" s="24" t="s">
        <v>1268</v>
      </c>
      <c r="B225" s="24" t="s">
        <v>1269</v>
      </c>
      <c r="C225" s="19"/>
      <c r="D225" s="19"/>
      <c r="E225" s="19"/>
      <c r="F225" s="19"/>
      <c r="G225" s="19"/>
      <c r="H225" s="19"/>
      <c r="I225" s="107"/>
      <c r="J225" s="11"/>
      <c r="K225" s="320"/>
      <c r="L225" s="24" t="s">
        <v>1264</v>
      </c>
      <c r="M225" s="25" t="s">
        <v>1265</v>
      </c>
      <c r="N225" s="19" t="s">
        <v>18</v>
      </c>
      <c r="O225" s="19"/>
      <c r="P225" s="19"/>
      <c r="Q225" s="19"/>
      <c r="R225" s="19"/>
      <c r="S225" s="19"/>
      <c r="T225" s="321"/>
      <c r="U225"/>
      <c r="V225" s="123"/>
    </row>
    <row r="226" spans="1:22">
      <c r="A226" s="24" t="s">
        <v>1271</v>
      </c>
      <c r="B226" s="24" t="s">
        <v>1272</v>
      </c>
      <c r="C226" s="19"/>
      <c r="D226" s="19"/>
      <c r="E226" s="19"/>
      <c r="F226" s="19"/>
      <c r="G226" s="19"/>
      <c r="H226" s="19"/>
      <c r="I226" s="107"/>
      <c r="J226" s="11"/>
      <c r="K226" s="320"/>
      <c r="L226" s="24" t="s">
        <v>583</v>
      </c>
      <c r="M226" s="25" t="s">
        <v>584</v>
      </c>
      <c r="N226" s="19" t="s">
        <v>28</v>
      </c>
      <c r="O226" s="19" t="s">
        <v>28</v>
      </c>
      <c r="P226" s="19" t="s">
        <v>28</v>
      </c>
      <c r="Q226" s="19" t="s">
        <v>28</v>
      </c>
      <c r="R226" s="19" t="s">
        <v>28</v>
      </c>
      <c r="S226" s="19" t="s">
        <v>28</v>
      </c>
      <c r="T226" s="321" t="s">
        <v>3487</v>
      </c>
      <c r="U226"/>
      <c r="V226" s="123"/>
    </row>
    <row r="227" spans="1:22">
      <c r="A227" s="24" t="s">
        <v>1273</v>
      </c>
      <c r="B227" s="130" t="s">
        <v>1274</v>
      </c>
      <c r="C227" s="19"/>
      <c r="D227" s="19"/>
      <c r="E227" s="19"/>
      <c r="F227" s="19"/>
      <c r="G227" s="19"/>
      <c r="H227" s="19"/>
      <c r="I227" s="107"/>
      <c r="J227" s="11"/>
      <c r="K227" s="320"/>
      <c r="L227" s="549" t="s">
        <v>1270</v>
      </c>
      <c r="M227" s="547"/>
      <c r="N227" s="608"/>
      <c r="O227" s="547"/>
      <c r="P227" s="547"/>
      <c r="Q227" s="547"/>
      <c r="R227" s="547"/>
      <c r="S227" s="547"/>
      <c r="T227" s="547"/>
      <c r="U227" s="547"/>
      <c r="V227" s="123"/>
    </row>
    <row r="228" spans="1:22">
      <c r="A228" s="24" t="s">
        <v>1275</v>
      </c>
      <c r="B228" s="24" t="s">
        <v>939</v>
      </c>
      <c r="C228" s="19"/>
      <c r="D228" s="19"/>
      <c r="E228" s="19"/>
      <c r="F228" s="19"/>
      <c r="G228" s="19"/>
      <c r="H228" s="19"/>
      <c r="I228" s="107"/>
      <c r="J228" s="11"/>
      <c r="K228" s="320"/>
      <c r="L228" s="547"/>
      <c r="M228" s="547"/>
      <c r="N228" s="608"/>
      <c r="O228" s="547"/>
      <c r="P228" s="547"/>
      <c r="Q228" s="547"/>
      <c r="R228" s="547"/>
      <c r="S228" s="547"/>
      <c r="T228" s="547"/>
      <c r="U228" s="547"/>
      <c r="V228" s="123"/>
    </row>
    <row r="229" spans="1:22">
      <c r="A229" s="24" t="s">
        <v>1278</v>
      </c>
      <c r="B229" s="24" t="s">
        <v>1279</v>
      </c>
      <c r="C229" s="19"/>
      <c r="D229" s="19"/>
      <c r="E229" s="19"/>
      <c r="F229" s="19"/>
      <c r="G229" s="19"/>
      <c r="H229" s="19"/>
      <c r="I229" s="107"/>
      <c r="J229" s="11"/>
      <c r="K229" s="320"/>
      <c r="L229" s="24" t="s">
        <v>1276</v>
      </c>
      <c r="M229" s="25" t="s">
        <v>1277</v>
      </c>
      <c r="N229" s="19" t="s">
        <v>18</v>
      </c>
      <c r="O229" s="19"/>
      <c r="P229" s="19"/>
      <c r="Q229" s="19"/>
      <c r="R229" s="19"/>
      <c r="S229" s="19"/>
      <c r="T229" s="321"/>
      <c r="U229"/>
      <c r="V229" s="123"/>
    </row>
    <row r="230" spans="1:22">
      <c r="A230" s="24" t="s">
        <v>1282</v>
      </c>
      <c r="B230" s="24" t="s">
        <v>1283</v>
      </c>
      <c r="C230" s="19"/>
      <c r="D230" s="19"/>
      <c r="E230" s="19"/>
      <c r="F230" s="19"/>
      <c r="G230" s="19"/>
      <c r="H230" s="19"/>
      <c r="I230" s="107"/>
      <c r="J230" s="11"/>
      <c r="K230" s="320"/>
      <c r="L230" s="24" t="s">
        <v>1280</v>
      </c>
      <c r="M230" s="25" t="s">
        <v>1281</v>
      </c>
      <c r="N230" s="19" t="s">
        <v>1562</v>
      </c>
      <c r="O230" s="19"/>
      <c r="P230" s="19"/>
      <c r="Q230" s="19"/>
      <c r="R230" s="19"/>
      <c r="S230" s="19"/>
      <c r="T230" s="321"/>
      <c r="U230"/>
      <c r="V230" s="123"/>
    </row>
    <row r="231" spans="1:22" ht="34">
      <c r="A231" s="24" t="s">
        <v>1284</v>
      </c>
      <c r="B231" s="24" t="s">
        <v>1285</v>
      </c>
      <c r="C231" s="19"/>
      <c r="D231" s="19"/>
      <c r="E231" s="19"/>
      <c r="F231" s="19"/>
      <c r="G231" s="19"/>
      <c r="H231" s="19"/>
      <c r="I231" s="107"/>
      <c r="J231" s="11"/>
      <c r="K231" s="320"/>
      <c r="L231" s="24" t="s">
        <v>893</v>
      </c>
      <c r="M231" s="25" t="s">
        <v>894</v>
      </c>
      <c r="N231" s="19" t="s">
        <v>17</v>
      </c>
      <c r="O231" s="19" t="s">
        <v>28</v>
      </c>
      <c r="P231" s="19" t="s">
        <v>21</v>
      </c>
      <c r="Q231" s="19" t="s">
        <v>28</v>
      </c>
      <c r="R231" s="19" t="s">
        <v>28</v>
      </c>
      <c r="S231" s="19" t="s">
        <v>28</v>
      </c>
      <c r="T231" s="321" t="s">
        <v>3488</v>
      </c>
      <c r="U231"/>
      <c r="V231" s="123"/>
    </row>
    <row r="232" spans="1:22">
      <c r="A232" s="24" t="s">
        <v>1288</v>
      </c>
      <c r="B232" s="130" t="s">
        <v>1129</v>
      </c>
      <c r="C232" s="19"/>
      <c r="D232" s="19"/>
      <c r="E232" s="19"/>
      <c r="F232" s="19"/>
      <c r="G232" s="19"/>
      <c r="H232" s="19"/>
      <c r="I232" s="107"/>
      <c r="J232" s="11"/>
      <c r="K232" s="320"/>
      <c r="L232" s="24" t="s">
        <v>1286</v>
      </c>
      <c r="M232" s="25" t="s">
        <v>1287</v>
      </c>
      <c r="N232" s="19" t="s">
        <v>18</v>
      </c>
      <c r="O232" s="19"/>
      <c r="P232" s="19"/>
      <c r="Q232" s="19"/>
      <c r="R232" s="19"/>
      <c r="S232" s="19"/>
      <c r="T232" s="321"/>
      <c r="U232"/>
      <c r="V232" s="123"/>
    </row>
    <row r="233" spans="1:22">
      <c r="A233" s="24" t="s">
        <v>1290</v>
      </c>
      <c r="B233" s="130" t="s">
        <v>1158</v>
      </c>
      <c r="C233" s="19"/>
      <c r="D233" s="19"/>
      <c r="E233" s="19"/>
      <c r="F233" s="19"/>
      <c r="G233" s="19"/>
      <c r="H233" s="19"/>
      <c r="I233" s="107"/>
      <c r="J233" s="11"/>
      <c r="K233" s="320"/>
      <c r="L233" s="24" t="s">
        <v>1289</v>
      </c>
      <c r="M233" s="25" t="s">
        <v>598</v>
      </c>
      <c r="N233" s="19" t="s">
        <v>18</v>
      </c>
      <c r="O233" s="19"/>
      <c r="P233" s="19"/>
      <c r="Q233" s="19"/>
      <c r="R233" s="19"/>
      <c r="S233" s="19"/>
      <c r="T233" s="321"/>
      <c r="U233"/>
      <c r="V233" s="123"/>
    </row>
    <row r="234" spans="1:22" ht="34">
      <c r="A234" s="24" t="s">
        <v>1292</v>
      </c>
      <c r="B234" s="130" t="s">
        <v>1293</v>
      </c>
      <c r="C234" s="19"/>
      <c r="D234" s="19"/>
      <c r="E234" s="19"/>
      <c r="F234" s="19"/>
      <c r="G234" s="19"/>
      <c r="H234" s="19"/>
      <c r="I234" s="107"/>
      <c r="J234" s="11"/>
      <c r="K234" s="320"/>
      <c r="L234" s="24" t="s">
        <v>955</v>
      </c>
      <c r="M234" s="25" t="s">
        <v>1291</v>
      </c>
      <c r="N234" s="19" t="s">
        <v>21</v>
      </c>
      <c r="O234" s="19" t="s">
        <v>21</v>
      </c>
      <c r="P234" s="19" t="s">
        <v>21</v>
      </c>
      <c r="Q234" s="19" t="s">
        <v>21</v>
      </c>
      <c r="R234" s="19" t="s">
        <v>21</v>
      </c>
      <c r="S234" s="19" t="s">
        <v>21</v>
      </c>
      <c r="T234" s="321" t="s">
        <v>3489</v>
      </c>
      <c r="U234"/>
      <c r="V234" s="123"/>
    </row>
    <row r="235" spans="1:22" ht="34">
      <c r="A235" s="24" t="s">
        <v>1294</v>
      </c>
      <c r="B235" s="130" t="s">
        <v>1295</v>
      </c>
      <c r="C235" s="19"/>
      <c r="D235" s="19"/>
      <c r="E235" s="19"/>
      <c r="F235" s="19"/>
      <c r="G235" s="19"/>
      <c r="H235" s="19"/>
      <c r="I235" s="107"/>
      <c r="J235" s="11"/>
      <c r="K235" s="320"/>
      <c r="L235" s="24" t="s">
        <v>936</v>
      </c>
      <c r="M235" s="25" t="s">
        <v>33</v>
      </c>
      <c r="N235" s="19" t="s">
        <v>28</v>
      </c>
      <c r="O235" s="19" t="s">
        <v>28</v>
      </c>
      <c r="P235" s="19" t="s">
        <v>28</v>
      </c>
      <c r="Q235" s="19" t="s">
        <v>28</v>
      </c>
      <c r="R235" s="19" t="s">
        <v>28</v>
      </c>
      <c r="S235" s="19" t="s">
        <v>28</v>
      </c>
      <c r="T235" s="321" t="s">
        <v>3490</v>
      </c>
      <c r="U235"/>
      <c r="V235" s="123"/>
    </row>
    <row r="236" spans="1:22">
      <c r="A236" s="24" t="s">
        <v>1297</v>
      </c>
      <c r="B236" s="24" t="s">
        <v>1298</v>
      </c>
      <c r="C236" s="19"/>
      <c r="D236" s="19"/>
      <c r="E236" s="19"/>
      <c r="F236" s="19"/>
      <c r="G236" s="19"/>
      <c r="H236" s="19"/>
      <c r="I236" s="107"/>
      <c r="J236" s="11"/>
      <c r="K236" s="320"/>
      <c r="L236" s="24" t="s">
        <v>1296</v>
      </c>
      <c r="M236" s="25" t="s">
        <v>501</v>
      </c>
      <c r="N236" s="19" t="s">
        <v>21</v>
      </c>
      <c r="O236" s="19" t="s">
        <v>21</v>
      </c>
      <c r="P236" s="19" t="s">
        <v>1567</v>
      </c>
      <c r="Q236" s="19" t="s">
        <v>1567</v>
      </c>
      <c r="R236" s="19" t="s">
        <v>1567</v>
      </c>
      <c r="S236" s="19" t="s">
        <v>1567</v>
      </c>
      <c r="T236" s="321" t="s">
        <v>3491</v>
      </c>
      <c r="U236"/>
      <c r="V236" s="123"/>
    </row>
    <row r="237" spans="1:22">
      <c r="A237" s="24" t="s">
        <v>1301</v>
      </c>
      <c r="B237" s="24" t="s">
        <v>1302</v>
      </c>
      <c r="C237" s="19"/>
      <c r="D237" s="19"/>
      <c r="E237" s="19"/>
      <c r="F237" s="19"/>
      <c r="G237" s="19"/>
      <c r="H237" s="19"/>
      <c r="I237" s="107"/>
      <c r="J237" s="11"/>
      <c r="K237" s="320"/>
      <c r="L237" s="24" t="s">
        <v>1299</v>
      </c>
      <c r="M237" s="25" t="s">
        <v>1300</v>
      </c>
      <c r="N237" s="19" t="s">
        <v>1562</v>
      </c>
      <c r="O237" s="19"/>
      <c r="P237" s="19"/>
      <c r="Q237" s="19"/>
      <c r="R237" s="19"/>
      <c r="S237" s="19"/>
      <c r="T237" s="321"/>
      <c r="U237"/>
      <c r="V237" s="123"/>
    </row>
    <row r="238" spans="1:22">
      <c r="A238" s="24" t="s">
        <v>1305</v>
      </c>
      <c r="B238" s="24" t="s">
        <v>1306</v>
      </c>
      <c r="C238" s="19"/>
      <c r="D238" s="19"/>
      <c r="E238" s="19"/>
      <c r="F238" s="19"/>
      <c r="G238" s="19"/>
      <c r="H238" s="19"/>
      <c r="I238" s="107"/>
      <c r="J238" s="11"/>
      <c r="K238" s="320"/>
      <c r="L238" s="24" t="s">
        <v>1303</v>
      </c>
      <c r="M238" s="25" t="s">
        <v>1304</v>
      </c>
      <c r="N238" s="19" t="s">
        <v>18</v>
      </c>
      <c r="O238" s="19"/>
      <c r="P238" s="19"/>
      <c r="Q238" s="19"/>
      <c r="R238" s="19"/>
      <c r="S238" s="19"/>
      <c r="T238" s="321"/>
      <c r="U238"/>
      <c r="V238" s="123"/>
    </row>
    <row r="239" spans="1:22" ht="34">
      <c r="A239" s="24" t="s">
        <v>1307</v>
      </c>
      <c r="B239" s="24" t="s">
        <v>1308</v>
      </c>
      <c r="C239" s="19"/>
      <c r="D239" s="19"/>
      <c r="E239" s="19"/>
      <c r="F239" s="19"/>
      <c r="G239" s="19"/>
      <c r="H239" s="19"/>
      <c r="I239" s="107"/>
      <c r="J239" s="11"/>
      <c r="K239" s="320"/>
      <c r="L239" s="24" t="s">
        <v>948</v>
      </c>
      <c r="M239" s="25" t="s">
        <v>949</v>
      </c>
      <c r="N239" s="19" t="s">
        <v>21</v>
      </c>
      <c r="O239" s="19" t="s">
        <v>21</v>
      </c>
      <c r="P239" s="19" t="s">
        <v>21</v>
      </c>
      <c r="Q239" s="19" t="s">
        <v>21</v>
      </c>
      <c r="R239" s="19" t="s">
        <v>21</v>
      </c>
      <c r="S239" s="19" t="s">
        <v>21</v>
      </c>
      <c r="T239" s="321" t="s">
        <v>3492</v>
      </c>
      <c r="U239"/>
      <c r="V239" s="123"/>
    </row>
    <row r="240" spans="1:22">
      <c r="A240" s="24" t="s">
        <v>1310</v>
      </c>
      <c r="B240" s="24" t="s">
        <v>1085</v>
      </c>
      <c r="C240" s="19"/>
      <c r="D240" s="19"/>
      <c r="E240" s="19"/>
      <c r="F240" s="19"/>
      <c r="G240" s="19"/>
      <c r="H240" s="19"/>
      <c r="I240" s="107"/>
      <c r="J240" s="11"/>
      <c r="K240" s="320"/>
      <c r="L240" s="24" t="s">
        <v>1309</v>
      </c>
      <c r="M240" s="25" t="s">
        <v>291</v>
      </c>
      <c r="N240" s="19" t="s">
        <v>1567</v>
      </c>
      <c r="O240" s="19" t="s">
        <v>1567</v>
      </c>
      <c r="P240" s="19" t="s">
        <v>1567</v>
      </c>
      <c r="Q240" s="19" t="s">
        <v>1567</v>
      </c>
      <c r="R240" s="19" t="s">
        <v>21</v>
      </c>
      <c r="S240" s="19" t="s">
        <v>1567</v>
      </c>
      <c r="T240" s="321" t="s">
        <v>3493</v>
      </c>
      <c r="U240"/>
      <c r="V240" s="123"/>
    </row>
    <row r="241" spans="1:22" ht="34">
      <c r="A241" s="24" t="s">
        <v>1313</v>
      </c>
      <c r="B241" s="24" t="s">
        <v>1314</v>
      </c>
      <c r="C241" s="19"/>
      <c r="D241" s="19"/>
      <c r="E241" s="19"/>
      <c r="F241" s="19"/>
      <c r="G241" s="19"/>
      <c r="H241" s="19"/>
      <c r="I241" s="107"/>
      <c r="J241" s="11"/>
      <c r="K241" s="320"/>
      <c r="L241" s="24" t="s">
        <v>1311</v>
      </c>
      <c r="M241" s="25" t="s">
        <v>1312</v>
      </c>
      <c r="N241" s="19" t="s">
        <v>1567</v>
      </c>
      <c r="O241" s="19" t="s">
        <v>21</v>
      </c>
      <c r="P241" s="19" t="s">
        <v>21</v>
      </c>
      <c r="Q241" s="19" t="s">
        <v>21</v>
      </c>
      <c r="R241" s="19" t="s">
        <v>21</v>
      </c>
      <c r="S241" s="19" t="s">
        <v>21</v>
      </c>
      <c r="T241" s="321" t="s">
        <v>3494</v>
      </c>
      <c r="U241"/>
      <c r="V241" s="123"/>
    </row>
    <row r="242" spans="1:22" ht="34">
      <c r="A242" s="24" t="s">
        <v>1315</v>
      </c>
      <c r="B242" s="24" t="s">
        <v>1316</v>
      </c>
      <c r="C242" s="19"/>
      <c r="D242" s="19"/>
      <c r="E242" s="19"/>
      <c r="F242" s="19"/>
      <c r="G242" s="19"/>
      <c r="H242" s="19"/>
      <c r="I242" s="107"/>
      <c r="J242" s="11"/>
      <c r="K242" s="320"/>
      <c r="L242" s="24" t="s">
        <v>1021</v>
      </c>
      <c r="M242" s="25" t="s">
        <v>1022</v>
      </c>
      <c r="N242" s="19" t="s">
        <v>17</v>
      </c>
      <c r="O242" s="19" t="s">
        <v>28</v>
      </c>
      <c r="P242" s="19" t="s">
        <v>28</v>
      </c>
      <c r="Q242" s="19" t="s">
        <v>17</v>
      </c>
      <c r="R242" s="19" t="s">
        <v>17</v>
      </c>
      <c r="S242" s="19" t="s">
        <v>17</v>
      </c>
      <c r="T242" s="321" t="s">
        <v>3495</v>
      </c>
      <c r="U242"/>
      <c r="V242" s="123"/>
    </row>
    <row r="243" spans="1:22" ht="34">
      <c r="A243" s="24" t="s">
        <v>1319</v>
      </c>
      <c r="B243" s="24" t="s">
        <v>1320</v>
      </c>
      <c r="C243" s="19"/>
      <c r="D243" s="19"/>
      <c r="E243" s="19"/>
      <c r="F243" s="19"/>
      <c r="G243" s="19"/>
      <c r="H243" s="19"/>
      <c r="I243" s="107"/>
      <c r="J243" s="11"/>
      <c r="K243" s="320"/>
      <c r="L243" s="24" t="s">
        <v>1317</v>
      </c>
      <c r="M243" s="25" t="s">
        <v>1318</v>
      </c>
      <c r="N243" s="19" t="s">
        <v>1567</v>
      </c>
      <c r="O243" s="19" t="s">
        <v>28</v>
      </c>
      <c r="P243" s="19" t="s">
        <v>28</v>
      </c>
      <c r="Q243" s="19" t="s">
        <v>28</v>
      </c>
      <c r="R243" s="19" t="s">
        <v>28</v>
      </c>
      <c r="S243" s="19" t="s">
        <v>28</v>
      </c>
      <c r="T243" s="321" t="s">
        <v>3496</v>
      </c>
      <c r="U243"/>
      <c r="V243" s="123"/>
    </row>
    <row r="244" spans="1:22">
      <c r="A244" s="24" t="s">
        <v>1323</v>
      </c>
      <c r="B244" s="24" t="s">
        <v>1079</v>
      </c>
      <c r="C244" s="19"/>
      <c r="D244" s="19"/>
      <c r="E244" s="19"/>
      <c r="F244" s="19"/>
      <c r="G244" s="19"/>
      <c r="H244" s="19"/>
      <c r="I244" s="107"/>
      <c r="J244" s="11"/>
      <c r="K244" s="320"/>
      <c r="L244" s="24" t="s">
        <v>1321</v>
      </c>
      <c r="M244" s="25" t="s">
        <v>1322</v>
      </c>
      <c r="N244" s="19" t="s">
        <v>1562</v>
      </c>
      <c r="O244" s="19"/>
      <c r="P244" s="19"/>
      <c r="Q244" s="19"/>
      <c r="R244" s="19"/>
      <c r="S244" s="19"/>
      <c r="T244" s="321"/>
      <c r="U244"/>
      <c r="V244" s="123"/>
    </row>
    <row r="245" spans="1:22" ht="34">
      <c r="A245" s="24" t="s">
        <v>1324</v>
      </c>
      <c r="B245" s="130" t="s">
        <v>1091</v>
      </c>
      <c r="C245" s="19"/>
      <c r="D245" s="19"/>
      <c r="E245" s="19"/>
      <c r="F245" s="19"/>
      <c r="G245" s="19"/>
      <c r="H245" s="19"/>
      <c r="I245" s="107"/>
      <c r="J245" s="11"/>
      <c r="K245" s="320"/>
      <c r="L245" s="24" t="s">
        <v>1000</v>
      </c>
      <c r="M245" s="25" t="s">
        <v>1001</v>
      </c>
      <c r="N245" s="19" t="s">
        <v>28</v>
      </c>
      <c r="O245" s="19" t="s">
        <v>28</v>
      </c>
      <c r="P245" s="19" t="s">
        <v>28</v>
      </c>
      <c r="Q245" s="19" t="s">
        <v>28</v>
      </c>
      <c r="R245" s="19" t="s">
        <v>28</v>
      </c>
      <c r="S245" s="19" t="s">
        <v>28</v>
      </c>
      <c r="T245" s="321" t="s">
        <v>3497</v>
      </c>
      <c r="U245"/>
      <c r="V245" s="123"/>
    </row>
    <row r="246" spans="1:22">
      <c r="A246" s="24" t="s">
        <v>1327</v>
      </c>
      <c r="B246" s="24" t="s">
        <v>726</v>
      </c>
      <c r="C246" s="19"/>
      <c r="D246" s="19"/>
      <c r="E246" s="19"/>
      <c r="F246" s="19"/>
      <c r="G246" s="19"/>
      <c r="H246" s="19"/>
      <c r="I246" s="107"/>
      <c r="J246" s="11"/>
      <c r="K246" s="320"/>
      <c r="L246" s="24" t="s">
        <v>1325</v>
      </c>
      <c r="M246" s="25" t="s">
        <v>1326</v>
      </c>
      <c r="N246" s="19" t="s">
        <v>1574</v>
      </c>
      <c r="O246" s="19"/>
      <c r="P246" s="19"/>
      <c r="Q246" s="19"/>
      <c r="R246" s="19"/>
      <c r="S246" s="19"/>
      <c r="T246" s="321"/>
      <c r="U246"/>
      <c r="V246" s="123"/>
    </row>
    <row r="247" spans="1:22">
      <c r="A247" s="24" t="s">
        <v>1330</v>
      </c>
      <c r="B247" s="24" t="s">
        <v>1102</v>
      </c>
      <c r="C247" s="19"/>
      <c r="D247" s="19"/>
      <c r="E247" s="19"/>
      <c r="F247" s="19"/>
      <c r="G247" s="19"/>
      <c r="H247" s="19"/>
      <c r="I247" s="107"/>
      <c r="J247" s="11"/>
      <c r="K247" s="320"/>
      <c r="L247" s="24" t="s">
        <v>1328</v>
      </c>
      <c r="M247" s="25" t="s">
        <v>1329</v>
      </c>
      <c r="N247" s="19" t="s">
        <v>1567</v>
      </c>
      <c r="O247" s="19" t="s">
        <v>28</v>
      </c>
      <c r="P247" s="19" t="s">
        <v>21</v>
      </c>
      <c r="Q247" s="19" t="s">
        <v>21</v>
      </c>
      <c r="R247" s="19" t="s">
        <v>21</v>
      </c>
      <c r="S247" s="19" t="s">
        <v>21</v>
      </c>
      <c r="T247" s="321" t="s">
        <v>3498</v>
      </c>
      <c r="U247"/>
      <c r="V247" s="123"/>
    </row>
    <row r="248" spans="1:22" ht="34">
      <c r="A248" s="24" t="s">
        <v>1331</v>
      </c>
      <c r="B248" s="24" t="s">
        <v>1332</v>
      </c>
      <c r="C248" s="19"/>
      <c r="D248" s="19"/>
      <c r="E248" s="19"/>
      <c r="F248" s="19"/>
      <c r="G248" s="19"/>
      <c r="H248" s="19"/>
      <c r="I248" s="107"/>
      <c r="J248" s="11"/>
      <c r="K248" s="320"/>
      <c r="L248" s="24" t="s">
        <v>988</v>
      </c>
      <c r="M248" s="25" t="s">
        <v>989</v>
      </c>
      <c r="N248" s="19" t="s">
        <v>28</v>
      </c>
      <c r="O248" s="19" t="s">
        <v>17</v>
      </c>
      <c r="P248" s="19" t="s">
        <v>17</v>
      </c>
      <c r="Q248" s="19" t="s">
        <v>28</v>
      </c>
      <c r="R248" s="19" t="s">
        <v>17</v>
      </c>
      <c r="S248" s="19" t="s">
        <v>17</v>
      </c>
      <c r="T248" s="321" t="s">
        <v>3499</v>
      </c>
      <c r="U248"/>
      <c r="V248" s="123"/>
    </row>
    <row r="249" spans="1:22">
      <c r="A249" s="24" t="s">
        <v>1336</v>
      </c>
      <c r="B249" s="24" t="s">
        <v>1168</v>
      </c>
      <c r="C249" s="19"/>
      <c r="D249" s="19"/>
      <c r="E249" s="19"/>
      <c r="F249" s="19"/>
      <c r="G249" s="19"/>
      <c r="H249" s="19"/>
      <c r="I249" s="107"/>
      <c r="J249" s="11"/>
      <c r="K249" s="320"/>
      <c r="L249" s="24" t="s">
        <v>1333</v>
      </c>
      <c r="M249" s="25" t="s">
        <v>1334</v>
      </c>
      <c r="N249" s="19" t="s">
        <v>1574</v>
      </c>
      <c r="O249" s="19"/>
      <c r="P249" s="19"/>
      <c r="Q249" s="19"/>
      <c r="R249" s="19"/>
      <c r="S249" s="19"/>
      <c r="T249" s="321"/>
      <c r="U249"/>
      <c r="V249" s="123"/>
    </row>
    <row r="250" spans="1:22">
      <c r="A250" s="24" t="s">
        <v>1339</v>
      </c>
      <c r="B250" s="130" t="s">
        <v>1340</v>
      </c>
      <c r="C250" s="19"/>
      <c r="D250" s="19"/>
      <c r="E250" s="19"/>
      <c r="F250" s="19"/>
      <c r="G250" s="19"/>
      <c r="H250" s="19"/>
      <c r="I250" s="107"/>
      <c r="J250" s="11"/>
      <c r="K250" s="320"/>
      <c r="L250" s="24" t="s">
        <v>1337</v>
      </c>
      <c r="M250" s="25" t="s">
        <v>1338</v>
      </c>
      <c r="N250" s="19" t="s">
        <v>18</v>
      </c>
      <c r="O250" s="19"/>
      <c r="P250" s="19"/>
      <c r="Q250" s="19"/>
      <c r="R250" s="19"/>
      <c r="S250" s="19"/>
      <c r="T250" s="321"/>
      <c r="U250"/>
      <c r="V250" s="123"/>
    </row>
    <row r="251" spans="1:22">
      <c r="A251" s="24" t="s">
        <v>1343</v>
      </c>
      <c r="B251" s="24" t="s">
        <v>1063</v>
      </c>
      <c r="C251" s="19"/>
      <c r="D251" s="19"/>
      <c r="E251" s="19"/>
      <c r="F251" s="19"/>
      <c r="G251" s="19"/>
      <c r="H251" s="19"/>
      <c r="I251" s="107"/>
      <c r="J251" s="11"/>
      <c r="K251" s="320"/>
      <c r="L251" s="24" t="s">
        <v>1341</v>
      </c>
      <c r="M251" s="25" t="s">
        <v>1342</v>
      </c>
      <c r="N251" s="19" t="s">
        <v>21</v>
      </c>
      <c r="O251" s="19" t="s">
        <v>21</v>
      </c>
      <c r="P251" s="19" t="s">
        <v>21</v>
      </c>
      <c r="Q251" s="19" t="s">
        <v>1567</v>
      </c>
      <c r="R251" s="19" t="s">
        <v>21</v>
      </c>
      <c r="S251" s="19" t="s">
        <v>21</v>
      </c>
      <c r="T251" s="321" t="s">
        <v>3500</v>
      </c>
      <c r="U251"/>
      <c r="V251" s="123"/>
    </row>
    <row r="252" spans="1:22">
      <c r="A252" s="24" t="s">
        <v>1346</v>
      </c>
      <c r="B252" s="24" t="s">
        <v>1347</v>
      </c>
      <c r="C252" s="19"/>
      <c r="D252" s="19"/>
      <c r="E252" s="19"/>
      <c r="F252" s="19"/>
      <c r="G252" s="19"/>
      <c r="H252" s="19"/>
      <c r="I252" s="107"/>
      <c r="J252" s="11"/>
      <c r="K252" s="320"/>
      <c r="L252" s="24" t="s">
        <v>1344</v>
      </c>
      <c r="M252" s="25" t="s">
        <v>1345</v>
      </c>
      <c r="N252" s="19" t="s">
        <v>1567</v>
      </c>
      <c r="O252" s="19" t="s">
        <v>1567</v>
      </c>
      <c r="P252" s="19" t="s">
        <v>1567</v>
      </c>
      <c r="Q252" s="19" t="s">
        <v>1567</v>
      </c>
      <c r="R252" s="19" t="s">
        <v>1567</v>
      </c>
      <c r="S252" s="19" t="s">
        <v>1567</v>
      </c>
      <c r="T252" s="321" t="s">
        <v>3501</v>
      </c>
      <c r="U252"/>
      <c r="V252" s="123"/>
    </row>
    <row r="253" spans="1:22">
      <c r="A253" s="24" t="s">
        <v>1350</v>
      </c>
      <c r="B253" s="24" t="s">
        <v>601</v>
      </c>
      <c r="C253" s="19"/>
      <c r="D253" s="19"/>
      <c r="E253" s="19"/>
      <c r="F253" s="19"/>
      <c r="G253" s="19"/>
      <c r="H253" s="19"/>
      <c r="I253" s="107"/>
      <c r="J253" s="11"/>
      <c r="K253" s="320"/>
      <c r="L253" s="24" t="s">
        <v>1348</v>
      </c>
      <c r="M253" s="25" t="s">
        <v>1349</v>
      </c>
      <c r="N253" s="19" t="s">
        <v>21</v>
      </c>
      <c r="O253" s="19" t="s">
        <v>1567</v>
      </c>
      <c r="P253" s="19" t="s">
        <v>1567</v>
      </c>
      <c r="Q253" s="19" t="s">
        <v>1567</v>
      </c>
      <c r="R253" s="19" t="s">
        <v>1567</v>
      </c>
      <c r="S253" s="19" t="s">
        <v>1567</v>
      </c>
      <c r="T253" s="321" t="s">
        <v>3502</v>
      </c>
      <c r="U253"/>
      <c r="V253" s="123"/>
    </row>
    <row r="254" spans="1:22" ht="34">
      <c r="A254" s="24" t="s">
        <v>1351</v>
      </c>
      <c r="B254" s="24" t="s">
        <v>1352</v>
      </c>
      <c r="C254" s="19"/>
      <c r="D254" s="19"/>
      <c r="E254" s="19"/>
      <c r="F254" s="19"/>
      <c r="G254" s="19"/>
      <c r="H254" s="19"/>
      <c r="I254" s="107"/>
      <c r="J254" s="11"/>
      <c r="K254" s="320"/>
      <c r="L254" s="24" t="s">
        <v>927</v>
      </c>
      <c r="M254" s="25" t="s">
        <v>928</v>
      </c>
      <c r="N254" s="19" t="s">
        <v>21</v>
      </c>
      <c r="O254" s="19" t="s">
        <v>21</v>
      </c>
      <c r="P254" s="19" t="s">
        <v>28</v>
      </c>
      <c r="Q254" s="19" t="s">
        <v>21</v>
      </c>
      <c r="R254" s="19" t="s">
        <v>28</v>
      </c>
      <c r="S254" s="19" t="s">
        <v>28</v>
      </c>
      <c r="T254" s="321" t="s">
        <v>3503</v>
      </c>
      <c r="U254"/>
      <c r="V254" s="123"/>
    </row>
    <row r="255" spans="1:22">
      <c r="A255" s="24" t="s">
        <v>1355</v>
      </c>
      <c r="B255" s="24" t="s">
        <v>1356</v>
      </c>
      <c r="C255" s="19"/>
      <c r="D255" s="19"/>
      <c r="E255" s="19"/>
      <c r="F255" s="19"/>
      <c r="G255" s="19"/>
      <c r="H255" s="19"/>
      <c r="I255" s="107"/>
      <c r="J255" s="11"/>
      <c r="K255" s="320"/>
      <c r="L255" s="24" t="s">
        <v>1353</v>
      </c>
      <c r="M255" s="25" t="s">
        <v>1354</v>
      </c>
      <c r="N255" s="19" t="s">
        <v>18</v>
      </c>
      <c r="O255" s="19"/>
      <c r="P255" s="19"/>
      <c r="Q255" s="19"/>
      <c r="R255" s="19"/>
      <c r="S255" s="19"/>
      <c r="T255" s="321"/>
      <c r="U255"/>
      <c r="V255" s="123"/>
    </row>
    <row r="256" spans="1:22">
      <c r="A256" s="24" t="s">
        <v>1357</v>
      </c>
      <c r="B256" s="24" t="s">
        <v>1358</v>
      </c>
      <c r="C256" s="19"/>
      <c r="D256" s="19"/>
      <c r="E256" s="19"/>
      <c r="F256" s="19"/>
      <c r="G256" s="19"/>
      <c r="H256" s="19"/>
      <c r="I256" s="107"/>
      <c r="J256" s="11"/>
      <c r="K256" s="320"/>
      <c r="L256" s="24" t="s">
        <v>886</v>
      </c>
      <c r="M256" s="25" t="s">
        <v>887</v>
      </c>
      <c r="N256" s="19" t="s">
        <v>28</v>
      </c>
      <c r="O256" s="19" t="s">
        <v>28</v>
      </c>
      <c r="P256" s="19" t="s">
        <v>28</v>
      </c>
      <c r="Q256" s="19" t="s">
        <v>28</v>
      </c>
      <c r="R256" s="19" t="s">
        <v>28</v>
      </c>
      <c r="S256" s="19" t="s">
        <v>28</v>
      </c>
      <c r="T256" s="321" t="s">
        <v>3504</v>
      </c>
      <c r="U256"/>
      <c r="V256" s="123"/>
    </row>
    <row r="257" spans="1:22">
      <c r="A257" s="24" t="s">
        <v>1361</v>
      </c>
      <c r="B257" s="130" t="s">
        <v>1097</v>
      </c>
      <c r="C257" s="19"/>
      <c r="D257" s="19"/>
      <c r="E257" s="19"/>
      <c r="F257" s="19"/>
      <c r="G257" s="19"/>
      <c r="H257" s="19"/>
      <c r="I257" s="107"/>
      <c r="J257" s="11"/>
      <c r="K257" s="320"/>
      <c r="L257" s="24" t="s">
        <v>1359</v>
      </c>
      <c r="M257" s="25" t="s">
        <v>1360</v>
      </c>
      <c r="N257" s="19" t="s">
        <v>17</v>
      </c>
      <c r="O257" s="19" t="s">
        <v>21</v>
      </c>
      <c r="P257" s="19" t="s">
        <v>21</v>
      </c>
      <c r="Q257" s="19" t="s">
        <v>21</v>
      </c>
      <c r="R257" s="19" t="s">
        <v>21</v>
      </c>
      <c r="S257" s="19" t="s">
        <v>21</v>
      </c>
      <c r="T257" s="321" t="s">
        <v>3505</v>
      </c>
      <c r="U257"/>
      <c r="V257" s="123"/>
    </row>
    <row r="258" spans="1:22">
      <c r="A258" s="24" t="s">
        <v>1364</v>
      </c>
      <c r="B258" s="24" t="s">
        <v>1117</v>
      </c>
      <c r="C258" s="19"/>
      <c r="D258" s="19"/>
      <c r="E258" s="19"/>
      <c r="F258" s="19"/>
      <c r="G258" s="19"/>
      <c r="H258" s="19"/>
      <c r="I258" s="107"/>
      <c r="J258" s="11"/>
      <c r="K258" s="320"/>
      <c r="L258" s="24" t="s">
        <v>1362</v>
      </c>
      <c r="M258" s="25" t="s">
        <v>1363</v>
      </c>
      <c r="N258" s="19" t="s">
        <v>18</v>
      </c>
      <c r="O258" s="19"/>
      <c r="P258" s="19"/>
      <c r="Q258" s="19"/>
      <c r="R258" s="19"/>
      <c r="S258" s="19"/>
      <c r="T258" s="321"/>
      <c r="U258"/>
      <c r="V258" s="123"/>
    </row>
    <row r="259" spans="1:22">
      <c r="A259" s="24" t="s">
        <v>1367</v>
      </c>
      <c r="B259" s="24" t="s">
        <v>1368</v>
      </c>
      <c r="C259" s="19"/>
      <c r="D259" s="19"/>
      <c r="E259" s="19"/>
      <c r="F259" s="19"/>
      <c r="G259" s="19"/>
      <c r="H259" s="19"/>
      <c r="I259" s="107"/>
      <c r="J259" s="11"/>
      <c r="K259" s="320"/>
      <c r="L259" s="24" t="s">
        <v>1365</v>
      </c>
      <c r="M259" s="25" t="s">
        <v>1366</v>
      </c>
      <c r="N259" s="19" t="s">
        <v>18</v>
      </c>
      <c r="O259" s="19"/>
      <c r="P259" s="19"/>
      <c r="Q259" s="19"/>
      <c r="R259" s="19"/>
      <c r="S259" s="19"/>
      <c r="T259" s="321"/>
      <c r="U259"/>
      <c r="V259" s="123"/>
    </row>
    <row r="260" spans="1:22" ht="34">
      <c r="A260" s="24" t="s">
        <v>1369</v>
      </c>
      <c r="B260" s="24" t="s">
        <v>1370</v>
      </c>
      <c r="C260" s="19"/>
      <c r="D260" s="19"/>
      <c r="E260" s="19"/>
      <c r="F260" s="19"/>
      <c r="G260" s="19"/>
      <c r="H260" s="19"/>
      <c r="I260" s="107"/>
      <c r="J260" s="11"/>
      <c r="K260" s="320"/>
      <c r="L260" s="24" t="s">
        <v>979</v>
      </c>
      <c r="M260" s="25" t="s">
        <v>980</v>
      </c>
      <c r="N260" s="19" t="s">
        <v>28</v>
      </c>
      <c r="O260" s="19" t="s">
        <v>21</v>
      </c>
      <c r="P260" s="19" t="s">
        <v>21</v>
      </c>
      <c r="Q260" s="19" t="s">
        <v>28</v>
      </c>
      <c r="R260" s="19" t="s">
        <v>28</v>
      </c>
      <c r="S260" s="19" t="s">
        <v>28</v>
      </c>
      <c r="T260" s="321" t="s">
        <v>3506</v>
      </c>
      <c r="U260"/>
      <c r="V260" s="123"/>
    </row>
    <row r="261" spans="1:22">
      <c r="A261" s="24" t="s">
        <v>1373</v>
      </c>
      <c r="B261" s="24" t="s">
        <v>1180</v>
      </c>
      <c r="C261" s="19"/>
      <c r="D261" s="19"/>
      <c r="E261" s="19"/>
      <c r="F261" s="19"/>
      <c r="G261" s="19"/>
      <c r="H261" s="19"/>
      <c r="I261" s="107"/>
      <c r="J261" s="11"/>
      <c r="K261" s="320"/>
      <c r="L261" s="24" t="s">
        <v>1371</v>
      </c>
      <c r="M261" s="25" t="s">
        <v>1372</v>
      </c>
      <c r="N261" s="19" t="s">
        <v>18</v>
      </c>
      <c r="O261" s="19"/>
      <c r="P261" s="19"/>
      <c r="Q261" s="19"/>
      <c r="R261" s="19"/>
      <c r="S261" s="19"/>
      <c r="T261" s="321"/>
      <c r="U261"/>
      <c r="V261" s="123"/>
    </row>
    <row r="262" spans="1:22">
      <c r="A262" s="24" t="s">
        <v>1376</v>
      </c>
      <c r="B262" s="24" t="s">
        <v>1143</v>
      </c>
      <c r="C262" s="19"/>
      <c r="D262" s="19"/>
      <c r="E262" s="19"/>
      <c r="F262" s="19"/>
      <c r="G262" s="19"/>
      <c r="H262" s="19"/>
      <c r="I262" s="107"/>
      <c r="J262" s="11"/>
      <c r="K262" s="320"/>
      <c r="L262" s="24" t="s">
        <v>1374</v>
      </c>
      <c r="M262" s="25" t="s">
        <v>1375</v>
      </c>
      <c r="N262" s="19" t="s">
        <v>1562</v>
      </c>
      <c r="O262" s="19"/>
      <c r="P262" s="19"/>
      <c r="Q262" s="19"/>
      <c r="R262" s="19"/>
      <c r="S262" s="19"/>
      <c r="T262" s="321"/>
      <c r="U262"/>
      <c r="V262" s="123"/>
    </row>
    <row r="263" spans="1:22">
      <c r="A263" s="24" t="s">
        <v>1379</v>
      </c>
      <c r="B263" s="24" t="s">
        <v>1380</v>
      </c>
      <c r="C263" s="19"/>
      <c r="D263" s="19"/>
      <c r="E263" s="19"/>
      <c r="F263" s="19"/>
      <c r="G263" s="19"/>
      <c r="H263" s="19"/>
      <c r="I263" s="107"/>
      <c r="J263" s="11"/>
      <c r="K263" s="320"/>
      <c r="L263" s="24" t="s">
        <v>1377</v>
      </c>
      <c r="M263" s="25" t="s">
        <v>1378</v>
      </c>
      <c r="N263" s="19" t="s">
        <v>18</v>
      </c>
      <c r="O263" s="19"/>
      <c r="P263" s="19"/>
      <c r="Q263" s="19"/>
      <c r="R263" s="19"/>
      <c r="S263" s="19"/>
      <c r="T263" s="321"/>
      <c r="U263"/>
      <c r="V263" s="123"/>
    </row>
    <row r="264" spans="1:22">
      <c r="A264" s="24" t="s">
        <v>1381</v>
      </c>
      <c r="B264" s="24" t="s">
        <v>1039</v>
      </c>
      <c r="C264" s="19"/>
      <c r="D264" s="19"/>
      <c r="E264" s="19"/>
      <c r="F264" s="19"/>
      <c r="G264" s="19"/>
      <c r="H264" s="19"/>
      <c r="I264" s="107"/>
      <c r="J264" s="11"/>
      <c r="K264" s="320"/>
      <c r="L264" s="24" t="s">
        <v>1027</v>
      </c>
      <c r="M264" s="25" t="s">
        <v>1028</v>
      </c>
      <c r="N264" s="19" t="s">
        <v>28</v>
      </c>
      <c r="O264" s="19" t="s">
        <v>28</v>
      </c>
      <c r="P264" s="19" t="s">
        <v>28</v>
      </c>
      <c r="Q264" s="19" t="s">
        <v>28</v>
      </c>
      <c r="R264" s="19" t="s">
        <v>28</v>
      </c>
      <c r="S264" s="19" t="s">
        <v>28</v>
      </c>
      <c r="T264" s="321" t="s">
        <v>3507</v>
      </c>
      <c r="U264"/>
      <c r="V264" s="123"/>
    </row>
    <row r="265" spans="1:22">
      <c r="A265" s="24" t="s">
        <v>1382</v>
      </c>
      <c r="B265" s="24" t="s">
        <v>1213</v>
      </c>
      <c r="C265" s="19"/>
      <c r="D265" s="19"/>
      <c r="E265" s="19"/>
      <c r="F265" s="19"/>
      <c r="G265" s="19"/>
      <c r="H265" s="19"/>
      <c r="I265" s="107"/>
      <c r="J265" s="11"/>
      <c r="K265" s="320"/>
      <c r="L265" s="24" t="s">
        <v>962</v>
      </c>
      <c r="M265" s="25" t="s">
        <v>963</v>
      </c>
      <c r="N265" s="19" t="s">
        <v>28</v>
      </c>
      <c r="O265" s="19" t="s">
        <v>28</v>
      </c>
      <c r="P265" s="19" t="s">
        <v>28</v>
      </c>
      <c r="Q265" s="19" t="s">
        <v>28</v>
      </c>
      <c r="R265" s="19" t="s">
        <v>17</v>
      </c>
      <c r="S265" s="19" t="s">
        <v>28</v>
      </c>
      <c r="T265" s="321" t="s">
        <v>3508</v>
      </c>
      <c r="U265"/>
      <c r="V265" s="123"/>
    </row>
    <row r="266" spans="1:22">
      <c r="A266" s="24" t="s">
        <v>1383</v>
      </c>
      <c r="B266" s="24" t="s">
        <v>1384</v>
      </c>
      <c r="C266" s="19"/>
      <c r="D266" s="19"/>
      <c r="E266" s="19"/>
      <c r="F266" s="19"/>
      <c r="G266" s="19"/>
      <c r="H266" s="19"/>
      <c r="I266" s="107"/>
      <c r="J266" s="11"/>
      <c r="K266" s="320"/>
      <c r="L266" s="24" t="s">
        <v>994</v>
      </c>
      <c r="M266" s="25" t="s">
        <v>995</v>
      </c>
      <c r="N266" s="19" t="s">
        <v>17</v>
      </c>
      <c r="O266" s="19" t="s">
        <v>17</v>
      </c>
      <c r="P266" s="19" t="s">
        <v>17</v>
      </c>
      <c r="Q266" s="19" t="s">
        <v>17</v>
      </c>
      <c r="R266" s="19" t="s">
        <v>17</v>
      </c>
      <c r="S266" s="19" t="s">
        <v>17</v>
      </c>
      <c r="T266" s="321" t="s">
        <v>3509</v>
      </c>
      <c r="U266"/>
      <c r="V266" s="123"/>
    </row>
    <row r="267" spans="1:22">
      <c r="K267" s="123"/>
      <c r="L267" s="24" t="s">
        <v>1385</v>
      </c>
      <c r="M267" s="25" t="s">
        <v>1386</v>
      </c>
      <c r="N267" s="19" t="s">
        <v>17</v>
      </c>
      <c r="O267" s="19" t="s">
        <v>21</v>
      </c>
      <c r="P267" s="19" t="s">
        <v>21</v>
      </c>
      <c r="Q267" s="19" t="s">
        <v>21</v>
      </c>
      <c r="R267" s="19" t="s">
        <v>28</v>
      </c>
      <c r="S267" s="19" t="s">
        <v>21</v>
      </c>
      <c r="T267" s="321" t="s">
        <v>3510</v>
      </c>
      <c r="U267"/>
      <c r="V267" s="123"/>
    </row>
    <row r="268" spans="1:22" ht="51">
      <c r="K268" s="123"/>
      <c r="L268" s="24" t="s">
        <v>903</v>
      </c>
      <c r="M268" s="25" t="s">
        <v>904</v>
      </c>
      <c r="N268" s="19" t="s">
        <v>21</v>
      </c>
      <c r="O268" s="19" t="s">
        <v>28</v>
      </c>
      <c r="P268" s="19" t="s">
        <v>28</v>
      </c>
      <c r="Q268" s="19" t="s">
        <v>28</v>
      </c>
      <c r="R268" s="19" t="s">
        <v>28</v>
      </c>
      <c r="S268" s="19" t="s">
        <v>28</v>
      </c>
      <c r="T268" s="321" t="s">
        <v>3511</v>
      </c>
      <c r="U268"/>
      <c r="V268" s="123"/>
    </row>
    <row r="269" spans="1:22">
      <c r="K269" s="123"/>
      <c r="L269" s="24" t="s">
        <v>1387</v>
      </c>
      <c r="M269" s="25" t="s">
        <v>1388</v>
      </c>
      <c r="N269" s="19" t="s">
        <v>17</v>
      </c>
      <c r="O269" s="19" t="s">
        <v>28</v>
      </c>
      <c r="P269" s="19" t="s">
        <v>21</v>
      </c>
      <c r="Q269" s="19" t="s">
        <v>28</v>
      </c>
      <c r="R269" s="19" t="s">
        <v>28</v>
      </c>
      <c r="S269" s="19" t="s">
        <v>28</v>
      </c>
      <c r="T269" s="321" t="s">
        <v>3512</v>
      </c>
      <c r="U269"/>
      <c r="V269" s="123"/>
    </row>
    <row r="270" spans="1:22">
      <c r="K270" s="123"/>
      <c r="L270" s="24" t="s">
        <v>1389</v>
      </c>
      <c r="M270" s="25" t="s">
        <v>1390</v>
      </c>
      <c r="N270" s="19" t="s">
        <v>1562</v>
      </c>
      <c r="O270" s="19"/>
      <c r="P270" s="19"/>
      <c r="Q270" s="19"/>
      <c r="R270" s="19"/>
      <c r="S270" s="19"/>
      <c r="T270" s="321"/>
      <c r="U270"/>
      <c r="V270" s="123"/>
    </row>
    <row r="271" spans="1:22">
      <c r="K271" s="123"/>
      <c r="L271" s="24" t="s">
        <v>879</v>
      </c>
      <c r="M271" s="25" t="s">
        <v>880</v>
      </c>
      <c r="N271" s="19" t="s">
        <v>28</v>
      </c>
      <c r="O271" s="19" t="s">
        <v>28</v>
      </c>
      <c r="P271" s="19" t="s">
        <v>28</v>
      </c>
      <c r="Q271" s="19" t="s">
        <v>28</v>
      </c>
      <c r="R271" s="19" t="s">
        <v>28</v>
      </c>
      <c r="S271" s="19" t="s">
        <v>28</v>
      </c>
      <c r="T271" s="321" t="s">
        <v>3513</v>
      </c>
      <c r="U271"/>
      <c r="V271" s="123"/>
    </row>
    <row r="272" spans="1:22">
      <c r="K272" s="123"/>
      <c r="L272" s="24" t="s">
        <v>1391</v>
      </c>
      <c r="M272" s="25" t="s">
        <v>1392</v>
      </c>
      <c r="N272" s="19" t="s">
        <v>21</v>
      </c>
      <c r="O272" s="19" t="s">
        <v>21</v>
      </c>
      <c r="P272" s="19" t="s">
        <v>21</v>
      </c>
      <c r="Q272" s="19" t="s">
        <v>21</v>
      </c>
      <c r="R272" s="19" t="s">
        <v>21</v>
      </c>
      <c r="S272" s="19" t="s">
        <v>21</v>
      </c>
      <c r="T272" s="321" t="s">
        <v>3514</v>
      </c>
      <c r="U272"/>
      <c r="V272" s="123"/>
    </row>
    <row r="273" spans="11:22" ht="51">
      <c r="K273" s="123"/>
      <c r="L273" s="24" t="s">
        <v>1393</v>
      </c>
      <c r="M273" s="25" t="s">
        <v>215</v>
      </c>
      <c r="N273" s="19" t="s">
        <v>1567</v>
      </c>
      <c r="O273" s="19" t="s">
        <v>21</v>
      </c>
      <c r="P273" s="19" t="s">
        <v>21</v>
      </c>
      <c r="Q273" s="19" t="s">
        <v>21</v>
      </c>
      <c r="R273" s="19" t="s">
        <v>28</v>
      </c>
      <c r="S273" s="19" t="s">
        <v>21</v>
      </c>
      <c r="T273" s="321" t="s">
        <v>3515</v>
      </c>
      <c r="U273"/>
      <c r="V273" s="123"/>
    </row>
    <row r="274" spans="11:22">
      <c r="K274" s="123"/>
      <c r="L274" s="24" t="s">
        <v>1007</v>
      </c>
      <c r="M274" s="25" t="s">
        <v>1008</v>
      </c>
      <c r="N274" s="19" t="s">
        <v>1562</v>
      </c>
      <c r="O274" s="19"/>
      <c r="P274" s="19"/>
      <c r="Q274" s="19"/>
      <c r="R274" s="19"/>
      <c r="S274" s="19"/>
      <c r="T274" s="318"/>
      <c r="U274"/>
      <c r="V274" s="123"/>
    </row>
    <row r="275" spans="11:22">
      <c r="K275" s="123"/>
      <c r="L275" s="549" t="s">
        <v>1394</v>
      </c>
      <c r="M275" s="547"/>
      <c r="N275" s="608"/>
      <c r="O275" s="547"/>
      <c r="P275" s="547"/>
      <c r="Q275" s="547"/>
      <c r="R275" s="547"/>
      <c r="S275" s="547"/>
      <c r="T275" s="547"/>
      <c r="U275" s="547"/>
      <c r="V275" s="123"/>
    </row>
    <row r="276" spans="11:22">
      <c r="K276" s="123"/>
      <c r="L276" s="547"/>
      <c r="M276" s="547"/>
      <c r="N276" s="608"/>
      <c r="O276" s="547"/>
      <c r="P276" s="547"/>
      <c r="Q276" s="547"/>
      <c r="R276" s="547"/>
      <c r="S276" s="547"/>
      <c r="T276" s="547"/>
      <c r="U276" s="547"/>
      <c r="V276" s="123"/>
    </row>
    <row r="277" spans="11:22">
      <c r="K277" s="123"/>
      <c r="L277" s="24" t="s">
        <v>1395</v>
      </c>
      <c r="M277" s="25" t="s">
        <v>1396</v>
      </c>
      <c r="N277" s="19"/>
      <c r="O277" s="19"/>
      <c r="P277" s="19"/>
      <c r="Q277" s="19"/>
      <c r="R277" s="19"/>
      <c r="S277" s="19" t="str">
        <f>IF(AND(ISNUMBER(MATCH(O277,{"F","E","D","D+","C","C+","B","B+","A","A+","S"},0)),ISNUMBER(MATCH(P277,{"F","E","D","D+","C","C+","B","B+","A","A+","S"},0)),ISNUMBER(MATCH(Q277,{"F","E","D","D+","C","C+","B","B+","A","A+","S"},0)),ISNUMBER(MATCH(R277,{"F","E","D","D+","C","C+","B","B+","A","A+","S"},0))),LOOKUP(AVERAGE(_xlfn.SWITCH(O277,"F",0,"E",10,"D",20,"D+",30,"C",40,"C+",50,"B",60,"B+",70,"A",80,"A+",90,"S",100),_xlfn.SWITCH(P277,"F",0,"E",10,"D",20,"D+",30,"C",40,"C+",50,"B",60,"B+",70,"A",80,"A+",90,"S",100),_xlfn.SWITCH(Q277,"F",0,"E",10,"D",20,"D+",30,"C",40,"C+",50,"B",60,"B+",70,"A",80,"A+",90,"S",100),_xlfn.SWITCH(R277,"F",0,"E",10,"D",20,"D+",30,"C",40,"C+",50,"B",60,"B+",70,"A",80,"A+",90,"S",100)),{0,15,25,35,45,55,65,75,85,95},{"D","D","D+","C","C+","B","B+","A","A+","S"}),"?")</f>
        <v>?</v>
      </c>
      <c r="T277" s="318"/>
      <c r="U277"/>
      <c r="V277" s="123"/>
    </row>
    <row r="278" spans="11:22">
      <c r="K278" s="123"/>
      <c r="L278" s="24" t="s">
        <v>1221</v>
      </c>
      <c r="M278" s="25" t="s">
        <v>1222</v>
      </c>
      <c r="N278" s="19"/>
      <c r="O278" s="19"/>
      <c r="P278" s="19"/>
      <c r="Q278" s="19"/>
      <c r="R278" s="19"/>
      <c r="S278" s="19" t="str">
        <f>IF(AND(ISNUMBER(MATCH(O278,{"F","E","D","D+","C","C+","B","B+","A","A+","S"},0)),ISNUMBER(MATCH(P278,{"F","E","D","D+","C","C+","B","B+","A","A+","S"},0)),ISNUMBER(MATCH(Q278,{"F","E","D","D+","C","C+","B","B+","A","A+","S"},0)),ISNUMBER(MATCH(R278,{"F","E","D","D+","C","C+","B","B+","A","A+","S"},0))),LOOKUP(AVERAGE(_xlfn.SWITCH(O278,"F",0,"E",10,"D",20,"D+",30,"C",40,"C+",50,"B",60,"B+",70,"A",80,"A+",90,"S",100),_xlfn.SWITCH(P278,"F",0,"E",10,"D",20,"D+",30,"C",40,"C+",50,"B",60,"B+",70,"A",80,"A+",90,"S",100),_xlfn.SWITCH(Q278,"F",0,"E",10,"D",20,"D+",30,"C",40,"C+",50,"B",60,"B+",70,"A",80,"A+",90,"S",100),_xlfn.SWITCH(R278,"F",0,"E",10,"D",20,"D+",30,"C",40,"C+",50,"B",60,"B+",70,"A",80,"A+",90,"S",100)),{0,15,25,35,45,55,65,75,85,95},{"D","D","D+","C","C+","B","B+","A","A+","S"}),"?")</f>
        <v>?</v>
      </c>
      <c r="T278" s="318"/>
      <c r="U278"/>
      <c r="V278" s="123"/>
    </row>
    <row r="279" spans="11:22">
      <c r="K279" s="123"/>
      <c r="L279" s="24" t="s">
        <v>1235</v>
      </c>
      <c r="M279" s="25" t="s">
        <v>1236</v>
      </c>
      <c r="N279" s="19"/>
      <c r="O279" s="19"/>
      <c r="P279" s="19"/>
      <c r="Q279" s="19"/>
      <c r="R279" s="19"/>
      <c r="S279" s="19" t="str">
        <f>IF(AND(ISNUMBER(MATCH(O279,{"F","E","D","D+","C","C+","B","B+","A","A+","S"},0)),ISNUMBER(MATCH(P279,{"F","E","D","D+","C","C+","B","B+","A","A+","S"},0)),ISNUMBER(MATCH(Q279,{"F","E","D","D+","C","C+","B","B+","A","A+","S"},0)),ISNUMBER(MATCH(R279,{"F","E","D","D+","C","C+","B","B+","A","A+","S"},0))),LOOKUP(AVERAGE(_xlfn.SWITCH(O279,"F",0,"E",10,"D",20,"D+",30,"C",40,"C+",50,"B",60,"B+",70,"A",80,"A+",90,"S",100),_xlfn.SWITCH(P279,"F",0,"E",10,"D",20,"D+",30,"C",40,"C+",50,"B",60,"B+",70,"A",80,"A+",90,"S",100),_xlfn.SWITCH(Q279,"F",0,"E",10,"D",20,"D+",30,"C",40,"C+",50,"B",60,"B+",70,"A",80,"A+",90,"S",100),_xlfn.SWITCH(R279,"F",0,"E",10,"D",20,"D+",30,"C",40,"C+",50,"B",60,"B+",70,"A",80,"A+",90,"S",100)),{0,15,25,35,45,55,65,75,85,95},{"D","D","D+","C","C+","B","B+","A","A+","S"}),"?")</f>
        <v>?</v>
      </c>
      <c r="T279" s="318"/>
      <c r="U279"/>
      <c r="V279" s="123"/>
    </row>
    <row r="280" spans="11:22">
      <c r="K280" s="123"/>
      <c r="L280" s="24" t="s">
        <v>1397</v>
      </c>
      <c r="M280" s="25" t="s">
        <v>1398</v>
      </c>
      <c r="N280" s="19"/>
      <c r="O280" s="19"/>
      <c r="P280" s="19"/>
      <c r="Q280" s="19"/>
      <c r="R280" s="19"/>
      <c r="S280" s="19" t="str">
        <f>IF(AND(ISNUMBER(MATCH(O280,{"F","E","D","D+","C","C+","B","B+","A","A+","S"},0)),ISNUMBER(MATCH(P280,{"F","E","D","D+","C","C+","B","B+","A","A+","S"},0)),ISNUMBER(MATCH(Q280,{"F","E","D","D+","C","C+","B","B+","A","A+","S"},0)),ISNUMBER(MATCH(R280,{"F","E","D","D+","C","C+","B","B+","A","A+","S"},0))),LOOKUP(AVERAGE(_xlfn.SWITCH(O280,"F",0,"E",10,"D",20,"D+",30,"C",40,"C+",50,"B",60,"B+",70,"A",80,"A+",90,"S",100),_xlfn.SWITCH(P280,"F",0,"E",10,"D",20,"D+",30,"C",40,"C+",50,"B",60,"B+",70,"A",80,"A+",90,"S",100),_xlfn.SWITCH(Q280,"F",0,"E",10,"D",20,"D+",30,"C",40,"C+",50,"B",60,"B+",70,"A",80,"A+",90,"S",100),_xlfn.SWITCH(R280,"F",0,"E",10,"D",20,"D+",30,"C",40,"C+",50,"B",60,"B+",70,"A",80,"A+",90,"S",100)),{0,15,25,35,45,55,65,75,85,95},{"D","D","D+","C","C+","B","B+","A","A+","S"}),"?")</f>
        <v>?</v>
      </c>
      <c r="T280" s="318"/>
      <c r="U280"/>
      <c r="V280" s="123"/>
    </row>
    <row r="281" spans="11:22">
      <c r="K281" s="123"/>
      <c r="L281" s="24" t="s">
        <v>1106</v>
      </c>
      <c r="M281" s="25" t="s">
        <v>1107</v>
      </c>
      <c r="N281" s="19"/>
      <c r="O281" s="19"/>
      <c r="P281" s="19"/>
      <c r="Q281" s="19"/>
      <c r="R281" s="19"/>
      <c r="S281" s="19" t="str">
        <f>IF(AND(ISNUMBER(MATCH(O281,{"F","E","D","D+","C","C+","B","B+","A","A+","S"},0)),ISNUMBER(MATCH(P281,{"F","E","D","D+","C","C+","B","B+","A","A+","S"},0)),ISNUMBER(MATCH(Q281,{"F","E","D","D+","C","C+","B","B+","A","A+","S"},0)),ISNUMBER(MATCH(R281,{"F","E","D","D+","C","C+","B","B+","A","A+","S"},0))),LOOKUP(AVERAGE(_xlfn.SWITCH(O281,"F",0,"E",10,"D",20,"D+",30,"C",40,"C+",50,"B",60,"B+",70,"A",80,"A+",90,"S",100),_xlfn.SWITCH(P281,"F",0,"E",10,"D",20,"D+",30,"C",40,"C+",50,"B",60,"B+",70,"A",80,"A+",90,"S",100),_xlfn.SWITCH(Q281,"F",0,"E",10,"D",20,"D+",30,"C",40,"C+",50,"B",60,"B+",70,"A",80,"A+",90,"S",100),_xlfn.SWITCH(R281,"F",0,"E",10,"D",20,"D+",30,"C",40,"C+",50,"B",60,"B+",70,"A",80,"A+",90,"S",100)),{0,15,25,35,45,55,65,75,85,95},{"D","D","D+","C","C+","B","B+","A","A+","S"}),"?")</f>
        <v>?</v>
      </c>
      <c r="T281" s="318"/>
      <c r="U281"/>
      <c r="V281" s="123"/>
    </row>
    <row r="282" spans="11:22">
      <c r="K282" s="123"/>
      <c r="L282" s="24" t="s">
        <v>1399</v>
      </c>
      <c r="M282" s="25" t="s">
        <v>1400</v>
      </c>
      <c r="N282" s="19"/>
      <c r="O282" s="19"/>
      <c r="P282" s="19"/>
      <c r="Q282" s="19"/>
      <c r="R282" s="19"/>
      <c r="S282" s="19" t="str">
        <f>IF(AND(ISNUMBER(MATCH(O282,{"F","E","D","D+","C","C+","B","B+","A","A+","S"},0)),ISNUMBER(MATCH(P282,{"F","E","D","D+","C","C+","B","B+","A","A+","S"},0)),ISNUMBER(MATCH(Q282,{"F","E","D","D+","C","C+","B","B+","A","A+","S"},0)),ISNUMBER(MATCH(R282,{"F","E","D","D+","C","C+","B","B+","A","A+","S"},0))),LOOKUP(AVERAGE(_xlfn.SWITCH(O282,"F",0,"E",10,"D",20,"D+",30,"C",40,"C+",50,"B",60,"B+",70,"A",80,"A+",90,"S",100),_xlfn.SWITCH(P282,"F",0,"E",10,"D",20,"D+",30,"C",40,"C+",50,"B",60,"B+",70,"A",80,"A+",90,"S",100),_xlfn.SWITCH(Q282,"F",0,"E",10,"D",20,"D+",30,"C",40,"C+",50,"B",60,"B+",70,"A",80,"A+",90,"S",100),_xlfn.SWITCH(R282,"F",0,"E",10,"D",20,"D+",30,"C",40,"C+",50,"B",60,"B+",70,"A",80,"A+",90,"S",100)),{0,15,25,35,45,55,65,75,85,95},{"D","D","D+","C","C+","B","B+","A","A+","S"}),"?")</f>
        <v>?</v>
      </c>
      <c r="T282" s="318"/>
      <c r="U282"/>
      <c r="V282" s="123"/>
    </row>
    <row r="283" spans="11:22">
      <c r="K283" s="123"/>
      <c r="L283" s="24" t="s">
        <v>1135</v>
      </c>
      <c r="M283" s="25" t="s">
        <v>1136</v>
      </c>
      <c r="N283" s="19"/>
      <c r="O283" s="19"/>
      <c r="P283" s="19"/>
      <c r="Q283" s="19"/>
      <c r="R283" s="19"/>
      <c r="S283" s="19" t="str">
        <f>IF(AND(ISNUMBER(MATCH(O283,{"F","E","D","D+","C","C+","B","B+","A","A+","S"},0)),ISNUMBER(MATCH(P283,{"F","E","D","D+","C","C+","B","B+","A","A+","S"},0)),ISNUMBER(MATCH(Q283,{"F","E","D","D+","C","C+","B","B+","A","A+","S"},0)),ISNUMBER(MATCH(R283,{"F","E","D","D+","C","C+","B","B+","A","A+","S"},0))),LOOKUP(AVERAGE(_xlfn.SWITCH(O283,"F",0,"E",10,"D",20,"D+",30,"C",40,"C+",50,"B",60,"B+",70,"A",80,"A+",90,"S",100),_xlfn.SWITCH(P283,"F",0,"E",10,"D",20,"D+",30,"C",40,"C+",50,"B",60,"B+",70,"A",80,"A+",90,"S",100),_xlfn.SWITCH(Q283,"F",0,"E",10,"D",20,"D+",30,"C",40,"C+",50,"B",60,"B+",70,"A",80,"A+",90,"S",100),_xlfn.SWITCH(R283,"F",0,"E",10,"D",20,"D+",30,"C",40,"C+",50,"B",60,"B+",70,"A",80,"A+",90,"S",100)),{0,15,25,35,45,55,65,75,85,95},{"D","D","D+","C","C+","B","B+","A","A+","S"}),"?")</f>
        <v>?</v>
      </c>
      <c r="T283" s="318"/>
      <c r="U283"/>
      <c r="V283" s="123"/>
    </row>
    <row r="284" spans="11:22">
      <c r="K284" s="123"/>
      <c r="L284" s="24" t="s">
        <v>1401</v>
      </c>
      <c r="M284" s="25" t="s">
        <v>22</v>
      </c>
      <c r="N284" s="19"/>
      <c r="O284" s="19"/>
      <c r="P284" s="19"/>
      <c r="Q284" s="19"/>
      <c r="R284" s="19"/>
      <c r="S284" s="19" t="str">
        <f>IF(AND(ISNUMBER(MATCH(O284,{"F","E","D","D+","C","C+","B","B+","A","A+","S"},0)),ISNUMBER(MATCH(P284,{"F","E","D","D+","C","C+","B","B+","A","A+","S"},0)),ISNUMBER(MATCH(Q284,{"F","E","D","D+","C","C+","B","B+","A","A+","S"},0)),ISNUMBER(MATCH(R284,{"F","E","D","D+","C","C+","B","B+","A","A+","S"},0))),LOOKUP(AVERAGE(_xlfn.SWITCH(O284,"F",0,"E",10,"D",20,"D+",30,"C",40,"C+",50,"B",60,"B+",70,"A",80,"A+",90,"S",100),_xlfn.SWITCH(P284,"F",0,"E",10,"D",20,"D+",30,"C",40,"C+",50,"B",60,"B+",70,"A",80,"A+",90,"S",100),_xlfn.SWITCH(Q284,"F",0,"E",10,"D",20,"D+",30,"C",40,"C+",50,"B",60,"B+",70,"A",80,"A+",90,"S",100),_xlfn.SWITCH(R284,"F",0,"E",10,"D",20,"D+",30,"C",40,"C+",50,"B",60,"B+",70,"A",80,"A+",90,"S",100)),{0,15,25,35,45,55,65,75,85,95},{"D","D","D+","C","C+","B","B+","A","A+","S"}),"?")</f>
        <v>?</v>
      </c>
      <c r="T284" s="318"/>
      <c r="U284"/>
      <c r="V284" s="123"/>
    </row>
    <row r="285" spans="11:22">
      <c r="K285" s="123"/>
      <c r="L285" s="24" t="s">
        <v>1403</v>
      </c>
      <c r="M285" s="25" t="s">
        <v>22</v>
      </c>
      <c r="N285" s="19"/>
      <c r="O285" s="19"/>
      <c r="P285" s="19"/>
      <c r="Q285" s="19"/>
      <c r="R285" s="19"/>
      <c r="S285" s="19" t="str">
        <f>IF(AND(ISNUMBER(MATCH(O285,{"F","E","D","D+","C","C+","B","B+","A","A+","S"},0)),ISNUMBER(MATCH(P285,{"F","E","D","D+","C","C+","B","B+","A","A+","S"},0)),ISNUMBER(MATCH(Q285,{"F","E","D","D+","C","C+","B","B+","A","A+","S"},0)),ISNUMBER(MATCH(R285,{"F","E","D","D+","C","C+","B","B+","A","A+","S"},0))),LOOKUP(AVERAGE(_xlfn.SWITCH(O285,"F",0,"E",10,"D",20,"D+",30,"C",40,"C+",50,"B",60,"B+",70,"A",80,"A+",90,"S",100),_xlfn.SWITCH(P285,"F",0,"E",10,"D",20,"D+",30,"C",40,"C+",50,"B",60,"B+",70,"A",80,"A+",90,"S",100),_xlfn.SWITCH(Q285,"F",0,"E",10,"D",20,"D+",30,"C",40,"C+",50,"B",60,"B+",70,"A",80,"A+",90,"S",100),_xlfn.SWITCH(R285,"F",0,"E",10,"D",20,"D+",30,"C",40,"C+",50,"B",60,"B+",70,"A",80,"A+",90,"S",100)),{0,15,25,35,45,55,65,75,85,95},{"D","D","D+","C","C+","B","B+","A","A+","S"}),"?")</f>
        <v>?</v>
      </c>
      <c r="T285" s="318"/>
      <c r="U285"/>
      <c r="V285" s="123"/>
    </row>
    <row r="286" spans="11:22">
      <c r="K286" s="123"/>
      <c r="L286" s="24" t="s">
        <v>1405</v>
      </c>
      <c r="M286" s="25" t="s">
        <v>1406</v>
      </c>
      <c r="N286" s="19"/>
      <c r="O286" s="19"/>
      <c r="P286" s="19"/>
      <c r="Q286" s="19"/>
      <c r="R286" s="19"/>
      <c r="S286" s="19" t="str">
        <f>IF(AND(ISNUMBER(MATCH(O286,{"F","E","D","D+","C","C+","B","B+","A","A+","S"},0)),ISNUMBER(MATCH(P286,{"F","E","D","D+","C","C+","B","B+","A","A+","S"},0)),ISNUMBER(MATCH(Q286,{"F","E","D","D+","C","C+","B","B+","A","A+","S"},0)),ISNUMBER(MATCH(R286,{"F","E","D","D+","C","C+","B","B+","A","A+","S"},0))),LOOKUP(AVERAGE(_xlfn.SWITCH(O286,"F",0,"E",10,"D",20,"D+",30,"C",40,"C+",50,"B",60,"B+",70,"A",80,"A+",90,"S",100),_xlfn.SWITCH(P286,"F",0,"E",10,"D",20,"D+",30,"C",40,"C+",50,"B",60,"B+",70,"A",80,"A+",90,"S",100),_xlfn.SWITCH(Q286,"F",0,"E",10,"D",20,"D+",30,"C",40,"C+",50,"B",60,"B+",70,"A",80,"A+",90,"S",100),_xlfn.SWITCH(R286,"F",0,"E",10,"D",20,"D+",30,"C",40,"C+",50,"B",60,"B+",70,"A",80,"A+",90,"S",100)),{0,15,25,35,45,55,65,75,85,95},{"D","D","D+","C","C+","B","B+","A","A+","S"}),"?")</f>
        <v>?</v>
      </c>
      <c r="T286" s="318"/>
      <c r="U286"/>
      <c r="V286" s="123"/>
    </row>
    <row r="287" spans="11:22">
      <c r="K287" s="123"/>
      <c r="L287" s="24" t="s">
        <v>1407</v>
      </c>
      <c r="M287" s="25" t="s">
        <v>1408</v>
      </c>
      <c r="N287" s="19"/>
      <c r="O287" s="19"/>
      <c r="P287" s="19"/>
      <c r="Q287" s="19"/>
      <c r="R287" s="19"/>
      <c r="S287" s="19" t="str">
        <f>IF(AND(ISNUMBER(MATCH(O287,{"F","E","D","D+","C","C+","B","B+","A","A+","S"},0)),ISNUMBER(MATCH(P287,{"F","E","D","D+","C","C+","B","B+","A","A+","S"},0)),ISNUMBER(MATCH(Q287,{"F","E","D","D+","C","C+","B","B+","A","A+","S"},0)),ISNUMBER(MATCH(R287,{"F","E","D","D+","C","C+","B","B+","A","A+","S"},0))),LOOKUP(AVERAGE(_xlfn.SWITCH(O287,"F",0,"E",10,"D",20,"D+",30,"C",40,"C+",50,"B",60,"B+",70,"A",80,"A+",90,"S",100),_xlfn.SWITCH(P287,"F",0,"E",10,"D",20,"D+",30,"C",40,"C+",50,"B",60,"B+",70,"A",80,"A+",90,"S",100),_xlfn.SWITCH(Q287,"F",0,"E",10,"D",20,"D+",30,"C",40,"C+",50,"B",60,"B+",70,"A",80,"A+",90,"S",100),_xlfn.SWITCH(R287,"F",0,"E",10,"D",20,"D+",30,"C",40,"C+",50,"B",60,"B+",70,"A",80,"A+",90,"S",100)),{0,15,25,35,45,55,65,75,85,95},{"D","D","D+","C","C+","B","B+","A","A+","S"}),"?")</f>
        <v>?</v>
      </c>
      <c r="T287" s="318"/>
      <c r="U287"/>
      <c r="V287" s="123"/>
    </row>
    <row r="288" spans="11:22">
      <c r="K288" s="123"/>
      <c r="L288" s="24" t="s">
        <v>1153</v>
      </c>
      <c r="M288" s="25" t="s">
        <v>1154</v>
      </c>
      <c r="N288" s="19"/>
      <c r="O288" s="19"/>
      <c r="P288" s="19"/>
      <c r="Q288" s="19"/>
      <c r="R288" s="19"/>
      <c r="S288" s="19" t="str">
        <f>IF(AND(ISNUMBER(MATCH(O288,{"F","E","D","D+","C","C+","B","B+","A","A+","S"},0)),ISNUMBER(MATCH(P288,{"F","E","D","D+","C","C+","B","B+","A","A+","S"},0)),ISNUMBER(MATCH(Q288,{"F","E","D","D+","C","C+","B","B+","A","A+","S"},0)),ISNUMBER(MATCH(R288,{"F","E","D","D+","C","C+","B","B+","A","A+","S"},0))),LOOKUP(AVERAGE(_xlfn.SWITCH(O288,"F",0,"E",10,"D",20,"D+",30,"C",40,"C+",50,"B",60,"B+",70,"A",80,"A+",90,"S",100),_xlfn.SWITCH(P288,"F",0,"E",10,"D",20,"D+",30,"C",40,"C+",50,"B",60,"B+",70,"A",80,"A+",90,"S",100),_xlfn.SWITCH(Q288,"F",0,"E",10,"D",20,"D+",30,"C",40,"C+",50,"B",60,"B+",70,"A",80,"A+",90,"S",100),_xlfn.SWITCH(R288,"F",0,"E",10,"D",20,"D+",30,"C",40,"C+",50,"B",60,"B+",70,"A",80,"A+",90,"S",100)),{0,15,25,35,45,55,65,75,85,95},{"D","D","D+","C","C+","B","B+","A","A+","S"}),"?")</f>
        <v>?</v>
      </c>
      <c r="T288" s="318"/>
      <c r="U288"/>
      <c r="V288" s="123"/>
    </row>
    <row r="289" spans="11:22">
      <c r="K289" s="123"/>
      <c r="L289" s="24" t="s">
        <v>1409</v>
      </c>
      <c r="M289" s="25">
        <v>7</v>
      </c>
      <c r="N289" s="19"/>
      <c r="O289" s="19"/>
      <c r="P289" s="19"/>
      <c r="Q289" s="19"/>
      <c r="R289" s="19"/>
      <c r="S289" s="19" t="str">
        <f>IF(AND(ISNUMBER(MATCH(O289,{"F","E","D","D+","C","C+","B","B+","A","A+","S"},0)),ISNUMBER(MATCH(P289,{"F","E","D","D+","C","C+","B","B+","A","A+","S"},0)),ISNUMBER(MATCH(Q289,{"F","E","D","D+","C","C+","B","B+","A","A+","S"},0)),ISNUMBER(MATCH(R289,{"F","E","D","D+","C","C+","B","B+","A","A+","S"},0))),LOOKUP(AVERAGE(_xlfn.SWITCH(O289,"F",0,"E",10,"D",20,"D+",30,"C",40,"C+",50,"B",60,"B+",70,"A",80,"A+",90,"S",100),_xlfn.SWITCH(P289,"F",0,"E",10,"D",20,"D+",30,"C",40,"C+",50,"B",60,"B+",70,"A",80,"A+",90,"S",100),_xlfn.SWITCH(Q289,"F",0,"E",10,"D",20,"D+",30,"C",40,"C+",50,"B",60,"B+",70,"A",80,"A+",90,"S",100),_xlfn.SWITCH(R289,"F",0,"E",10,"D",20,"D+",30,"C",40,"C+",50,"B",60,"B+",70,"A",80,"A+",90,"S",100)),{0,15,25,35,45,55,65,75,85,95},{"D","D","D+","C","C+","B","B+","A","A+","S"}),"?")</f>
        <v>?</v>
      </c>
      <c r="T289" s="318"/>
      <c r="U289"/>
      <c r="V289" s="123"/>
    </row>
    <row r="290" spans="11:22">
      <c r="K290" s="123"/>
      <c r="L290" s="24" t="s">
        <v>1186</v>
      </c>
      <c r="M290" s="25" t="s">
        <v>1187</v>
      </c>
      <c r="N290" s="19"/>
      <c r="O290" s="19"/>
      <c r="P290" s="19"/>
      <c r="Q290" s="19"/>
      <c r="R290" s="19"/>
      <c r="S290" s="19" t="str">
        <f>IF(AND(ISNUMBER(MATCH(O290,{"F","E","D","D+","C","C+","B","B+","A","A+","S"},0)),ISNUMBER(MATCH(P290,{"F","E","D","D+","C","C+","B","B+","A","A+","S"},0)),ISNUMBER(MATCH(Q290,{"F","E","D","D+","C","C+","B","B+","A","A+","S"},0)),ISNUMBER(MATCH(R290,{"F","E","D","D+","C","C+","B","B+","A","A+","S"},0))),LOOKUP(AVERAGE(_xlfn.SWITCH(O290,"F",0,"E",10,"D",20,"D+",30,"C",40,"C+",50,"B",60,"B+",70,"A",80,"A+",90,"S",100),_xlfn.SWITCH(P290,"F",0,"E",10,"D",20,"D+",30,"C",40,"C+",50,"B",60,"B+",70,"A",80,"A+",90,"S",100),_xlfn.SWITCH(Q290,"F",0,"E",10,"D",20,"D+",30,"C",40,"C+",50,"B",60,"B+",70,"A",80,"A+",90,"S",100),_xlfn.SWITCH(R290,"F",0,"E",10,"D",20,"D+",30,"C",40,"C+",50,"B",60,"B+",70,"A",80,"A+",90,"S",100)),{0,15,25,35,45,55,65,75,85,95},{"D","D","D+","C","C+","B","B+","A","A+","S"}),"?")</f>
        <v>?</v>
      </c>
      <c r="T290" s="318"/>
      <c r="U290"/>
      <c r="V290" s="123"/>
    </row>
    <row r="291" spans="11:22">
      <c r="K291" s="123"/>
      <c r="L291" s="24" t="s">
        <v>1044</v>
      </c>
      <c r="M291" s="25" t="s">
        <v>1410</v>
      </c>
      <c r="N291" s="19"/>
      <c r="O291" s="19"/>
      <c r="P291" s="19"/>
      <c r="Q291" s="19"/>
      <c r="R291" s="19"/>
      <c r="S291" s="19" t="str">
        <f>IF(AND(ISNUMBER(MATCH(O291,{"F","E","D","D+","C","C+","B","B+","A","A+","S"},0)),ISNUMBER(MATCH(P291,{"F","E","D","D+","C","C+","B","B+","A","A+","S"},0)),ISNUMBER(MATCH(Q291,{"F","E","D","D+","C","C+","B","B+","A","A+","S"},0)),ISNUMBER(MATCH(R291,{"F","E","D","D+","C","C+","B","B+","A","A+","S"},0))),LOOKUP(AVERAGE(_xlfn.SWITCH(O291,"F",0,"E",10,"D",20,"D+",30,"C",40,"C+",50,"B",60,"B+",70,"A",80,"A+",90,"S",100),_xlfn.SWITCH(P291,"F",0,"E",10,"D",20,"D+",30,"C",40,"C+",50,"B",60,"B+",70,"A",80,"A+",90,"S",100),_xlfn.SWITCH(Q291,"F",0,"E",10,"D",20,"D+",30,"C",40,"C+",50,"B",60,"B+",70,"A",80,"A+",90,"S",100),_xlfn.SWITCH(R291,"F",0,"E",10,"D",20,"D+",30,"C",40,"C+",50,"B",60,"B+",70,"A",80,"A+",90,"S",100)),{0,15,25,35,45,55,65,75,85,95},{"D","D","D+","C","C+","B","B+","A","A+","S"}),"?")</f>
        <v>?</v>
      </c>
      <c r="T291" s="318"/>
      <c r="U291"/>
      <c r="V291" s="123"/>
    </row>
    <row r="292" spans="11:22">
      <c r="K292" s="123"/>
      <c r="L292" s="24" t="s">
        <v>1411</v>
      </c>
      <c r="M292" s="25" t="s">
        <v>1412</v>
      </c>
      <c r="N292" s="19"/>
      <c r="O292" s="19"/>
      <c r="P292" s="19"/>
      <c r="Q292" s="19"/>
      <c r="R292" s="19"/>
      <c r="S292" s="19" t="str">
        <f>IF(AND(ISNUMBER(MATCH(O292,{"F","E","D","D+","C","C+","B","B+","A","A+","S"},0)),ISNUMBER(MATCH(P292,{"F","E","D","D+","C","C+","B","B+","A","A+","S"},0)),ISNUMBER(MATCH(Q292,{"F","E","D","D+","C","C+","B","B+","A","A+","S"},0)),ISNUMBER(MATCH(R292,{"F","E","D","D+","C","C+","B","B+","A","A+","S"},0))),LOOKUP(AVERAGE(_xlfn.SWITCH(O292,"F",0,"E",10,"D",20,"D+",30,"C",40,"C+",50,"B",60,"B+",70,"A",80,"A+",90,"S",100),_xlfn.SWITCH(P292,"F",0,"E",10,"D",20,"D+",30,"C",40,"C+",50,"B",60,"B+",70,"A",80,"A+",90,"S",100),_xlfn.SWITCH(Q292,"F",0,"E",10,"D",20,"D+",30,"C",40,"C+",50,"B",60,"B+",70,"A",80,"A+",90,"S",100),_xlfn.SWITCH(R292,"F",0,"E",10,"D",20,"D+",30,"C",40,"C+",50,"B",60,"B+",70,"A",80,"A+",90,"S",100)),{0,15,25,35,45,55,65,75,85,95},{"D","D","D+","C","C+","B","B+","A","A+","S"}),"?")</f>
        <v>?</v>
      </c>
      <c r="T292" s="318"/>
      <c r="U292"/>
      <c r="V292" s="123"/>
    </row>
    <row r="293" spans="11:22">
      <c r="K293" s="123"/>
      <c r="L293" s="24" t="s">
        <v>1173</v>
      </c>
      <c r="M293" s="25" t="s">
        <v>1174</v>
      </c>
      <c r="N293" s="19"/>
      <c r="O293" s="19"/>
      <c r="P293" s="19"/>
      <c r="Q293" s="19"/>
      <c r="R293" s="19"/>
      <c r="S293" s="19" t="str">
        <f>IF(AND(ISNUMBER(MATCH(O293,{"F","E","D","D+","C","C+","B","B+","A","A+","S"},0)),ISNUMBER(MATCH(P293,{"F","E","D","D+","C","C+","B","B+","A","A+","S"},0)),ISNUMBER(MATCH(Q293,{"F","E","D","D+","C","C+","B","B+","A","A+","S"},0)),ISNUMBER(MATCH(R293,{"F","E","D","D+","C","C+","B","B+","A","A+","S"},0))),LOOKUP(AVERAGE(_xlfn.SWITCH(O293,"F",0,"E",10,"D",20,"D+",30,"C",40,"C+",50,"B",60,"B+",70,"A",80,"A+",90,"S",100),_xlfn.SWITCH(P293,"F",0,"E",10,"D",20,"D+",30,"C",40,"C+",50,"B",60,"B+",70,"A",80,"A+",90,"S",100),_xlfn.SWITCH(Q293,"F",0,"E",10,"D",20,"D+",30,"C",40,"C+",50,"B",60,"B+",70,"A",80,"A+",90,"S",100),_xlfn.SWITCH(R293,"F",0,"E",10,"D",20,"D+",30,"C",40,"C+",50,"B",60,"B+",70,"A",80,"A+",90,"S",100)),{0,15,25,35,45,55,65,75,85,95},{"D","D","D+","C","C+","B","B+","A","A+","S"}),"?")</f>
        <v>?</v>
      </c>
      <c r="T293" s="318"/>
      <c r="U293"/>
      <c r="V293" s="123"/>
    </row>
    <row r="294" spans="11:22">
      <c r="K294" s="123"/>
      <c r="L294" s="24" t="s">
        <v>1413</v>
      </c>
      <c r="M294" s="25" t="s">
        <v>1414</v>
      </c>
      <c r="N294" s="19"/>
      <c r="O294" s="19"/>
      <c r="P294" s="19"/>
      <c r="Q294" s="19"/>
      <c r="R294" s="19"/>
      <c r="S294" s="19" t="str">
        <f>IF(AND(ISNUMBER(MATCH(O294,{"F","E","D","D+","C","C+","B","B+","A","A+","S"},0)),ISNUMBER(MATCH(P294,{"F","E","D","D+","C","C+","B","B+","A","A+","S"},0)),ISNUMBER(MATCH(Q294,{"F","E","D","D+","C","C+","B","B+","A","A+","S"},0)),ISNUMBER(MATCH(R294,{"F","E","D","D+","C","C+","B","B+","A","A+","S"},0))),LOOKUP(AVERAGE(_xlfn.SWITCH(O294,"F",0,"E",10,"D",20,"D+",30,"C",40,"C+",50,"B",60,"B+",70,"A",80,"A+",90,"S",100),_xlfn.SWITCH(P294,"F",0,"E",10,"D",20,"D+",30,"C",40,"C+",50,"B",60,"B+",70,"A",80,"A+",90,"S",100),_xlfn.SWITCH(Q294,"F",0,"E",10,"D",20,"D+",30,"C",40,"C+",50,"B",60,"B+",70,"A",80,"A+",90,"S",100),_xlfn.SWITCH(R294,"F",0,"E",10,"D",20,"D+",30,"C",40,"C+",50,"B",60,"B+",70,"A",80,"A+",90,"S",100)),{0,15,25,35,45,55,65,75,85,95},{"D","D","D+","C","C+","B","B+","A","A+","S"}),"?")</f>
        <v>?</v>
      </c>
      <c r="T294" s="318"/>
      <c r="U294"/>
      <c r="V294" s="123"/>
    </row>
    <row r="295" spans="11:22">
      <c r="K295" s="123"/>
      <c r="L295" s="24" t="s">
        <v>1415</v>
      </c>
      <c r="M295" s="25" t="s">
        <v>1416</v>
      </c>
      <c r="N295" s="19"/>
      <c r="O295" s="19"/>
      <c r="P295" s="19"/>
      <c r="Q295" s="19"/>
      <c r="R295" s="19"/>
      <c r="S295" s="19" t="str">
        <f>IF(AND(ISNUMBER(MATCH(O295,{"F","E","D","D+","C","C+","B","B+","A","A+","S"},0)),ISNUMBER(MATCH(P295,{"F","E","D","D+","C","C+","B","B+","A","A+","S"},0)),ISNUMBER(MATCH(Q295,{"F","E","D","D+","C","C+","B","B+","A","A+","S"},0)),ISNUMBER(MATCH(R295,{"F","E","D","D+","C","C+","B","B+","A","A+","S"},0))),LOOKUP(AVERAGE(_xlfn.SWITCH(O295,"F",0,"E",10,"D",20,"D+",30,"C",40,"C+",50,"B",60,"B+",70,"A",80,"A+",90,"S",100),_xlfn.SWITCH(P295,"F",0,"E",10,"D",20,"D+",30,"C",40,"C+",50,"B",60,"B+",70,"A",80,"A+",90,"S",100),_xlfn.SWITCH(Q295,"F",0,"E",10,"D",20,"D+",30,"C",40,"C+",50,"B",60,"B+",70,"A",80,"A+",90,"S",100),_xlfn.SWITCH(R295,"F",0,"E",10,"D",20,"D+",30,"C",40,"C+",50,"B",60,"B+",70,"A",80,"A+",90,"S",100)),{0,15,25,35,45,55,65,75,85,95},{"D","D","D+","C","C+","B","B+","A","A+","S"}),"?")</f>
        <v>?</v>
      </c>
      <c r="T295" s="318"/>
      <c r="U295"/>
      <c r="V295" s="123"/>
    </row>
    <row r="296" spans="11:22">
      <c r="K296" s="123"/>
      <c r="L296" s="24" t="s">
        <v>1068</v>
      </c>
      <c r="M296" s="25" t="s">
        <v>726</v>
      </c>
      <c r="N296" s="19"/>
      <c r="O296" s="19"/>
      <c r="P296" s="19"/>
      <c r="Q296" s="19"/>
      <c r="R296" s="19"/>
      <c r="S296" s="19" t="str">
        <f>IF(AND(ISNUMBER(MATCH(O296,{"F","E","D","D+","C","C+","B","B+","A","A+","S"},0)),ISNUMBER(MATCH(P296,{"F","E","D","D+","C","C+","B","B+","A","A+","S"},0)),ISNUMBER(MATCH(Q296,{"F","E","D","D+","C","C+","B","B+","A","A+","S"},0)),ISNUMBER(MATCH(R296,{"F","E","D","D+","C","C+","B","B+","A","A+","S"},0))),LOOKUP(AVERAGE(_xlfn.SWITCH(O296,"F",0,"E",10,"D",20,"D+",30,"C",40,"C+",50,"B",60,"B+",70,"A",80,"A+",90,"S",100),_xlfn.SWITCH(P296,"F",0,"E",10,"D",20,"D+",30,"C",40,"C+",50,"B",60,"B+",70,"A",80,"A+",90,"S",100),_xlfn.SWITCH(Q296,"F",0,"E",10,"D",20,"D+",30,"C",40,"C+",50,"B",60,"B+",70,"A",80,"A+",90,"S",100),_xlfn.SWITCH(R296,"F",0,"E",10,"D",20,"D+",30,"C",40,"C+",50,"B",60,"B+",70,"A",80,"A+",90,"S",100)),{0,15,25,35,45,55,65,75,85,95},{"D","D","D+","C","C+","B","B+","A","A+","S"}),"?")</f>
        <v>?</v>
      </c>
      <c r="T296" s="318"/>
      <c r="U296"/>
      <c r="V296" s="123"/>
    </row>
    <row r="297" spans="11:22">
      <c r="K297" s="123"/>
      <c r="L297" s="24" t="s">
        <v>1417</v>
      </c>
      <c r="M297" s="25" t="s">
        <v>1418</v>
      </c>
      <c r="N297" s="19"/>
      <c r="O297" s="19"/>
      <c r="P297" s="19"/>
      <c r="Q297" s="19"/>
      <c r="R297" s="19"/>
      <c r="S297" s="19" t="str">
        <f>IF(AND(ISNUMBER(MATCH(O297,{"F","E","D","D+","C","C+","B","B+","A","A+","S"},0)),ISNUMBER(MATCH(P297,{"F","E","D","D+","C","C+","B","B+","A","A+","S"},0)),ISNUMBER(MATCH(Q297,{"F","E","D","D+","C","C+","B","B+","A","A+","S"},0)),ISNUMBER(MATCH(R297,{"F","E","D","D+","C","C+","B","B+","A","A+","S"},0))),LOOKUP(AVERAGE(_xlfn.SWITCH(O297,"F",0,"E",10,"D",20,"D+",30,"C",40,"C+",50,"B",60,"B+",70,"A",80,"A+",90,"S",100),_xlfn.SWITCH(P297,"F",0,"E",10,"D",20,"D+",30,"C",40,"C+",50,"B",60,"B+",70,"A",80,"A+",90,"S",100),_xlfn.SWITCH(Q297,"F",0,"E",10,"D",20,"D+",30,"C",40,"C+",50,"B",60,"B+",70,"A",80,"A+",90,"S",100),_xlfn.SWITCH(R297,"F",0,"E",10,"D",20,"D+",30,"C",40,"C+",50,"B",60,"B+",70,"A",80,"A+",90,"S",100)),{0,15,25,35,45,55,65,75,85,95},{"D","D","D+","C","C+","B","B+","A","A+","S"}),"?")</f>
        <v>?</v>
      </c>
      <c r="T297" s="318"/>
      <c r="U297"/>
      <c r="V297" s="123"/>
    </row>
    <row r="298" spans="11:22">
      <c r="K298" s="123"/>
      <c r="L298" s="24" t="s">
        <v>1419</v>
      </c>
      <c r="M298" s="25" t="s">
        <v>22</v>
      </c>
      <c r="N298" s="19"/>
      <c r="O298" s="19"/>
      <c r="P298" s="19"/>
      <c r="Q298" s="19"/>
      <c r="R298" s="19"/>
      <c r="S298" s="19" t="str">
        <f>IF(AND(ISNUMBER(MATCH(O298,{"F","E","D","D+","C","C+","B","B+","A","A+","S"},0)),ISNUMBER(MATCH(P298,{"F","E","D","D+","C","C+","B","B+","A","A+","S"},0)),ISNUMBER(MATCH(Q298,{"F","E","D","D+","C","C+","B","B+","A","A+","S"},0)),ISNUMBER(MATCH(R298,{"F","E","D","D+","C","C+","B","B+","A","A+","S"},0))),LOOKUP(AVERAGE(_xlfn.SWITCH(O298,"F",0,"E",10,"D",20,"D+",30,"C",40,"C+",50,"B",60,"B+",70,"A",80,"A+",90,"S",100),_xlfn.SWITCH(P298,"F",0,"E",10,"D",20,"D+",30,"C",40,"C+",50,"B",60,"B+",70,"A",80,"A+",90,"S",100),_xlfn.SWITCH(Q298,"F",0,"E",10,"D",20,"D+",30,"C",40,"C+",50,"B",60,"B+",70,"A",80,"A+",90,"S",100),_xlfn.SWITCH(R298,"F",0,"E",10,"D",20,"D+",30,"C",40,"C+",50,"B",60,"B+",70,"A",80,"A+",90,"S",100)),{0,15,25,35,45,55,65,75,85,95},{"D","D","D+","C","C+","B","B+","A","A+","S"}),"?")</f>
        <v>?</v>
      </c>
      <c r="T298" s="318"/>
      <c r="U298"/>
      <c r="V298" s="123"/>
    </row>
    <row r="299" spans="11:22">
      <c r="K299" s="123"/>
      <c r="L299" s="24" t="s">
        <v>1421</v>
      </c>
      <c r="M299" s="25" t="s">
        <v>1422</v>
      </c>
      <c r="N299" s="19"/>
      <c r="O299" s="19"/>
      <c r="P299" s="19"/>
      <c r="Q299" s="19"/>
      <c r="R299" s="19"/>
      <c r="S299" s="19" t="str">
        <f>IF(AND(ISNUMBER(MATCH(O299,{"F","E","D","D+","C","C+","B","B+","A","A+","S"},0)),ISNUMBER(MATCH(P299,{"F","E","D","D+","C","C+","B","B+","A","A+","S"},0)),ISNUMBER(MATCH(Q299,{"F","E","D","D+","C","C+","B","B+","A","A+","S"},0)),ISNUMBER(MATCH(R299,{"F","E","D","D+","C","C+","B","B+","A","A+","S"},0))),LOOKUP(AVERAGE(_xlfn.SWITCH(O299,"F",0,"E",10,"D",20,"D+",30,"C",40,"C+",50,"B",60,"B+",70,"A",80,"A+",90,"S",100),_xlfn.SWITCH(P299,"F",0,"E",10,"D",20,"D+",30,"C",40,"C+",50,"B",60,"B+",70,"A",80,"A+",90,"S",100),_xlfn.SWITCH(Q299,"F",0,"E",10,"D",20,"D+",30,"C",40,"C+",50,"B",60,"B+",70,"A",80,"A+",90,"S",100),_xlfn.SWITCH(R299,"F",0,"E",10,"D",20,"D+",30,"C",40,"C+",50,"B",60,"B+",70,"A",80,"A+",90,"S",100)),{0,15,25,35,45,55,65,75,85,95},{"D","D","D+","C","C+","B","B+","A","A+","S"}),"?")</f>
        <v>?</v>
      </c>
      <c r="T299" s="318"/>
      <c r="U299"/>
      <c r="V299" s="123"/>
    </row>
    <row r="300" spans="11:22">
      <c r="K300" s="123"/>
      <c r="L300" s="24" t="s">
        <v>1051</v>
      </c>
      <c r="M300" s="25" t="s">
        <v>1052</v>
      </c>
      <c r="N300" s="19"/>
      <c r="O300" s="19"/>
      <c r="P300" s="19"/>
      <c r="Q300" s="19"/>
      <c r="R300" s="19"/>
      <c r="S300" s="19" t="str">
        <f>IF(AND(ISNUMBER(MATCH(O300,{"F","E","D","D+","C","C+","B","B+","A","A+","S"},0)),ISNUMBER(MATCH(P300,{"F","E","D","D+","C","C+","B","B+","A","A+","S"},0)),ISNUMBER(MATCH(Q300,{"F","E","D","D+","C","C+","B","B+","A","A+","S"},0)),ISNUMBER(MATCH(R300,{"F","E","D","D+","C","C+","B","B+","A","A+","S"},0))),LOOKUP(AVERAGE(_xlfn.SWITCH(O300,"F",0,"E",10,"D",20,"D+",30,"C",40,"C+",50,"B",60,"B+",70,"A",80,"A+",90,"S",100),_xlfn.SWITCH(P300,"F",0,"E",10,"D",20,"D+",30,"C",40,"C+",50,"B",60,"B+",70,"A",80,"A+",90,"S",100),_xlfn.SWITCH(Q300,"F",0,"E",10,"D",20,"D+",30,"C",40,"C+",50,"B",60,"B+",70,"A",80,"A+",90,"S",100),_xlfn.SWITCH(R300,"F",0,"E",10,"D",20,"D+",30,"C",40,"C+",50,"B",60,"B+",70,"A",80,"A+",90,"S",100)),{0,15,25,35,45,55,65,75,85,95},{"D","D","D+","C","C+","B","B+","A","A+","S"}),"?")</f>
        <v>?</v>
      </c>
      <c r="T300" s="318"/>
      <c r="U300"/>
      <c r="V300" s="123"/>
    </row>
    <row r="301" spans="11:22">
      <c r="K301" s="123"/>
      <c r="L301" s="24" t="s">
        <v>1062</v>
      </c>
      <c r="M301" s="25" t="s">
        <v>1063</v>
      </c>
      <c r="N301" s="19"/>
      <c r="O301" s="19"/>
      <c r="P301" s="19"/>
      <c r="Q301" s="19"/>
      <c r="R301" s="19"/>
      <c r="S301" s="19" t="str">
        <f>IF(AND(ISNUMBER(MATCH(O301,{"F","E","D","D+","C","C+","B","B+","A","A+","S"},0)),ISNUMBER(MATCH(P301,{"F","E","D","D+","C","C+","B","B+","A","A+","S"},0)),ISNUMBER(MATCH(Q301,{"F","E","D","D+","C","C+","B","B+","A","A+","S"},0)),ISNUMBER(MATCH(R301,{"F","E","D","D+","C","C+","B","B+","A","A+","S"},0))),LOOKUP(AVERAGE(_xlfn.SWITCH(O301,"F",0,"E",10,"D",20,"D+",30,"C",40,"C+",50,"B",60,"B+",70,"A",80,"A+",90,"S",100),_xlfn.SWITCH(P301,"F",0,"E",10,"D",20,"D+",30,"C",40,"C+",50,"B",60,"B+",70,"A",80,"A+",90,"S",100),_xlfn.SWITCH(Q301,"F",0,"E",10,"D",20,"D+",30,"C",40,"C+",50,"B",60,"B+",70,"A",80,"A+",90,"S",100),_xlfn.SWITCH(R301,"F",0,"E",10,"D",20,"D+",30,"C",40,"C+",50,"B",60,"B+",70,"A",80,"A+",90,"S",100)),{0,15,25,35,45,55,65,75,85,95},{"D","D","D+","C","C+","B","B+","A","A+","S"}),"?")</f>
        <v>?</v>
      </c>
      <c r="T301" s="318"/>
      <c r="U301"/>
      <c r="V301" s="123"/>
    </row>
    <row r="302" spans="11:22">
      <c r="K302" s="123"/>
      <c r="L302" s="24" t="s">
        <v>1423</v>
      </c>
      <c r="M302" s="25" t="s">
        <v>1424</v>
      </c>
      <c r="N302" s="19"/>
      <c r="O302" s="19"/>
      <c r="P302" s="19"/>
      <c r="Q302" s="19"/>
      <c r="R302" s="19"/>
      <c r="S302" s="19" t="str">
        <f>IF(AND(ISNUMBER(MATCH(O302,{"F","E","D","D+","C","C+","B","B+","A","A+","S"},0)),ISNUMBER(MATCH(P302,{"F","E","D","D+","C","C+","B","B+","A","A+","S"},0)),ISNUMBER(MATCH(Q302,{"F","E","D","D+","C","C+","B","B+","A","A+","S"},0)),ISNUMBER(MATCH(R302,{"F","E","D","D+","C","C+","B","B+","A","A+","S"},0))),LOOKUP(AVERAGE(_xlfn.SWITCH(O302,"F",0,"E",10,"D",20,"D+",30,"C",40,"C+",50,"B",60,"B+",70,"A",80,"A+",90,"S",100),_xlfn.SWITCH(P302,"F",0,"E",10,"D",20,"D+",30,"C",40,"C+",50,"B",60,"B+",70,"A",80,"A+",90,"S",100),_xlfn.SWITCH(Q302,"F",0,"E",10,"D",20,"D+",30,"C",40,"C+",50,"B",60,"B+",70,"A",80,"A+",90,"S",100),_xlfn.SWITCH(R302,"F",0,"E",10,"D",20,"D+",30,"C",40,"C+",50,"B",60,"B+",70,"A",80,"A+",90,"S",100)),{0,15,25,35,45,55,65,75,85,95},{"D","D","D+","C","C+","B","B+","A","A+","S"}),"?")</f>
        <v>?</v>
      </c>
      <c r="T302" s="318"/>
      <c r="U302"/>
      <c r="V302" s="123"/>
    </row>
    <row r="303" spans="11:22">
      <c r="K303" s="123"/>
      <c r="L303" s="24" t="s">
        <v>1425</v>
      </c>
      <c r="M303" s="25" t="s">
        <v>1426</v>
      </c>
      <c r="N303" s="19"/>
      <c r="O303" s="19"/>
      <c r="P303" s="19"/>
      <c r="Q303" s="19"/>
      <c r="R303" s="19"/>
      <c r="S303" s="19" t="str">
        <f>IF(AND(ISNUMBER(MATCH(O303,{"F","E","D","D+","C","C+","B","B+","A","A+","S"},0)),ISNUMBER(MATCH(P303,{"F","E","D","D+","C","C+","B","B+","A","A+","S"},0)),ISNUMBER(MATCH(Q303,{"F","E","D","D+","C","C+","B","B+","A","A+","S"},0)),ISNUMBER(MATCH(R303,{"F","E","D","D+","C","C+","B","B+","A","A+","S"},0))),LOOKUP(AVERAGE(_xlfn.SWITCH(O303,"F",0,"E",10,"D",20,"D+",30,"C",40,"C+",50,"B",60,"B+",70,"A",80,"A+",90,"S",100),_xlfn.SWITCH(P303,"F",0,"E",10,"D",20,"D+",30,"C",40,"C+",50,"B",60,"B+",70,"A",80,"A+",90,"S",100),_xlfn.SWITCH(Q303,"F",0,"E",10,"D",20,"D+",30,"C",40,"C+",50,"B",60,"B+",70,"A",80,"A+",90,"S",100),_xlfn.SWITCH(R303,"F",0,"E",10,"D",20,"D+",30,"C",40,"C+",50,"B",60,"B+",70,"A",80,"A+",90,"S",100)),{0,15,25,35,45,55,65,75,85,95},{"D","D","D+","C","C+","B","B+","A","A+","S"}),"?")</f>
        <v>?</v>
      </c>
      <c r="T303" s="318"/>
      <c r="U303"/>
      <c r="V303" s="123"/>
    </row>
    <row r="304" spans="11:22">
      <c r="K304" s="123"/>
      <c r="L304" s="24" t="s">
        <v>1195</v>
      </c>
      <c r="M304" s="25" t="s">
        <v>1196</v>
      </c>
      <c r="N304" s="19"/>
      <c r="O304" s="19"/>
      <c r="P304" s="19"/>
      <c r="Q304" s="19"/>
      <c r="R304" s="19"/>
      <c r="S304" s="19" t="str">
        <f>IF(AND(ISNUMBER(MATCH(O304,{"F","E","D","D+","C","C+","B","B+","A","A+","S"},0)),ISNUMBER(MATCH(P304,{"F","E","D","D+","C","C+","B","B+","A","A+","S"},0)),ISNUMBER(MATCH(Q304,{"F","E","D","D+","C","C+","B","B+","A","A+","S"},0)),ISNUMBER(MATCH(R304,{"F","E","D","D+","C","C+","B","B+","A","A+","S"},0))),LOOKUP(AVERAGE(_xlfn.SWITCH(O304,"F",0,"E",10,"D",20,"D+",30,"C",40,"C+",50,"B",60,"B+",70,"A",80,"A+",90,"S",100),_xlfn.SWITCH(P304,"F",0,"E",10,"D",20,"D+",30,"C",40,"C+",50,"B",60,"B+",70,"A",80,"A+",90,"S",100),_xlfn.SWITCH(Q304,"F",0,"E",10,"D",20,"D+",30,"C",40,"C+",50,"B",60,"B+",70,"A",80,"A+",90,"S",100),_xlfn.SWITCH(R304,"F",0,"E",10,"D",20,"D+",30,"C",40,"C+",50,"B",60,"B+",70,"A",80,"A+",90,"S",100)),{0,15,25,35,45,55,65,75,85,95},{"D","D","D+","C","C+","B","B+","A","A+","S"}),"?")</f>
        <v>?</v>
      </c>
      <c r="T304" s="318"/>
      <c r="U304"/>
      <c r="V304" s="123"/>
    </row>
    <row r="305" spans="11:22">
      <c r="K305" s="123"/>
      <c r="L305" s="24" t="s">
        <v>1427</v>
      </c>
      <c r="M305" s="25" t="s">
        <v>22</v>
      </c>
      <c r="N305" s="19"/>
      <c r="O305" s="19"/>
      <c r="P305" s="19"/>
      <c r="Q305" s="19"/>
      <c r="R305" s="19"/>
      <c r="S305" s="19" t="str">
        <f>IF(AND(ISNUMBER(MATCH(O305,{"F","E","D","D+","C","C+","B","B+","A","A+","S"},0)),ISNUMBER(MATCH(P305,{"F","E","D","D+","C","C+","B","B+","A","A+","S"},0)),ISNUMBER(MATCH(Q305,{"F","E","D","D+","C","C+","B","B+","A","A+","S"},0)),ISNUMBER(MATCH(R305,{"F","E","D","D+","C","C+","B","B+","A","A+","S"},0))),LOOKUP(AVERAGE(_xlfn.SWITCH(O305,"F",0,"E",10,"D",20,"D+",30,"C",40,"C+",50,"B",60,"B+",70,"A",80,"A+",90,"S",100),_xlfn.SWITCH(P305,"F",0,"E",10,"D",20,"D+",30,"C",40,"C+",50,"B",60,"B+",70,"A",80,"A+",90,"S",100),_xlfn.SWITCH(Q305,"F",0,"E",10,"D",20,"D+",30,"C",40,"C+",50,"B",60,"B+",70,"A",80,"A+",90,"S",100),_xlfn.SWITCH(R305,"F",0,"E",10,"D",20,"D+",30,"C",40,"C+",50,"B",60,"B+",70,"A",80,"A+",90,"S",100)),{0,15,25,35,45,55,65,75,85,95},{"D","D","D+","C","C+","B","B+","A","A+","S"}),"?")</f>
        <v>?</v>
      </c>
      <c r="T305" s="318"/>
      <c r="U305"/>
      <c r="V305" s="123"/>
    </row>
    <row r="306" spans="11:22">
      <c r="K306" s="123"/>
      <c r="L306" s="24" t="s">
        <v>1073</v>
      </c>
      <c r="M306" s="25" t="s">
        <v>1074</v>
      </c>
      <c r="N306" s="19"/>
      <c r="O306" s="19"/>
      <c r="P306" s="19"/>
      <c r="Q306" s="19"/>
      <c r="R306" s="19"/>
      <c r="S306" s="19" t="str">
        <f>IF(AND(ISNUMBER(MATCH(O306,{"F","E","D","D+","C","C+","B","B+","A","A+","S"},0)),ISNUMBER(MATCH(P306,{"F","E","D","D+","C","C+","B","B+","A","A+","S"},0)),ISNUMBER(MATCH(Q306,{"F","E","D","D+","C","C+","B","B+","A","A+","S"},0)),ISNUMBER(MATCH(R306,{"F","E","D","D+","C","C+","B","B+","A","A+","S"},0))),LOOKUP(AVERAGE(_xlfn.SWITCH(O306,"F",0,"E",10,"D",20,"D+",30,"C",40,"C+",50,"B",60,"B+",70,"A",80,"A+",90,"S",100),_xlfn.SWITCH(P306,"F",0,"E",10,"D",20,"D+",30,"C",40,"C+",50,"B",60,"B+",70,"A",80,"A+",90,"S",100),_xlfn.SWITCH(Q306,"F",0,"E",10,"D",20,"D+",30,"C",40,"C+",50,"B",60,"B+",70,"A",80,"A+",90,"S",100),_xlfn.SWITCH(R306,"F",0,"E",10,"D",20,"D+",30,"C",40,"C+",50,"B",60,"B+",70,"A",80,"A+",90,"S",100)),{0,15,25,35,45,55,65,75,85,95},{"D","D","D+","C","C+","B","B+","A","A+","S"}),"?")</f>
        <v>?</v>
      </c>
      <c r="T306" s="318"/>
      <c r="U306"/>
      <c r="V306" s="123"/>
    </row>
    <row r="307" spans="11:22">
      <c r="K307" s="123"/>
      <c r="L307" s="24" t="s">
        <v>1429</v>
      </c>
      <c r="M307" s="25" t="s">
        <v>1430</v>
      </c>
      <c r="N307" s="19"/>
      <c r="O307" s="19"/>
      <c r="P307" s="19"/>
      <c r="Q307" s="19"/>
      <c r="R307" s="19"/>
      <c r="S307" s="19" t="str">
        <f>IF(AND(ISNUMBER(MATCH(O307,{"F","E","D","D+","C","C+","B","B+","A","A+","S"},0)),ISNUMBER(MATCH(P307,{"F","E","D","D+","C","C+","B","B+","A","A+","S"},0)),ISNUMBER(MATCH(Q307,{"F","E","D","D+","C","C+","B","B+","A","A+","S"},0)),ISNUMBER(MATCH(R307,{"F","E","D","D+","C","C+","B","B+","A","A+","S"},0))),LOOKUP(AVERAGE(_xlfn.SWITCH(O307,"F",0,"E",10,"D",20,"D+",30,"C",40,"C+",50,"B",60,"B+",70,"A",80,"A+",90,"S",100),_xlfn.SWITCH(P307,"F",0,"E",10,"D",20,"D+",30,"C",40,"C+",50,"B",60,"B+",70,"A",80,"A+",90,"S",100),_xlfn.SWITCH(Q307,"F",0,"E",10,"D",20,"D+",30,"C",40,"C+",50,"B",60,"B+",70,"A",80,"A+",90,"S",100),_xlfn.SWITCH(R307,"F",0,"E",10,"D",20,"D+",30,"C",40,"C+",50,"B",60,"B+",70,"A",80,"A+",90,"S",100)),{0,15,25,35,45,55,65,75,85,95},{"D","D","D+","C","C+","B","B+","A","A+","S"}),"?")</f>
        <v>?</v>
      </c>
      <c r="T307" s="318"/>
      <c r="U307"/>
      <c r="V307" s="123"/>
    </row>
    <row r="308" spans="11:22">
      <c r="K308" s="123"/>
      <c r="L308" s="24" t="s">
        <v>1190</v>
      </c>
      <c r="M308" s="25" t="s">
        <v>1191</v>
      </c>
      <c r="N308" s="19"/>
      <c r="O308" s="19"/>
      <c r="P308" s="19"/>
      <c r="Q308" s="19"/>
      <c r="R308" s="19"/>
      <c r="S308" s="19" t="str">
        <f>IF(AND(ISNUMBER(MATCH(O308,{"F","E","D","D+","C","C+","B","B+","A","A+","S"},0)),ISNUMBER(MATCH(P308,{"F","E","D","D+","C","C+","B","B+","A","A+","S"},0)),ISNUMBER(MATCH(Q308,{"F","E","D","D+","C","C+","B","B+","A","A+","S"},0)),ISNUMBER(MATCH(R308,{"F","E","D","D+","C","C+","B","B+","A","A+","S"},0))),LOOKUP(AVERAGE(_xlfn.SWITCH(O308,"F",0,"E",10,"D",20,"D+",30,"C",40,"C+",50,"B",60,"B+",70,"A",80,"A+",90,"S",100),_xlfn.SWITCH(P308,"F",0,"E",10,"D",20,"D+",30,"C",40,"C+",50,"B",60,"B+",70,"A",80,"A+",90,"S",100),_xlfn.SWITCH(Q308,"F",0,"E",10,"D",20,"D+",30,"C",40,"C+",50,"B",60,"B+",70,"A",80,"A+",90,"S",100),_xlfn.SWITCH(R308,"F",0,"E",10,"D",20,"D+",30,"C",40,"C+",50,"B",60,"B+",70,"A",80,"A+",90,"S",100)),{0,15,25,35,45,55,65,75,85,95},{"D","D","D+","C","C+","B","B+","A","A+","S"}),"?")</f>
        <v>?</v>
      </c>
      <c r="T308" s="318"/>
      <c r="U308"/>
      <c r="V308" s="123"/>
    </row>
    <row r="309" spans="11:22">
      <c r="K309" s="123"/>
      <c r="L309" s="24" t="s">
        <v>1147</v>
      </c>
      <c r="M309" s="25" t="s">
        <v>1148</v>
      </c>
      <c r="N309" s="19"/>
      <c r="O309" s="19"/>
      <c r="P309" s="19"/>
      <c r="Q309" s="19"/>
      <c r="R309" s="19"/>
      <c r="S309" s="19" t="str">
        <f>IF(AND(ISNUMBER(MATCH(O309,{"F","E","D","D+","C","C+","B","B+","A","A+","S"},0)),ISNUMBER(MATCH(P309,{"F","E","D","D+","C","C+","B","B+","A","A+","S"},0)),ISNUMBER(MATCH(Q309,{"F","E","D","D+","C","C+","B","B+","A","A+","S"},0)),ISNUMBER(MATCH(R309,{"F","E","D","D+","C","C+","B","B+","A","A+","S"},0))),LOOKUP(AVERAGE(_xlfn.SWITCH(O309,"F",0,"E",10,"D",20,"D+",30,"C",40,"C+",50,"B",60,"B+",70,"A",80,"A+",90,"S",100),_xlfn.SWITCH(P309,"F",0,"E",10,"D",20,"D+",30,"C",40,"C+",50,"B",60,"B+",70,"A",80,"A+",90,"S",100),_xlfn.SWITCH(Q309,"F",0,"E",10,"D",20,"D+",30,"C",40,"C+",50,"B",60,"B+",70,"A",80,"A+",90,"S",100),_xlfn.SWITCH(R309,"F",0,"E",10,"D",20,"D+",30,"C",40,"C+",50,"B",60,"B+",70,"A",80,"A+",90,"S",100)),{0,15,25,35,45,55,65,75,85,95},{"D","D","D+","C","C+","B","B+","A","A+","S"}),"?")</f>
        <v>?</v>
      </c>
      <c r="T309" s="318"/>
      <c r="U309"/>
      <c r="V309" s="123"/>
    </row>
    <row r="310" spans="11:22">
      <c r="K310" s="123"/>
      <c r="L310" s="24" t="s">
        <v>1121</v>
      </c>
      <c r="M310" s="25" t="s">
        <v>1122</v>
      </c>
      <c r="N310" s="19"/>
      <c r="O310" s="19"/>
      <c r="P310" s="19"/>
      <c r="Q310" s="19"/>
      <c r="R310" s="19"/>
      <c r="S310" s="19" t="str">
        <f>IF(AND(ISNUMBER(MATCH(O310,{"F","E","D","D+","C","C+","B","B+","A","A+","S"},0)),ISNUMBER(MATCH(P310,{"F","E","D","D+","C","C+","B","B+","A","A+","S"},0)),ISNUMBER(MATCH(Q310,{"F","E","D","D+","C","C+","B","B+","A","A+","S"},0)),ISNUMBER(MATCH(R310,{"F","E","D","D+","C","C+","B","B+","A","A+","S"},0))),LOOKUP(AVERAGE(_xlfn.SWITCH(O310,"F",0,"E",10,"D",20,"D+",30,"C",40,"C+",50,"B",60,"B+",70,"A",80,"A+",90,"S",100),_xlfn.SWITCH(P310,"F",0,"E",10,"D",20,"D+",30,"C",40,"C+",50,"B",60,"B+",70,"A",80,"A+",90,"S",100),_xlfn.SWITCH(Q310,"F",0,"E",10,"D",20,"D+",30,"C",40,"C+",50,"B",60,"B+",70,"A",80,"A+",90,"S",100),_xlfn.SWITCH(R310,"F",0,"E",10,"D",20,"D+",30,"C",40,"C+",50,"B",60,"B+",70,"A",80,"A+",90,"S",100)),{0,15,25,35,45,55,65,75,85,95},{"D","D","D+","C","C+","B","B+","A","A+","S"}),"?")</f>
        <v>?</v>
      </c>
      <c r="T310" s="318"/>
      <c r="U310"/>
      <c r="V310" s="123"/>
    </row>
    <row r="311" spans="11:22">
      <c r="K311" s="123"/>
      <c r="L311" s="24" t="s">
        <v>1431</v>
      </c>
      <c r="M311" s="25" t="s">
        <v>1432</v>
      </c>
      <c r="N311" s="19"/>
      <c r="O311" s="19"/>
      <c r="P311" s="19"/>
      <c r="Q311" s="19"/>
      <c r="R311" s="19"/>
      <c r="S311" s="19" t="str">
        <f>IF(AND(ISNUMBER(MATCH(O311,{"F","E","D","D+","C","C+","B","B+","A","A+","S"},0)),ISNUMBER(MATCH(P311,{"F","E","D","D+","C","C+","B","B+","A","A+","S"},0)),ISNUMBER(MATCH(Q311,{"F","E","D","D+","C","C+","B","B+","A","A+","S"},0)),ISNUMBER(MATCH(R311,{"F","E","D","D+","C","C+","B","B+","A","A+","S"},0))),LOOKUP(AVERAGE(_xlfn.SWITCH(O311,"F",0,"E",10,"D",20,"D+",30,"C",40,"C+",50,"B",60,"B+",70,"A",80,"A+",90,"S",100),_xlfn.SWITCH(P311,"F",0,"E",10,"D",20,"D+",30,"C",40,"C+",50,"B",60,"B+",70,"A",80,"A+",90,"S",100),_xlfn.SWITCH(Q311,"F",0,"E",10,"D",20,"D+",30,"C",40,"C+",50,"B",60,"B+",70,"A",80,"A+",90,"S",100),_xlfn.SWITCH(R311,"F",0,"E",10,"D",20,"D+",30,"C",40,"C+",50,"B",60,"B+",70,"A",80,"A+",90,"S",100)),{0,15,25,35,45,55,65,75,85,95},{"D","D","D+","C","C+","B","B+","A","A+","S"}),"?")</f>
        <v>?</v>
      </c>
      <c r="T311" s="318"/>
      <c r="U311"/>
      <c r="V311" s="123"/>
    </row>
    <row r="312" spans="11:22">
      <c r="K312" s="123"/>
      <c r="L312" s="24" t="s">
        <v>1433</v>
      </c>
      <c r="M312" s="25" t="s">
        <v>1434</v>
      </c>
      <c r="N312" s="19"/>
      <c r="O312" s="19"/>
      <c r="P312" s="19"/>
      <c r="Q312" s="19"/>
      <c r="R312" s="19"/>
      <c r="S312" s="19" t="str">
        <f>IF(AND(ISNUMBER(MATCH(O312,{"F","E","D","D+","C","C+","B","B+","A","A+","S"},0)),ISNUMBER(MATCH(P312,{"F","E","D","D+","C","C+","B","B+","A","A+","S"},0)),ISNUMBER(MATCH(Q312,{"F","E","D","D+","C","C+","B","B+","A","A+","S"},0)),ISNUMBER(MATCH(R312,{"F","E","D","D+","C","C+","B","B+","A","A+","S"},0))),LOOKUP(AVERAGE(_xlfn.SWITCH(O312,"F",0,"E",10,"D",20,"D+",30,"C",40,"C+",50,"B",60,"B+",70,"A",80,"A+",90,"S",100),_xlfn.SWITCH(P312,"F",0,"E",10,"D",20,"D+",30,"C",40,"C+",50,"B",60,"B+",70,"A",80,"A+",90,"S",100),_xlfn.SWITCH(Q312,"F",0,"E",10,"D",20,"D+",30,"C",40,"C+",50,"B",60,"B+",70,"A",80,"A+",90,"S",100),_xlfn.SWITCH(R312,"F",0,"E",10,"D",20,"D+",30,"C",40,"C+",50,"B",60,"B+",70,"A",80,"A+",90,"S",100)),{0,15,25,35,45,55,65,75,85,95},{"D","D","D+","C","C+","B","B+","A","A+","S"}),"?")</f>
        <v>?</v>
      </c>
      <c r="T312" s="318"/>
      <c r="U312"/>
      <c r="V312" s="123"/>
    </row>
    <row r="313" spans="11:22">
      <c r="K313" s="123"/>
      <c r="L313" s="24" t="s">
        <v>1435</v>
      </c>
      <c r="M313" s="25" t="s">
        <v>1436</v>
      </c>
      <c r="N313" s="19"/>
      <c r="O313" s="19"/>
      <c r="P313" s="19"/>
      <c r="Q313" s="19"/>
      <c r="R313" s="19"/>
      <c r="S313" s="19" t="str">
        <f>IF(AND(ISNUMBER(MATCH(O313,{"F","E","D","D+","C","C+","B","B+","A","A+","S"},0)),ISNUMBER(MATCH(P313,{"F","E","D","D+","C","C+","B","B+","A","A+","S"},0)),ISNUMBER(MATCH(Q313,{"F","E","D","D+","C","C+","B","B+","A","A+","S"},0)),ISNUMBER(MATCH(R313,{"F","E","D","D+","C","C+","B","B+","A","A+","S"},0))),LOOKUP(AVERAGE(_xlfn.SWITCH(O313,"F",0,"E",10,"D",20,"D+",30,"C",40,"C+",50,"B",60,"B+",70,"A",80,"A+",90,"S",100),_xlfn.SWITCH(P313,"F",0,"E",10,"D",20,"D+",30,"C",40,"C+",50,"B",60,"B+",70,"A",80,"A+",90,"S",100),_xlfn.SWITCH(Q313,"F",0,"E",10,"D",20,"D+",30,"C",40,"C+",50,"B",60,"B+",70,"A",80,"A+",90,"S",100),_xlfn.SWITCH(R313,"F",0,"E",10,"D",20,"D+",30,"C",40,"C+",50,"B",60,"B+",70,"A",80,"A+",90,"S",100)),{0,15,25,35,45,55,65,75,85,95},{"D","D","D+","C","C+","B","B+","A","A+","S"}),"?")</f>
        <v>?</v>
      </c>
      <c r="T313" s="318"/>
      <c r="U313"/>
      <c r="V313" s="123"/>
    </row>
    <row r="314" spans="11:22">
      <c r="K314" s="123"/>
      <c r="L314" s="24" t="s">
        <v>1437</v>
      </c>
      <c r="M314" s="25" t="s">
        <v>1438</v>
      </c>
      <c r="N314" s="19"/>
      <c r="O314" s="19"/>
      <c r="P314" s="19"/>
      <c r="Q314" s="19"/>
      <c r="R314" s="19"/>
      <c r="S314" s="19" t="str">
        <f>IF(AND(ISNUMBER(MATCH(O314,{"F","E","D","D+","C","C+","B","B+","A","A+","S"},0)),ISNUMBER(MATCH(P314,{"F","E","D","D+","C","C+","B","B+","A","A+","S"},0)),ISNUMBER(MATCH(Q314,{"F","E","D","D+","C","C+","B","B+","A","A+","S"},0)),ISNUMBER(MATCH(R314,{"F","E","D","D+","C","C+","B","B+","A","A+","S"},0))),LOOKUP(AVERAGE(_xlfn.SWITCH(O314,"F",0,"E",10,"D",20,"D+",30,"C",40,"C+",50,"B",60,"B+",70,"A",80,"A+",90,"S",100),_xlfn.SWITCH(P314,"F",0,"E",10,"D",20,"D+",30,"C",40,"C+",50,"B",60,"B+",70,"A",80,"A+",90,"S",100),_xlfn.SWITCH(Q314,"F",0,"E",10,"D",20,"D+",30,"C",40,"C+",50,"B",60,"B+",70,"A",80,"A+",90,"S",100),_xlfn.SWITCH(R314,"F",0,"E",10,"D",20,"D+",30,"C",40,"C+",50,"B",60,"B+",70,"A",80,"A+",90,"S",100)),{0,15,25,35,45,55,65,75,85,95},{"D","D","D+","C","C+","B","B+","A","A+","S"}),"?")</f>
        <v>?</v>
      </c>
      <c r="T314" s="318"/>
      <c r="U314"/>
      <c r="V314" s="123"/>
    </row>
    <row r="315" spans="11:22">
      <c r="K315" s="123"/>
      <c r="L315" s="24" t="s">
        <v>1206</v>
      </c>
      <c r="M315" s="25" t="s">
        <v>1207</v>
      </c>
      <c r="N315" s="19"/>
      <c r="O315" s="19"/>
      <c r="P315" s="19"/>
      <c r="Q315" s="19"/>
      <c r="R315" s="19"/>
      <c r="S315" s="19" t="str">
        <f>IF(AND(ISNUMBER(MATCH(O315,{"F","E","D","D+","C","C+","B","B+","A","A+","S"},0)),ISNUMBER(MATCH(P315,{"F","E","D","D+","C","C+","B","B+","A","A+","S"},0)),ISNUMBER(MATCH(Q315,{"F","E","D","D+","C","C+","B","B+","A","A+","S"},0)),ISNUMBER(MATCH(R315,{"F","E","D","D+","C","C+","B","B+","A","A+","S"},0))),LOOKUP(AVERAGE(_xlfn.SWITCH(O315,"F",0,"E",10,"D",20,"D+",30,"C",40,"C+",50,"B",60,"B+",70,"A",80,"A+",90,"S",100),_xlfn.SWITCH(P315,"F",0,"E",10,"D",20,"D+",30,"C",40,"C+",50,"B",60,"B+",70,"A",80,"A+",90,"S",100),_xlfn.SWITCH(Q315,"F",0,"E",10,"D",20,"D+",30,"C",40,"C+",50,"B",60,"B+",70,"A",80,"A+",90,"S",100),_xlfn.SWITCH(R315,"F",0,"E",10,"D",20,"D+",30,"C",40,"C+",50,"B",60,"B+",70,"A",80,"A+",90,"S",100)),{0,15,25,35,45,55,65,75,85,95},{"D","D","D+","C","C+","B","B+","A","A+","S"}),"?")</f>
        <v>?</v>
      </c>
      <c r="T315" s="318"/>
      <c r="U315"/>
      <c r="V315" s="123"/>
    </row>
    <row r="316" spans="11:22">
      <c r="K316" s="123"/>
      <c r="L316" s="24" t="s">
        <v>1439</v>
      </c>
      <c r="M316" s="25" t="s">
        <v>1440</v>
      </c>
      <c r="N316" s="19"/>
      <c r="O316" s="19"/>
      <c r="P316" s="19"/>
      <c r="Q316" s="19"/>
      <c r="R316" s="19"/>
      <c r="S316" s="19" t="str">
        <f>IF(AND(ISNUMBER(MATCH(O316,{"F","E","D","D+","C","C+","B","B+","A","A+","S"},0)),ISNUMBER(MATCH(P316,{"F","E","D","D+","C","C+","B","B+","A","A+","S"},0)),ISNUMBER(MATCH(Q316,{"F","E","D","D+","C","C+","B","B+","A","A+","S"},0)),ISNUMBER(MATCH(R316,{"F","E","D","D+","C","C+","B","B+","A","A+","S"},0))),LOOKUP(AVERAGE(_xlfn.SWITCH(O316,"F",0,"E",10,"D",20,"D+",30,"C",40,"C+",50,"B",60,"B+",70,"A",80,"A+",90,"S",100),_xlfn.SWITCH(P316,"F",0,"E",10,"D",20,"D+",30,"C",40,"C+",50,"B",60,"B+",70,"A",80,"A+",90,"S",100),_xlfn.SWITCH(Q316,"F",0,"E",10,"D",20,"D+",30,"C",40,"C+",50,"B",60,"B+",70,"A",80,"A+",90,"S",100),_xlfn.SWITCH(R316,"F",0,"E",10,"D",20,"D+",30,"C",40,"C+",50,"B",60,"B+",70,"A",80,"A+",90,"S",100)),{0,15,25,35,45,55,65,75,85,95},{"D","D","D+","C","C+","B","B+","A","A+","S"}),"?")</f>
        <v>?</v>
      </c>
      <c r="T316" s="318"/>
      <c r="U316"/>
      <c r="V316" s="123"/>
    </row>
    <row r="317" spans="11:22">
      <c r="K317" s="123"/>
      <c r="L317" s="24" t="s">
        <v>1228</v>
      </c>
      <c r="M317" s="25" t="s">
        <v>1229</v>
      </c>
      <c r="N317" s="19"/>
      <c r="O317" s="19"/>
      <c r="P317" s="19"/>
      <c r="Q317" s="19"/>
      <c r="R317" s="19"/>
      <c r="S317" s="19" t="str">
        <f>IF(AND(ISNUMBER(MATCH(O317,{"F","E","D","D+","C","C+","B","B+","A","A+","S"},0)),ISNUMBER(MATCH(P317,{"F","E","D","D+","C","C+","B","B+","A","A+","S"},0)),ISNUMBER(MATCH(Q317,{"F","E","D","D+","C","C+","B","B+","A","A+","S"},0)),ISNUMBER(MATCH(R317,{"F","E","D","D+","C","C+","B","B+","A","A+","S"},0))),LOOKUP(AVERAGE(_xlfn.SWITCH(O317,"F",0,"E",10,"D",20,"D+",30,"C",40,"C+",50,"B",60,"B+",70,"A",80,"A+",90,"S",100),_xlfn.SWITCH(P317,"F",0,"E",10,"D",20,"D+",30,"C",40,"C+",50,"B",60,"B+",70,"A",80,"A+",90,"S",100),_xlfn.SWITCH(Q317,"F",0,"E",10,"D",20,"D+",30,"C",40,"C+",50,"B",60,"B+",70,"A",80,"A+",90,"S",100),_xlfn.SWITCH(R317,"F",0,"E",10,"D",20,"D+",30,"C",40,"C+",50,"B",60,"B+",70,"A",80,"A+",90,"S",100)),{0,15,25,35,45,55,65,75,85,95},{"D","D","D+","C","C+","B","B+","A","A+","S"}),"?")</f>
        <v>?</v>
      </c>
      <c r="T317" s="318"/>
      <c r="U317"/>
      <c r="V317" s="123"/>
    </row>
    <row r="318" spans="11:22">
      <c r="K318" s="123"/>
      <c r="L318" s="24" t="s">
        <v>1441</v>
      </c>
      <c r="M318" s="25" t="s">
        <v>1442</v>
      </c>
      <c r="N318" s="19"/>
      <c r="O318" s="19"/>
      <c r="P318" s="19"/>
      <c r="Q318" s="19"/>
      <c r="R318" s="19"/>
      <c r="S318" s="19" t="str">
        <f>IF(AND(ISNUMBER(MATCH(O318,{"F","E","D","D+","C","C+","B","B+","A","A+","S"},0)),ISNUMBER(MATCH(P318,{"F","E","D","D+","C","C+","B","B+","A","A+","S"},0)),ISNUMBER(MATCH(Q318,{"F","E","D","D+","C","C+","B","B+","A","A+","S"},0)),ISNUMBER(MATCH(R318,{"F","E","D","D+","C","C+","B","B+","A","A+","S"},0))),LOOKUP(AVERAGE(_xlfn.SWITCH(O318,"F",0,"E",10,"D",20,"D+",30,"C",40,"C+",50,"B",60,"B+",70,"A",80,"A+",90,"S",100),_xlfn.SWITCH(P318,"F",0,"E",10,"D",20,"D+",30,"C",40,"C+",50,"B",60,"B+",70,"A",80,"A+",90,"S",100),_xlfn.SWITCH(Q318,"F",0,"E",10,"D",20,"D+",30,"C",40,"C+",50,"B",60,"B+",70,"A",80,"A+",90,"S",100),_xlfn.SWITCH(R318,"F",0,"E",10,"D",20,"D+",30,"C",40,"C+",50,"B",60,"B+",70,"A",80,"A+",90,"S",100)),{0,15,25,35,45,55,65,75,85,95},{"D","D","D+","C","C+","B","B+","A","A+","S"}),"?")</f>
        <v>?</v>
      </c>
      <c r="T318" s="318"/>
      <c r="U318"/>
      <c r="V318" s="123"/>
    </row>
    <row r="319" spans="11:22">
      <c r="K319" s="123"/>
      <c r="L319" s="24" t="s">
        <v>1163</v>
      </c>
      <c r="M319" s="25" t="s">
        <v>1164</v>
      </c>
      <c r="N319" s="19"/>
      <c r="O319" s="19"/>
      <c r="P319" s="19"/>
      <c r="Q319" s="19"/>
      <c r="R319" s="19"/>
      <c r="S319" s="19" t="str">
        <f>IF(AND(ISNUMBER(MATCH(O319,{"F","E","D","D+","C","C+","B","B+","A","A+","S"},0)),ISNUMBER(MATCH(P319,{"F","E","D","D+","C","C+","B","B+","A","A+","S"},0)),ISNUMBER(MATCH(Q319,{"F","E","D","D+","C","C+","B","B+","A","A+","S"},0)),ISNUMBER(MATCH(R319,{"F","E","D","D+","C","C+","B","B+","A","A+","S"},0))),LOOKUP(AVERAGE(_xlfn.SWITCH(O319,"F",0,"E",10,"D",20,"D+",30,"C",40,"C+",50,"B",60,"B+",70,"A",80,"A+",90,"S",100),_xlfn.SWITCH(P319,"F",0,"E",10,"D",20,"D+",30,"C",40,"C+",50,"B",60,"B+",70,"A",80,"A+",90,"S",100),_xlfn.SWITCH(Q319,"F",0,"E",10,"D",20,"D+",30,"C",40,"C+",50,"B",60,"B+",70,"A",80,"A+",90,"S",100),_xlfn.SWITCH(R319,"F",0,"E",10,"D",20,"D+",30,"C",40,"C+",50,"B",60,"B+",70,"A",80,"A+",90,"S",100)),{0,15,25,35,45,55,65,75,85,95},{"D","D","D+","C","C+","B","B+","A","A+","S"}),"?")</f>
        <v>?</v>
      </c>
      <c r="T319" s="318"/>
      <c r="U319"/>
      <c r="V319" s="123"/>
    </row>
    <row r="320" spans="11:22">
      <c r="K320" s="123"/>
      <c r="L320" s="24" t="s">
        <v>1443</v>
      </c>
      <c r="M320" s="43" t="s">
        <v>1444</v>
      </c>
      <c r="N320" s="19"/>
      <c r="O320" s="19"/>
      <c r="P320" s="19"/>
      <c r="Q320" s="19"/>
      <c r="R320" s="19"/>
      <c r="S320" s="19" t="str">
        <f>IF(AND(ISNUMBER(MATCH(O320,{"F","E","D","D+","C","C+","B","B+","A","A+","S"},0)),ISNUMBER(MATCH(P320,{"F","E","D","D+","C","C+","B","B+","A","A+","S"},0)),ISNUMBER(MATCH(Q320,{"F","E","D","D+","C","C+","B","B+","A","A+","S"},0)),ISNUMBER(MATCH(R320,{"F","E","D","D+","C","C+","B","B+","A","A+","S"},0))),LOOKUP(AVERAGE(_xlfn.SWITCH(O320,"F",0,"E",10,"D",20,"D+",30,"C",40,"C+",50,"B",60,"B+",70,"A",80,"A+",90,"S",100),_xlfn.SWITCH(P320,"F",0,"E",10,"D",20,"D+",30,"C",40,"C+",50,"B",60,"B+",70,"A",80,"A+",90,"S",100),_xlfn.SWITCH(Q320,"F",0,"E",10,"D",20,"D+",30,"C",40,"C+",50,"B",60,"B+",70,"A",80,"A+",90,"S",100),_xlfn.SWITCH(R320,"F",0,"E",10,"D",20,"D+",30,"C",40,"C+",50,"B",60,"B+",70,"A",80,"A+",90,"S",100)),{0,15,25,35,45,55,65,75,85,95},{"D","D","D+","C","C+","B","B+","A","A+","S"}),"?")</f>
        <v>?</v>
      </c>
      <c r="T320" s="318"/>
      <c r="U320"/>
      <c r="V320" s="123"/>
    </row>
  </sheetData>
  <autoFilter ref="A1:J266" xr:uid="{00000000-0009-0000-0000-000015000000}"/>
  <mergeCells count="10">
    <mergeCell ref="A2:J2"/>
    <mergeCell ref="A106:J106"/>
    <mergeCell ref="A179:J179"/>
    <mergeCell ref="A220:J220"/>
    <mergeCell ref="A1:J1"/>
    <mergeCell ref="L1:U1"/>
    <mergeCell ref="L2:U2"/>
    <mergeCell ref="L135:U136"/>
    <mergeCell ref="L227:U228"/>
    <mergeCell ref="L275:U276"/>
  </mergeCells>
  <phoneticPr fontId="89" type="noConversion"/>
  <dataValidations count="1">
    <dataValidation type="list" allowBlank="1" showInputMessage="1" showErrorMessage="1" sqref="N277:S320 C222:H266" xr:uid="{00000000-0002-0000-1500-000000000000}">
      <formula1>"S,A+,A,B+,B,C+,C,D+,D,?,"</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JFLACSCAAF"/>
  <dimension ref="A1:U265"/>
  <sheetViews>
    <sheetView workbookViewId="0"/>
  </sheetViews>
  <sheetFormatPr baseColWidth="10" defaultColWidth="13.7109375" defaultRowHeight="18" customHeight="1"/>
  <cols>
    <col min="1" max="1" width="11" style="159" customWidth="1"/>
    <col min="2" max="2" width="34.85546875" style="159" customWidth="1"/>
    <col min="3" max="3" width="15.7109375" style="322" customWidth="1"/>
    <col min="4" max="4" width="10.85546875" style="322" customWidth="1"/>
    <col min="5" max="5" width="117.7109375" style="5" customWidth="1"/>
    <col min="6" max="6" width="6" style="506" customWidth="1"/>
    <col min="7" max="7" width="12.5703125" style="159" customWidth="1"/>
    <col min="8" max="8" width="34.85546875" style="159" customWidth="1"/>
    <col min="9" max="9" width="16.85546875" style="509" customWidth="1"/>
    <col min="10" max="10" width="15.85546875" style="509" customWidth="1"/>
    <col min="11" max="11" width="6.85546875" style="159" customWidth="1"/>
    <col min="12" max="12" width="74.140625" style="5" customWidth="1"/>
    <col min="13" max="15" width="12.5703125" style="159" customWidth="1"/>
    <col min="16" max="16" width="34.5703125" style="159" customWidth="1"/>
    <col min="17" max="18" width="8.140625" style="159" customWidth="1"/>
    <col min="19" max="19" width="47.85546875" style="159" customWidth="1"/>
    <col min="20" max="21" width="12.5703125" style="159" customWidth="1"/>
  </cols>
  <sheetData>
    <row r="1" spans="1:21">
      <c r="A1" s="551" t="s">
        <v>3516</v>
      </c>
      <c r="B1" s="543"/>
      <c r="C1" s="552"/>
      <c r="D1" s="552"/>
      <c r="E1" s="543"/>
      <c r="F1" s="195"/>
      <c r="G1" s="5"/>
      <c r="H1" s="5"/>
      <c r="I1" s="322"/>
      <c r="J1" s="322"/>
      <c r="K1" s="5"/>
      <c r="M1" s="5"/>
      <c r="N1" s="5"/>
      <c r="O1" s="5"/>
      <c r="P1" s="5"/>
      <c r="Q1" s="5"/>
      <c r="R1" s="5"/>
      <c r="S1" s="5"/>
      <c r="T1" s="5"/>
      <c r="U1" s="5"/>
    </row>
    <row r="2" spans="1:21" ht="30" customHeight="1">
      <c r="A2" s="540" t="s">
        <v>1</v>
      </c>
      <c r="B2" s="543"/>
      <c r="C2" s="550"/>
      <c r="D2" s="550"/>
      <c r="E2" s="543"/>
      <c r="F2" s="195"/>
      <c r="G2" s="540" t="s">
        <v>2</v>
      </c>
      <c r="H2" s="543"/>
      <c r="I2" s="543"/>
      <c r="J2" s="543"/>
      <c r="K2" s="4"/>
      <c r="L2" s="4"/>
      <c r="M2" s="5"/>
      <c r="N2" s="542" t="s">
        <v>3</v>
      </c>
      <c r="O2" s="518"/>
      <c r="P2" s="518"/>
      <c r="Q2" s="518"/>
      <c r="R2" s="518"/>
      <c r="S2" s="524"/>
      <c r="T2" s="5"/>
      <c r="U2" s="5"/>
    </row>
    <row r="3" spans="1:21">
      <c r="A3" s="5" t="s">
        <v>4</v>
      </c>
      <c r="B3" s="6" t="s">
        <v>5</v>
      </c>
      <c r="C3" s="322" t="s">
        <v>3000</v>
      </c>
      <c r="D3" s="322" t="s">
        <v>3517</v>
      </c>
      <c r="E3" s="5" t="s">
        <v>3518</v>
      </c>
      <c r="F3" s="195"/>
      <c r="G3" s="5" t="s">
        <v>4</v>
      </c>
      <c r="H3" s="6" t="s">
        <v>5</v>
      </c>
      <c r="I3" s="322" t="s">
        <v>3519</v>
      </c>
      <c r="J3" s="322" t="s">
        <v>3520</v>
      </c>
      <c r="K3" s="5" t="s">
        <v>3521</v>
      </c>
      <c r="L3" s="5" t="s">
        <v>3518</v>
      </c>
      <c r="M3" s="5"/>
      <c r="N3" s="5" t="s">
        <v>4</v>
      </c>
      <c r="O3" s="5" t="s">
        <v>13</v>
      </c>
      <c r="P3" s="5" t="s">
        <v>5</v>
      </c>
      <c r="Q3" s="5" t="s">
        <v>3522</v>
      </c>
      <c r="R3" s="5" t="s">
        <v>3523</v>
      </c>
      <c r="S3" s="5" t="s">
        <v>3524</v>
      </c>
      <c r="T3" s="5"/>
      <c r="U3" s="5"/>
    </row>
    <row r="4" spans="1:21">
      <c r="A4" s="5" t="s">
        <v>14</v>
      </c>
      <c r="B4" s="5" t="s">
        <v>15</v>
      </c>
      <c r="C4" s="318"/>
      <c r="D4" s="318"/>
      <c r="E4" s="24" t="s">
        <v>3525</v>
      </c>
      <c r="F4" s="195"/>
      <c r="G4" s="5" t="s">
        <v>19</v>
      </c>
      <c r="H4" s="5" t="s">
        <v>20</v>
      </c>
      <c r="I4" s="322"/>
      <c r="J4" s="322"/>
      <c r="K4" s="5"/>
      <c r="L4" s="5" t="s">
        <v>3526</v>
      </c>
      <c r="M4" s="5"/>
      <c r="N4" s="323" t="s">
        <v>23</v>
      </c>
      <c r="O4" s="5" t="s">
        <v>24</v>
      </c>
      <c r="P4" s="5" t="s">
        <v>25</v>
      </c>
      <c r="Q4" s="5">
        <v>86</v>
      </c>
      <c r="R4" s="5">
        <v>54</v>
      </c>
      <c r="S4" s="5"/>
      <c r="T4" s="5"/>
      <c r="U4" s="5"/>
    </row>
    <row r="5" spans="1:21">
      <c r="A5" s="5" t="s">
        <v>26</v>
      </c>
      <c r="B5" s="5" t="s">
        <v>27</v>
      </c>
      <c r="C5" s="318" t="s">
        <v>3527</v>
      </c>
      <c r="D5" s="318"/>
      <c r="E5" s="24" t="s">
        <v>3528</v>
      </c>
      <c r="F5" s="195"/>
      <c r="G5" s="233" t="s">
        <v>29</v>
      </c>
      <c r="H5" s="5" t="s">
        <v>30</v>
      </c>
      <c r="I5" s="322" t="s">
        <v>1558</v>
      </c>
      <c r="J5" s="322" t="s">
        <v>3529</v>
      </c>
      <c r="K5" s="5">
        <v>2</v>
      </c>
      <c r="L5" s="5" t="s">
        <v>3530</v>
      </c>
      <c r="M5" s="5"/>
      <c r="N5" s="323" t="s">
        <v>31</v>
      </c>
      <c r="O5" s="5" t="s">
        <v>32</v>
      </c>
      <c r="P5" s="5" t="s">
        <v>33</v>
      </c>
      <c r="Q5" s="5">
        <v>87</v>
      </c>
      <c r="R5" s="5">
        <v>43</v>
      </c>
      <c r="S5" s="5"/>
      <c r="T5" s="5"/>
      <c r="U5" s="5"/>
    </row>
    <row r="6" spans="1:21">
      <c r="A6" s="5" t="s">
        <v>34</v>
      </c>
      <c r="B6" s="5" t="s">
        <v>35</v>
      </c>
      <c r="C6" s="318"/>
      <c r="D6" s="318"/>
      <c r="E6" s="24" t="s">
        <v>3531</v>
      </c>
      <c r="F6" s="195"/>
      <c r="G6" s="5" t="s">
        <v>36</v>
      </c>
      <c r="H6" s="5" t="s">
        <v>37</v>
      </c>
      <c r="I6" s="322"/>
      <c r="J6" s="322"/>
      <c r="K6" s="5"/>
      <c r="L6" s="5" t="s">
        <v>3532</v>
      </c>
      <c r="M6" s="5"/>
      <c r="N6" s="5" t="s">
        <v>38</v>
      </c>
      <c r="O6" s="5" t="s">
        <v>39</v>
      </c>
      <c r="P6" s="5" t="s">
        <v>40</v>
      </c>
      <c r="Q6" s="5">
        <v>82</v>
      </c>
      <c r="R6" s="5">
        <v>76</v>
      </c>
      <c r="S6" s="5"/>
      <c r="T6" s="5"/>
      <c r="U6" s="5"/>
    </row>
    <row r="7" spans="1:21">
      <c r="A7" s="5" t="s">
        <v>41</v>
      </c>
      <c r="B7" s="5" t="s">
        <v>42</v>
      </c>
      <c r="C7" s="318"/>
      <c r="D7" s="318"/>
      <c r="E7" s="24" t="s">
        <v>3533</v>
      </c>
      <c r="F7" s="195"/>
      <c r="G7" s="5" t="s">
        <v>43</v>
      </c>
      <c r="H7" s="5" t="s">
        <v>44</v>
      </c>
      <c r="I7" s="322"/>
      <c r="J7" s="322"/>
      <c r="K7" s="5"/>
      <c r="L7" s="5" t="s">
        <v>3534</v>
      </c>
      <c r="M7" s="5"/>
      <c r="N7" s="5" t="s">
        <v>45</v>
      </c>
      <c r="O7" s="5" t="s">
        <v>46</v>
      </c>
      <c r="P7" s="5" t="s">
        <v>47</v>
      </c>
      <c r="Q7" s="5">
        <v>81</v>
      </c>
      <c r="R7" s="5">
        <v>78</v>
      </c>
      <c r="S7" s="5"/>
      <c r="T7" s="5"/>
      <c r="U7" s="5"/>
    </row>
    <row r="8" spans="1:21">
      <c r="A8" s="5" t="s">
        <v>48</v>
      </c>
      <c r="B8" s="5" t="s">
        <v>49</v>
      </c>
      <c r="C8" s="318" t="s">
        <v>3529</v>
      </c>
      <c r="D8" s="318"/>
      <c r="E8" s="24" t="s">
        <v>3535</v>
      </c>
      <c r="F8" s="195"/>
      <c r="G8" s="5" t="s">
        <v>50</v>
      </c>
      <c r="H8" s="5" t="s">
        <v>51</v>
      </c>
      <c r="I8" s="322" t="s">
        <v>1558</v>
      </c>
      <c r="J8" s="322" t="s">
        <v>3527</v>
      </c>
      <c r="K8" s="5">
        <v>4</v>
      </c>
      <c r="L8" s="5" t="s">
        <v>3536</v>
      </c>
      <c r="M8" s="5"/>
      <c r="N8" s="323" t="s">
        <v>52</v>
      </c>
      <c r="O8" s="5" t="s">
        <v>53</v>
      </c>
      <c r="P8" s="5" t="s">
        <v>54</v>
      </c>
      <c r="Q8" s="5">
        <v>86</v>
      </c>
      <c r="R8" s="5">
        <v>54</v>
      </c>
      <c r="S8" s="5"/>
      <c r="T8" s="5"/>
      <c r="U8" s="5"/>
    </row>
    <row r="9" spans="1:21">
      <c r="A9" s="5" t="s">
        <v>55</v>
      </c>
      <c r="B9" s="5" t="s">
        <v>56</v>
      </c>
      <c r="C9" s="318" t="s">
        <v>3529</v>
      </c>
      <c r="D9" s="318"/>
      <c r="E9" s="24" t="s">
        <v>3537</v>
      </c>
      <c r="F9" s="195"/>
      <c r="G9" s="233" t="s">
        <v>57</v>
      </c>
      <c r="H9" s="5" t="s">
        <v>58</v>
      </c>
      <c r="I9" s="322" t="s">
        <v>1558</v>
      </c>
      <c r="J9" s="322" t="s">
        <v>3529</v>
      </c>
      <c r="K9" s="5">
        <v>2</v>
      </c>
      <c r="L9" s="5" t="s">
        <v>3538</v>
      </c>
      <c r="M9" s="5"/>
      <c r="N9" s="324" t="s">
        <v>59</v>
      </c>
      <c r="O9" s="5" t="s">
        <v>60</v>
      </c>
      <c r="P9" s="5" t="s">
        <v>61</v>
      </c>
      <c r="Q9" s="5">
        <v>99</v>
      </c>
      <c r="R9" s="5">
        <v>1</v>
      </c>
      <c r="S9" s="5"/>
      <c r="T9" s="5"/>
      <c r="U9" s="5"/>
    </row>
    <row r="10" spans="1:21">
      <c r="A10" s="5" t="s">
        <v>62</v>
      </c>
      <c r="B10" s="5" t="s">
        <v>63</v>
      </c>
      <c r="C10" s="318" t="s">
        <v>3527</v>
      </c>
      <c r="D10" s="318"/>
      <c r="E10" s="24" t="s">
        <v>3539</v>
      </c>
      <c r="F10" s="195"/>
      <c r="G10" s="233" t="s">
        <v>64</v>
      </c>
      <c r="H10" s="5" t="s">
        <v>65</v>
      </c>
      <c r="I10" s="322" t="s">
        <v>1558</v>
      </c>
      <c r="J10" s="322" t="s">
        <v>3529</v>
      </c>
      <c r="K10" s="5">
        <v>2</v>
      </c>
      <c r="L10" s="5" t="s">
        <v>2561</v>
      </c>
      <c r="M10" s="5"/>
      <c r="N10" s="323" t="s">
        <v>66</v>
      </c>
      <c r="O10" s="5" t="s">
        <v>29</v>
      </c>
      <c r="P10" s="5" t="s">
        <v>30</v>
      </c>
      <c r="Q10" s="5">
        <v>87</v>
      </c>
      <c r="R10" s="5">
        <v>43</v>
      </c>
      <c r="S10" s="5"/>
      <c r="T10" s="5"/>
      <c r="U10" s="5"/>
    </row>
    <row r="11" spans="1:21">
      <c r="A11" s="5" t="s">
        <v>67</v>
      </c>
      <c r="B11" s="5" t="s">
        <v>68</v>
      </c>
      <c r="C11" s="318"/>
      <c r="D11" s="318"/>
      <c r="E11" s="24" t="s">
        <v>3540</v>
      </c>
      <c r="F11" s="195"/>
      <c r="G11" s="5" t="s">
        <v>69</v>
      </c>
      <c r="H11" s="5" t="s">
        <v>70</v>
      </c>
      <c r="I11" s="322"/>
      <c r="J11" s="322" t="s">
        <v>3527</v>
      </c>
      <c r="K11" s="5">
        <v>4</v>
      </c>
      <c r="L11" s="5" t="s">
        <v>3541</v>
      </c>
      <c r="M11" s="5"/>
      <c r="N11" s="5" t="s">
        <v>71</v>
      </c>
      <c r="O11" s="5" t="s">
        <v>72</v>
      </c>
      <c r="P11" s="5" t="s">
        <v>73</v>
      </c>
      <c r="Q11" s="5">
        <v>84</v>
      </c>
      <c r="R11" s="5">
        <v>68</v>
      </c>
      <c r="S11" s="5"/>
      <c r="T11" s="5"/>
      <c r="U11" s="5"/>
    </row>
    <row r="12" spans="1:21">
      <c r="A12" s="5" t="s">
        <v>74</v>
      </c>
      <c r="B12" s="5" t="s">
        <v>75</v>
      </c>
      <c r="C12" s="318"/>
      <c r="D12" s="318"/>
      <c r="E12" s="24" t="s">
        <v>3542</v>
      </c>
      <c r="F12" s="195"/>
      <c r="G12" s="5" t="s">
        <v>76</v>
      </c>
      <c r="H12" s="5" t="s">
        <v>77</v>
      </c>
      <c r="I12" s="322" t="s">
        <v>3527</v>
      </c>
      <c r="J12" s="322" t="s">
        <v>3527</v>
      </c>
      <c r="K12" s="5">
        <v>4</v>
      </c>
      <c r="L12" s="5" t="s">
        <v>3543</v>
      </c>
      <c r="M12" s="5"/>
      <c r="N12" s="323" t="s">
        <v>78</v>
      </c>
      <c r="O12" s="5" t="s">
        <v>79</v>
      </c>
      <c r="P12" s="5" t="s">
        <v>80</v>
      </c>
      <c r="Q12" s="5">
        <v>87</v>
      </c>
      <c r="R12" s="5">
        <v>43</v>
      </c>
      <c r="S12" s="5"/>
      <c r="T12" s="5"/>
      <c r="U12" s="5"/>
    </row>
    <row r="13" spans="1:21">
      <c r="A13" s="5" t="s">
        <v>81</v>
      </c>
      <c r="B13" s="5" t="s">
        <v>82</v>
      </c>
      <c r="C13" s="318"/>
      <c r="D13" s="318"/>
      <c r="E13" s="24" t="s">
        <v>3544</v>
      </c>
      <c r="F13" s="195"/>
      <c r="G13" s="233" t="s">
        <v>83</v>
      </c>
      <c r="H13" s="5" t="s">
        <v>84</v>
      </c>
      <c r="I13" s="322" t="s">
        <v>1558</v>
      </c>
      <c r="J13" s="322" t="s">
        <v>3529</v>
      </c>
      <c r="K13" s="5">
        <v>2</v>
      </c>
      <c r="L13" s="5" t="s">
        <v>3545</v>
      </c>
      <c r="M13" s="5"/>
      <c r="N13" s="5" t="s">
        <v>85</v>
      </c>
      <c r="O13" s="5" t="s">
        <v>86</v>
      </c>
      <c r="P13" s="5" t="s">
        <v>87</v>
      </c>
      <c r="Q13" s="5">
        <v>83</v>
      </c>
      <c r="R13" s="5">
        <v>73</v>
      </c>
      <c r="S13" s="5"/>
      <c r="T13" s="5"/>
      <c r="U13" s="5"/>
    </row>
    <row r="14" spans="1:21">
      <c r="A14" s="5" t="s">
        <v>88</v>
      </c>
      <c r="B14" s="5" t="s">
        <v>89</v>
      </c>
      <c r="C14" s="318" t="s">
        <v>3527</v>
      </c>
      <c r="D14" s="318"/>
      <c r="E14" s="24" t="s">
        <v>3546</v>
      </c>
      <c r="F14" s="195"/>
      <c r="G14" s="5" t="s">
        <v>90</v>
      </c>
      <c r="H14" s="5" t="s">
        <v>91</v>
      </c>
      <c r="I14" s="322"/>
      <c r="J14" s="322" t="s">
        <v>3527</v>
      </c>
      <c r="K14" s="5">
        <v>4</v>
      </c>
      <c r="L14" s="5" t="s">
        <v>3106</v>
      </c>
      <c r="M14" s="5"/>
      <c r="N14" s="323" t="s">
        <v>92</v>
      </c>
      <c r="O14" s="5" t="s">
        <v>93</v>
      </c>
      <c r="P14" s="5" t="s">
        <v>94</v>
      </c>
      <c r="Q14" s="5">
        <v>88</v>
      </c>
      <c r="R14" s="5">
        <v>38</v>
      </c>
      <c r="S14" s="5"/>
      <c r="T14" s="5"/>
      <c r="U14" s="5"/>
    </row>
    <row r="15" spans="1:21">
      <c r="A15" s="5" t="s">
        <v>95</v>
      </c>
      <c r="B15" s="5" t="s">
        <v>96</v>
      </c>
      <c r="C15" s="318"/>
      <c r="D15" s="318"/>
      <c r="E15" s="24" t="s">
        <v>3547</v>
      </c>
      <c r="F15" s="195"/>
      <c r="G15" s="5" t="s">
        <v>97</v>
      </c>
      <c r="H15" s="5" t="s">
        <v>98</v>
      </c>
      <c r="I15" s="322"/>
      <c r="J15" s="322"/>
      <c r="K15" s="5"/>
      <c r="M15" s="5"/>
      <c r="N15" s="323" t="s">
        <v>99</v>
      </c>
      <c r="O15" s="5" t="s">
        <v>100</v>
      </c>
      <c r="P15" s="5" t="s">
        <v>101</v>
      </c>
      <c r="Q15" s="5">
        <v>90</v>
      </c>
      <c r="R15" s="5">
        <v>24</v>
      </c>
      <c r="S15" s="5"/>
      <c r="T15" s="5"/>
      <c r="U15" s="5"/>
    </row>
    <row r="16" spans="1:21">
      <c r="A16" s="5" t="s">
        <v>102</v>
      </c>
      <c r="B16" s="5" t="s">
        <v>103</v>
      </c>
      <c r="C16" s="318" t="s">
        <v>3527</v>
      </c>
      <c r="D16" s="318"/>
      <c r="E16" s="24" t="s">
        <v>3548</v>
      </c>
      <c r="F16" s="195"/>
      <c r="G16" s="324" t="s">
        <v>104</v>
      </c>
      <c r="H16" s="5" t="s">
        <v>105</v>
      </c>
      <c r="I16" s="322" t="s">
        <v>3529</v>
      </c>
      <c r="J16" s="322" t="s">
        <v>1559</v>
      </c>
      <c r="K16" s="5">
        <v>0</v>
      </c>
      <c r="L16" s="5" t="s">
        <v>2717</v>
      </c>
      <c r="M16" s="5"/>
      <c r="N16" s="324" t="s">
        <v>106</v>
      </c>
      <c r="O16" s="5" t="s">
        <v>107</v>
      </c>
      <c r="P16" s="5" t="s">
        <v>108</v>
      </c>
      <c r="Q16" s="5">
        <v>94</v>
      </c>
      <c r="R16" s="5">
        <v>11</v>
      </c>
      <c r="S16" s="5"/>
      <c r="T16" s="5"/>
      <c r="U16" s="5"/>
    </row>
    <row r="17" spans="1:21">
      <c r="A17" s="5" t="s">
        <v>109</v>
      </c>
      <c r="B17" s="5" t="s">
        <v>110</v>
      </c>
      <c r="C17" s="318" t="s">
        <v>3529</v>
      </c>
      <c r="D17" s="318"/>
      <c r="E17" s="24" t="s">
        <v>3549</v>
      </c>
      <c r="F17" s="195"/>
      <c r="G17" s="233" t="s">
        <v>111</v>
      </c>
      <c r="H17" s="5" t="s">
        <v>112</v>
      </c>
      <c r="I17" s="322" t="s">
        <v>3527</v>
      </c>
      <c r="J17" s="322" t="s">
        <v>1558</v>
      </c>
      <c r="K17" s="5">
        <v>2.9</v>
      </c>
      <c r="L17" s="5" t="s">
        <v>3550</v>
      </c>
      <c r="M17" s="5"/>
      <c r="N17" s="324" t="s">
        <v>113</v>
      </c>
      <c r="O17" s="5" t="s">
        <v>114</v>
      </c>
      <c r="P17" s="5" t="s">
        <v>115</v>
      </c>
      <c r="Q17" s="5">
        <v>96</v>
      </c>
      <c r="R17" s="5">
        <v>6</v>
      </c>
      <c r="S17" s="5"/>
      <c r="T17" s="5"/>
      <c r="U17" s="5"/>
    </row>
    <row r="18" spans="1:21">
      <c r="A18" s="5" t="s">
        <v>116</v>
      </c>
      <c r="B18" s="5" t="s">
        <v>117</v>
      </c>
      <c r="C18" s="318"/>
      <c r="D18" s="318"/>
      <c r="E18" s="24" t="s">
        <v>3551</v>
      </c>
      <c r="F18" s="195"/>
      <c r="G18" s="5" t="s">
        <v>118</v>
      </c>
      <c r="H18" s="5" t="s">
        <v>119</v>
      </c>
      <c r="I18" s="322" t="s">
        <v>3527</v>
      </c>
      <c r="J18" s="322"/>
      <c r="K18" s="5"/>
      <c r="L18" s="5" t="s">
        <v>3552</v>
      </c>
      <c r="M18" s="5"/>
      <c r="N18" s="5" t="s">
        <v>120</v>
      </c>
      <c r="O18" s="5" t="s">
        <v>121</v>
      </c>
      <c r="P18" s="5" t="s">
        <v>122</v>
      </c>
      <c r="Q18" s="5">
        <v>84</v>
      </c>
      <c r="R18" s="5">
        <v>68</v>
      </c>
      <c r="S18" s="5"/>
      <c r="T18" s="5"/>
      <c r="U18" s="5"/>
    </row>
    <row r="19" spans="1:21">
      <c r="A19" s="5" t="s">
        <v>123</v>
      </c>
      <c r="B19" s="5" t="s">
        <v>124</v>
      </c>
      <c r="C19" s="318" t="s">
        <v>3553</v>
      </c>
      <c r="D19" s="318" t="s">
        <v>3554</v>
      </c>
      <c r="E19" s="24" t="s">
        <v>3555</v>
      </c>
      <c r="F19" s="195"/>
      <c r="G19" s="5" t="s">
        <v>125</v>
      </c>
      <c r="H19" s="5" t="s">
        <v>126</v>
      </c>
      <c r="I19" s="322" t="s">
        <v>3527</v>
      </c>
      <c r="J19" s="322"/>
      <c r="K19" s="5"/>
      <c r="L19" s="5" t="s">
        <v>3556</v>
      </c>
      <c r="M19" s="5"/>
      <c r="N19" s="323" t="s">
        <v>127</v>
      </c>
      <c r="O19" s="5" t="s">
        <v>128</v>
      </c>
      <c r="P19" s="5" t="s">
        <v>129</v>
      </c>
      <c r="Q19" s="5">
        <v>93</v>
      </c>
      <c r="R19" s="5">
        <v>15</v>
      </c>
      <c r="S19" s="5"/>
      <c r="T19" s="5"/>
      <c r="U19" s="5"/>
    </row>
    <row r="20" spans="1:21">
      <c r="A20" s="5" t="s">
        <v>130</v>
      </c>
      <c r="B20" s="5" t="s">
        <v>129</v>
      </c>
      <c r="C20" s="318" t="s">
        <v>1558</v>
      </c>
      <c r="D20" s="318"/>
      <c r="E20" s="24" t="s">
        <v>3557</v>
      </c>
      <c r="F20" s="195"/>
      <c r="G20" s="233" t="s">
        <v>131</v>
      </c>
      <c r="H20" s="5" t="s">
        <v>132</v>
      </c>
      <c r="I20" s="322" t="s">
        <v>3529</v>
      </c>
      <c r="J20" s="322" t="s">
        <v>3554</v>
      </c>
      <c r="K20" s="5">
        <v>1</v>
      </c>
      <c r="L20" s="5" t="s">
        <v>3558</v>
      </c>
      <c r="M20" s="5"/>
      <c r="N20" s="323" t="s">
        <v>133</v>
      </c>
      <c r="O20" s="5" t="s">
        <v>134</v>
      </c>
      <c r="P20" s="5" t="s">
        <v>135</v>
      </c>
      <c r="Q20" s="5">
        <v>88</v>
      </c>
      <c r="R20" s="5">
        <v>38</v>
      </c>
      <c r="S20" s="5"/>
      <c r="T20" s="5"/>
      <c r="U20" s="5"/>
    </row>
    <row r="21" spans="1:21">
      <c r="A21" s="5" t="s">
        <v>136</v>
      </c>
      <c r="B21" s="5" t="s">
        <v>137</v>
      </c>
      <c r="C21" s="318" t="s">
        <v>3554</v>
      </c>
      <c r="D21" s="318"/>
      <c r="E21" s="24" t="s">
        <v>3559</v>
      </c>
      <c r="F21" s="195"/>
      <c r="G21" s="5" t="s">
        <v>138</v>
      </c>
      <c r="H21" s="5" t="s">
        <v>139</v>
      </c>
      <c r="I21" s="322" t="s">
        <v>3527</v>
      </c>
      <c r="J21" s="322" t="s">
        <v>3527</v>
      </c>
      <c r="K21" s="5">
        <v>4</v>
      </c>
      <c r="M21" s="5"/>
      <c r="N21" s="323" t="s">
        <v>140</v>
      </c>
      <c r="O21" s="5" t="s">
        <v>141</v>
      </c>
      <c r="P21" s="5" t="s">
        <v>142</v>
      </c>
      <c r="Q21" s="5">
        <v>95</v>
      </c>
      <c r="R21" s="5">
        <v>7</v>
      </c>
      <c r="S21" s="5"/>
      <c r="T21" s="5"/>
      <c r="U21" s="5"/>
    </row>
    <row r="22" spans="1:21">
      <c r="A22" s="5" t="s">
        <v>143</v>
      </c>
      <c r="B22" s="5" t="s">
        <v>144</v>
      </c>
      <c r="C22" s="318"/>
      <c r="D22" s="318"/>
      <c r="E22" s="24" t="s">
        <v>3560</v>
      </c>
      <c r="F22" s="195"/>
      <c r="G22" s="5" t="s">
        <v>145</v>
      </c>
      <c r="H22" s="5" t="s">
        <v>146</v>
      </c>
      <c r="I22" s="322" t="s">
        <v>1554</v>
      </c>
      <c r="J22" s="322" t="s">
        <v>1554</v>
      </c>
      <c r="K22" s="5"/>
      <c r="M22" s="5"/>
      <c r="N22" s="323" t="s">
        <v>147</v>
      </c>
      <c r="O22" s="5" t="s">
        <v>148</v>
      </c>
      <c r="P22" s="5" t="s">
        <v>149</v>
      </c>
      <c r="Q22" s="5">
        <v>90</v>
      </c>
      <c r="R22" s="5">
        <v>24</v>
      </c>
      <c r="S22" s="5"/>
      <c r="T22" s="5"/>
      <c r="U22" s="5"/>
    </row>
    <row r="23" spans="1:21">
      <c r="A23" s="5" t="s">
        <v>150</v>
      </c>
      <c r="B23" s="5" t="s">
        <v>151</v>
      </c>
      <c r="C23" s="318"/>
      <c r="D23" s="318"/>
      <c r="E23" s="24" t="s">
        <v>3561</v>
      </c>
      <c r="F23" s="195"/>
      <c r="G23" s="5" t="s">
        <v>152</v>
      </c>
      <c r="H23" s="5" t="s">
        <v>30</v>
      </c>
      <c r="I23" s="322" t="s">
        <v>1558</v>
      </c>
      <c r="J23" s="322" t="s">
        <v>1558</v>
      </c>
      <c r="K23" s="5">
        <v>3</v>
      </c>
      <c r="L23" s="5" t="s">
        <v>3562</v>
      </c>
      <c r="M23" s="5"/>
      <c r="N23" s="324" t="s">
        <v>153</v>
      </c>
      <c r="O23" s="5" t="s">
        <v>154</v>
      </c>
      <c r="P23" s="5" t="s">
        <v>155</v>
      </c>
      <c r="Q23" s="5">
        <v>98</v>
      </c>
      <c r="R23" s="5">
        <v>2</v>
      </c>
      <c r="S23" s="5"/>
      <c r="T23" s="5"/>
      <c r="U23" s="5"/>
    </row>
    <row r="24" spans="1:21">
      <c r="A24" s="5" t="s">
        <v>156</v>
      </c>
      <c r="B24" s="5" t="s">
        <v>157</v>
      </c>
      <c r="C24" s="322" t="s">
        <v>1554</v>
      </c>
      <c r="E24" s="5" t="s">
        <v>3563</v>
      </c>
      <c r="F24" s="195"/>
      <c r="G24" s="233" t="s">
        <v>158</v>
      </c>
      <c r="H24" s="5" t="s">
        <v>159</v>
      </c>
      <c r="I24" s="322" t="s">
        <v>3527</v>
      </c>
      <c r="J24" s="322" t="s">
        <v>3529</v>
      </c>
      <c r="K24" s="5">
        <v>2</v>
      </c>
      <c r="L24" s="5" t="s">
        <v>3564</v>
      </c>
      <c r="M24" s="5"/>
      <c r="N24" s="323" t="s">
        <v>160</v>
      </c>
      <c r="O24" s="5" t="s">
        <v>161</v>
      </c>
      <c r="P24" s="5" t="s">
        <v>162</v>
      </c>
      <c r="Q24" s="5">
        <v>86</v>
      </c>
      <c r="R24" s="5">
        <v>54</v>
      </c>
      <c r="S24" s="5"/>
      <c r="T24" s="5"/>
      <c r="U24" s="5"/>
    </row>
    <row r="25" spans="1:21">
      <c r="A25" s="5" t="s">
        <v>163</v>
      </c>
      <c r="B25" s="5" t="s">
        <v>164</v>
      </c>
      <c r="C25" s="322" t="s">
        <v>3527</v>
      </c>
      <c r="E25" s="5" t="s">
        <v>3565</v>
      </c>
      <c r="F25" s="195"/>
      <c r="G25" s="5" t="s">
        <v>165</v>
      </c>
      <c r="H25" s="5" t="s">
        <v>166</v>
      </c>
      <c r="I25" s="322" t="s">
        <v>1554</v>
      </c>
      <c r="J25" s="322" t="s">
        <v>1554</v>
      </c>
      <c r="K25" s="5"/>
      <c r="L25" s="5" t="s">
        <v>3566</v>
      </c>
      <c r="M25" s="5"/>
      <c r="N25" s="323" t="s">
        <v>167</v>
      </c>
      <c r="O25" s="5" t="s">
        <v>168</v>
      </c>
      <c r="P25" s="5" t="s">
        <v>169</v>
      </c>
      <c r="Q25" s="5">
        <v>88</v>
      </c>
      <c r="R25" s="5">
        <v>38</v>
      </c>
      <c r="S25" s="5"/>
      <c r="T25" s="5"/>
      <c r="U25" s="5"/>
    </row>
    <row r="26" spans="1:21">
      <c r="A26" s="5" t="s">
        <v>170</v>
      </c>
      <c r="B26" s="5" t="s">
        <v>171</v>
      </c>
      <c r="C26" s="322" t="s">
        <v>3527</v>
      </c>
      <c r="E26" s="5" t="s">
        <v>3567</v>
      </c>
      <c r="F26" s="195"/>
      <c r="G26" s="233" t="s">
        <v>172</v>
      </c>
      <c r="H26" s="5" t="s">
        <v>173</v>
      </c>
      <c r="I26" s="322" t="s">
        <v>3527</v>
      </c>
      <c r="J26" s="322" t="s">
        <v>3529</v>
      </c>
      <c r="K26" s="5">
        <v>2</v>
      </c>
      <c r="L26" s="5" t="s">
        <v>3568</v>
      </c>
      <c r="M26" s="5"/>
      <c r="N26" s="323" t="s">
        <v>174</v>
      </c>
      <c r="O26" s="5" t="s">
        <v>175</v>
      </c>
      <c r="P26" s="5" t="s">
        <v>176</v>
      </c>
      <c r="Q26" s="5">
        <v>87</v>
      </c>
      <c r="R26" s="5">
        <v>43</v>
      </c>
      <c r="S26" s="5"/>
      <c r="T26" s="5"/>
      <c r="U26" s="5"/>
    </row>
    <row r="27" spans="1:21">
      <c r="A27" s="5" t="s">
        <v>177</v>
      </c>
      <c r="B27" s="5" t="s">
        <v>178</v>
      </c>
      <c r="E27" s="5" t="s">
        <v>3569</v>
      </c>
      <c r="F27" s="195"/>
      <c r="G27" s="5" t="s">
        <v>179</v>
      </c>
      <c r="H27" s="5" t="s">
        <v>180</v>
      </c>
      <c r="I27" s="322"/>
      <c r="J27" s="322"/>
      <c r="K27" s="5"/>
      <c r="L27" s="5" t="s">
        <v>3570</v>
      </c>
      <c r="M27" s="5"/>
      <c r="N27" s="323" t="s">
        <v>181</v>
      </c>
      <c r="O27" s="5" t="s">
        <v>182</v>
      </c>
      <c r="P27" s="5" t="s">
        <v>183</v>
      </c>
      <c r="Q27" s="5">
        <v>91</v>
      </c>
      <c r="R27" s="5">
        <v>20</v>
      </c>
      <c r="S27" s="5"/>
      <c r="T27" s="5"/>
      <c r="U27" s="5"/>
    </row>
    <row r="28" spans="1:21">
      <c r="A28" s="5" t="s">
        <v>184</v>
      </c>
      <c r="B28" s="5" t="s">
        <v>185</v>
      </c>
      <c r="E28" s="5" t="s">
        <v>3571</v>
      </c>
      <c r="F28" s="195"/>
      <c r="G28" s="233" t="s">
        <v>186</v>
      </c>
      <c r="H28" s="5" t="s">
        <v>187</v>
      </c>
      <c r="I28" s="322" t="s">
        <v>1558</v>
      </c>
      <c r="J28" s="322" t="s">
        <v>3554</v>
      </c>
      <c r="K28" s="5">
        <v>1</v>
      </c>
      <c r="L28" s="5" t="s">
        <v>3572</v>
      </c>
      <c r="M28" s="5"/>
      <c r="N28" s="5" t="s">
        <v>188</v>
      </c>
      <c r="O28" s="5" t="s">
        <v>189</v>
      </c>
      <c r="P28" s="5" t="s">
        <v>190</v>
      </c>
      <c r="Q28" s="5">
        <v>83</v>
      </c>
      <c r="R28" s="5">
        <v>73</v>
      </c>
      <c r="S28" s="5"/>
      <c r="T28" s="5"/>
      <c r="U28" s="5"/>
    </row>
    <row r="29" spans="1:21">
      <c r="A29" s="5" t="s">
        <v>191</v>
      </c>
      <c r="B29" s="5" t="s">
        <v>192</v>
      </c>
      <c r="E29" s="5" t="s">
        <v>3573</v>
      </c>
      <c r="F29" s="195"/>
      <c r="G29" s="233" t="s">
        <v>193</v>
      </c>
      <c r="H29" s="5" t="s">
        <v>194</v>
      </c>
      <c r="I29" s="322" t="s">
        <v>3574</v>
      </c>
      <c r="J29" s="322" t="s">
        <v>3574</v>
      </c>
      <c r="K29" s="5">
        <v>2</v>
      </c>
      <c r="L29" s="5" t="s">
        <v>3575</v>
      </c>
      <c r="M29" s="5"/>
      <c r="N29" s="5" t="s">
        <v>195</v>
      </c>
      <c r="O29" s="5" t="s">
        <v>196</v>
      </c>
      <c r="P29" s="5" t="s">
        <v>197</v>
      </c>
      <c r="Q29" s="5">
        <v>81</v>
      </c>
      <c r="R29" s="5">
        <v>78</v>
      </c>
      <c r="S29" s="5"/>
      <c r="T29" s="5"/>
      <c r="U29" s="5"/>
    </row>
    <row r="30" spans="1:21">
      <c r="A30" s="5" t="s">
        <v>198</v>
      </c>
      <c r="B30" s="5" t="s">
        <v>199</v>
      </c>
      <c r="C30" s="322" t="s">
        <v>3554</v>
      </c>
      <c r="E30" s="5" t="s">
        <v>3576</v>
      </c>
      <c r="F30" s="195"/>
      <c r="G30" s="5" t="s">
        <v>200</v>
      </c>
      <c r="H30" s="5" t="s">
        <v>201</v>
      </c>
      <c r="I30" s="322"/>
      <c r="J30" s="322"/>
      <c r="K30" s="5"/>
      <c r="M30" s="5"/>
      <c r="N30" s="5" t="s">
        <v>202</v>
      </c>
      <c r="O30" s="5" t="s">
        <v>203</v>
      </c>
      <c r="P30" s="5" t="s">
        <v>204</v>
      </c>
      <c r="Q30" s="5">
        <v>82</v>
      </c>
      <c r="R30" s="5">
        <v>76</v>
      </c>
      <c r="S30" s="5"/>
      <c r="T30" s="5"/>
      <c r="U30" s="5"/>
    </row>
    <row r="31" spans="1:21">
      <c r="A31" s="5" t="s">
        <v>205</v>
      </c>
      <c r="B31" s="5" t="s">
        <v>206</v>
      </c>
      <c r="C31" s="322" t="s">
        <v>3554</v>
      </c>
      <c r="E31" s="5" t="s">
        <v>3577</v>
      </c>
      <c r="F31" s="195"/>
      <c r="G31" s="5" t="s">
        <v>207</v>
      </c>
      <c r="H31" s="5" t="s">
        <v>208</v>
      </c>
      <c r="I31" s="322" t="s">
        <v>3527</v>
      </c>
      <c r="J31" s="322" t="s">
        <v>3527</v>
      </c>
      <c r="K31" s="5">
        <v>4</v>
      </c>
      <c r="M31" s="5"/>
      <c r="N31" s="323" t="s">
        <v>209</v>
      </c>
      <c r="O31" s="5" t="s">
        <v>210</v>
      </c>
      <c r="P31" s="5" t="s">
        <v>211</v>
      </c>
      <c r="Q31" s="5">
        <v>91</v>
      </c>
      <c r="R31" s="5">
        <v>20</v>
      </c>
      <c r="S31" s="5"/>
      <c r="T31" s="5"/>
      <c r="U31" s="5"/>
    </row>
    <row r="32" spans="1:21">
      <c r="A32" s="5" t="s">
        <v>212</v>
      </c>
      <c r="B32" s="5" t="s">
        <v>213</v>
      </c>
      <c r="C32" s="322" t="s">
        <v>3554</v>
      </c>
      <c r="E32" s="5" t="s">
        <v>3578</v>
      </c>
      <c r="F32" s="195"/>
      <c r="G32" s="5" t="s">
        <v>214</v>
      </c>
      <c r="H32" s="5" t="s">
        <v>215</v>
      </c>
      <c r="I32" s="322"/>
      <c r="J32" s="322"/>
      <c r="K32" s="5"/>
      <c r="M32" s="5"/>
      <c r="N32" s="323" t="s">
        <v>216</v>
      </c>
      <c r="O32" s="5" t="s">
        <v>217</v>
      </c>
      <c r="P32" s="5" t="s">
        <v>68</v>
      </c>
      <c r="Q32" s="5">
        <v>86</v>
      </c>
      <c r="R32" s="5">
        <v>54</v>
      </c>
      <c r="S32" s="5"/>
      <c r="T32" s="5"/>
      <c r="U32" s="5"/>
    </row>
    <row r="33" spans="1:21">
      <c r="A33" s="5" t="s">
        <v>218</v>
      </c>
      <c r="B33" s="5" t="s">
        <v>219</v>
      </c>
      <c r="C33" s="322" t="s">
        <v>3527</v>
      </c>
      <c r="E33" s="5" t="s">
        <v>3579</v>
      </c>
      <c r="F33" s="195"/>
      <c r="G33" s="5" t="s">
        <v>220</v>
      </c>
      <c r="H33" s="5" t="s">
        <v>221</v>
      </c>
      <c r="I33" s="322"/>
      <c r="J33" s="322"/>
      <c r="K33" s="5"/>
      <c r="M33" s="5"/>
      <c r="N33" s="323" t="s">
        <v>222</v>
      </c>
      <c r="O33" s="5" t="s">
        <v>223</v>
      </c>
      <c r="P33" s="5" t="s">
        <v>224</v>
      </c>
      <c r="Q33" s="5">
        <v>89</v>
      </c>
      <c r="R33" s="5">
        <v>31</v>
      </c>
      <c r="S33" s="5"/>
      <c r="T33" s="5"/>
      <c r="U33" s="5"/>
    </row>
    <row r="34" spans="1:21">
      <c r="A34" s="5" t="s">
        <v>225</v>
      </c>
      <c r="B34" s="5" t="s">
        <v>226</v>
      </c>
      <c r="C34" s="322" t="s">
        <v>3527</v>
      </c>
      <c r="E34" s="5" t="s">
        <v>3580</v>
      </c>
      <c r="F34" s="195"/>
      <c r="G34" s="5" t="s">
        <v>227</v>
      </c>
      <c r="H34" s="5" t="s">
        <v>228</v>
      </c>
      <c r="I34" s="322"/>
      <c r="J34" s="322"/>
      <c r="K34" s="5"/>
      <c r="M34" s="5"/>
      <c r="N34" s="5" t="s">
        <v>229</v>
      </c>
      <c r="O34" s="5" t="s">
        <v>230</v>
      </c>
      <c r="P34" s="5" t="s">
        <v>231</v>
      </c>
      <c r="Q34" s="5">
        <v>85</v>
      </c>
      <c r="R34" s="5">
        <v>62</v>
      </c>
      <c r="S34" s="5"/>
      <c r="T34" s="5"/>
      <c r="U34" s="5"/>
    </row>
    <row r="35" spans="1:21">
      <c r="A35" s="5" t="s">
        <v>232</v>
      </c>
      <c r="B35" s="5" t="s">
        <v>233</v>
      </c>
      <c r="E35" s="5" t="s">
        <v>3581</v>
      </c>
      <c r="F35" s="195"/>
      <c r="G35" s="5" t="s">
        <v>234</v>
      </c>
      <c r="H35" s="5" t="s">
        <v>68</v>
      </c>
      <c r="I35" s="322" t="s">
        <v>1558</v>
      </c>
      <c r="J35" s="322"/>
      <c r="K35" s="5"/>
      <c r="M35" s="5"/>
      <c r="N35" s="5" t="s">
        <v>235</v>
      </c>
      <c r="O35" s="5" t="s">
        <v>236</v>
      </c>
      <c r="P35" s="5" t="s">
        <v>237</v>
      </c>
      <c r="Q35" s="5">
        <v>85</v>
      </c>
      <c r="R35" s="5">
        <v>62</v>
      </c>
      <c r="S35" s="5"/>
      <c r="T35" s="5"/>
      <c r="U35" s="5"/>
    </row>
    <row r="36" spans="1:21">
      <c r="A36" s="5" t="s">
        <v>238</v>
      </c>
      <c r="B36" s="5" t="s">
        <v>239</v>
      </c>
      <c r="C36" s="322" t="s">
        <v>1558</v>
      </c>
      <c r="E36" s="5" t="s">
        <v>3582</v>
      </c>
      <c r="F36" s="195"/>
      <c r="G36" s="233" t="s">
        <v>240</v>
      </c>
      <c r="H36" s="5" t="s">
        <v>241</v>
      </c>
      <c r="I36" s="322" t="s">
        <v>1558</v>
      </c>
      <c r="J36" s="322" t="s">
        <v>1558</v>
      </c>
      <c r="K36" s="5">
        <v>2.9</v>
      </c>
      <c r="L36" s="5" t="s">
        <v>3583</v>
      </c>
      <c r="M36" s="5"/>
      <c r="N36" s="323" t="s">
        <v>242</v>
      </c>
      <c r="O36" s="5" t="s">
        <v>131</v>
      </c>
      <c r="P36" s="5" t="s">
        <v>132</v>
      </c>
      <c r="Q36" s="5">
        <v>90</v>
      </c>
      <c r="R36" s="5">
        <v>24</v>
      </c>
      <c r="S36" s="5"/>
      <c r="T36" s="5"/>
      <c r="U36" s="5"/>
    </row>
    <row r="37" spans="1:21">
      <c r="A37" s="5" t="s">
        <v>243</v>
      </c>
      <c r="B37" s="5" t="s">
        <v>244</v>
      </c>
      <c r="C37" s="322" t="s">
        <v>1558</v>
      </c>
      <c r="D37" s="322" t="s">
        <v>3527</v>
      </c>
      <c r="E37" s="5" t="s">
        <v>3584</v>
      </c>
      <c r="F37" s="195"/>
      <c r="G37" s="5" t="s">
        <v>245</v>
      </c>
      <c r="H37" s="5" t="s">
        <v>246</v>
      </c>
      <c r="I37" s="322"/>
      <c r="J37" s="322"/>
      <c r="K37" s="5"/>
      <c r="M37" s="5"/>
      <c r="N37" s="5" t="s">
        <v>247</v>
      </c>
      <c r="O37" s="5" t="s">
        <v>248</v>
      </c>
      <c r="P37" s="5" t="s">
        <v>249</v>
      </c>
      <c r="Q37" s="5">
        <v>84</v>
      </c>
      <c r="R37" s="5">
        <v>68</v>
      </c>
      <c r="S37" s="5"/>
      <c r="T37" s="5"/>
      <c r="U37" s="5"/>
    </row>
    <row r="38" spans="1:21">
      <c r="A38" s="5" t="s">
        <v>250</v>
      </c>
      <c r="B38" s="5" t="s">
        <v>80</v>
      </c>
      <c r="C38" s="322" t="s">
        <v>3529</v>
      </c>
      <c r="E38" s="5" t="s">
        <v>3585</v>
      </c>
      <c r="F38" s="195"/>
      <c r="G38" s="5" t="s">
        <v>251</v>
      </c>
      <c r="H38" s="5" t="s">
        <v>252</v>
      </c>
      <c r="I38" s="322" t="s">
        <v>1558</v>
      </c>
      <c r="J38" s="322"/>
      <c r="K38" s="5"/>
      <c r="L38" s="5" t="s">
        <v>3586</v>
      </c>
      <c r="M38" s="5"/>
      <c r="N38" s="323" t="s">
        <v>253</v>
      </c>
      <c r="O38" s="5" t="s">
        <v>254</v>
      </c>
      <c r="P38" s="5" t="s">
        <v>255</v>
      </c>
      <c r="Q38" s="5">
        <v>90</v>
      </c>
      <c r="R38" s="5">
        <v>24</v>
      </c>
      <c r="S38" s="5"/>
      <c r="T38" s="5"/>
      <c r="U38" s="5"/>
    </row>
    <row r="39" spans="1:21">
      <c r="A39" s="5" t="s">
        <v>256</v>
      </c>
      <c r="B39" s="5" t="s">
        <v>257</v>
      </c>
      <c r="E39" s="5" t="s">
        <v>3587</v>
      </c>
      <c r="F39" s="195"/>
      <c r="G39" s="233" t="s">
        <v>258</v>
      </c>
      <c r="H39" s="5" t="s">
        <v>259</v>
      </c>
      <c r="I39" s="322" t="s">
        <v>1558</v>
      </c>
      <c r="J39" s="322" t="s">
        <v>3529</v>
      </c>
      <c r="K39" s="5">
        <v>2</v>
      </c>
      <c r="L39" s="5" t="s">
        <v>3588</v>
      </c>
      <c r="M39" s="5"/>
      <c r="N39" s="323" t="s">
        <v>260</v>
      </c>
      <c r="O39" s="5" t="s">
        <v>261</v>
      </c>
      <c r="P39" s="5" t="s">
        <v>262</v>
      </c>
      <c r="Q39" s="5">
        <v>88</v>
      </c>
      <c r="R39" s="5">
        <v>38</v>
      </c>
      <c r="S39" s="5"/>
      <c r="T39" s="5"/>
      <c r="U39" s="5"/>
    </row>
    <row r="40" spans="1:21">
      <c r="A40" s="5" t="s">
        <v>263</v>
      </c>
      <c r="B40" s="5" t="s">
        <v>264</v>
      </c>
      <c r="C40" s="322" t="s">
        <v>1554</v>
      </c>
      <c r="E40" s="5" t="s">
        <v>3589</v>
      </c>
      <c r="F40" s="195"/>
      <c r="G40" s="5" t="s">
        <v>265</v>
      </c>
      <c r="H40" s="5" t="s">
        <v>266</v>
      </c>
      <c r="I40" s="322"/>
      <c r="J40" s="322"/>
      <c r="K40" s="5"/>
      <c r="M40" s="5"/>
      <c r="N40" s="323" t="s">
        <v>267</v>
      </c>
      <c r="O40" s="5" t="s">
        <v>268</v>
      </c>
      <c r="P40" s="5" t="s">
        <v>56</v>
      </c>
      <c r="Q40" s="5">
        <v>91</v>
      </c>
      <c r="R40" s="5">
        <v>20</v>
      </c>
      <c r="S40" s="5"/>
      <c r="T40" s="5"/>
      <c r="U40" s="5"/>
    </row>
    <row r="41" spans="1:21">
      <c r="A41" s="5" t="s">
        <v>269</v>
      </c>
      <c r="B41" s="5" t="s">
        <v>270</v>
      </c>
      <c r="E41" s="5" t="s">
        <v>3544</v>
      </c>
      <c r="F41" s="195"/>
      <c r="G41" s="324" t="s">
        <v>271</v>
      </c>
      <c r="H41" s="5" t="s">
        <v>272</v>
      </c>
      <c r="I41" s="322" t="s">
        <v>3529</v>
      </c>
      <c r="J41" s="322" t="s">
        <v>1559</v>
      </c>
      <c r="K41" s="5">
        <v>0</v>
      </c>
      <c r="L41" s="5" t="s">
        <v>3590</v>
      </c>
      <c r="M41" s="5"/>
      <c r="N41" s="323" t="s">
        <v>273</v>
      </c>
      <c r="O41" s="5" t="s">
        <v>186</v>
      </c>
      <c r="P41" s="5" t="s">
        <v>187</v>
      </c>
      <c r="Q41" s="5">
        <v>93</v>
      </c>
      <c r="R41" s="5">
        <v>15</v>
      </c>
      <c r="S41" s="5"/>
      <c r="T41" s="5"/>
      <c r="U41" s="5"/>
    </row>
    <row r="42" spans="1:21">
      <c r="A42" s="5" t="s">
        <v>274</v>
      </c>
      <c r="B42" s="5" t="s">
        <v>275</v>
      </c>
      <c r="E42" s="5" t="s">
        <v>3591</v>
      </c>
      <c r="F42" s="195"/>
      <c r="G42" s="233" t="s">
        <v>121</v>
      </c>
      <c r="H42" s="5" t="s">
        <v>122</v>
      </c>
      <c r="I42" s="322" t="s">
        <v>3527</v>
      </c>
      <c r="J42" s="322" t="s">
        <v>1558</v>
      </c>
      <c r="K42" s="5">
        <v>2.9</v>
      </c>
      <c r="L42" s="5" t="s">
        <v>3592</v>
      </c>
      <c r="M42" s="5"/>
      <c r="N42" s="323" t="s">
        <v>276</v>
      </c>
      <c r="O42" s="5" t="s">
        <v>277</v>
      </c>
      <c r="P42" s="5" t="s">
        <v>278</v>
      </c>
      <c r="Q42" s="5">
        <v>89</v>
      </c>
      <c r="R42" s="5">
        <v>31</v>
      </c>
      <c r="S42" s="5"/>
      <c r="T42" s="5"/>
      <c r="U42" s="5"/>
    </row>
    <row r="43" spans="1:21">
      <c r="A43" s="5" t="s">
        <v>279</v>
      </c>
      <c r="B43" s="5" t="s">
        <v>280</v>
      </c>
      <c r="C43" s="322" t="s">
        <v>1558</v>
      </c>
      <c r="D43" s="322" t="s">
        <v>3527</v>
      </c>
      <c r="E43" s="5" t="s">
        <v>3593</v>
      </c>
      <c r="F43" s="195"/>
      <c r="G43" s="233" t="s">
        <v>281</v>
      </c>
      <c r="H43" s="5" t="s">
        <v>282</v>
      </c>
      <c r="I43" s="322" t="s">
        <v>1558</v>
      </c>
      <c r="J43" s="322" t="s">
        <v>3529</v>
      </c>
      <c r="K43" s="5">
        <v>2</v>
      </c>
      <c r="L43" s="5" t="s">
        <v>3594</v>
      </c>
      <c r="M43" s="5"/>
      <c r="N43" s="5" t="s">
        <v>283</v>
      </c>
      <c r="O43" s="5" t="s">
        <v>284</v>
      </c>
      <c r="P43" s="5" t="s">
        <v>285</v>
      </c>
      <c r="Q43" s="5">
        <v>85</v>
      </c>
      <c r="R43" s="5">
        <v>62</v>
      </c>
      <c r="S43" s="5"/>
      <c r="T43" s="5"/>
      <c r="U43" s="5"/>
    </row>
    <row r="44" spans="1:21">
      <c r="A44" s="5" t="s">
        <v>286</v>
      </c>
      <c r="B44" s="5" t="s">
        <v>54</v>
      </c>
      <c r="C44" s="322" t="s">
        <v>3529</v>
      </c>
      <c r="E44" s="5" t="s">
        <v>3595</v>
      </c>
      <c r="F44" s="195"/>
      <c r="G44" s="5" t="s">
        <v>287</v>
      </c>
      <c r="H44" s="5" t="s">
        <v>288</v>
      </c>
      <c r="I44" s="322"/>
      <c r="J44" s="322"/>
      <c r="K44" s="5"/>
      <c r="M44" s="5"/>
      <c r="N44" s="324" t="s">
        <v>289</v>
      </c>
      <c r="O44" s="5" t="s">
        <v>290</v>
      </c>
      <c r="P44" s="5" t="s">
        <v>291</v>
      </c>
      <c r="Q44" s="5">
        <v>95</v>
      </c>
      <c r="R44" s="5">
        <v>7</v>
      </c>
      <c r="S44" s="5"/>
      <c r="T44" s="5"/>
      <c r="U44" s="5"/>
    </row>
    <row r="45" spans="1:21">
      <c r="A45" s="5" t="s">
        <v>292</v>
      </c>
      <c r="B45" s="5" t="s">
        <v>293</v>
      </c>
      <c r="C45" s="322" t="s">
        <v>1554</v>
      </c>
      <c r="E45" s="5" t="s">
        <v>3596</v>
      </c>
      <c r="F45" s="195"/>
      <c r="G45" s="233" t="s">
        <v>294</v>
      </c>
      <c r="H45" s="5" t="s">
        <v>295</v>
      </c>
      <c r="I45" s="322"/>
      <c r="J45" s="322" t="s">
        <v>3597</v>
      </c>
      <c r="K45" s="5">
        <v>2.9</v>
      </c>
      <c r="L45" s="5" t="s">
        <v>3598</v>
      </c>
      <c r="M45" s="5"/>
      <c r="N45" s="5" t="s">
        <v>296</v>
      </c>
      <c r="O45" s="5" t="s">
        <v>297</v>
      </c>
      <c r="P45" s="5" t="s">
        <v>280</v>
      </c>
      <c r="Q45" s="5">
        <v>75</v>
      </c>
      <c r="R45" s="5">
        <v>81</v>
      </c>
      <c r="S45" s="5" t="s">
        <v>3599</v>
      </c>
      <c r="T45" s="5"/>
      <c r="U45" s="5"/>
    </row>
    <row r="46" spans="1:21">
      <c r="A46" s="5" t="s">
        <v>298</v>
      </c>
      <c r="B46" s="5" t="s">
        <v>299</v>
      </c>
      <c r="C46" s="322" t="s">
        <v>1558</v>
      </c>
      <c r="E46" s="5" t="s">
        <v>3600</v>
      </c>
      <c r="F46" s="195"/>
      <c r="G46" s="5" t="s">
        <v>39</v>
      </c>
      <c r="H46" s="5" t="s">
        <v>40</v>
      </c>
      <c r="I46" s="322" t="s">
        <v>1558</v>
      </c>
      <c r="J46" s="322" t="s">
        <v>1558</v>
      </c>
      <c r="K46" s="5">
        <v>3</v>
      </c>
      <c r="L46" s="5" t="s">
        <v>3601</v>
      </c>
      <c r="M46" s="5"/>
      <c r="N46" s="5" t="s">
        <v>300</v>
      </c>
      <c r="O46" s="5" t="s">
        <v>301</v>
      </c>
      <c r="P46" s="5" t="s">
        <v>280</v>
      </c>
      <c r="Q46" s="5">
        <v>85</v>
      </c>
      <c r="R46" s="5">
        <v>62</v>
      </c>
      <c r="S46" s="5"/>
      <c r="T46" s="5"/>
      <c r="U46" s="5"/>
    </row>
    <row r="47" spans="1:21">
      <c r="A47" s="5" t="s">
        <v>302</v>
      </c>
      <c r="B47" s="5" t="s">
        <v>303</v>
      </c>
      <c r="C47" s="322" t="s">
        <v>3529</v>
      </c>
      <c r="E47" s="5" t="s">
        <v>3602</v>
      </c>
      <c r="F47" s="195"/>
      <c r="G47" s="5" t="s">
        <v>304</v>
      </c>
      <c r="H47" s="5" t="s">
        <v>305</v>
      </c>
      <c r="I47" s="322" t="s">
        <v>1554</v>
      </c>
      <c r="J47" s="322" t="s">
        <v>1554</v>
      </c>
      <c r="K47" s="5"/>
      <c r="M47" s="5"/>
      <c r="N47" s="323" t="s">
        <v>306</v>
      </c>
      <c r="O47" s="5" t="s">
        <v>307</v>
      </c>
      <c r="P47" s="5" t="s">
        <v>308</v>
      </c>
      <c r="Q47" s="5">
        <v>87</v>
      </c>
      <c r="R47" s="5">
        <v>43</v>
      </c>
      <c r="S47" s="5"/>
      <c r="T47" s="5"/>
      <c r="U47" s="5"/>
    </row>
    <row r="48" spans="1:21">
      <c r="A48" s="5" t="s">
        <v>309</v>
      </c>
      <c r="B48" s="5" t="s">
        <v>310</v>
      </c>
      <c r="C48" s="322" t="s">
        <v>1558</v>
      </c>
      <c r="E48" s="5" t="s">
        <v>3603</v>
      </c>
      <c r="F48" s="195"/>
      <c r="G48" s="5" t="s">
        <v>311</v>
      </c>
      <c r="H48" s="5" t="s">
        <v>312</v>
      </c>
      <c r="I48" s="322" t="s">
        <v>3527</v>
      </c>
      <c r="J48" s="322" t="s">
        <v>3527</v>
      </c>
      <c r="K48" s="5">
        <v>4</v>
      </c>
      <c r="L48" s="5" t="s">
        <v>3604</v>
      </c>
      <c r="M48" s="5"/>
      <c r="N48" s="5" t="s">
        <v>313</v>
      </c>
      <c r="O48" s="5" t="s">
        <v>314</v>
      </c>
      <c r="P48" s="5" t="s">
        <v>103</v>
      </c>
      <c r="Q48" s="5">
        <v>86</v>
      </c>
      <c r="R48" s="5">
        <v>54</v>
      </c>
      <c r="S48" s="5"/>
      <c r="T48" s="5"/>
      <c r="U48" s="5"/>
    </row>
    <row r="49" spans="1:21">
      <c r="A49" s="5" t="s">
        <v>315</v>
      </c>
      <c r="B49" s="5" t="s">
        <v>316</v>
      </c>
      <c r="E49" s="5" t="s">
        <v>3605</v>
      </c>
      <c r="F49" s="195"/>
      <c r="G49" s="233" t="s">
        <v>317</v>
      </c>
      <c r="H49" s="5" t="s">
        <v>318</v>
      </c>
      <c r="I49" s="322" t="s">
        <v>1558</v>
      </c>
      <c r="J49" s="322" t="s">
        <v>3529</v>
      </c>
      <c r="K49" s="5">
        <v>2</v>
      </c>
      <c r="L49" s="5" t="s">
        <v>3606</v>
      </c>
      <c r="M49" s="5"/>
      <c r="N49" s="323" t="s">
        <v>319</v>
      </c>
      <c r="O49" s="5" t="s">
        <v>320</v>
      </c>
      <c r="P49" s="5" t="s">
        <v>321</v>
      </c>
      <c r="Q49" s="5">
        <v>90</v>
      </c>
      <c r="R49" s="5">
        <v>24</v>
      </c>
      <c r="S49" s="5"/>
      <c r="T49" s="5"/>
      <c r="U49" s="5"/>
    </row>
    <row r="50" spans="1:21">
      <c r="A50" s="5" t="s">
        <v>322</v>
      </c>
      <c r="B50" s="5" t="s">
        <v>162</v>
      </c>
      <c r="C50" s="322" t="s">
        <v>1558</v>
      </c>
      <c r="E50" s="5" t="s">
        <v>3607</v>
      </c>
      <c r="F50" s="195"/>
      <c r="G50" s="233" t="s">
        <v>323</v>
      </c>
      <c r="H50" s="5" t="s">
        <v>185</v>
      </c>
      <c r="I50" s="322" t="s">
        <v>1558</v>
      </c>
      <c r="J50" s="322" t="s">
        <v>3529</v>
      </c>
      <c r="K50" s="5">
        <v>2</v>
      </c>
      <c r="L50" s="5" t="s">
        <v>3608</v>
      </c>
      <c r="M50" s="5"/>
      <c r="N50" s="5" t="s">
        <v>324</v>
      </c>
      <c r="O50" s="5" t="s">
        <v>325</v>
      </c>
      <c r="P50" s="5" t="s">
        <v>226</v>
      </c>
      <c r="Q50" s="5">
        <v>78</v>
      </c>
      <c r="R50" s="5">
        <v>80</v>
      </c>
      <c r="S50" s="5"/>
      <c r="T50" s="5"/>
      <c r="U50" s="5"/>
    </row>
    <row r="51" spans="1:21">
      <c r="A51" s="5" t="s">
        <v>326</v>
      </c>
      <c r="B51" s="5" t="s">
        <v>94</v>
      </c>
      <c r="C51" s="322" t="s">
        <v>3529</v>
      </c>
      <c r="E51" s="5" t="s">
        <v>3609</v>
      </c>
      <c r="F51" s="195"/>
      <c r="G51" s="233" t="s">
        <v>327</v>
      </c>
      <c r="H51" s="5" t="s">
        <v>328</v>
      </c>
      <c r="I51" s="322"/>
      <c r="J51" s="322" t="s">
        <v>1558</v>
      </c>
      <c r="K51" s="5">
        <v>2.9</v>
      </c>
      <c r="L51" s="5" t="s">
        <v>3610</v>
      </c>
      <c r="M51" s="5"/>
      <c r="N51" s="324" t="s">
        <v>329</v>
      </c>
      <c r="O51" s="5" t="s">
        <v>330</v>
      </c>
      <c r="P51" s="5" t="s">
        <v>124</v>
      </c>
      <c r="Q51" s="5">
        <v>97</v>
      </c>
      <c r="R51" s="5">
        <v>3</v>
      </c>
      <c r="S51" s="5"/>
      <c r="T51" s="5"/>
      <c r="U51" s="5"/>
    </row>
    <row r="52" spans="1:21">
      <c r="A52" s="5" t="s">
        <v>331</v>
      </c>
      <c r="B52" s="5" t="s">
        <v>332</v>
      </c>
      <c r="C52" s="322" t="s">
        <v>3527</v>
      </c>
      <c r="E52" s="5" t="s">
        <v>3611</v>
      </c>
      <c r="F52" s="195"/>
      <c r="G52" s="233" t="s">
        <v>217</v>
      </c>
      <c r="H52" s="5" t="s">
        <v>68</v>
      </c>
      <c r="I52" s="322" t="s">
        <v>3529</v>
      </c>
      <c r="J52" s="322" t="s">
        <v>3529</v>
      </c>
      <c r="K52" s="5">
        <v>2</v>
      </c>
      <c r="L52" s="5" t="s">
        <v>3612</v>
      </c>
      <c r="M52" s="5"/>
      <c r="N52" s="5" t="s">
        <v>333</v>
      </c>
      <c r="O52" s="5" t="s">
        <v>234</v>
      </c>
      <c r="P52" s="5" t="s">
        <v>68</v>
      </c>
      <c r="Q52" s="5">
        <v>86</v>
      </c>
      <c r="R52" s="5">
        <v>54</v>
      </c>
      <c r="S52" s="5"/>
      <c r="T52" s="5"/>
      <c r="U52" s="5"/>
    </row>
    <row r="53" spans="1:21">
      <c r="A53" s="5" t="s">
        <v>334</v>
      </c>
      <c r="B53" s="5" t="s">
        <v>335</v>
      </c>
      <c r="C53" s="322" t="s">
        <v>3554</v>
      </c>
      <c r="D53" s="322" t="s">
        <v>3554</v>
      </c>
      <c r="E53" s="5" t="s">
        <v>3613</v>
      </c>
      <c r="F53" s="195"/>
      <c r="G53" s="5" t="s">
        <v>336</v>
      </c>
      <c r="H53" s="5" t="s">
        <v>337</v>
      </c>
      <c r="I53" s="322"/>
      <c r="J53" s="322"/>
      <c r="K53" s="5"/>
      <c r="M53" s="5"/>
      <c r="N53" s="324" t="s">
        <v>338</v>
      </c>
      <c r="O53" s="5" t="s">
        <v>271</v>
      </c>
      <c r="P53" s="5" t="s">
        <v>272</v>
      </c>
      <c r="Q53" s="5">
        <v>97</v>
      </c>
      <c r="R53" s="5">
        <v>3</v>
      </c>
      <c r="S53" s="5"/>
      <c r="T53" s="5"/>
      <c r="U53" s="5"/>
    </row>
    <row r="54" spans="1:21">
      <c r="A54" s="5" t="s">
        <v>339</v>
      </c>
      <c r="B54" s="5" t="s">
        <v>340</v>
      </c>
      <c r="C54" s="322" t="s">
        <v>1554</v>
      </c>
      <c r="E54" s="5" t="s">
        <v>3614</v>
      </c>
      <c r="F54" s="195"/>
      <c r="G54" s="5" t="s">
        <v>341</v>
      </c>
      <c r="H54" s="5" t="s">
        <v>342</v>
      </c>
      <c r="I54" s="322"/>
      <c r="J54" s="322"/>
      <c r="K54" s="5"/>
      <c r="M54" s="5"/>
      <c r="N54" s="323" t="s">
        <v>343</v>
      </c>
      <c r="O54" s="5" t="s">
        <v>344</v>
      </c>
      <c r="P54" s="5" t="s">
        <v>345</v>
      </c>
      <c r="Q54" s="5">
        <v>89</v>
      </c>
      <c r="R54" s="5">
        <v>31</v>
      </c>
      <c r="S54" s="5"/>
      <c r="T54" s="5"/>
      <c r="U54" s="5"/>
    </row>
    <row r="55" spans="1:21">
      <c r="A55" s="5" t="s">
        <v>346</v>
      </c>
      <c r="B55" s="5" t="s">
        <v>347</v>
      </c>
      <c r="C55" s="322" t="s">
        <v>1558</v>
      </c>
      <c r="E55" s="5" t="s">
        <v>3615</v>
      </c>
      <c r="F55" s="195"/>
      <c r="G55" s="233" t="s">
        <v>348</v>
      </c>
      <c r="H55" s="5" t="s">
        <v>349</v>
      </c>
      <c r="I55" s="322" t="s">
        <v>3527</v>
      </c>
      <c r="J55" s="322" t="s">
        <v>3529</v>
      </c>
      <c r="K55" s="5">
        <v>2</v>
      </c>
      <c r="L55" s="5" t="s">
        <v>3616</v>
      </c>
      <c r="M55" s="5"/>
      <c r="N55" s="323" t="s">
        <v>350</v>
      </c>
      <c r="O55" s="5" t="s">
        <v>351</v>
      </c>
      <c r="P55" s="5" t="s">
        <v>352</v>
      </c>
      <c r="Q55" s="5">
        <v>85</v>
      </c>
      <c r="R55" s="5">
        <v>62</v>
      </c>
      <c r="S55" s="5"/>
      <c r="T55" s="5"/>
      <c r="U55" s="5"/>
    </row>
    <row r="56" spans="1:21">
      <c r="A56" s="5" t="s">
        <v>353</v>
      </c>
      <c r="B56" s="5" t="s">
        <v>354</v>
      </c>
      <c r="C56" s="322" t="s">
        <v>1554</v>
      </c>
      <c r="E56" s="5" t="s">
        <v>3617</v>
      </c>
      <c r="F56" s="195"/>
      <c r="G56" s="5" t="s">
        <v>355</v>
      </c>
      <c r="H56" s="5" t="s">
        <v>356</v>
      </c>
      <c r="I56" s="322"/>
      <c r="J56" s="322"/>
      <c r="K56" s="5"/>
      <c r="M56" s="5"/>
      <c r="N56" s="5" t="s">
        <v>357</v>
      </c>
      <c r="O56" s="5" t="s">
        <v>50</v>
      </c>
      <c r="P56" s="5" t="s">
        <v>51</v>
      </c>
      <c r="Q56" s="5">
        <v>84</v>
      </c>
      <c r="R56" s="5">
        <v>68</v>
      </c>
      <c r="S56" s="5"/>
      <c r="T56" s="5"/>
      <c r="U56" s="5"/>
    </row>
    <row r="57" spans="1:21">
      <c r="A57" s="5" t="s">
        <v>358</v>
      </c>
      <c r="B57" s="5" t="s">
        <v>359</v>
      </c>
      <c r="C57" s="322" t="s">
        <v>3554</v>
      </c>
      <c r="D57" s="322" t="s">
        <v>3554</v>
      </c>
      <c r="E57" s="5" t="s">
        <v>3618</v>
      </c>
      <c r="F57" s="195"/>
      <c r="G57" s="5" t="s">
        <v>360</v>
      </c>
      <c r="H57" s="5" t="s">
        <v>361</v>
      </c>
      <c r="I57" s="322"/>
      <c r="J57" s="322"/>
      <c r="K57" s="5"/>
      <c r="M57" s="5"/>
      <c r="N57" s="323" t="s">
        <v>362</v>
      </c>
      <c r="O57" s="5" t="s">
        <v>363</v>
      </c>
      <c r="P57" s="5" t="s">
        <v>364</v>
      </c>
      <c r="Q57" s="5">
        <v>87</v>
      </c>
      <c r="R57" s="5">
        <v>43</v>
      </c>
      <c r="S57" s="5"/>
      <c r="T57" s="5"/>
      <c r="U57" s="5"/>
    </row>
    <row r="58" spans="1:21">
      <c r="A58" s="5" t="s">
        <v>365</v>
      </c>
      <c r="B58" s="5" t="s">
        <v>366</v>
      </c>
      <c r="E58" s="5" t="s">
        <v>3619</v>
      </c>
      <c r="F58" s="195"/>
      <c r="G58" s="5" t="s">
        <v>367</v>
      </c>
      <c r="H58" s="5" t="s">
        <v>368</v>
      </c>
      <c r="I58" s="322" t="s">
        <v>1558</v>
      </c>
      <c r="J58" s="322" t="s">
        <v>3527</v>
      </c>
      <c r="K58" s="5">
        <v>4</v>
      </c>
      <c r="M58" s="5"/>
      <c r="N58" s="324" t="s">
        <v>369</v>
      </c>
      <c r="O58" s="5" t="s">
        <v>370</v>
      </c>
      <c r="P58" s="5" t="s">
        <v>49</v>
      </c>
      <c r="Q58" s="5">
        <v>95</v>
      </c>
      <c r="R58" s="5">
        <v>7</v>
      </c>
      <c r="S58" s="5"/>
      <c r="T58" s="5"/>
      <c r="U58" s="5"/>
    </row>
    <row r="59" spans="1:21">
      <c r="A59" s="5" t="s">
        <v>371</v>
      </c>
      <c r="B59" s="5" t="s">
        <v>372</v>
      </c>
      <c r="E59" s="5" t="s">
        <v>3620</v>
      </c>
      <c r="F59" s="195"/>
      <c r="G59" s="233" t="s">
        <v>210</v>
      </c>
      <c r="H59" s="5" t="s">
        <v>211</v>
      </c>
      <c r="I59" s="322" t="s">
        <v>1558</v>
      </c>
      <c r="J59" s="322" t="s">
        <v>3554</v>
      </c>
      <c r="K59" s="5">
        <v>1</v>
      </c>
      <c r="L59" s="5" t="s">
        <v>2561</v>
      </c>
      <c r="M59" s="5"/>
      <c r="N59" s="5" t="s">
        <v>373</v>
      </c>
      <c r="O59" s="5" t="s">
        <v>374</v>
      </c>
      <c r="P59" s="5" t="s">
        <v>375</v>
      </c>
      <c r="Q59" s="5">
        <v>84</v>
      </c>
      <c r="R59" s="5">
        <v>68</v>
      </c>
      <c r="S59" s="5"/>
      <c r="T59" s="5"/>
      <c r="U59" s="5"/>
    </row>
    <row r="60" spans="1:21">
      <c r="A60" s="5" t="s">
        <v>376</v>
      </c>
      <c r="B60" s="5" t="s">
        <v>278</v>
      </c>
      <c r="C60" s="322" t="s">
        <v>1558</v>
      </c>
      <c r="D60" s="322" t="s">
        <v>3527</v>
      </c>
      <c r="E60" s="5" t="s">
        <v>3621</v>
      </c>
      <c r="F60" s="195"/>
      <c r="G60" s="5" t="s">
        <v>377</v>
      </c>
      <c r="H60" s="5" t="s">
        <v>378</v>
      </c>
      <c r="I60" s="322"/>
      <c r="J60" s="322"/>
      <c r="K60" s="5"/>
      <c r="L60" s="5" t="s">
        <v>3622</v>
      </c>
      <c r="M60" s="5"/>
      <c r="N60" s="323" t="s">
        <v>379</v>
      </c>
      <c r="O60" s="5" t="s">
        <v>380</v>
      </c>
      <c r="P60" s="5" t="s">
        <v>381</v>
      </c>
      <c r="Q60" s="5">
        <v>90</v>
      </c>
      <c r="R60" s="5">
        <v>24</v>
      </c>
      <c r="S60" s="5"/>
      <c r="T60" s="5"/>
      <c r="U60" s="5"/>
    </row>
    <row r="61" spans="1:21">
      <c r="A61" s="5" t="s">
        <v>382</v>
      </c>
      <c r="B61" s="5" t="s">
        <v>383</v>
      </c>
      <c r="C61" s="322" t="s">
        <v>3527</v>
      </c>
      <c r="E61" s="5" t="s">
        <v>3623</v>
      </c>
      <c r="F61" s="195"/>
      <c r="G61" s="5" t="s">
        <v>384</v>
      </c>
      <c r="H61" s="5" t="s">
        <v>385</v>
      </c>
      <c r="I61" s="322"/>
      <c r="J61" s="322"/>
      <c r="K61" s="5"/>
      <c r="L61" s="5" t="s">
        <v>3624</v>
      </c>
      <c r="M61" s="5"/>
      <c r="N61" s="323" t="s">
        <v>386</v>
      </c>
      <c r="O61" s="5" t="s">
        <v>172</v>
      </c>
      <c r="P61" s="5" t="s">
        <v>173</v>
      </c>
      <c r="Q61" s="5">
        <v>87</v>
      </c>
      <c r="R61" s="5">
        <v>43</v>
      </c>
      <c r="S61" s="5"/>
      <c r="T61" s="5"/>
      <c r="U61" s="5"/>
    </row>
    <row r="62" spans="1:21">
      <c r="A62" s="5" t="s">
        <v>387</v>
      </c>
      <c r="B62" s="5" t="s">
        <v>388</v>
      </c>
      <c r="E62" s="5" t="s">
        <v>3625</v>
      </c>
      <c r="F62" s="195"/>
      <c r="G62" s="5" t="s">
        <v>389</v>
      </c>
      <c r="H62" s="5" t="s">
        <v>390</v>
      </c>
      <c r="I62" s="322" t="s">
        <v>3626</v>
      </c>
      <c r="J62" s="322" t="s">
        <v>3626</v>
      </c>
      <c r="K62" s="5">
        <v>4</v>
      </c>
      <c r="M62" s="5"/>
      <c r="N62" s="323" t="s">
        <v>391</v>
      </c>
      <c r="O62" s="5" t="s">
        <v>392</v>
      </c>
      <c r="P62" s="5" t="s">
        <v>359</v>
      </c>
      <c r="Q62" s="5">
        <v>93</v>
      </c>
      <c r="R62" s="5">
        <v>15</v>
      </c>
      <c r="S62" s="5"/>
      <c r="T62" s="5"/>
      <c r="U62" s="5"/>
    </row>
    <row r="63" spans="1:21">
      <c r="A63" s="5" t="s">
        <v>393</v>
      </c>
      <c r="B63" s="5" t="s">
        <v>394</v>
      </c>
      <c r="C63" s="322" t="s">
        <v>3527</v>
      </c>
      <c r="E63" s="5" t="s">
        <v>3627</v>
      </c>
      <c r="F63" s="195"/>
      <c r="G63" s="5" t="s">
        <v>395</v>
      </c>
      <c r="H63" s="5" t="s">
        <v>396</v>
      </c>
      <c r="I63" s="322" t="s">
        <v>3527</v>
      </c>
      <c r="J63" s="322" t="s">
        <v>3527</v>
      </c>
      <c r="K63" s="5">
        <v>4</v>
      </c>
      <c r="M63" s="5"/>
      <c r="N63" s="323" t="s">
        <v>397</v>
      </c>
      <c r="O63" s="5" t="s">
        <v>398</v>
      </c>
      <c r="P63" s="5" t="s">
        <v>30</v>
      </c>
      <c r="Q63" s="5">
        <v>90</v>
      </c>
      <c r="R63" s="5">
        <v>24</v>
      </c>
      <c r="S63" s="5"/>
      <c r="T63" s="5"/>
      <c r="U63" s="5"/>
    </row>
    <row r="64" spans="1:21">
      <c r="A64" s="5" t="s">
        <v>399</v>
      </c>
      <c r="B64" s="5" t="s">
        <v>400</v>
      </c>
      <c r="E64" s="5" t="s">
        <v>3628</v>
      </c>
      <c r="F64" s="195"/>
      <c r="G64" s="5" t="s">
        <v>401</v>
      </c>
      <c r="H64" s="5" t="s">
        <v>402</v>
      </c>
      <c r="I64" s="322"/>
      <c r="J64" s="322" t="s">
        <v>3527</v>
      </c>
      <c r="K64" s="5">
        <v>4</v>
      </c>
      <c r="L64" s="5" t="s">
        <v>3629</v>
      </c>
      <c r="M64" s="5"/>
      <c r="N64" s="5" t="s">
        <v>403</v>
      </c>
      <c r="O64" s="5" t="s">
        <v>258</v>
      </c>
      <c r="P64" s="5" t="s">
        <v>259</v>
      </c>
      <c r="Q64" s="5">
        <v>87</v>
      </c>
      <c r="R64" s="5">
        <v>43</v>
      </c>
      <c r="S64" s="5"/>
      <c r="T64" s="5"/>
      <c r="U64" s="5"/>
    </row>
    <row r="65" spans="1:21">
      <c r="A65" s="5" t="s">
        <v>404</v>
      </c>
      <c r="B65" s="5" t="s">
        <v>405</v>
      </c>
      <c r="C65" s="322" t="s">
        <v>1558</v>
      </c>
      <c r="E65" s="5" t="s">
        <v>3630</v>
      </c>
      <c r="F65" s="195"/>
      <c r="G65" s="5" t="s">
        <v>374</v>
      </c>
      <c r="H65" s="5" t="s">
        <v>375</v>
      </c>
      <c r="I65" s="322" t="s">
        <v>3527</v>
      </c>
      <c r="J65" s="322" t="s">
        <v>3527</v>
      </c>
      <c r="K65" s="5">
        <v>4</v>
      </c>
      <c r="M65" s="5"/>
      <c r="N65" s="5" t="s">
        <v>406</v>
      </c>
      <c r="O65" s="5" t="s">
        <v>407</v>
      </c>
      <c r="P65" s="5" t="s">
        <v>408</v>
      </c>
      <c r="Q65" s="5">
        <v>86</v>
      </c>
      <c r="R65" s="5">
        <v>54</v>
      </c>
      <c r="S65" s="5"/>
      <c r="T65" s="5"/>
      <c r="U65" s="5"/>
    </row>
    <row r="66" spans="1:21">
      <c r="A66" s="5" t="s">
        <v>409</v>
      </c>
      <c r="B66" s="5" t="s">
        <v>308</v>
      </c>
      <c r="C66" s="322" t="s">
        <v>3529</v>
      </c>
      <c r="E66" s="5" t="s">
        <v>3631</v>
      </c>
      <c r="F66" s="195"/>
      <c r="G66" s="5" t="s">
        <v>230</v>
      </c>
      <c r="H66" s="5" t="s">
        <v>231</v>
      </c>
      <c r="I66" s="322" t="s">
        <v>3527</v>
      </c>
      <c r="J66" s="322" t="s">
        <v>1558</v>
      </c>
      <c r="K66" s="5">
        <v>3</v>
      </c>
      <c r="M66" s="5"/>
      <c r="N66" s="5" t="s">
        <v>410</v>
      </c>
      <c r="O66" s="5" t="s">
        <v>411</v>
      </c>
      <c r="P66" s="5" t="s">
        <v>412</v>
      </c>
      <c r="Q66" s="5">
        <v>85</v>
      </c>
      <c r="R66" s="5">
        <v>62</v>
      </c>
      <c r="S66" s="5"/>
      <c r="T66" s="5"/>
      <c r="U66" s="5"/>
    </row>
    <row r="67" spans="1:21">
      <c r="A67" s="5" t="s">
        <v>413</v>
      </c>
      <c r="B67" s="5" t="s">
        <v>414</v>
      </c>
      <c r="C67" s="322" t="s">
        <v>1558</v>
      </c>
      <c r="E67" s="5" t="s">
        <v>3632</v>
      </c>
      <c r="F67" s="195"/>
      <c r="G67" s="5" t="s">
        <v>86</v>
      </c>
      <c r="H67" s="5" t="s">
        <v>87</v>
      </c>
      <c r="I67" s="322"/>
      <c r="J67" s="322" t="s">
        <v>3527</v>
      </c>
      <c r="K67" s="5">
        <v>4</v>
      </c>
      <c r="M67" s="5"/>
      <c r="N67" s="5" t="s">
        <v>415</v>
      </c>
      <c r="O67" s="5" t="s">
        <v>281</v>
      </c>
      <c r="P67" s="5" t="s">
        <v>282</v>
      </c>
      <c r="Q67" s="5">
        <v>86</v>
      </c>
      <c r="R67" s="5">
        <v>54</v>
      </c>
      <c r="S67" s="5"/>
      <c r="T67" s="5"/>
      <c r="U67" s="5"/>
    </row>
    <row r="68" spans="1:21">
      <c r="A68" s="5" t="s">
        <v>416</v>
      </c>
      <c r="B68" s="5" t="s">
        <v>417</v>
      </c>
      <c r="E68" s="5" t="s">
        <v>3633</v>
      </c>
      <c r="F68" s="195"/>
      <c r="G68" s="233" t="s">
        <v>100</v>
      </c>
      <c r="H68" s="5" t="s">
        <v>101</v>
      </c>
      <c r="I68" s="322" t="s">
        <v>3574</v>
      </c>
      <c r="J68" s="322" t="s">
        <v>3554</v>
      </c>
      <c r="K68" s="5">
        <v>1</v>
      </c>
      <c r="M68" s="5"/>
      <c r="N68" s="324" t="s">
        <v>418</v>
      </c>
      <c r="O68" s="5" t="s">
        <v>419</v>
      </c>
      <c r="P68" s="5" t="s">
        <v>420</v>
      </c>
      <c r="Q68" s="5">
        <v>97</v>
      </c>
      <c r="R68" s="5">
        <v>3</v>
      </c>
      <c r="S68" s="5"/>
      <c r="T68" s="5"/>
      <c r="U68" s="5"/>
    </row>
    <row r="69" spans="1:21">
      <c r="A69" s="5" t="s">
        <v>421</v>
      </c>
      <c r="B69" s="5" t="s">
        <v>422</v>
      </c>
      <c r="C69" s="322" t="s">
        <v>3554</v>
      </c>
      <c r="D69" s="322" t="s">
        <v>3554</v>
      </c>
      <c r="E69" s="5" t="s">
        <v>3634</v>
      </c>
      <c r="F69" s="195"/>
      <c r="G69" s="5" t="s">
        <v>423</v>
      </c>
      <c r="H69" s="5" t="s">
        <v>424</v>
      </c>
      <c r="I69" s="322" t="s">
        <v>1558</v>
      </c>
      <c r="J69" s="322" t="s">
        <v>1558</v>
      </c>
      <c r="K69" s="5">
        <v>3</v>
      </c>
      <c r="M69" s="5"/>
      <c r="N69" s="323" t="s">
        <v>425</v>
      </c>
      <c r="O69" s="5" t="s">
        <v>158</v>
      </c>
      <c r="P69" s="5" t="s">
        <v>159</v>
      </c>
      <c r="Q69" s="5">
        <v>89</v>
      </c>
      <c r="R69" s="5">
        <v>31</v>
      </c>
      <c r="S69" s="5"/>
      <c r="T69" s="5"/>
      <c r="U69" s="5"/>
    </row>
    <row r="70" spans="1:21">
      <c r="A70" s="5" t="s">
        <v>426</v>
      </c>
      <c r="B70" s="5" t="s">
        <v>427</v>
      </c>
      <c r="E70" s="5" t="s">
        <v>3635</v>
      </c>
      <c r="F70" s="195"/>
      <c r="G70" s="5" t="s">
        <v>428</v>
      </c>
      <c r="H70" s="5" t="s">
        <v>429</v>
      </c>
      <c r="I70" s="322"/>
      <c r="J70" s="322" t="s">
        <v>3626</v>
      </c>
      <c r="K70" s="5">
        <v>4</v>
      </c>
      <c r="L70" s="5" t="s">
        <v>2028</v>
      </c>
      <c r="M70" s="5"/>
      <c r="N70" s="324" t="s">
        <v>430</v>
      </c>
      <c r="O70" s="5" t="s">
        <v>431</v>
      </c>
      <c r="P70" s="5" t="s">
        <v>199</v>
      </c>
      <c r="Q70" s="5">
        <v>95</v>
      </c>
      <c r="R70" s="5">
        <v>7</v>
      </c>
      <c r="S70" s="5"/>
      <c r="T70" s="5"/>
      <c r="U70" s="5"/>
    </row>
    <row r="71" spans="1:21">
      <c r="A71" s="5" t="s">
        <v>432</v>
      </c>
      <c r="B71" s="5" t="s">
        <v>149</v>
      </c>
      <c r="C71" s="322" t="s">
        <v>3554</v>
      </c>
      <c r="D71" s="322" t="s">
        <v>3554</v>
      </c>
      <c r="E71" s="5" t="s">
        <v>3636</v>
      </c>
      <c r="F71" s="195"/>
      <c r="G71" s="233" t="s">
        <v>261</v>
      </c>
      <c r="H71" s="5" t="s">
        <v>262</v>
      </c>
      <c r="I71" s="322" t="s">
        <v>1558</v>
      </c>
      <c r="J71" s="322" t="s">
        <v>3529</v>
      </c>
      <c r="K71" s="5">
        <v>2</v>
      </c>
      <c r="L71" s="5" t="s">
        <v>3637</v>
      </c>
      <c r="M71" s="5"/>
      <c r="N71" s="324" t="s">
        <v>433</v>
      </c>
      <c r="O71" s="5" t="s">
        <v>434</v>
      </c>
      <c r="P71" s="5" t="s">
        <v>110</v>
      </c>
      <c r="Q71" s="5">
        <v>94</v>
      </c>
      <c r="R71" s="5">
        <v>11</v>
      </c>
      <c r="S71" s="5" t="s">
        <v>3638</v>
      </c>
      <c r="T71" s="5"/>
      <c r="U71" s="5"/>
    </row>
    <row r="72" spans="1:21">
      <c r="A72" s="5" t="s">
        <v>435</v>
      </c>
      <c r="B72" s="5" t="s">
        <v>436</v>
      </c>
      <c r="E72" s="5" t="s">
        <v>3639</v>
      </c>
      <c r="F72" s="195"/>
      <c r="G72" s="233" t="s">
        <v>437</v>
      </c>
      <c r="H72" s="5" t="s">
        <v>438</v>
      </c>
      <c r="I72" s="322" t="s">
        <v>1558</v>
      </c>
      <c r="J72" s="322" t="s">
        <v>1558</v>
      </c>
      <c r="K72" s="5">
        <v>2.9</v>
      </c>
      <c r="L72" s="5" t="s">
        <v>3640</v>
      </c>
      <c r="M72" s="5"/>
      <c r="N72" s="323" t="s">
        <v>439</v>
      </c>
      <c r="O72" s="5" t="s">
        <v>440</v>
      </c>
      <c r="P72" s="5" t="s">
        <v>441</v>
      </c>
      <c r="Q72" s="5">
        <v>89</v>
      </c>
      <c r="R72" s="5">
        <v>31</v>
      </c>
      <c r="S72" s="5"/>
      <c r="T72" s="5"/>
      <c r="U72" s="5"/>
    </row>
    <row r="73" spans="1:21">
      <c r="A73" s="5" t="s">
        <v>442</v>
      </c>
      <c r="B73" s="5" t="s">
        <v>443</v>
      </c>
      <c r="E73" s="5" t="s">
        <v>3641</v>
      </c>
      <c r="F73" s="195"/>
      <c r="G73" s="5" t="s">
        <v>444</v>
      </c>
      <c r="H73" s="5" t="s">
        <v>445</v>
      </c>
      <c r="I73" s="322"/>
      <c r="J73" s="322"/>
      <c r="K73" s="5"/>
      <c r="M73" s="5"/>
      <c r="N73" s="323" t="s">
        <v>446</v>
      </c>
      <c r="O73" s="5" t="s">
        <v>317</v>
      </c>
      <c r="P73" s="5" t="s">
        <v>318</v>
      </c>
      <c r="Q73" s="5">
        <v>88</v>
      </c>
      <c r="R73" s="5">
        <v>38</v>
      </c>
      <c r="S73" s="5"/>
      <c r="T73" s="5"/>
      <c r="U73" s="5"/>
    </row>
    <row r="74" spans="1:21">
      <c r="A74" s="5" t="s">
        <v>447</v>
      </c>
      <c r="B74" s="5" t="s">
        <v>47</v>
      </c>
      <c r="C74" s="322" t="s">
        <v>1558</v>
      </c>
      <c r="E74" s="5" t="s">
        <v>3642</v>
      </c>
      <c r="F74" s="195"/>
      <c r="G74" s="5" t="s">
        <v>448</v>
      </c>
      <c r="H74" s="5" t="s">
        <v>449</v>
      </c>
      <c r="I74" s="322"/>
      <c r="J74" s="322"/>
      <c r="K74" s="5"/>
      <c r="L74" s="5" t="s">
        <v>3643</v>
      </c>
      <c r="M74" s="5"/>
      <c r="N74" s="323" t="s">
        <v>450</v>
      </c>
      <c r="O74" s="5" t="s">
        <v>193</v>
      </c>
      <c r="P74" s="5" t="s">
        <v>194</v>
      </c>
      <c r="Q74" s="5">
        <v>89</v>
      </c>
      <c r="R74" s="5">
        <v>31</v>
      </c>
      <c r="S74" s="5"/>
      <c r="T74" s="5"/>
      <c r="U74" s="5"/>
    </row>
    <row r="75" spans="1:21">
      <c r="A75" s="5" t="s">
        <v>451</v>
      </c>
      <c r="B75" s="5" t="s">
        <v>169</v>
      </c>
      <c r="C75" s="322" t="s">
        <v>3529</v>
      </c>
      <c r="E75" s="5" t="s">
        <v>3644</v>
      </c>
      <c r="F75" s="195"/>
      <c r="G75" s="5" t="s">
        <v>452</v>
      </c>
      <c r="H75" s="5" t="s">
        <v>453</v>
      </c>
      <c r="I75" s="322"/>
      <c r="J75" s="322"/>
      <c r="K75" s="5"/>
      <c r="L75" s="5" t="s">
        <v>3645</v>
      </c>
      <c r="M75" s="5"/>
      <c r="N75" s="5" t="s">
        <v>454</v>
      </c>
      <c r="O75" s="5" t="s">
        <v>423</v>
      </c>
      <c r="P75" s="5" t="s">
        <v>424</v>
      </c>
      <c r="Q75" s="5">
        <v>83</v>
      </c>
      <c r="R75" s="5">
        <v>73</v>
      </c>
      <c r="S75" s="5"/>
      <c r="T75" s="5"/>
      <c r="U75" s="5"/>
    </row>
    <row r="76" spans="1:21">
      <c r="A76" s="5" t="s">
        <v>455</v>
      </c>
      <c r="B76" s="5" t="s">
        <v>197</v>
      </c>
      <c r="E76" s="5" t="s">
        <v>3646</v>
      </c>
      <c r="F76" s="195"/>
      <c r="G76" s="5" t="s">
        <v>456</v>
      </c>
      <c r="H76" s="5" t="s">
        <v>457</v>
      </c>
      <c r="I76" s="322"/>
      <c r="J76" s="322"/>
      <c r="K76" s="5"/>
      <c r="M76" s="5"/>
      <c r="N76" s="323" t="s">
        <v>458</v>
      </c>
      <c r="O76" s="5" t="s">
        <v>459</v>
      </c>
      <c r="P76" s="5" t="s">
        <v>460</v>
      </c>
      <c r="Q76" s="5">
        <v>92.5</v>
      </c>
      <c r="R76" s="5">
        <v>18</v>
      </c>
      <c r="S76" s="5"/>
      <c r="T76" s="5"/>
      <c r="U76" s="5"/>
    </row>
    <row r="77" spans="1:21">
      <c r="A77" s="5" t="s">
        <v>461</v>
      </c>
      <c r="B77" s="6" t="s">
        <v>378</v>
      </c>
      <c r="C77" s="322" t="s">
        <v>3527</v>
      </c>
      <c r="E77" s="5" t="s">
        <v>3639</v>
      </c>
      <c r="F77" s="195"/>
      <c r="G77" s="5" t="s">
        <v>462</v>
      </c>
      <c r="H77" s="5" t="s">
        <v>463</v>
      </c>
      <c r="I77" s="322"/>
      <c r="J77" s="322"/>
      <c r="K77" s="5"/>
      <c r="M77" s="5"/>
      <c r="N77" s="324" t="s">
        <v>464</v>
      </c>
      <c r="O77" s="5" t="s">
        <v>465</v>
      </c>
      <c r="P77" s="5" t="s">
        <v>466</v>
      </c>
      <c r="Q77" s="5">
        <v>94</v>
      </c>
      <c r="R77" s="5">
        <v>11</v>
      </c>
      <c r="S77" s="5"/>
      <c r="T77" s="5"/>
      <c r="U77" s="5"/>
    </row>
    <row r="78" spans="1:21">
      <c r="A78" s="5" t="s">
        <v>467</v>
      </c>
      <c r="B78" s="5" t="s">
        <v>30</v>
      </c>
      <c r="C78" s="322" t="s">
        <v>3529</v>
      </c>
      <c r="E78" s="5" t="s">
        <v>3647</v>
      </c>
      <c r="F78" s="195"/>
      <c r="G78" s="5" t="s">
        <v>468</v>
      </c>
      <c r="H78" s="5" t="s">
        <v>469</v>
      </c>
      <c r="I78" s="322"/>
      <c r="J78" s="322"/>
      <c r="K78" s="5"/>
      <c r="L78" s="5" t="s">
        <v>3648</v>
      </c>
      <c r="M78" s="5"/>
      <c r="N78" s="324" t="s">
        <v>470</v>
      </c>
      <c r="O78" s="5" t="s">
        <v>471</v>
      </c>
      <c r="P78" s="5" t="s">
        <v>137</v>
      </c>
      <c r="Q78" s="5">
        <v>94</v>
      </c>
      <c r="R78" s="5">
        <v>11</v>
      </c>
      <c r="S78" s="5"/>
      <c r="T78" s="5"/>
      <c r="U78" s="5"/>
    </row>
    <row r="79" spans="1:21">
      <c r="A79" s="5" t="s">
        <v>472</v>
      </c>
      <c r="B79" s="5" t="s">
        <v>473</v>
      </c>
      <c r="C79" s="322" t="s">
        <v>3527</v>
      </c>
      <c r="E79" s="5" t="s">
        <v>3649</v>
      </c>
      <c r="F79" s="195"/>
      <c r="G79" s="5" t="s">
        <v>175</v>
      </c>
      <c r="H79" s="5" t="s">
        <v>176</v>
      </c>
      <c r="I79" s="322"/>
      <c r="J79" s="322" t="s">
        <v>1558</v>
      </c>
      <c r="K79" s="5">
        <v>3</v>
      </c>
      <c r="M79" s="5"/>
      <c r="N79" s="323" t="s">
        <v>474</v>
      </c>
      <c r="O79" s="5" t="s">
        <v>64</v>
      </c>
      <c r="P79" s="5" t="s">
        <v>65</v>
      </c>
      <c r="Q79" s="5">
        <v>89</v>
      </c>
      <c r="R79" s="5">
        <v>31</v>
      </c>
      <c r="S79" s="5"/>
      <c r="T79" s="5"/>
      <c r="U79" s="5"/>
    </row>
    <row r="80" spans="1:21">
      <c r="A80" s="5" t="s">
        <v>475</v>
      </c>
      <c r="B80" s="5" t="s">
        <v>476</v>
      </c>
      <c r="E80" s="5" t="s">
        <v>3542</v>
      </c>
      <c r="F80" s="195"/>
      <c r="G80" s="5" t="s">
        <v>189</v>
      </c>
      <c r="H80" s="5" t="s">
        <v>190</v>
      </c>
      <c r="I80" s="322" t="s">
        <v>3527</v>
      </c>
      <c r="J80" s="322" t="s">
        <v>1558</v>
      </c>
      <c r="K80" s="5">
        <v>3</v>
      </c>
      <c r="M80" s="5"/>
      <c r="N80" s="323" t="s">
        <v>477</v>
      </c>
      <c r="O80" s="5" t="s">
        <v>104</v>
      </c>
      <c r="P80" s="5" t="s">
        <v>105</v>
      </c>
      <c r="Q80" s="5">
        <v>91</v>
      </c>
      <c r="R80" s="5">
        <v>20</v>
      </c>
      <c r="S80" s="5"/>
      <c r="T80" s="5"/>
      <c r="U80" s="5"/>
    </row>
    <row r="81" spans="1:21">
      <c r="A81" s="5" t="s">
        <v>478</v>
      </c>
      <c r="B81" s="5" t="s">
        <v>321</v>
      </c>
      <c r="C81" s="322" t="s">
        <v>3554</v>
      </c>
      <c r="D81" s="322" t="s">
        <v>3554</v>
      </c>
      <c r="E81" s="5" t="s">
        <v>3650</v>
      </c>
      <c r="F81" s="195"/>
      <c r="G81" s="5" t="s">
        <v>479</v>
      </c>
      <c r="H81" s="5" t="s">
        <v>480</v>
      </c>
      <c r="I81" s="322"/>
      <c r="J81" s="322"/>
      <c r="K81" s="5"/>
      <c r="L81" s="5" t="s">
        <v>3651</v>
      </c>
      <c r="M81" s="5"/>
      <c r="N81" s="5" t="s">
        <v>481</v>
      </c>
      <c r="O81" s="5" t="s">
        <v>482</v>
      </c>
      <c r="P81" s="5" t="s">
        <v>347</v>
      </c>
      <c r="Q81" s="5">
        <v>87</v>
      </c>
      <c r="R81" s="5">
        <v>43</v>
      </c>
      <c r="S81" s="5"/>
      <c r="T81" s="5"/>
      <c r="U81" s="5"/>
    </row>
    <row r="82" spans="1:21">
      <c r="A82" s="5" t="s">
        <v>483</v>
      </c>
      <c r="B82" s="5" t="s">
        <v>484</v>
      </c>
      <c r="E82" s="5" t="s">
        <v>3652</v>
      </c>
      <c r="F82" s="195"/>
      <c r="G82" s="233" t="s">
        <v>485</v>
      </c>
      <c r="H82" s="5" t="s">
        <v>486</v>
      </c>
      <c r="I82" s="322" t="s">
        <v>1558</v>
      </c>
      <c r="J82" s="322" t="s">
        <v>3529</v>
      </c>
      <c r="K82" s="5">
        <v>2</v>
      </c>
      <c r="L82" s="5" t="s">
        <v>3653</v>
      </c>
      <c r="M82" s="5"/>
      <c r="N82" s="5" t="s">
        <v>487</v>
      </c>
      <c r="O82" s="5" t="s">
        <v>348</v>
      </c>
      <c r="P82" s="5" t="s">
        <v>349</v>
      </c>
      <c r="Q82" s="5">
        <v>87</v>
      </c>
      <c r="R82" s="5">
        <v>43</v>
      </c>
      <c r="S82" s="5"/>
      <c r="T82" s="5"/>
      <c r="U82" s="5"/>
    </row>
    <row r="83" spans="1:21">
      <c r="A83" s="5" t="s">
        <v>488</v>
      </c>
      <c r="B83" s="5" t="s">
        <v>489</v>
      </c>
      <c r="C83" s="322" t="s">
        <v>3527</v>
      </c>
      <c r="E83" s="5" t="s">
        <v>3654</v>
      </c>
      <c r="F83" s="195"/>
      <c r="G83" s="5" t="s">
        <v>490</v>
      </c>
      <c r="H83" s="5" t="s">
        <v>491</v>
      </c>
      <c r="I83" s="322"/>
      <c r="J83" s="325"/>
      <c r="K83" s="5"/>
      <c r="L83" s="5" t="s">
        <v>2028</v>
      </c>
      <c r="M83" s="5"/>
      <c r="N83" s="323" t="s">
        <v>492</v>
      </c>
      <c r="O83" s="5" t="s">
        <v>493</v>
      </c>
      <c r="P83" s="5" t="s">
        <v>89</v>
      </c>
      <c r="Q83" s="5">
        <v>92</v>
      </c>
      <c r="R83" s="5">
        <v>19</v>
      </c>
      <c r="S83" s="5" t="s">
        <v>3655</v>
      </c>
      <c r="T83" s="5"/>
      <c r="U83" s="5"/>
    </row>
    <row r="84" spans="1:21">
      <c r="A84" s="5" t="s">
        <v>494</v>
      </c>
      <c r="B84" s="5" t="s">
        <v>495</v>
      </c>
      <c r="E84" s="5" t="s">
        <v>3656</v>
      </c>
      <c r="F84" s="195"/>
      <c r="G84" s="5" t="s">
        <v>496</v>
      </c>
      <c r="H84" s="5" t="s">
        <v>497</v>
      </c>
      <c r="I84" s="322" t="s">
        <v>1558</v>
      </c>
      <c r="J84" s="322" t="s">
        <v>3527</v>
      </c>
      <c r="K84" s="5">
        <v>4</v>
      </c>
      <c r="L84" s="5" t="s">
        <v>3657</v>
      </c>
      <c r="M84" s="5"/>
      <c r="N84" s="5" t="s">
        <v>498</v>
      </c>
      <c r="O84" s="5" t="s">
        <v>499</v>
      </c>
      <c r="P84" s="5" t="s">
        <v>244</v>
      </c>
      <c r="Q84" s="5">
        <v>87</v>
      </c>
      <c r="R84" s="5">
        <v>43</v>
      </c>
      <c r="S84" s="5"/>
      <c r="T84" s="5"/>
      <c r="U84" s="5"/>
    </row>
    <row r="85" spans="1:21">
      <c r="A85" s="5" t="s">
        <v>500</v>
      </c>
      <c r="B85" s="5" t="s">
        <v>501</v>
      </c>
      <c r="E85" s="5" t="s">
        <v>3658</v>
      </c>
      <c r="F85" s="195"/>
      <c r="G85" s="5" t="s">
        <v>502</v>
      </c>
      <c r="H85" s="5" t="s">
        <v>503</v>
      </c>
      <c r="I85" s="322"/>
      <c r="J85" s="322" t="s">
        <v>3527</v>
      </c>
      <c r="K85" s="5">
        <v>4</v>
      </c>
      <c r="M85" s="5"/>
      <c r="N85" s="5"/>
      <c r="O85" s="5"/>
      <c r="P85" s="5"/>
      <c r="Q85" s="5"/>
      <c r="R85" s="5"/>
      <c r="S85" s="5"/>
      <c r="T85" s="5"/>
      <c r="U85" s="5"/>
    </row>
    <row r="86" spans="1:21">
      <c r="A86" s="5" t="s">
        <v>505</v>
      </c>
      <c r="B86" s="5" t="s">
        <v>506</v>
      </c>
      <c r="E86" s="5" t="s">
        <v>3659</v>
      </c>
      <c r="F86" s="195"/>
      <c r="G86" s="233" t="s">
        <v>507</v>
      </c>
      <c r="H86" s="5" t="s">
        <v>508</v>
      </c>
      <c r="I86" s="322" t="s">
        <v>1558</v>
      </c>
      <c r="J86" s="322" t="s">
        <v>1558</v>
      </c>
      <c r="K86" s="5">
        <v>2.9</v>
      </c>
      <c r="L86" s="5" t="s">
        <v>2542</v>
      </c>
      <c r="M86" s="5"/>
      <c r="N86" s="5" t="s">
        <v>4</v>
      </c>
      <c r="O86" s="5" t="s">
        <v>13</v>
      </c>
      <c r="P86" s="5" t="s">
        <v>5</v>
      </c>
      <c r="Q86" s="5" t="s">
        <v>3522</v>
      </c>
      <c r="R86" s="5" t="s">
        <v>3523</v>
      </c>
      <c r="S86" s="5" t="s">
        <v>3524</v>
      </c>
      <c r="T86" s="5"/>
      <c r="U86" s="5"/>
    </row>
    <row r="87" spans="1:21">
      <c r="A87" s="5" t="s">
        <v>509</v>
      </c>
      <c r="B87" s="5" t="s">
        <v>237</v>
      </c>
      <c r="E87" s="5" t="s">
        <v>3660</v>
      </c>
      <c r="F87" s="195"/>
      <c r="G87" s="5" t="s">
        <v>182</v>
      </c>
      <c r="H87" s="5" t="s">
        <v>183</v>
      </c>
      <c r="I87" s="322" t="s">
        <v>1558</v>
      </c>
      <c r="J87" s="322" t="s">
        <v>1558</v>
      </c>
      <c r="K87" s="5">
        <v>3</v>
      </c>
      <c r="M87" s="5"/>
      <c r="N87" s="323" t="s">
        <v>867</v>
      </c>
      <c r="O87" s="5" t="s">
        <v>868</v>
      </c>
      <c r="P87" s="5" t="s">
        <v>869</v>
      </c>
      <c r="Q87" s="5">
        <v>90</v>
      </c>
      <c r="R87" s="5">
        <v>16</v>
      </c>
      <c r="S87" s="5" t="s">
        <v>3661</v>
      </c>
      <c r="T87" s="5"/>
      <c r="U87" s="5"/>
    </row>
    <row r="88" spans="1:21">
      <c r="A88" s="5" t="s">
        <v>510</v>
      </c>
      <c r="B88" s="5" t="s">
        <v>511</v>
      </c>
      <c r="C88" s="322" t="s">
        <v>3527</v>
      </c>
      <c r="E88" s="5" t="s">
        <v>3662</v>
      </c>
      <c r="F88" s="195"/>
      <c r="G88" s="233" t="s">
        <v>512</v>
      </c>
      <c r="H88" s="5" t="s">
        <v>513</v>
      </c>
      <c r="I88" s="322"/>
      <c r="J88" s="322" t="s">
        <v>3529</v>
      </c>
      <c r="K88" s="5">
        <v>2</v>
      </c>
      <c r="L88" s="5" t="s">
        <v>3663</v>
      </c>
      <c r="M88" s="5"/>
      <c r="N88" s="323" t="s">
        <v>873</v>
      </c>
      <c r="O88" s="5" t="s">
        <v>874</v>
      </c>
      <c r="P88" s="5" t="s">
        <v>875</v>
      </c>
      <c r="Q88" s="5">
        <v>91</v>
      </c>
      <c r="R88" s="5">
        <v>12</v>
      </c>
      <c r="S88" s="5"/>
      <c r="T88" s="5"/>
      <c r="U88" s="5"/>
    </row>
    <row r="89" spans="1:21">
      <c r="A89" s="5" t="s">
        <v>517</v>
      </c>
      <c r="B89" s="5" t="s">
        <v>224</v>
      </c>
      <c r="C89" s="322" t="s">
        <v>3554</v>
      </c>
      <c r="D89" s="322" t="s">
        <v>3554</v>
      </c>
      <c r="E89" s="5" t="s">
        <v>3664</v>
      </c>
      <c r="F89" s="195"/>
      <c r="G89" s="5" t="s">
        <v>518</v>
      </c>
      <c r="H89" s="5" t="s">
        <v>519</v>
      </c>
      <c r="I89" s="322"/>
      <c r="J89" s="322"/>
      <c r="K89" s="5"/>
      <c r="L89" s="5" t="s">
        <v>3665</v>
      </c>
      <c r="M89" s="5"/>
      <c r="N89" s="5" t="s">
        <v>878</v>
      </c>
      <c r="O89" s="5" t="s">
        <v>879</v>
      </c>
      <c r="P89" s="5" t="s">
        <v>880</v>
      </c>
      <c r="Q89" s="5">
        <v>87</v>
      </c>
      <c r="R89" s="5">
        <v>23</v>
      </c>
      <c r="S89" s="5"/>
      <c r="T89" s="5"/>
      <c r="U89" s="5"/>
    </row>
    <row r="90" spans="1:21">
      <c r="A90" s="5" t="s">
        <v>523</v>
      </c>
      <c r="B90" s="5" t="s">
        <v>460</v>
      </c>
      <c r="C90" s="322" t="s">
        <v>3554</v>
      </c>
      <c r="E90" s="5" t="s">
        <v>3666</v>
      </c>
      <c r="F90" s="195"/>
      <c r="G90" s="5" t="s">
        <v>524</v>
      </c>
      <c r="H90" s="5" t="s">
        <v>525</v>
      </c>
      <c r="I90" s="322" t="s">
        <v>1558</v>
      </c>
      <c r="J90" s="322" t="s">
        <v>1558</v>
      </c>
      <c r="K90" s="5">
        <v>3</v>
      </c>
      <c r="L90" s="5" t="s">
        <v>3667</v>
      </c>
      <c r="M90" s="5"/>
      <c r="N90" s="323" t="s">
        <v>885</v>
      </c>
      <c r="O90" s="5" t="s">
        <v>886</v>
      </c>
      <c r="P90" s="5" t="s">
        <v>887</v>
      </c>
      <c r="Q90" s="5">
        <v>89</v>
      </c>
      <c r="R90" s="5">
        <v>18</v>
      </c>
      <c r="S90" s="5"/>
      <c r="T90" s="5"/>
      <c r="U90" s="5"/>
    </row>
    <row r="91" spans="1:21">
      <c r="A91" s="5" t="s">
        <v>529</v>
      </c>
      <c r="B91" s="5" t="s">
        <v>530</v>
      </c>
      <c r="C91" s="322" t="s">
        <v>1554</v>
      </c>
      <c r="E91" s="5" t="s">
        <v>1554</v>
      </c>
      <c r="F91" s="195"/>
      <c r="G91" s="233" t="s">
        <v>72</v>
      </c>
      <c r="H91" s="5" t="s">
        <v>73</v>
      </c>
      <c r="I91" s="322" t="s">
        <v>1558</v>
      </c>
      <c r="J91" s="322" t="s">
        <v>1558</v>
      </c>
      <c r="K91" s="5">
        <v>2.9</v>
      </c>
      <c r="L91" s="5" t="s">
        <v>3668</v>
      </c>
      <c r="M91" s="5"/>
      <c r="N91" s="5" t="s">
        <v>892</v>
      </c>
      <c r="O91" s="5" t="s">
        <v>893</v>
      </c>
      <c r="P91" s="5" t="s">
        <v>894</v>
      </c>
      <c r="Q91" s="5">
        <v>86</v>
      </c>
      <c r="R91" s="5">
        <v>24</v>
      </c>
      <c r="S91" s="5"/>
      <c r="T91" s="5"/>
      <c r="U91" s="5"/>
    </row>
    <row r="92" spans="1:21">
      <c r="A92" s="5" t="s">
        <v>534</v>
      </c>
      <c r="B92" s="5" t="s">
        <v>535</v>
      </c>
      <c r="C92" s="322" t="s">
        <v>1558</v>
      </c>
      <c r="D92" s="322" t="s">
        <v>3527</v>
      </c>
      <c r="E92" s="5" t="s">
        <v>3669</v>
      </c>
      <c r="F92" s="195"/>
      <c r="G92" s="5" t="s">
        <v>536</v>
      </c>
      <c r="H92" s="5" t="s">
        <v>537</v>
      </c>
      <c r="I92" s="322"/>
      <c r="J92" s="322"/>
      <c r="K92" s="5"/>
      <c r="M92" s="5"/>
      <c r="N92" s="5" t="s">
        <v>896</v>
      </c>
      <c r="O92" s="5" t="s">
        <v>897</v>
      </c>
      <c r="P92" s="5" t="s">
        <v>159</v>
      </c>
      <c r="Q92" s="5">
        <v>83</v>
      </c>
      <c r="R92" s="5">
        <v>27</v>
      </c>
      <c r="S92" s="5"/>
      <c r="T92" s="5"/>
      <c r="U92" s="5"/>
    </row>
    <row r="93" spans="1:21">
      <c r="A93" s="5" t="s">
        <v>541</v>
      </c>
      <c r="B93" s="5" t="s">
        <v>542</v>
      </c>
      <c r="C93" s="326"/>
      <c r="D93" s="327"/>
      <c r="E93" s="5" t="s">
        <v>3670</v>
      </c>
      <c r="F93" s="195"/>
      <c r="G93" s="5" t="s">
        <v>543</v>
      </c>
      <c r="H93" s="5" t="s">
        <v>544</v>
      </c>
      <c r="I93" s="322" t="s">
        <v>1558</v>
      </c>
      <c r="J93" s="322" t="s">
        <v>3527</v>
      </c>
      <c r="K93" s="5">
        <v>4</v>
      </c>
      <c r="L93" s="5" t="s">
        <v>3671</v>
      </c>
      <c r="M93" s="5"/>
      <c r="N93" s="5" t="s">
        <v>902</v>
      </c>
      <c r="O93" s="5" t="s">
        <v>903</v>
      </c>
      <c r="P93" s="5" t="s">
        <v>904</v>
      </c>
      <c r="Q93" s="5">
        <v>86</v>
      </c>
      <c r="R93" s="5">
        <v>24</v>
      </c>
      <c r="S93" s="5"/>
      <c r="T93" s="5"/>
      <c r="U93" s="5"/>
    </row>
    <row r="94" spans="1:21">
      <c r="A94" s="5" t="s">
        <v>548</v>
      </c>
      <c r="B94" s="5" t="s">
        <v>549</v>
      </c>
      <c r="C94" s="322" t="s">
        <v>3529</v>
      </c>
      <c r="E94" s="5" t="s">
        <v>3672</v>
      </c>
      <c r="F94" s="195"/>
      <c r="G94" s="233" t="s">
        <v>363</v>
      </c>
      <c r="H94" s="5" t="s">
        <v>364</v>
      </c>
      <c r="I94" s="322" t="s">
        <v>1558</v>
      </c>
      <c r="J94" s="322" t="s">
        <v>3529</v>
      </c>
      <c r="K94" s="5">
        <v>2</v>
      </c>
      <c r="L94" s="5" t="s">
        <v>3673</v>
      </c>
      <c r="M94" s="5"/>
      <c r="N94" s="5" t="s">
        <v>909</v>
      </c>
      <c r="O94" s="5" t="s">
        <v>910</v>
      </c>
      <c r="P94" s="5" t="s">
        <v>911</v>
      </c>
      <c r="Q94" s="5">
        <v>89</v>
      </c>
      <c r="R94" s="5">
        <v>18</v>
      </c>
      <c r="S94" s="5"/>
      <c r="T94" s="5"/>
      <c r="U94" s="5"/>
    </row>
    <row r="95" spans="1:21">
      <c r="A95" s="5" t="s">
        <v>553</v>
      </c>
      <c r="B95" s="5" t="s">
        <v>352</v>
      </c>
      <c r="C95" s="322" t="s">
        <v>1558</v>
      </c>
      <c r="E95" s="5" t="s">
        <v>3674</v>
      </c>
      <c r="F95" s="195"/>
      <c r="G95" s="233" t="s">
        <v>554</v>
      </c>
      <c r="H95" s="5" t="s">
        <v>555</v>
      </c>
      <c r="I95" s="322" t="s">
        <v>3527</v>
      </c>
      <c r="J95" s="322" t="s">
        <v>1558</v>
      </c>
      <c r="K95" s="5">
        <v>2.9</v>
      </c>
      <c r="L95" s="5" t="s">
        <v>3675</v>
      </c>
      <c r="M95" s="5"/>
      <c r="N95" s="5" t="s">
        <v>916</v>
      </c>
      <c r="O95" s="5" t="s">
        <v>917</v>
      </c>
      <c r="P95" s="5" t="s">
        <v>918</v>
      </c>
      <c r="Q95" s="5">
        <v>83</v>
      </c>
      <c r="R95" s="5">
        <v>27</v>
      </c>
      <c r="S95" s="5"/>
      <c r="T95" s="5"/>
      <c r="U95" s="5"/>
    </row>
    <row r="96" spans="1:21">
      <c r="A96" s="5" t="s">
        <v>559</v>
      </c>
      <c r="B96" s="5" t="s">
        <v>560</v>
      </c>
      <c r="E96" s="5" t="s">
        <v>3676</v>
      </c>
      <c r="F96" s="195"/>
      <c r="G96" s="5" t="s">
        <v>561</v>
      </c>
      <c r="H96" s="5"/>
      <c r="I96" s="322"/>
      <c r="J96" s="322"/>
      <c r="K96" s="5"/>
      <c r="M96" s="5"/>
      <c r="N96" s="5" t="s">
        <v>921</v>
      </c>
      <c r="O96" s="5" t="s">
        <v>922</v>
      </c>
      <c r="P96" s="5" t="s">
        <v>923</v>
      </c>
      <c r="Q96" s="5">
        <v>86</v>
      </c>
      <c r="R96" s="5">
        <v>24</v>
      </c>
      <c r="S96" s="5"/>
      <c r="T96" s="5"/>
      <c r="U96" s="5"/>
    </row>
    <row r="97" spans="1:21">
      <c r="A97" s="5" t="s">
        <v>565</v>
      </c>
      <c r="B97" s="5" t="s">
        <v>441</v>
      </c>
      <c r="C97" s="322" t="s">
        <v>1558</v>
      </c>
      <c r="E97" s="5" t="s">
        <v>3677</v>
      </c>
      <c r="F97" s="195"/>
      <c r="G97" s="5" t="s">
        <v>566</v>
      </c>
      <c r="H97" s="5" t="s">
        <v>567</v>
      </c>
      <c r="I97" s="322" t="s">
        <v>3527</v>
      </c>
      <c r="J97" s="322" t="s">
        <v>3527</v>
      </c>
      <c r="K97" s="5">
        <v>4</v>
      </c>
      <c r="M97" s="5"/>
      <c r="N97" s="324" t="s">
        <v>926</v>
      </c>
      <c r="O97" s="5" t="s">
        <v>927</v>
      </c>
      <c r="P97" s="5" t="s">
        <v>928</v>
      </c>
      <c r="Q97" s="5">
        <v>96</v>
      </c>
      <c r="R97" s="5">
        <v>2</v>
      </c>
      <c r="S97" s="5" t="s">
        <v>3678</v>
      </c>
      <c r="T97" s="5"/>
      <c r="U97" s="5"/>
    </row>
    <row r="98" spans="1:21">
      <c r="A98" s="5" t="s">
        <v>571</v>
      </c>
      <c r="B98" s="5" t="s">
        <v>572</v>
      </c>
      <c r="C98" s="322" t="s">
        <v>1558</v>
      </c>
      <c r="D98" s="322" t="s">
        <v>3527</v>
      </c>
      <c r="E98" s="5" t="s">
        <v>3679</v>
      </c>
      <c r="F98" s="195"/>
      <c r="G98" s="5" t="s">
        <v>573</v>
      </c>
      <c r="H98" s="5" t="s">
        <v>574</v>
      </c>
      <c r="I98" s="322"/>
      <c r="J98" s="322" t="s">
        <v>3527</v>
      </c>
      <c r="K98" s="5">
        <v>4</v>
      </c>
      <c r="M98" s="5"/>
      <c r="N98" s="324" t="s">
        <v>931</v>
      </c>
      <c r="O98" s="5" t="s">
        <v>932</v>
      </c>
      <c r="P98" s="5" t="s">
        <v>933</v>
      </c>
      <c r="Q98" s="5">
        <v>95</v>
      </c>
      <c r="R98" s="5">
        <v>4</v>
      </c>
      <c r="S98" s="5"/>
      <c r="T98" s="5"/>
      <c r="U98" s="5"/>
    </row>
    <row r="99" spans="1:21">
      <c r="A99" s="5" t="s">
        <v>578</v>
      </c>
      <c r="B99" s="5" t="s">
        <v>579</v>
      </c>
      <c r="C99" s="322" t="s">
        <v>1558</v>
      </c>
      <c r="E99" s="5" t="s">
        <v>3680</v>
      </c>
      <c r="F99" s="195"/>
      <c r="G99" s="5" t="s">
        <v>580</v>
      </c>
      <c r="H99" s="5" t="s">
        <v>581</v>
      </c>
      <c r="I99" s="322"/>
      <c r="J99" s="322"/>
      <c r="K99" s="5"/>
      <c r="L99" s="5" t="s">
        <v>3681</v>
      </c>
      <c r="M99" s="5"/>
      <c r="N99" s="323" t="s">
        <v>935</v>
      </c>
      <c r="O99" s="5" t="s">
        <v>936</v>
      </c>
      <c r="P99" s="5" t="s">
        <v>33</v>
      </c>
      <c r="Q99" s="5">
        <v>92.5</v>
      </c>
      <c r="R99" s="5">
        <v>8</v>
      </c>
      <c r="S99" s="5"/>
      <c r="T99" s="5"/>
      <c r="U99" s="5"/>
    </row>
    <row r="100" spans="1:21">
      <c r="A100" s="5" t="s">
        <v>585</v>
      </c>
      <c r="B100" s="5" t="s">
        <v>586</v>
      </c>
      <c r="E100" s="5" t="s">
        <v>3682</v>
      </c>
      <c r="F100" s="195"/>
      <c r="G100" s="324" t="s">
        <v>154</v>
      </c>
      <c r="H100" s="5" t="s">
        <v>155</v>
      </c>
      <c r="I100" s="322" t="s">
        <v>3554</v>
      </c>
      <c r="J100" s="322" t="s">
        <v>1559</v>
      </c>
      <c r="K100" s="5">
        <v>0</v>
      </c>
      <c r="L100" s="5" t="s">
        <v>3683</v>
      </c>
      <c r="M100" s="5"/>
      <c r="N100" s="5" t="s">
        <v>940</v>
      </c>
      <c r="O100" s="5" t="s">
        <v>941</v>
      </c>
      <c r="P100" s="5" t="s">
        <v>942</v>
      </c>
      <c r="Q100" s="5">
        <v>89</v>
      </c>
      <c r="R100" s="5">
        <v>18</v>
      </c>
      <c r="S100" s="5"/>
      <c r="T100" s="5"/>
      <c r="U100" s="5"/>
    </row>
    <row r="101" spans="1:21">
      <c r="A101" s="5" t="s">
        <v>590</v>
      </c>
      <c r="B101" s="5" t="s">
        <v>591</v>
      </c>
      <c r="C101" s="322" t="s">
        <v>3527</v>
      </c>
      <c r="E101" s="5" t="s">
        <v>3684</v>
      </c>
      <c r="F101" s="195"/>
      <c r="G101" s="5" t="s">
        <v>248</v>
      </c>
      <c r="H101" s="5" t="s">
        <v>249</v>
      </c>
      <c r="I101" s="322" t="s">
        <v>3527</v>
      </c>
      <c r="J101" s="322" t="s">
        <v>1558</v>
      </c>
      <c r="K101" s="5">
        <v>3</v>
      </c>
      <c r="L101" s="5" t="s">
        <v>1650</v>
      </c>
      <c r="M101" s="5"/>
      <c r="N101" s="323" t="s">
        <v>947</v>
      </c>
      <c r="O101" s="5" t="s">
        <v>948</v>
      </c>
      <c r="P101" s="5" t="s">
        <v>949</v>
      </c>
      <c r="Q101" s="5">
        <v>89.5</v>
      </c>
      <c r="R101" s="5">
        <v>17</v>
      </c>
      <c r="S101" s="5"/>
      <c r="T101" s="5"/>
      <c r="U101" s="5"/>
    </row>
    <row r="102" spans="1:21">
      <c r="A102" s="5" t="s">
        <v>595</v>
      </c>
      <c r="B102" s="5" t="s">
        <v>596</v>
      </c>
      <c r="E102" s="5" t="s">
        <v>3685</v>
      </c>
      <c r="F102" s="195"/>
      <c r="G102" s="5" t="s">
        <v>597</v>
      </c>
      <c r="H102" s="5" t="s">
        <v>598</v>
      </c>
      <c r="I102" s="322"/>
      <c r="J102" s="322" t="s">
        <v>3527</v>
      </c>
      <c r="K102" s="5">
        <v>4</v>
      </c>
      <c r="M102" s="5"/>
      <c r="N102" s="323" t="s">
        <v>954</v>
      </c>
      <c r="O102" s="5" t="s">
        <v>955</v>
      </c>
      <c r="P102" s="5" t="s">
        <v>956</v>
      </c>
      <c r="Q102" s="5">
        <v>89</v>
      </c>
      <c r="R102" s="5">
        <v>18</v>
      </c>
      <c r="S102" s="5"/>
      <c r="T102" s="5"/>
      <c r="U102" s="5"/>
    </row>
    <row r="103" spans="1:21">
      <c r="A103" s="5" t="s">
        <v>602</v>
      </c>
      <c r="B103" s="5" t="s">
        <v>603</v>
      </c>
      <c r="E103" s="5" t="s">
        <v>3686</v>
      </c>
      <c r="F103" s="195"/>
      <c r="G103" s="233" t="s">
        <v>141</v>
      </c>
      <c r="H103" s="5" t="s">
        <v>142</v>
      </c>
      <c r="I103" s="322" t="s">
        <v>1558</v>
      </c>
      <c r="J103" s="322" t="s">
        <v>3554</v>
      </c>
      <c r="K103" s="5">
        <v>1</v>
      </c>
      <c r="L103" s="5" t="s">
        <v>3687</v>
      </c>
      <c r="M103" s="5"/>
      <c r="N103" s="323" t="s">
        <v>961</v>
      </c>
      <c r="O103" s="5" t="s">
        <v>962</v>
      </c>
      <c r="P103" s="5" t="s">
        <v>963</v>
      </c>
      <c r="Q103" s="5">
        <v>91</v>
      </c>
      <c r="R103" s="5">
        <v>12</v>
      </c>
      <c r="S103" s="5"/>
      <c r="T103" s="5"/>
      <c r="U103" s="5"/>
    </row>
    <row r="104" spans="1:21">
      <c r="A104" s="5" t="s">
        <v>607</v>
      </c>
      <c r="B104" s="5" t="s">
        <v>381</v>
      </c>
      <c r="C104" s="322" t="s">
        <v>3554</v>
      </c>
      <c r="D104" s="322" t="s">
        <v>3554</v>
      </c>
      <c r="E104" s="5" t="s">
        <v>3688</v>
      </c>
      <c r="F104" s="195"/>
      <c r="G104" s="5" t="s">
        <v>608</v>
      </c>
      <c r="H104" s="5" t="s">
        <v>609</v>
      </c>
      <c r="I104" s="322"/>
      <c r="J104" s="322"/>
      <c r="K104" s="5"/>
      <c r="L104" s="5" t="s">
        <v>2028</v>
      </c>
      <c r="M104" s="5"/>
      <c r="N104" s="323" t="s">
        <v>968</v>
      </c>
      <c r="O104" s="5" t="s">
        <v>969</v>
      </c>
      <c r="P104" s="5" t="s">
        <v>970</v>
      </c>
      <c r="Q104" s="5">
        <v>91</v>
      </c>
      <c r="R104" s="5">
        <v>12</v>
      </c>
      <c r="S104" s="5"/>
      <c r="T104" s="5"/>
      <c r="U104" s="5"/>
    </row>
    <row r="105" spans="1:21">
      <c r="A105" s="5" t="s">
        <v>613</v>
      </c>
      <c r="B105" s="5" t="s">
        <v>108</v>
      </c>
      <c r="C105" s="322" t="s">
        <v>3554</v>
      </c>
      <c r="E105" s="5" t="s">
        <v>3689</v>
      </c>
      <c r="F105" s="195"/>
      <c r="G105" s="233" t="s">
        <v>614</v>
      </c>
      <c r="H105" s="5" t="s">
        <v>615</v>
      </c>
      <c r="I105" s="322" t="s">
        <v>1558</v>
      </c>
      <c r="J105" s="322" t="s">
        <v>3529</v>
      </c>
      <c r="K105" s="5">
        <v>2</v>
      </c>
      <c r="L105" s="5" t="s">
        <v>2561</v>
      </c>
      <c r="M105" s="5"/>
      <c r="N105" s="324" t="s">
        <v>973</v>
      </c>
      <c r="O105" s="5" t="s">
        <v>974</v>
      </c>
      <c r="P105" s="5" t="s">
        <v>975</v>
      </c>
      <c r="Q105" s="5">
        <v>97</v>
      </c>
      <c r="R105" s="5">
        <v>1</v>
      </c>
      <c r="S105" s="5"/>
      <c r="T105" s="5"/>
      <c r="U105" s="5"/>
    </row>
    <row r="106" spans="1:21" ht="35.25" customHeight="1">
      <c r="A106" s="540" t="s">
        <v>619</v>
      </c>
      <c r="B106" s="543"/>
      <c r="C106" s="550"/>
      <c r="D106" s="550"/>
      <c r="E106" s="543"/>
      <c r="F106" s="195"/>
      <c r="G106" s="5" t="s">
        <v>620</v>
      </c>
      <c r="H106" s="5" t="s">
        <v>621</v>
      </c>
      <c r="I106" s="322" t="s">
        <v>1558</v>
      </c>
      <c r="J106" s="322" t="s">
        <v>1558</v>
      </c>
      <c r="K106" s="5">
        <v>3</v>
      </c>
      <c r="L106" s="5" t="s">
        <v>2015</v>
      </c>
      <c r="M106" s="5"/>
      <c r="N106" s="323" t="s">
        <v>978</v>
      </c>
      <c r="O106" s="5" t="s">
        <v>979</v>
      </c>
      <c r="P106" s="5" t="s">
        <v>980</v>
      </c>
      <c r="Q106" s="5">
        <v>88</v>
      </c>
      <c r="R106" s="5">
        <v>22</v>
      </c>
      <c r="S106" s="5"/>
      <c r="T106" s="5"/>
      <c r="U106" s="5"/>
    </row>
    <row r="107" spans="1:21">
      <c r="A107" s="5" t="s">
        <v>4</v>
      </c>
      <c r="B107" s="6" t="s">
        <v>5</v>
      </c>
      <c r="C107" s="318"/>
      <c r="D107" s="318"/>
      <c r="E107" s="24" t="s">
        <v>12</v>
      </c>
      <c r="F107" s="195"/>
      <c r="G107" s="324" t="s">
        <v>419</v>
      </c>
      <c r="H107" s="5" t="s">
        <v>420</v>
      </c>
      <c r="I107" s="322" t="s">
        <v>3529</v>
      </c>
      <c r="J107" s="322" t="s">
        <v>1559</v>
      </c>
      <c r="K107" s="5">
        <v>0</v>
      </c>
      <c r="L107" s="5" t="s">
        <v>3690</v>
      </c>
      <c r="M107" s="5"/>
      <c r="N107" s="323" t="s">
        <v>984</v>
      </c>
      <c r="O107" s="5" t="s">
        <v>985</v>
      </c>
      <c r="P107" s="5" t="s">
        <v>151</v>
      </c>
      <c r="Q107" s="5">
        <v>93</v>
      </c>
      <c r="R107" s="5">
        <v>7</v>
      </c>
      <c r="S107" s="5"/>
      <c r="T107" s="5"/>
      <c r="U107" s="5"/>
    </row>
    <row r="108" spans="1:21">
      <c r="A108" s="5" t="s">
        <v>633</v>
      </c>
      <c r="B108" s="5" t="s">
        <v>594</v>
      </c>
      <c r="F108" s="195"/>
      <c r="G108" s="5" t="s">
        <v>628</v>
      </c>
      <c r="H108" s="5" t="s">
        <v>629</v>
      </c>
      <c r="I108" s="322"/>
      <c r="J108" s="322"/>
      <c r="K108" s="5"/>
      <c r="M108" s="5"/>
      <c r="N108" s="323" t="s">
        <v>987</v>
      </c>
      <c r="O108" s="5" t="s">
        <v>988</v>
      </c>
      <c r="P108" s="5" t="s">
        <v>989</v>
      </c>
      <c r="Q108" s="5">
        <v>92</v>
      </c>
      <c r="R108" s="5">
        <v>9</v>
      </c>
      <c r="S108" s="5"/>
      <c r="T108" s="5"/>
      <c r="U108" s="5"/>
    </row>
    <row r="109" spans="1:21">
      <c r="A109" s="5" t="s">
        <v>639</v>
      </c>
      <c r="B109" s="5" t="s">
        <v>640</v>
      </c>
      <c r="F109" s="195"/>
      <c r="G109" s="233" t="s">
        <v>634</v>
      </c>
      <c r="H109" s="5" t="s">
        <v>635</v>
      </c>
      <c r="I109" s="322" t="s">
        <v>1558</v>
      </c>
      <c r="J109" s="322" t="s">
        <v>1558</v>
      </c>
      <c r="K109" s="5">
        <v>2.9</v>
      </c>
      <c r="L109" s="5" t="s">
        <v>2015</v>
      </c>
      <c r="M109" s="5"/>
      <c r="N109" s="323" t="s">
        <v>993</v>
      </c>
      <c r="O109" s="5" t="s">
        <v>994</v>
      </c>
      <c r="P109" s="5" t="s">
        <v>995</v>
      </c>
      <c r="Q109" s="5">
        <v>95</v>
      </c>
      <c r="R109" s="5">
        <v>4</v>
      </c>
      <c r="S109" s="5"/>
      <c r="T109" s="5"/>
      <c r="U109" s="5"/>
    </row>
    <row r="110" spans="1:21">
      <c r="A110" s="5" t="s">
        <v>644</v>
      </c>
      <c r="B110" s="5" t="s">
        <v>645</v>
      </c>
      <c r="F110" s="195"/>
      <c r="G110" s="5" t="s">
        <v>284</v>
      </c>
      <c r="H110" s="5" t="s">
        <v>285</v>
      </c>
      <c r="I110" s="322" t="s">
        <v>1558</v>
      </c>
      <c r="J110" s="322" t="s">
        <v>3527</v>
      </c>
      <c r="K110" s="5">
        <v>4</v>
      </c>
      <c r="M110" s="5"/>
      <c r="N110" s="323" t="s">
        <v>999</v>
      </c>
      <c r="O110" s="5" t="s">
        <v>1000</v>
      </c>
      <c r="P110" s="5" t="s">
        <v>1001</v>
      </c>
      <c r="Q110" s="5">
        <v>91.5</v>
      </c>
      <c r="R110" s="5">
        <v>11</v>
      </c>
      <c r="S110" s="5"/>
      <c r="T110" s="5"/>
      <c r="U110" s="5"/>
    </row>
    <row r="111" spans="1:21">
      <c r="A111" s="5" t="s">
        <v>651</v>
      </c>
      <c r="B111" s="5" t="s">
        <v>652</v>
      </c>
      <c r="F111" s="195"/>
      <c r="G111" s="233" t="s">
        <v>646</v>
      </c>
      <c r="H111" s="5" t="s">
        <v>647</v>
      </c>
      <c r="I111" s="322" t="s">
        <v>1558</v>
      </c>
      <c r="J111" s="322" t="s">
        <v>1558</v>
      </c>
      <c r="K111" s="5">
        <v>2.9</v>
      </c>
      <c r="L111" s="5" t="s">
        <v>1650</v>
      </c>
      <c r="M111" s="5"/>
      <c r="N111" s="5" t="s">
        <v>1006</v>
      </c>
      <c r="O111" s="5" t="s">
        <v>1007</v>
      </c>
      <c r="P111" s="5" t="s">
        <v>1008</v>
      </c>
      <c r="Q111" s="5">
        <v>75</v>
      </c>
      <c r="R111" s="5">
        <v>29</v>
      </c>
      <c r="S111" s="5"/>
      <c r="T111" s="5"/>
      <c r="U111" s="5"/>
    </row>
    <row r="112" spans="1:21">
      <c r="A112" s="5" t="s">
        <v>658</v>
      </c>
      <c r="B112" s="5" t="s">
        <v>659</v>
      </c>
      <c r="F112" s="195"/>
      <c r="G112" s="5" t="s">
        <v>653</v>
      </c>
      <c r="H112" s="5" t="s">
        <v>654</v>
      </c>
      <c r="I112" s="322" t="s">
        <v>1554</v>
      </c>
      <c r="J112" s="322" t="s">
        <v>1554</v>
      </c>
      <c r="K112" s="5"/>
      <c r="L112" s="5" t="s">
        <v>3691</v>
      </c>
      <c r="M112" s="5"/>
      <c r="N112" s="324" t="s">
        <v>1010</v>
      </c>
      <c r="O112" s="5" t="s">
        <v>1011</v>
      </c>
      <c r="P112" s="5" t="s">
        <v>1012</v>
      </c>
      <c r="Q112" s="5">
        <v>94</v>
      </c>
      <c r="R112" s="5">
        <v>6</v>
      </c>
      <c r="S112" s="5"/>
      <c r="T112" s="5"/>
      <c r="U112" s="5"/>
    </row>
    <row r="113" spans="1:21">
      <c r="A113" s="5" t="s">
        <v>663</v>
      </c>
      <c r="B113" s="5" t="s">
        <v>5268</v>
      </c>
      <c r="F113" s="195"/>
      <c r="G113" s="5" t="s">
        <v>203</v>
      </c>
      <c r="H113" s="5" t="s">
        <v>204</v>
      </c>
      <c r="I113" s="322" t="s">
        <v>1558</v>
      </c>
      <c r="J113" s="322" t="s">
        <v>3527</v>
      </c>
      <c r="K113" s="5">
        <v>4</v>
      </c>
      <c r="M113" s="5"/>
      <c r="N113" s="323" t="s">
        <v>1015</v>
      </c>
      <c r="O113" s="5" t="s">
        <v>1016</v>
      </c>
      <c r="P113" s="5" t="s">
        <v>1017</v>
      </c>
      <c r="Q113" s="5">
        <v>92</v>
      </c>
      <c r="R113" s="5">
        <v>9</v>
      </c>
      <c r="S113" s="5"/>
      <c r="T113" s="5"/>
      <c r="U113" s="5"/>
    </row>
    <row r="114" spans="1:21">
      <c r="A114" s="5" t="s">
        <v>667</v>
      </c>
      <c r="B114" s="5" t="s">
        <v>668</v>
      </c>
      <c r="F114" s="195"/>
      <c r="G114" s="324" t="s">
        <v>60</v>
      </c>
      <c r="H114" s="5" t="s">
        <v>61</v>
      </c>
      <c r="I114" s="322" t="s">
        <v>1558</v>
      </c>
      <c r="J114" s="322" t="s">
        <v>1559</v>
      </c>
      <c r="K114" s="5">
        <v>0</v>
      </c>
      <c r="L114" s="5" t="s">
        <v>3692</v>
      </c>
      <c r="M114" s="5"/>
      <c r="N114" s="324" t="s">
        <v>1020</v>
      </c>
      <c r="O114" s="5" t="s">
        <v>1021</v>
      </c>
      <c r="P114" s="5" t="s">
        <v>1022</v>
      </c>
      <c r="Q114" s="5">
        <v>95.5</v>
      </c>
      <c r="R114" s="5">
        <v>3</v>
      </c>
      <c r="S114" s="5"/>
      <c r="T114" s="5"/>
      <c r="U114" s="5"/>
    </row>
    <row r="115" spans="1:21">
      <c r="A115" s="5" t="s">
        <v>674</v>
      </c>
      <c r="B115" s="5" t="s">
        <v>675</v>
      </c>
      <c r="F115" s="195"/>
      <c r="G115" s="5" t="s">
        <v>669</v>
      </c>
      <c r="H115" s="5" t="s">
        <v>670</v>
      </c>
      <c r="I115" s="322"/>
      <c r="J115" s="322"/>
      <c r="K115" s="5"/>
      <c r="L115" s="5" t="s">
        <v>3693</v>
      </c>
      <c r="M115" s="5"/>
      <c r="N115" s="323" t="s">
        <v>1026</v>
      </c>
      <c r="O115" s="5" t="s">
        <v>1027</v>
      </c>
      <c r="P115" s="5" t="s">
        <v>1028</v>
      </c>
      <c r="Q115" s="5">
        <v>90.5</v>
      </c>
      <c r="R115" s="5">
        <v>15</v>
      </c>
      <c r="S115" s="5"/>
      <c r="T115" s="5"/>
      <c r="U115" s="5"/>
    </row>
    <row r="116" spans="1:21">
      <c r="A116" s="5" t="s">
        <v>681</v>
      </c>
      <c r="B116" s="5" t="s">
        <v>666</v>
      </c>
      <c r="F116" s="195"/>
      <c r="G116" s="5" t="s">
        <v>676</v>
      </c>
      <c r="H116" s="5" t="s">
        <v>677</v>
      </c>
      <c r="I116" s="322" t="s">
        <v>1558</v>
      </c>
      <c r="J116" s="322" t="s">
        <v>3626</v>
      </c>
      <c r="K116" s="5">
        <v>4</v>
      </c>
      <c r="L116" s="5" t="s">
        <v>3694</v>
      </c>
      <c r="M116" s="5"/>
      <c r="N116" s="5"/>
      <c r="O116" s="5"/>
      <c r="P116" s="5"/>
      <c r="Q116" s="5"/>
      <c r="R116" s="5"/>
      <c r="S116" s="5"/>
      <c r="T116" s="5"/>
      <c r="U116" s="5"/>
    </row>
    <row r="117" spans="1:21">
      <c r="A117" s="5" t="s">
        <v>687</v>
      </c>
      <c r="B117" s="5" t="s">
        <v>688</v>
      </c>
      <c r="F117" s="195"/>
      <c r="G117" s="5" t="s">
        <v>682</v>
      </c>
      <c r="H117" s="5" t="s">
        <v>683</v>
      </c>
      <c r="I117" s="322"/>
      <c r="J117" s="322"/>
      <c r="K117" s="5"/>
      <c r="L117" s="5" t="s">
        <v>3695</v>
      </c>
      <c r="M117" s="5"/>
      <c r="N117" s="5"/>
      <c r="O117" s="5"/>
      <c r="P117" s="5"/>
      <c r="Q117" s="5"/>
      <c r="R117" s="5"/>
      <c r="S117" s="5"/>
      <c r="T117" s="5"/>
      <c r="U117" s="5"/>
    </row>
    <row r="118" spans="1:21">
      <c r="A118" s="5" t="s">
        <v>694</v>
      </c>
      <c r="B118" s="5" t="s">
        <v>695</v>
      </c>
      <c r="F118" s="195"/>
      <c r="G118" s="5" t="s">
        <v>689</v>
      </c>
      <c r="H118" s="5" t="s">
        <v>690</v>
      </c>
      <c r="I118" s="322" t="s">
        <v>3527</v>
      </c>
      <c r="J118" s="322" t="s">
        <v>3527</v>
      </c>
      <c r="K118" s="5">
        <v>4</v>
      </c>
      <c r="L118" s="5" t="s">
        <v>3696</v>
      </c>
      <c r="M118" s="5"/>
      <c r="N118" s="5"/>
      <c r="O118" s="5"/>
      <c r="P118" s="5"/>
      <c r="Q118" s="5"/>
      <c r="R118" s="5"/>
      <c r="S118" s="5"/>
      <c r="T118" s="5"/>
      <c r="U118" s="5"/>
    </row>
    <row r="119" spans="1:21">
      <c r="A119" s="5" t="s">
        <v>701</v>
      </c>
      <c r="B119" s="5" t="s">
        <v>702</v>
      </c>
      <c r="F119" s="195"/>
      <c r="G119" s="5" t="s">
        <v>696</v>
      </c>
      <c r="H119" s="5" t="s">
        <v>697</v>
      </c>
      <c r="I119" s="322"/>
      <c r="J119" s="322"/>
      <c r="K119" s="5"/>
      <c r="L119" s="5" t="s">
        <v>3697</v>
      </c>
      <c r="M119" s="5"/>
      <c r="N119" s="5"/>
      <c r="O119" s="5"/>
      <c r="P119" s="5"/>
      <c r="Q119" s="5"/>
      <c r="R119" s="5"/>
      <c r="S119" s="5"/>
      <c r="T119" s="5"/>
      <c r="U119" s="5"/>
    </row>
    <row r="120" spans="1:21">
      <c r="A120" s="5" t="s">
        <v>708</v>
      </c>
      <c r="B120" s="5" t="s">
        <v>709</v>
      </c>
      <c r="F120" s="195"/>
      <c r="G120" s="5" t="s">
        <v>703</v>
      </c>
      <c r="H120" s="5" t="s">
        <v>704</v>
      </c>
      <c r="I120" s="322" t="s">
        <v>3527</v>
      </c>
      <c r="J120" s="322"/>
      <c r="K120" s="5"/>
      <c r="M120" s="5"/>
      <c r="N120" s="5"/>
      <c r="O120" s="5"/>
      <c r="P120" s="5"/>
      <c r="Q120" s="5"/>
      <c r="R120" s="5"/>
      <c r="S120" s="5"/>
      <c r="T120" s="5"/>
      <c r="U120" s="5"/>
    </row>
    <row r="121" spans="1:21">
      <c r="A121" s="5" t="s">
        <v>715</v>
      </c>
      <c r="B121" s="5" t="s">
        <v>716</v>
      </c>
      <c r="F121" s="195"/>
      <c r="G121" s="5" t="s">
        <v>710</v>
      </c>
      <c r="H121" s="5" t="s">
        <v>711</v>
      </c>
      <c r="I121" s="322" t="s">
        <v>1558</v>
      </c>
      <c r="J121" s="322" t="s">
        <v>1558</v>
      </c>
      <c r="K121" s="5">
        <v>3</v>
      </c>
      <c r="M121" s="5"/>
      <c r="N121" s="5"/>
      <c r="O121" s="5"/>
      <c r="P121" s="5"/>
      <c r="Q121" s="5"/>
      <c r="R121" s="5"/>
      <c r="S121" s="5"/>
      <c r="T121" s="5"/>
      <c r="U121" s="5"/>
    </row>
    <row r="122" spans="1:21">
      <c r="A122" s="5" t="s">
        <v>722</v>
      </c>
      <c r="B122" s="5" t="s">
        <v>723</v>
      </c>
      <c r="F122" s="195"/>
      <c r="G122" s="5" t="s">
        <v>717</v>
      </c>
      <c r="H122" s="5" t="s">
        <v>718</v>
      </c>
      <c r="I122" s="322"/>
      <c r="J122" s="322" t="s">
        <v>3527</v>
      </c>
      <c r="K122" s="5">
        <v>4</v>
      </c>
      <c r="M122" s="5"/>
      <c r="N122" s="5"/>
      <c r="O122" s="5"/>
      <c r="P122" s="5"/>
      <c r="Q122" s="5"/>
      <c r="R122" s="5"/>
      <c r="S122" s="5"/>
      <c r="T122" s="5"/>
      <c r="U122" s="5"/>
    </row>
    <row r="123" spans="1:21">
      <c r="A123" s="5" t="s">
        <v>727</v>
      </c>
      <c r="B123" s="5" t="s">
        <v>558</v>
      </c>
      <c r="F123" s="195"/>
      <c r="G123" s="233" t="s">
        <v>134</v>
      </c>
      <c r="H123" s="5" t="s">
        <v>135</v>
      </c>
      <c r="I123" s="322"/>
      <c r="J123" s="322" t="s">
        <v>1558</v>
      </c>
      <c r="K123" s="5">
        <v>2.9</v>
      </c>
      <c r="L123" s="5" t="s">
        <v>3698</v>
      </c>
      <c r="M123" s="5"/>
      <c r="N123" s="5"/>
      <c r="O123" s="5"/>
      <c r="P123" s="5"/>
      <c r="Q123" s="5"/>
      <c r="R123" s="5"/>
      <c r="S123" s="5"/>
      <c r="T123" s="5"/>
      <c r="U123" s="5"/>
    </row>
    <row r="124" spans="1:21">
      <c r="A124" s="5" t="s">
        <v>733</v>
      </c>
      <c r="B124" s="5" t="s">
        <v>686</v>
      </c>
      <c r="F124" s="195"/>
      <c r="G124" s="5" t="s">
        <v>728</v>
      </c>
      <c r="H124" s="5" t="s">
        <v>729</v>
      </c>
      <c r="I124" s="322"/>
      <c r="J124" s="322"/>
      <c r="K124" s="5"/>
      <c r="M124" s="5"/>
      <c r="N124" s="5"/>
      <c r="O124" s="5"/>
      <c r="P124" s="5"/>
      <c r="Q124" s="5"/>
      <c r="R124" s="5"/>
      <c r="S124" s="5"/>
      <c r="T124" s="5"/>
      <c r="U124" s="5"/>
    </row>
    <row r="125" spans="1:21">
      <c r="A125" s="5" t="s">
        <v>737</v>
      </c>
      <c r="B125" s="5" t="s">
        <v>700</v>
      </c>
      <c r="F125" s="195"/>
      <c r="G125" s="324" t="s">
        <v>290</v>
      </c>
      <c r="H125" s="5" t="s">
        <v>291</v>
      </c>
      <c r="I125" s="322" t="s">
        <v>3529</v>
      </c>
      <c r="J125" s="322" t="s">
        <v>3554</v>
      </c>
      <c r="K125" s="5">
        <v>0.9</v>
      </c>
      <c r="L125" s="5" t="s">
        <v>3699</v>
      </c>
      <c r="M125" s="5"/>
      <c r="N125" s="5"/>
      <c r="O125" s="5"/>
      <c r="P125" s="5"/>
      <c r="Q125" s="5"/>
      <c r="R125" s="5"/>
      <c r="S125" s="5"/>
      <c r="T125" s="5"/>
      <c r="U125" s="5"/>
    </row>
    <row r="126" spans="1:21">
      <c r="A126" s="5" t="s">
        <v>741</v>
      </c>
      <c r="B126" s="5" t="s">
        <v>742</v>
      </c>
      <c r="G126" s="328" t="s">
        <v>254</v>
      </c>
      <c r="H126" s="24" t="s">
        <v>255</v>
      </c>
      <c r="I126" s="318" t="s">
        <v>3529</v>
      </c>
      <c r="J126" s="318" t="s">
        <v>3554</v>
      </c>
      <c r="K126" s="24">
        <v>0.9</v>
      </c>
      <c r="L126" s="325"/>
    </row>
    <row r="127" spans="1:21">
      <c r="A127" s="5" t="s">
        <v>746</v>
      </c>
      <c r="B127" s="5" t="s">
        <v>693</v>
      </c>
      <c r="G127" s="329" t="s">
        <v>407</v>
      </c>
      <c r="H127" s="24" t="s">
        <v>408</v>
      </c>
      <c r="I127" s="318"/>
      <c r="J127" s="318" t="s">
        <v>1558</v>
      </c>
      <c r="K127" s="24">
        <v>2.9</v>
      </c>
      <c r="L127" s="330" t="s">
        <v>1605</v>
      </c>
    </row>
    <row r="128" spans="1:21">
      <c r="A128" s="5" t="s">
        <v>752</v>
      </c>
      <c r="B128" s="5" t="s">
        <v>753</v>
      </c>
      <c r="G128" s="24" t="s">
        <v>747</v>
      </c>
      <c r="H128" s="24" t="s">
        <v>748</v>
      </c>
      <c r="I128" s="318" t="s">
        <v>1558</v>
      </c>
      <c r="J128" s="318" t="s">
        <v>1558</v>
      </c>
      <c r="K128" s="24">
        <v>3</v>
      </c>
      <c r="L128" s="330" t="s">
        <v>3700</v>
      </c>
    </row>
    <row r="129" spans="1:12">
      <c r="A129" s="5" t="s">
        <v>757</v>
      </c>
      <c r="B129" s="5" t="s">
        <v>758</v>
      </c>
      <c r="G129" s="329" t="s">
        <v>411</v>
      </c>
      <c r="H129" s="24" t="s">
        <v>412</v>
      </c>
      <c r="I129" s="318" t="s">
        <v>1558</v>
      </c>
      <c r="J129" s="318" t="s">
        <v>3529</v>
      </c>
      <c r="K129" s="24">
        <v>2</v>
      </c>
      <c r="L129" s="330" t="s">
        <v>3701</v>
      </c>
    </row>
    <row r="130" spans="1:12">
      <c r="A130" s="5" t="s">
        <v>762</v>
      </c>
      <c r="B130" s="5" t="s">
        <v>763</v>
      </c>
      <c r="G130" s="329" t="s">
        <v>32</v>
      </c>
      <c r="H130" s="24" t="s">
        <v>33</v>
      </c>
      <c r="I130" s="318" t="s">
        <v>1558</v>
      </c>
      <c r="J130" s="318" t="s">
        <v>3529</v>
      </c>
      <c r="K130" s="24">
        <v>2</v>
      </c>
      <c r="L130" s="24" t="s">
        <v>3701</v>
      </c>
    </row>
    <row r="131" spans="1:12">
      <c r="A131" s="5" t="s">
        <v>767</v>
      </c>
      <c r="B131" s="5" t="s">
        <v>768</v>
      </c>
      <c r="G131" s="24" t="s">
        <v>301</v>
      </c>
      <c r="H131" s="24" t="s">
        <v>280</v>
      </c>
      <c r="I131" s="318" t="s">
        <v>1558</v>
      </c>
      <c r="J131" s="318" t="s">
        <v>1558</v>
      </c>
      <c r="K131" s="24">
        <v>3</v>
      </c>
      <c r="L131" s="24" t="s">
        <v>3702</v>
      </c>
    </row>
    <row r="132" spans="1:12">
      <c r="A132" s="5" t="s">
        <v>772</v>
      </c>
      <c r="B132" s="5" t="s">
        <v>773</v>
      </c>
      <c r="G132" s="329" t="s">
        <v>344</v>
      </c>
      <c r="H132" s="24" t="s">
        <v>345</v>
      </c>
      <c r="I132" s="318" t="s">
        <v>3574</v>
      </c>
      <c r="J132" s="318" t="s">
        <v>3554</v>
      </c>
      <c r="K132" s="24">
        <v>1</v>
      </c>
      <c r="L132" s="325"/>
    </row>
    <row r="133" spans="1:12">
      <c r="A133" s="5" t="s">
        <v>779</v>
      </c>
      <c r="B133" s="5" t="s">
        <v>780</v>
      </c>
      <c r="G133" s="24" t="s">
        <v>774</v>
      </c>
      <c r="H133" s="24" t="s">
        <v>775</v>
      </c>
      <c r="I133" s="318"/>
      <c r="J133" s="318"/>
      <c r="K133" s="325"/>
      <c r="L133" s="325"/>
    </row>
    <row r="134" spans="1:12">
      <c r="A134" s="5" t="s">
        <v>785</v>
      </c>
      <c r="B134" s="5" t="s">
        <v>786</v>
      </c>
      <c r="G134" s="329" t="s">
        <v>781</v>
      </c>
      <c r="H134" s="24" t="s">
        <v>544</v>
      </c>
      <c r="I134" s="318" t="s">
        <v>1558</v>
      </c>
      <c r="J134" s="318" t="s">
        <v>1558</v>
      </c>
      <c r="K134" s="24">
        <v>2.9</v>
      </c>
      <c r="L134" s="330" t="s">
        <v>3703</v>
      </c>
    </row>
    <row r="135" spans="1:12">
      <c r="A135" s="5" t="s">
        <v>791</v>
      </c>
      <c r="B135" s="5" t="s">
        <v>792</v>
      </c>
      <c r="G135" s="24"/>
      <c r="H135" s="24"/>
    </row>
    <row r="136" spans="1:12">
      <c r="A136" s="5" t="s">
        <v>796</v>
      </c>
      <c r="B136" s="5" t="s">
        <v>797</v>
      </c>
      <c r="G136" s="24" t="s">
        <v>1276</v>
      </c>
      <c r="H136" s="24" t="s">
        <v>1277</v>
      </c>
      <c r="I136" s="318"/>
      <c r="J136" s="318"/>
    </row>
    <row r="137" spans="1:12">
      <c r="A137" s="5" t="s">
        <v>800</v>
      </c>
      <c r="B137" s="5" t="s">
        <v>801</v>
      </c>
      <c r="G137" s="24" t="s">
        <v>1280</v>
      </c>
      <c r="H137" s="24" t="s">
        <v>1281</v>
      </c>
      <c r="I137" s="318"/>
      <c r="J137" s="318"/>
    </row>
    <row r="138" spans="1:12">
      <c r="A138" s="5" t="s">
        <v>807</v>
      </c>
      <c r="B138" s="5" t="s">
        <v>808</v>
      </c>
      <c r="G138" s="24" t="s">
        <v>893</v>
      </c>
      <c r="H138" s="24" t="s">
        <v>894</v>
      </c>
      <c r="I138" s="318"/>
      <c r="J138" s="318" t="s">
        <v>1558</v>
      </c>
    </row>
    <row r="139" spans="1:12">
      <c r="A139" s="5" t="s">
        <v>814</v>
      </c>
      <c r="B139" s="5" t="s">
        <v>736</v>
      </c>
      <c r="G139" s="24" t="s">
        <v>1286</v>
      </c>
      <c r="H139" s="24" t="s">
        <v>1287</v>
      </c>
      <c r="I139" s="318"/>
      <c r="J139" s="318"/>
    </row>
    <row r="140" spans="1:12">
      <c r="A140" s="5" t="s">
        <v>818</v>
      </c>
      <c r="B140" s="5" t="s">
        <v>819</v>
      </c>
      <c r="G140" s="24" t="s">
        <v>1289</v>
      </c>
      <c r="H140" s="24" t="s">
        <v>598</v>
      </c>
      <c r="I140" s="318"/>
      <c r="J140" s="318"/>
    </row>
    <row r="141" spans="1:12">
      <c r="A141" s="5" t="s">
        <v>825</v>
      </c>
      <c r="B141" s="5" t="s">
        <v>826</v>
      </c>
      <c r="G141" s="24" t="s">
        <v>955</v>
      </c>
      <c r="H141" s="24" t="s">
        <v>1291</v>
      </c>
      <c r="I141" s="318"/>
      <c r="J141" s="318" t="s">
        <v>1558</v>
      </c>
    </row>
    <row r="142" spans="1:12">
      <c r="A142" s="5" t="s">
        <v>832</v>
      </c>
      <c r="B142" s="5" t="s">
        <v>833</v>
      </c>
      <c r="G142" s="24" t="s">
        <v>936</v>
      </c>
      <c r="H142" s="24" t="s">
        <v>33</v>
      </c>
      <c r="I142" s="318"/>
      <c r="J142" s="318" t="s">
        <v>1559</v>
      </c>
    </row>
    <row r="143" spans="1:12">
      <c r="A143" s="5" t="s">
        <v>837</v>
      </c>
      <c r="B143" s="5" t="s">
        <v>838</v>
      </c>
      <c r="G143" s="24" t="s">
        <v>1296</v>
      </c>
      <c r="H143" s="24" t="s">
        <v>501</v>
      </c>
      <c r="I143" s="318"/>
      <c r="J143" s="318"/>
    </row>
    <row r="144" spans="1:12">
      <c r="A144" s="5" t="s">
        <v>844</v>
      </c>
      <c r="B144" s="5" t="s">
        <v>627</v>
      </c>
      <c r="G144" s="24" t="s">
        <v>1299</v>
      </c>
      <c r="H144" s="24" t="s">
        <v>1300</v>
      </c>
      <c r="I144" s="318"/>
      <c r="J144" s="318"/>
    </row>
    <row r="145" spans="1:10">
      <c r="A145" s="5" t="s">
        <v>850</v>
      </c>
      <c r="B145" s="5" t="s">
        <v>851</v>
      </c>
      <c r="G145" s="24" t="s">
        <v>1303</v>
      </c>
      <c r="H145" s="24" t="s">
        <v>1304</v>
      </c>
      <c r="I145" s="318"/>
      <c r="J145" s="318" t="s">
        <v>1558</v>
      </c>
    </row>
    <row r="146" spans="1:10">
      <c r="A146" s="5" t="s">
        <v>855</v>
      </c>
      <c r="B146" s="5" t="s">
        <v>662</v>
      </c>
      <c r="G146" s="24" t="s">
        <v>948</v>
      </c>
      <c r="H146" s="24" t="s">
        <v>949</v>
      </c>
      <c r="I146" s="318"/>
      <c r="J146" s="318"/>
    </row>
    <row r="147" spans="1:10">
      <c r="A147" s="5" t="s">
        <v>859</v>
      </c>
      <c r="B147" s="5" t="s">
        <v>860</v>
      </c>
      <c r="G147" s="24" t="s">
        <v>1309</v>
      </c>
      <c r="H147" s="24" t="s">
        <v>291</v>
      </c>
      <c r="I147" s="318"/>
      <c r="J147" s="318"/>
    </row>
    <row r="148" spans="1:10">
      <c r="A148" s="5" t="s">
        <v>861</v>
      </c>
      <c r="B148" s="5" t="s">
        <v>862</v>
      </c>
      <c r="G148" s="24" t="s">
        <v>1311</v>
      </c>
      <c r="H148" s="24" t="s">
        <v>1312</v>
      </c>
      <c r="I148" s="318"/>
      <c r="J148" s="318"/>
    </row>
    <row r="149" spans="1:10">
      <c r="A149" s="5" t="s">
        <v>865</v>
      </c>
      <c r="B149" s="5" t="s">
        <v>866</v>
      </c>
      <c r="G149" s="24" t="s">
        <v>1021</v>
      </c>
      <c r="H149" s="24" t="s">
        <v>1022</v>
      </c>
      <c r="I149" s="318"/>
      <c r="J149" s="318" t="s">
        <v>1559</v>
      </c>
    </row>
    <row r="150" spans="1:10">
      <c r="A150" s="5" t="s">
        <v>870</v>
      </c>
      <c r="B150" s="5" t="s">
        <v>843</v>
      </c>
      <c r="G150" s="24" t="s">
        <v>1317</v>
      </c>
      <c r="H150" s="24" t="s">
        <v>1318</v>
      </c>
      <c r="I150" s="318"/>
      <c r="J150" s="318" t="s">
        <v>1558</v>
      </c>
    </row>
    <row r="151" spans="1:10">
      <c r="A151" s="5" t="s">
        <v>876</v>
      </c>
      <c r="B151" s="5" t="s">
        <v>877</v>
      </c>
      <c r="G151" s="24" t="s">
        <v>1321</v>
      </c>
      <c r="H151" s="24" t="s">
        <v>1322</v>
      </c>
      <c r="I151" s="318"/>
      <c r="J151" s="318"/>
    </row>
    <row r="152" spans="1:10">
      <c r="A152" s="5" t="s">
        <v>881</v>
      </c>
      <c r="B152" s="5" t="s">
        <v>882</v>
      </c>
      <c r="G152" s="24" t="s">
        <v>1000</v>
      </c>
      <c r="H152" s="24" t="s">
        <v>1001</v>
      </c>
      <c r="I152" s="318"/>
      <c r="J152" s="318" t="s">
        <v>1558</v>
      </c>
    </row>
    <row r="153" spans="1:10">
      <c r="A153" s="5" t="s">
        <v>888</v>
      </c>
      <c r="B153" s="5" t="s">
        <v>889</v>
      </c>
      <c r="G153" s="24" t="s">
        <v>1325</v>
      </c>
      <c r="H153" s="24" t="s">
        <v>1326</v>
      </c>
      <c r="I153" s="318"/>
      <c r="J153" s="318"/>
    </row>
    <row r="154" spans="1:10">
      <c r="A154" s="5" t="s">
        <v>895</v>
      </c>
      <c r="B154" s="5" t="s">
        <v>849</v>
      </c>
      <c r="G154" s="24" t="s">
        <v>1328</v>
      </c>
      <c r="H154" s="24" t="s">
        <v>1329</v>
      </c>
      <c r="I154" s="318"/>
      <c r="J154" s="318"/>
    </row>
    <row r="155" spans="1:10">
      <c r="A155" s="5" t="s">
        <v>898</v>
      </c>
      <c r="B155" s="5" t="s">
        <v>899</v>
      </c>
      <c r="G155" s="24" t="s">
        <v>988</v>
      </c>
      <c r="H155" s="24" t="s">
        <v>989</v>
      </c>
      <c r="I155" s="318"/>
      <c r="J155" s="318" t="s">
        <v>1558</v>
      </c>
    </row>
    <row r="156" spans="1:10">
      <c r="A156" s="5" t="s">
        <v>905</v>
      </c>
      <c r="B156" s="5" t="s">
        <v>906</v>
      </c>
      <c r="G156" s="24" t="s">
        <v>1333</v>
      </c>
      <c r="H156" s="24" t="s">
        <v>1334</v>
      </c>
      <c r="I156" s="318"/>
      <c r="J156" s="318"/>
    </row>
    <row r="157" spans="1:10">
      <c r="A157" s="5" t="s">
        <v>912</v>
      </c>
      <c r="B157" s="5" t="s">
        <v>913</v>
      </c>
      <c r="G157" s="24" t="s">
        <v>1337</v>
      </c>
      <c r="H157" s="24" t="s">
        <v>1338</v>
      </c>
      <c r="I157" s="318"/>
      <c r="J157" s="318"/>
    </row>
    <row r="158" spans="1:10">
      <c r="A158" s="5" t="s">
        <v>919</v>
      </c>
      <c r="B158" s="5" t="s">
        <v>920</v>
      </c>
      <c r="G158" s="24" t="s">
        <v>1341</v>
      </c>
      <c r="H158" s="24" t="s">
        <v>1342</v>
      </c>
      <c r="I158" s="318"/>
      <c r="J158" s="318"/>
    </row>
    <row r="159" spans="1:10">
      <c r="A159" s="5" t="s">
        <v>924</v>
      </c>
      <c r="B159" s="5" t="s">
        <v>925</v>
      </c>
      <c r="G159" s="24" t="s">
        <v>1344</v>
      </c>
      <c r="H159" s="24" t="s">
        <v>1345</v>
      </c>
      <c r="I159" s="318"/>
      <c r="J159" s="318"/>
    </row>
    <row r="160" spans="1:10">
      <c r="A160" s="5" t="s">
        <v>929</v>
      </c>
      <c r="B160" s="5" t="s">
        <v>930</v>
      </c>
      <c r="G160" s="24" t="s">
        <v>1348</v>
      </c>
      <c r="H160" s="24" t="s">
        <v>1349</v>
      </c>
      <c r="I160" s="318"/>
      <c r="J160" s="318"/>
    </row>
    <row r="161" spans="1:10">
      <c r="A161" s="5" t="s">
        <v>934</v>
      </c>
      <c r="B161" s="5" t="s">
        <v>522</v>
      </c>
      <c r="G161" s="24" t="s">
        <v>927</v>
      </c>
      <c r="H161" s="24" t="s">
        <v>928</v>
      </c>
      <c r="I161" s="318"/>
      <c r="J161" s="318" t="s">
        <v>1558</v>
      </c>
    </row>
    <row r="162" spans="1:10">
      <c r="A162" s="5" t="s">
        <v>937</v>
      </c>
      <c r="B162" s="5" t="s">
        <v>547</v>
      </c>
      <c r="G162" s="24" t="s">
        <v>1353</v>
      </c>
      <c r="H162" s="24" t="s">
        <v>1354</v>
      </c>
      <c r="I162" s="318"/>
      <c r="J162" s="318"/>
    </row>
    <row r="163" spans="1:10">
      <c r="A163" s="5" t="s">
        <v>943</v>
      </c>
      <c r="B163" s="5" t="s">
        <v>944</v>
      </c>
      <c r="G163" s="24" t="s">
        <v>886</v>
      </c>
      <c r="H163" s="24" t="s">
        <v>887</v>
      </c>
      <c r="I163" s="318"/>
      <c r="J163" s="318" t="s">
        <v>1558</v>
      </c>
    </row>
    <row r="164" spans="1:10">
      <c r="A164" s="5" t="s">
        <v>950</v>
      </c>
      <c r="B164" s="5" t="s">
        <v>951</v>
      </c>
      <c r="G164" s="24" t="s">
        <v>1359</v>
      </c>
      <c r="H164" s="24" t="s">
        <v>1360</v>
      </c>
      <c r="I164" s="318"/>
      <c r="J164" s="318" t="s">
        <v>1558</v>
      </c>
    </row>
    <row r="165" spans="1:10">
      <c r="A165" s="5" t="s">
        <v>957</v>
      </c>
      <c r="B165" s="5" t="s">
        <v>958</v>
      </c>
      <c r="G165" s="24" t="s">
        <v>1362</v>
      </c>
      <c r="H165" s="24" t="s">
        <v>1363</v>
      </c>
      <c r="I165" s="318"/>
      <c r="J165" s="318"/>
    </row>
    <row r="166" spans="1:10">
      <c r="A166" s="5" t="s">
        <v>964</v>
      </c>
      <c r="B166" s="5" t="s">
        <v>965</v>
      </c>
      <c r="G166" s="24" t="s">
        <v>1365</v>
      </c>
      <c r="H166" s="24" t="s">
        <v>1366</v>
      </c>
      <c r="I166" s="318"/>
      <c r="J166" s="318"/>
    </row>
    <row r="167" spans="1:10">
      <c r="A167" s="5" t="s">
        <v>971</v>
      </c>
      <c r="B167" s="5" t="s">
        <v>972</v>
      </c>
      <c r="G167" s="24" t="s">
        <v>979</v>
      </c>
      <c r="H167" s="24" t="s">
        <v>980</v>
      </c>
      <c r="I167" s="318"/>
      <c r="J167" s="318" t="s">
        <v>1558</v>
      </c>
    </row>
    <row r="168" spans="1:10">
      <c r="A168" s="5" t="s">
        <v>976</v>
      </c>
      <c r="B168" s="5" t="s">
        <v>977</v>
      </c>
      <c r="G168" s="24" t="s">
        <v>1371</v>
      </c>
      <c r="H168" s="24" t="s">
        <v>1372</v>
      </c>
      <c r="I168" s="318"/>
      <c r="J168" s="318"/>
    </row>
    <row r="169" spans="1:10">
      <c r="A169" s="5" t="s">
        <v>981</v>
      </c>
      <c r="B169" s="5" t="s">
        <v>624</v>
      </c>
      <c r="G169" s="24" t="s">
        <v>1374</v>
      </c>
      <c r="H169" s="24" t="s">
        <v>1375</v>
      </c>
      <c r="I169" s="318"/>
      <c r="J169" s="318"/>
    </row>
    <row r="170" spans="1:10">
      <c r="A170" s="5" t="s">
        <v>986</v>
      </c>
      <c r="B170" s="5" t="s">
        <v>657</v>
      </c>
      <c r="G170" s="24" t="s">
        <v>1377</v>
      </c>
      <c r="H170" s="24" t="s">
        <v>1378</v>
      </c>
      <c r="I170" s="318"/>
      <c r="J170" s="318"/>
    </row>
    <row r="171" spans="1:10">
      <c r="A171" s="5" t="s">
        <v>990</v>
      </c>
      <c r="B171" s="5" t="s">
        <v>836</v>
      </c>
      <c r="G171" s="24" t="s">
        <v>1027</v>
      </c>
      <c r="H171" s="24" t="s">
        <v>1028</v>
      </c>
      <c r="I171" s="318"/>
      <c r="J171" s="318"/>
    </row>
    <row r="172" spans="1:10">
      <c r="A172" s="5" t="s">
        <v>996</v>
      </c>
      <c r="B172" s="5" t="s">
        <v>806</v>
      </c>
      <c r="G172" s="24" t="s">
        <v>962</v>
      </c>
      <c r="H172" s="24" t="s">
        <v>963</v>
      </c>
      <c r="I172" s="318"/>
      <c r="J172" s="318" t="s">
        <v>1558</v>
      </c>
    </row>
    <row r="173" spans="1:10">
      <c r="A173" s="5" t="s">
        <v>1002</v>
      </c>
      <c r="B173" s="5" t="s">
        <v>1003</v>
      </c>
      <c r="G173" s="24" t="s">
        <v>994</v>
      </c>
      <c r="H173" s="24" t="s">
        <v>995</v>
      </c>
      <c r="I173" s="318"/>
      <c r="J173" s="318" t="s">
        <v>1559</v>
      </c>
    </row>
    <row r="174" spans="1:10">
      <c r="A174" s="5" t="s">
        <v>1009</v>
      </c>
      <c r="B174" s="5" t="s">
        <v>795</v>
      </c>
      <c r="G174" s="24" t="s">
        <v>1385</v>
      </c>
      <c r="H174" s="24" t="s">
        <v>1386</v>
      </c>
      <c r="I174" s="318"/>
      <c r="J174" s="318"/>
    </row>
    <row r="175" spans="1:10">
      <c r="A175" s="5" t="s">
        <v>1013</v>
      </c>
      <c r="B175" s="5" t="s">
        <v>1014</v>
      </c>
      <c r="G175" s="24" t="s">
        <v>903</v>
      </c>
      <c r="H175" s="24" t="s">
        <v>904</v>
      </c>
      <c r="I175" s="318"/>
      <c r="J175" s="318" t="s">
        <v>1558</v>
      </c>
    </row>
    <row r="176" spans="1:10">
      <c r="A176" s="5" t="s">
        <v>1018</v>
      </c>
      <c r="B176" s="5" t="s">
        <v>1019</v>
      </c>
      <c r="G176" s="24" t="s">
        <v>1387</v>
      </c>
      <c r="H176" s="24" t="s">
        <v>1388</v>
      </c>
      <c r="I176" s="318"/>
      <c r="J176" s="318" t="s">
        <v>1558</v>
      </c>
    </row>
    <row r="177" spans="1:10">
      <c r="A177" s="5" t="s">
        <v>1023</v>
      </c>
      <c r="B177" s="5" t="s">
        <v>540</v>
      </c>
      <c r="G177" s="24" t="s">
        <v>1389</v>
      </c>
      <c r="H177" s="24" t="s">
        <v>1390</v>
      </c>
      <c r="I177" s="318"/>
      <c r="J177" s="318"/>
    </row>
    <row r="178" spans="1:10">
      <c r="A178" s="5" t="s">
        <v>1029</v>
      </c>
      <c r="B178" s="5" t="s">
        <v>1030</v>
      </c>
      <c r="G178" s="24" t="s">
        <v>879</v>
      </c>
      <c r="H178" s="24" t="s">
        <v>880</v>
      </c>
      <c r="I178" s="318"/>
      <c r="J178" s="318"/>
    </row>
    <row r="179" spans="1:10" ht="39" customHeight="1">
      <c r="A179" s="540" t="s">
        <v>1034</v>
      </c>
      <c r="B179" s="543"/>
      <c r="C179" s="550"/>
      <c r="D179" s="550"/>
      <c r="E179" s="543"/>
      <c r="G179" s="24" t="s">
        <v>1391</v>
      </c>
      <c r="H179" s="24" t="s">
        <v>1392</v>
      </c>
      <c r="I179" s="318"/>
      <c r="J179" s="318" t="s">
        <v>1558</v>
      </c>
    </row>
    <row r="180" spans="1:10">
      <c r="A180" s="5" t="s">
        <v>4</v>
      </c>
      <c r="B180" s="6" t="s">
        <v>5</v>
      </c>
      <c r="E180" s="5" t="s">
        <v>12</v>
      </c>
      <c r="G180" s="24" t="s">
        <v>1393</v>
      </c>
      <c r="H180" s="24" t="s">
        <v>215</v>
      </c>
      <c r="I180" s="318"/>
      <c r="J180" s="318"/>
    </row>
    <row r="181" spans="1:10">
      <c r="A181" s="5" t="s">
        <v>1040</v>
      </c>
      <c r="B181" s="5" t="s">
        <v>1041</v>
      </c>
      <c r="C181" s="322" t="s">
        <v>3527</v>
      </c>
      <c r="E181" s="5" t="s">
        <v>3704</v>
      </c>
      <c r="G181" s="24" t="s">
        <v>1007</v>
      </c>
      <c r="H181" s="24" t="s">
        <v>1008</v>
      </c>
      <c r="I181" s="318"/>
      <c r="J181" s="318"/>
    </row>
    <row r="182" spans="1:10">
      <c r="A182" s="5" t="s">
        <v>1046</v>
      </c>
      <c r="B182" s="5" t="s">
        <v>1047</v>
      </c>
      <c r="C182" s="322" t="s">
        <v>1554</v>
      </c>
      <c r="E182" s="5" t="s">
        <v>1554</v>
      </c>
      <c r="G182" s="24"/>
      <c r="H182" s="24"/>
    </row>
    <row r="183" spans="1:10">
      <c r="A183" s="5" t="s">
        <v>1053</v>
      </c>
      <c r="B183" s="5" t="s">
        <v>975</v>
      </c>
      <c r="C183" s="322" t="s">
        <v>1559</v>
      </c>
      <c r="E183" s="5" t="s">
        <v>3705</v>
      </c>
      <c r="G183" s="24"/>
      <c r="H183" s="24"/>
    </row>
    <row r="184" spans="1:10">
      <c r="A184" s="5" t="s">
        <v>1059</v>
      </c>
      <c r="B184" s="5" t="s">
        <v>1060</v>
      </c>
      <c r="C184" s="322" t="s">
        <v>3527</v>
      </c>
      <c r="E184" s="5" t="s">
        <v>3706</v>
      </c>
      <c r="G184" s="24"/>
      <c r="H184" s="24"/>
    </row>
    <row r="185" spans="1:10">
      <c r="A185" s="5" t="s">
        <v>1064</v>
      </c>
      <c r="B185" s="5" t="s">
        <v>1017</v>
      </c>
      <c r="C185" s="322" t="s">
        <v>3554</v>
      </c>
      <c r="E185" s="5" t="s">
        <v>3707</v>
      </c>
      <c r="G185" s="24"/>
      <c r="H185" s="24"/>
    </row>
    <row r="186" spans="1:10">
      <c r="A186" s="5" t="s">
        <v>1069</v>
      </c>
      <c r="B186" s="5" t="s">
        <v>1017</v>
      </c>
      <c r="C186" s="322" t="s">
        <v>3527</v>
      </c>
      <c r="E186" s="5" t="s">
        <v>3708</v>
      </c>
    </row>
    <row r="187" spans="1:10">
      <c r="A187" s="5" t="s">
        <v>1075</v>
      </c>
      <c r="B187" s="5" t="s">
        <v>1076</v>
      </c>
      <c r="C187" s="322" t="s">
        <v>1558</v>
      </c>
      <c r="E187" s="5" t="s">
        <v>3709</v>
      </c>
    </row>
    <row r="188" spans="1:10">
      <c r="A188" s="5" t="s">
        <v>1080</v>
      </c>
      <c r="B188" s="5" t="s">
        <v>923</v>
      </c>
      <c r="C188" s="322" t="s">
        <v>1558</v>
      </c>
      <c r="E188" s="5" t="s">
        <v>3710</v>
      </c>
    </row>
    <row r="189" spans="1:10">
      <c r="A189" s="5" t="s">
        <v>1086</v>
      </c>
      <c r="B189" s="5" t="s">
        <v>918</v>
      </c>
      <c r="C189" s="322" t="s">
        <v>1558</v>
      </c>
      <c r="E189" s="5" t="s">
        <v>3711</v>
      </c>
    </row>
    <row r="190" spans="1:10">
      <c r="A190" s="5" t="s">
        <v>1092</v>
      </c>
      <c r="B190" s="5" t="s">
        <v>151</v>
      </c>
      <c r="C190" s="322" t="s">
        <v>3554</v>
      </c>
      <c r="E190" s="5" t="s">
        <v>3712</v>
      </c>
    </row>
    <row r="191" spans="1:10">
      <c r="A191" s="5" t="s">
        <v>1098</v>
      </c>
      <c r="B191" s="5" t="s">
        <v>1099</v>
      </c>
      <c r="C191" s="322" t="s">
        <v>1554</v>
      </c>
      <c r="E191" s="5" t="s">
        <v>1554</v>
      </c>
    </row>
    <row r="192" spans="1:10">
      <c r="A192" s="5" t="s">
        <v>1103</v>
      </c>
      <c r="B192" s="5" t="s">
        <v>1104</v>
      </c>
      <c r="E192" s="5" t="s">
        <v>3713</v>
      </c>
    </row>
    <row r="193" spans="1:5">
      <c r="A193" s="5" t="s">
        <v>1108</v>
      </c>
      <c r="B193" s="5" t="s">
        <v>970</v>
      </c>
      <c r="C193" s="322" t="s">
        <v>3554</v>
      </c>
      <c r="E193" s="5" t="s">
        <v>3714</v>
      </c>
    </row>
    <row r="194" spans="1:5">
      <c r="A194" s="5" t="s">
        <v>1111</v>
      </c>
      <c r="B194" s="5" t="s">
        <v>1112</v>
      </c>
      <c r="C194" s="322" t="s">
        <v>3529</v>
      </c>
      <c r="D194" s="322" t="s">
        <v>3529</v>
      </c>
      <c r="E194" s="5" t="s">
        <v>3715</v>
      </c>
    </row>
    <row r="195" spans="1:5">
      <c r="A195" s="5" t="s">
        <v>1118</v>
      </c>
      <c r="B195" s="5" t="s">
        <v>1119</v>
      </c>
      <c r="E195" s="5" t="s">
        <v>3716</v>
      </c>
    </row>
    <row r="196" spans="1:5">
      <c r="A196" s="5" t="s">
        <v>1123</v>
      </c>
      <c r="B196" s="5" t="s">
        <v>1124</v>
      </c>
      <c r="C196" s="322" t="s">
        <v>1554</v>
      </c>
      <c r="E196" s="5" t="s">
        <v>1554</v>
      </c>
    </row>
    <row r="197" spans="1:5">
      <c r="A197" s="5" t="s">
        <v>1130</v>
      </c>
      <c r="B197" s="5" t="s">
        <v>1131</v>
      </c>
      <c r="C197" s="322" t="s">
        <v>3527</v>
      </c>
      <c r="E197" s="5" t="s">
        <v>3717</v>
      </c>
    </row>
    <row r="198" spans="1:5">
      <c r="A198" s="5" t="s">
        <v>1137</v>
      </c>
      <c r="B198" s="5" t="s">
        <v>1138</v>
      </c>
      <c r="E198" s="5" t="s">
        <v>2028</v>
      </c>
    </row>
    <row r="199" spans="1:5">
      <c r="A199" s="5" t="s">
        <v>1144</v>
      </c>
      <c r="B199" s="5" t="s">
        <v>1145</v>
      </c>
      <c r="C199" s="322" t="s">
        <v>1554</v>
      </c>
      <c r="E199" s="5" t="s">
        <v>3718</v>
      </c>
    </row>
    <row r="200" spans="1:5">
      <c r="A200" s="5" t="s">
        <v>1149</v>
      </c>
      <c r="B200" s="5" t="s">
        <v>918</v>
      </c>
      <c r="C200" s="322" t="s">
        <v>3529</v>
      </c>
      <c r="D200" s="322" t="s">
        <v>3529</v>
      </c>
      <c r="E200" s="5" t="s">
        <v>3719</v>
      </c>
    </row>
    <row r="201" spans="1:5">
      <c r="A201" s="5" t="s">
        <v>1155</v>
      </c>
      <c r="B201" s="5" t="s">
        <v>942</v>
      </c>
      <c r="C201" s="322" t="s">
        <v>3554</v>
      </c>
      <c r="E201" s="5" t="s">
        <v>3720</v>
      </c>
    </row>
    <row r="202" spans="1:5">
      <c r="A202" s="5" t="s">
        <v>1159</v>
      </c>
      <c r="B202" s="5" t="s">
        <v>159</v>
      </c>
      <c r="C202" s="322" t="s">
        <v>3529</v>
      </c>
      <c r="E202" s="5" t="s">
        <v>3721</v>
      </c>
    </row>
    <row r="203" spans="1:5">
      <c r="A203" s="5" t="s">
        <v>1165</v>
      </c>
      <c r="B203" s="5" t="s">
        <v>288</v>
      </c>
      <c r="C203" s="322" t="s">
        <v>3626</v>
      </c>
      <c r="E203" s="5" t="s">
        <v>3722</v>
      </c>
    </row>
    <row r="204" spans="1:5">
      <c r="A204" s="5" t="s">
        <v>1169</v>
      </c>
      <c r="B204" s="5" t="s">
        <v>933</v>
      </c>
      <c r="C204" s="322" t="s">
        <v>3554</v>
      </c>
      <c r="E204" s="5" t="s">
        <v>3723</v>
      </c>
    </row>
    <row r="205" spans="1:5">
      <c r="A205" s="5" t="s">
        <v>1175</v>
      </c>
      <c r="B205" s="5" t="s">
        <v>875</v>
      </c>
      <c r="C205" s="322" t="s">
        <v>3574</v>
      </c>
      <c r="D205" s="322" t="s">
        <v>3529</v>
      </c>
      <c r="E205" s="5" t="s">
        <v>3724</v>
      </c>
    </row>
    <row r="206" spans="1:5">
      <c r="A206" s="5" t="s">
        <v>1181</v>
      </c>
      <c r="B206" s="5" t="s">
        <v>1182</v>
      </c>
      <c r="C206" s="322" t="s">
        <v>3626</v>
      </c>
      <c r="E206" s="5" t="s">
        <v>3725</v>
      </c>
    </row>
    <row r="207" spans="1:5">
      <c r="A207" s="5" t="s">
        <v>1188</v>
      </c>
      <c r="B207" s="5" t="s">
        <v>911</v>
      </c>
      <c r="C207" s="322" t="s">
        <v>3529</v>
      </c>
      <c r="E207" s="5" t="s">
        <v>3726</v>
      </c>
    </row>
    <row r="208" spans="1:5">
      <c r="A208" s="5" t="s">
        <v>1192</v>
      </c>
      <c r="B208" s="5" t="s">
        <v>1193</v>
      </c>
      <c r="C208" s="322" t="s">
        <v>3527</v>
      </c>
      <c r="E208" s="5" t="s">
        <v>3727</v>
      </c>
    </row>
    <row r="209" spans="1:5">
      <c r="A209" s="5" t="s">
        <v>1197</v>
      </c>
      <c r="B209" s="5" t="s">
        <v>1198</v>
      </c>
      <c r="C209" s="322" t="s">
        <v>3527</v>
      </c>
      <c r="E209" s="5" t="s">
        <v>3728</v>
      </c>
    </row>
    <row r="210" spans="1:5">
      <c r="A210" s="5" t="s">
        <v>1202</v>
      </c>
      <c r="B210" s="5" t="s">
        <v>869</v>
      </c>
      <c r="C210" s="322" t="s">
        <v>3554</v>
      </c>
      <c r="E210" s="5" t="s">
        <v>3729</v>
      </c>
    </row>
    <row r="211" spans="1:5">
      <c r="A211" s="5" t="s">
        <v>1208</v>
      </c>
      <c r="B211" s="5" t="s">
        <v>1012</v>
      </c>
      <c r="C211" s="322" t="s">
        <v>1559</v>
      </c>
      <c r="E211" s="5" t="s">
        <v>3730</v>
      </c>
    </row>
    <row r="212" spans="1:5">
      <c r="A212" s="5" t="s">
        <v>1217</v>
      </c>
      <c r="B212" s="5" t="s">
        <v>1218</v>
      </c>
      <c r="C212" s="322" t="s">
        <v>3554</v>
      </c>
      <c r="E212" s="5" t="s">
        <v>3731</v>
      </c>
    </row>
    <row r="213" spans="1:5">
      <c r="A213" s="5" t="s">
        <v>1223</v>
      </c>
      <c r="B213" s="5" t="s">
        <v>1224</v>
      </c>
      <c r="C213" s="322" t="s">
        <v>3527</v>
      </c>
      <c r="E213" s="5" t="s">
        <v>3732</v>
      </c>
    </row>
    <row r="214" spans="1:5">
      <c r="A214" s="5" t="s">
        <v>1230</v>
      </c>
      <c r="B214" s="5" t="s">
        <v>1231</v>
      </c>
      <c r="C214" s="322" t="s">
        <v>1558</v>
      </c>
      <c r="E214" s="5" t="s">
        <v>3733</v>
      </c>
    </row>
    <row r="215" spans="1:5">
      <c r="A215" s="5" t="s">
        <v>1237</v>
      </c>
      <c r="B215" s="5" t="s">
        <v>1238</v>
      </c>
      <c r="C215" s="322" t="s">
        <v>3529</v>
      </c>
      <c r="E215" s="5" t="s">
        <v>3734</v>
      </c>
    </row>
    <row r="216" spans="1:5">
      <c r="A216" s="5" t="s">
        <v>1241</v>
      </c>
      <c r="B216" s="5" t="s">
        <v>1242</v>
      </c>
      <c r="C216" s="322" t="s">
        <v>3529</v>
      </c>
      <c r="D216" s="322" t="s">
        <v>3529</v>
      </c>
      <c r="E216" s="5" t="s">
        <v>3735</v>
      </c>
    </row>
    <row r="217" spans="1:5">
      <c r="A217" s="5" t="s">
        <v>1245</v>
      </c>
      <c r="B217" s="5" t="s">
        <v>1246</v>
      </c>
      <c r="C217" s="322" t="s">
        <v>3529</v>
      </c>
      <c r="D217" s="322" t="s">
        <v>3529</v>
      </c>
      <c r="E217" s="5" t="s">
        <v>3736</v>
      </c>
    </row>
    <row r="218" spans="1:5">
      <c r="A218" s="5" t="s">
        <v>1249</v>
      </c>
      <c r="B218" s="5" t="s">
        <v>1250</v>
      </c>
      <c r="C218" s="322" t="s">
        <v>1558</v>
      </c>
      <c r="E218" s="5" t="s">
        <v>3737</v>
      </c>
    </row>
    <row r="219" spans="1:5" ht="37.5" customHeight="1">
      <c r="A219" s="536" t="s">
        <v>1253</v>
      </c>
      <c r="B219" s="543"/>
      <c r="C219" s="550"/>
      <c r="D219" s="550"/>
      <c r="E219" s="543"/>
    </row>
    <row r="220" spans="1:5">
      <c r="A220" s="5" t="s">
        <v>4</v>
      </c>
      <c r="B220" s="6" t="s">
        <v>5</v>
      </c>
      <c r="E220" s="5" t="s">
        <v>12</v>
      </c>
    </row>
    <row r="221" spans="1:5">
      <c r="A221" s="5" t="s">
        <v>1259</v>
      </c>
      <c r="B221" s="5" t="s">
        <v>1201</v>
      </c>
    </row>
    <row r="222" spans="1:5">
      <c r="A222" s="5" t="s">
        <v>1262</v>
      </c>
      <c r="B222" s="5" t="s">
        <v>1263</v>
      </c>
    </row>
    <row r="223" spans="1:5">
      <c r="A223" s="5" t="s">
        <v>1266</v>
      </c>
      <c r="B223" s="5" t="s">
        <v>1267</v>
      </c>
    </row>
    <row r="224" spans="1:5">
      <c r="A224" s="5" t="s">
        <v>1268</v>
      </c>
      <c r="B224" s="5" t="s">
        <v>1269</v>
      </c>
    </row>
    <row r="225" spans="1:2">
      <c r="A225" s="5" t="s">
        <v>1271</v>
      </c>
      <c r="B225" s="5" t="s">
        <v>1272</v>
      </c>
    </row>
    <row r="226" spans="1:2">
      <c r="A226" s="5" t="s">
        <v>1273</v>
      </c>
      <c r="B226" s="5" t="s">
        <v>1274</v>
      </c>
    </row>
    <row r="227" spans="1:2">
      <c r="A227" s="5" t="s">
        <v>1275</v>
      </c>
      <c r="B227" s="5" t="s">
        <v>939</v>
      </c>
    </row>
    <row r="228" spans="1:2">
      <c r="A228" s="5" t="s">
        <v>1278</v>
      </c>
      <c r="B228" s="5" t="s">
        <v>1279</v>
      </c>
    </row>
    <row r="229" spans="1:2">
      <c r="A229" s="5" t="s">
        <v>1282</v>
      </c>
      <c r="B229" s="5" t="s">
        <v>1283</v>
      </c>
    </row>
    <row r="230" spans="1:2">
      <c r="A230" s="5" t="s">
        <v>1284</v>
      </c>
      <c r="B230" s="5" t="s">
        <v>1285</v>
      </c>
    </row>
    <row r="231" spans="1:2">
      <c r="A231" s="5" t="s">
        <v>1288</v>
      </c>
      <c r="B231" s="5" t="s">
        <v>1129</v>
      </c>
    </row>
    <row r="232" spans="1:2">
      <c r="A232" s="5" t="s">
        <v>1290</v>
      </c>
      <c r="B232" s="5" t="s">
        <v>1158</v>
      </c>
    </row>
    <row r="233" spans="1:2">
      <c r="A233" s="5" t="s">
        <v>1292</v>
      </c>
      <c r="B233" s="5" t="s">
        <v>1293</v>
      </c>
    </row>
    <row r="234" spans="1:2">
      <c r="A234" s="5" t="s">
        <v>1294</v>
      </c>
      <c r="B234" s="5" t="s">
        <v>1295</v>
      </c>
    </row>
    <row r="235" spans="1:2">
      <c r="A235" s="5" t="s">
        <v>1297</v>
      </c>
      <c r="B235" s="5" t="s">
        <v>1298</v>
      </c>
    </row>
    <row r="236" spans="1:2">
      <c r="A236" s="5" t="s">
        <v>1301</v>
      </c>
      <c r="B236" s="5" t="s">
        <v>1302</v>
      </c>
    </row>
    <row r="237" spans="1:2">
      <c r="A237" s="5" t="s">
        <v>1305</v>
      </c>
      <c r="B237" s="5" t="s">
        <v>1306</v>
      </c>
    </row>
    <row r="238" spans="1:2">
      <c r="A238" s="5" t="s">
        <v>1307</v>
      </c>
      <c r="B238" s="5" t="s">
        <v>1308</v>
      </c>
    </row>
    <row r="239" spans="1:2">
      <c r="A239" s="5" t="s">
        <v>1310</v>
      </c>
      <c r="B239" s="5" t="s">
        <v>1085</v>
      </c>
    </row>
    <row r="240" spans="1:2">
      <c r="A240" s="5" t="s">
        <v>1313</v>
      </c>
      <c r="B240" s="5" t="s">
        <v>1314</v>
      </c>
    </row>
    <row r="241" spans="1:2">
      <c r="A241" s="5" t="s">
        <v>1315</v>
      </c>
      <c r="B241" s="5" t="s">
        <v>1316</v>
      </c>
    </row>
    <row r="242" spans="1:2">
      <c r="A242" s="5" t="s">
        <v>1319</v>
      </c>
      <c r="B242" s="5" t="s">
        <v>1320</v>
      </c>
    </row>
    <row r="243" spans="1:2">
      <c r="A243" s="5" t="s">
        <v>1323</v>
      </c>
      <c r="B243" s="5" t="s">
        <v>1079</v>
      </c>
    </row>
    <row r="244" spans="1:2">
      <c r="A244" s="5" t="s">
        <v>1324</v>
      </c>
      <c r="B244" s="5" t="s">
        <v>1091</v>
      </c>
    </row>
    <row r="245" spans="1:2">
      <c r="A245" s="5" t="s">
        <v>1327</v>
      </c>
      <c r="B245" s="5" t="s">
        <v>726</v>
      </c>
    </row>
    <row r="246" spans="1:2">
      <c r="A246" s="5" t="s">
        <v>1330</v>
      </c>
      <c r="B246" s="5" t="s">
        <v>1102</v>
      </c>
    </row>
    <row r="247" spans="1:2">
      <c r="A247" s="5" t="s">
        <v>1331</v>
      </c>
      <c r="B247" s="5" t="s">
        <v>1332</v>
      </c>
    </row>
    <row r="248" spans="1:2">
      <c r="A248" s="5" t="s">
        <v>1336</v>
      </c>
      <c r="B248" s="5" t="s">
        <v>1168</v>
      </c>
    </row>
    <row r="249" spans="1:2">
      <c r="A249" s="5" t="s">
        <v>1339</v>
      </c>
      <c r="B249" s="5" t="s">
        <v>1340</v>
      </c>
    </row>
    <row r="250" spans="1:2">
      <c r="A250" s="5" t="s">
        <v>1343</v>
      </c>
      <c r="B250" s="5" t="s">
        <v>1063</v>
      </c>
    </row>
    <row r="251" spans="1:2">
      <c r="A251" s="5" t="s">
        <v>1346</v>
      </c>
      <c r="B251" s="5" t="s">
        <v>1347</v>
      </c>
    </row>
    <row r="252" spans="1:2">
      <c r="A252" s="5" t="s">
        <v>1350</v>
      </c>
      <c r="B252" s="5" t="s">
        <v>601</v>
      </c>
    </row>
    <row r="253" spans="1:2">
      <c r="A253" s="5" t="s">
        <v>1351</v>
      </c>
      <c r="B253" s="5" t="s">
        <v>1352</v>
      </c>
    </row>
    <row r="254" spans="1:2">
      <c r="A254" s="5" t="s">
        <v>1355</v>
      </c>
      <c r="B254" s="5" t="s">
        <v>1356</v>
      </c>
    </row>
    <row r="255" spans="1:2">
      <c r="A255" s="5" t="s">
        <v>1357</v>
      </c>
      <c r="B255" s="5" t="s">
        <v>1358</v>
      </c>
    </row>
    <row r="256" spans="1:2">
      <c r="A256" s="5" t="s">
        <v>1361</v>
      </c>
      <c r="B256" s="5" t="s">
        <v>1097</v>
      </c>
    </row>
    <row r="257" spans="1:2">
      <c r="A257" s="5" t="s">
        <v>1364</v>
      </c>
      <c r="B257" s="5" t="s">
        <v>1117</v>
      </c>
    </row>
    <row r="258" spans="1:2">
      <c r="A258" s="5" t="s">
        <v>1367</v>
      </c>
      <c r="B258" s="5" t="s">
        <v>1368</v>
      </c>
    </row>
    <row r="259" spans="1:2">
      <c r="A259" s="5" t="s">
        <v>1369</v>
      </c>
      <c r="B259" s="5" t="s">
        <v>1370</v>
      </c>
    </row>
    <row r="260" spans="1:2">
      <c r="A260" s="5" t="s">
        <v>1373</v>
      </c>
      <c r="B260" s="5" t="s">
        <v>1180</v>
      </c>
    </row>
    <row r="261" spans="1:2">
      <c r="A261" s="5" t="s">
        <v>1376</v>
      </c>
      <c r="B261" s="5" t="s">
        <v>1143</v>
      </c>
    </row>
    <row r="262" spans="1:2">
      <c r="A262" s="5" t="s">
        <v>1379</v>
      </c>
      <c r="B262" s="5" t="s">
        <v>1380</v>
      </c>
    </row>
    <row r="263" spans="1:2">
      <c r="A263" s="5" t="s">
        <v>1381</v>
      </c>
      <c r="B263" s="5" t="s">
        <v>1039</v>
      </c>
    </row>
    <row r="264" spans="1:2">
      <c r="A264" s="5" t="s">
        <v>1382</v>
      </c>
      <c r="B264" s="5" t="s">
        <v>1213</v>
      </c>
    </row>
    <row r="265" spans="1:2">
      <c r="A265" s="5" t="s">
        <v>1383</v>
      </c>
      <c r="B265" s="5" t="s">
        <v>1384</v>
      </c>
    </row>
  </sheetData>
  <mergeCells count="7">
    <mergeCell ref="A219:E219"/>
    <mergeCell ref="A179:E179"/>
    <mergeCell ref="G2:J2"/>
    <mergeCell ref="N2:S2"/>
    <mergeCell ref="A2:E2"/>
    <mergeCell ref="A1:E1"/>
    <mergeCell ref="A106:E106"/>
  </mergeCells>
  <phoneticPr fontId="89" type="noConversion"/>
  <dataValidations count="1">
    <dataValidation type="list" allowBlank="1" showInputMessage="1" showErrorMessage="1" sqref="J84:J134 J4:J82 I136:J181 I4:I134 C4:D105 C180:D218" xr:uid="{00000000-0002-0000-1600-000000000000}">
      <formula1>"三倍,一倍++,一倍+,一倍,一倍-,草,"</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X-Ray AF"/>
  <dimension ref="A1:AA293"/>
  <sheetViews>
    <sheetView tabSelected="1" workbookViewId="0">
      <pane ySplit="1" topLeftCell="A53" activePane="bottomLeft" state="frozen"/>
      <selection pane="bottomLeft" activeCell="E62" sqref="E62"/>
    </sheetView>
  </sheetViews>
  <sheetFormatPr baseColWidth="10" defaultColWidth="13.7109375" defaultRowHeight="18" customHeight="1"/>
  <cols>
    <col min="1" max="1" width="13.5703125" style="311" customWidth="1"/>
    <col min="2" max="2" width="49.5703125" style="311" customWidth="1"/>
    <col min="3" max="3" width="13.5703125" style="311" customWidth="1"/>
    <col min="4" max="4" width="15.42578125" style="311" customWidth="1"/>
    <col min="5" max="5" width="83.42578125" style="311" customWidth="1"/>
    <col min="6" max="27" width="27" style="311" customWidth="1"/>
  </cols>
  <sheetData>
    <row r="1" spans="1:27" ht="22">
      <c r="A1" s="331"/>
      <c r="B1" s="331" t="s">
        <v>5</v>
      </c>
      <c r="C1" s="331" t="s">
        <v>3000</v>
      </c>
      <c r="D1" s="279"/>
      <c r="E1" s="331" t="s">
        <v>5269</v>
      </c>
      <c r="F1" s="517" t="s">
        <v>3738</v>
      </c>
      <c r="G1" s="518"/>
      <c r="H1" s="518"/>
      <c r="I1" s="518"/>
      <c r="J1" s="518"/>
      <c r="K1" s="518"/>
      <c r="L1" s="518"/>
      <c r="M1" s="518"/>
      <c r="N1" s="518"/>
      <c r="O1" s="516"/>
      <c r="P1" s="516"/>
      <c r="Q1" s="516"/>
      <c r="R1" s="516"/>
      <c r="S1" s="516"/>
      <c r="T1" s="516"/>
      <c r="U1" s="516"/>
      <c r="V1" s="516"/>
      <c r="W1" s="516"/>
      <c r="X1" s="516"/>
      <c r="Y1" s="516"/>
      <c r="Z1" s="516"/>
      <c r="AA1" s="516"/>
    </row>
    <row r="2" spans="1:27" ht="225.75" customHeight="1">
      <c r="A2" s="522" t="s">
        <v>5270</v>
      </c>
      <c r="B2" s="518"/>
      <c r="C2" s="518"/>
      <c r="D2" s="523"/>
      <c r="E2" s="524"/>
      <c r="F2" s="332"/>
      <c r="G2" s="332"/>
      <c r="H2" s="332"/>
      <c r="I2" s="332"/>
    </row>
    <row r="3" spans="1:27" s="311" customFormat="1" ht="19.5" customHeight="1">
      <c r="A3" s="521" t="s">
        <v>3739</v>
      </c>
      <c r="B3" s="516"/>
      <c r="C3" s="516"/>
      <c r="D3" s="520"/>
      <c r="E3" s="516"/>
      <c r="F3" s="333"/>
      <c r="G3" s="334"/>
      <c r="H3" s="334"/>
      <c r="I3" s="334"/>
    </row>
    <row r="4" spans="1:27" ht="19">
      <c r="A4" s="94" t="s">
        <v>802</v>
      </c>
      <c r="B4" s="335" t="s">
        <v>803</v>
      </c>
      <c r="C4" s="336"/>
      <c r="D4" s="337"/>
      <c r="E4" s="311" t="s">
        <v>3740</v>
      </c>
    </row>
    <row r="5" spans="1:27" ht="19">
      <c r="A5" s="94" t="s">
        <v>809</v>
      </c>
      <c r="B5" s="335" t="s">
        <v>810</v>
      </c>
      <c r="C5" s="336" t="s">
        <v>3741</v>
      </c>
      <c r="D5" s="337"/>
      <c r="E5" s="311" t="s">
        <v>3742</v>
      </c>
    </row>
    <row r="6" spans="1:27" ht="38">
      <c r="A6" s="94" t="s">
        <v>755</v>
      </c>
      <c r="B6" s="335" t="s">
        <v>756</v>
      </c>
      <c r="C6" s="336" t="s">
        <v>3743</v>
      </c>
      <c r="D6" s="337" t="s">
        <v>3744</v>
      </c>
      <c r="E6" s="311" t="s">
        <v>3745</v>
      </c>
    </row>
    <row r="7" spans="1:27" ht="38">
      <c r="A7" s="94" t="s">
        <v>820</v>
      </c>
      <c r="B7" s="335" t="s">
        <v>821</v>
      </c>
      <c r="C7" s="336" t="s">
        <v>3741</v>
      </c>
      <c r="D7" s="337"/>
      <c r="E7" s="311" t="s">
        <v>3746</v>
      </c>
    </row>
    <row r="8" spans="1:27" ht="38">
      <c r="A8" s="94" t="s">
        <v>827</v>
      </c>
      <c r="B8" s="335" t="s">
        <v>828</v>
      </c>
      <c r="C8" s="336"/>
      <c r="D8" s="337"/>
      <c r="E8" s="311" t="s">
        <v>3747</v>
      </c>
    </row>
    <row r="9" spans="1:27" ht="19">
      <c r="A9" s="94" t="s">
        <v>812</v>
      </c>
      <c r="B9" s="335" t="s">
        <v>813</v>
      </c>
      <c r="C9" s="336"/>
      <c r="D9" s="337"/>
      <c r="E9" s="311" t="s">
        <v>3748</v>
      </c>
    </row>
    <row r="10" spans="1:27" ht="19">
      <c r="A10" s="94" t="s">
        <v>839</v>
      </c>
      <c r="B10" s="335" t="s">
        <v>840</v>
      </c>
      <c r="C10" s="336"/>
      <c r="D10" s="337"/>
      <c r="E10" s="311" t="s">
        <v>3748</v>
      </c>
    </row>
    <row r="11" spans="1:27" ht="19">
      <c r="A11" s="94" t="s">
        <v>845</v>
      </c>
      <c r="B11" s="335" t="s">
        <v>846</v>
      </c>
      <c r="C11" s="336"/>
      <c r="D11" s="337"/>
      <c r="E11" s="311" t="s">
        <v>3749</v>
      </c>
    </row>
    <row r="12" spans="1:27" ht="28.5" customHeight="1">
      <c r="A12" s="94" t="s">
        <v>617</v>
      </c>
      <c r="B12" s="335" t="s">
        <v>618</v>
      </c>
      <c r="C12" s="336" t="s">
        <v>3750</v>
      </c>
      <c r="D12" s="337"/>
      <c r="E12" s="311" t="s">
        <v>3751</v>
      </c>
      <c r="F12" s="311" t="s">
        <v>3752</v>
      </c>
      <c r="G12" s="311" t="s">
        <v>3753</v>
      </c>
      <c r="H12" s="311" t="s">
        <v>3754</v>
      </c>
    </row>
    <row r="13" spans="1:27" ht="19">
      <c r="A13" s="94" t="s">
        <v>856</v>
      </c>
      <c r="B13" s="335" t="s">
        <v>857</v>
      </c>
      <c r="C13" s="336"/>
      <c r="D13" s="337"/>
      <c r="E13" s="311" t="s">
        <v>3755</v>
      </c>
    </row>
    <row r="14" spans="1:27" ht="42.75" customHeight="1">
      <c r="A14" s="94" t="s">
        <v>783</v>
      </c>
      <c r="B14" s="335" t="s">
        <v>784</v>
      </c>
      <c r="C14" s="336" t="s">
        <v>3750</v>
      </c>
      <c r="D14" s="337" t="s">
        <v>3756</v>
      </c>
      <c r="E14" s="311" t="s">
        <v>3757</v>
      </c>
      <c r="F14" s="311" t="s">
        <v>3758</v>
      </c>
      <c r="G14" s="311" t="s">
        <v>3759</v>
      </c>
      <c r="H14" s="311" t="s">
        <v>3760</v>
      </c>
      <c r="I14" s="311" t="s">
        <v>3761</v>
      </c>
    </row>
    <row r="15" spans="1:27" ht="19">
      <c r="A15" s="94" t="s">
        <v>863</v>
      </c>
      <c r="B15" s="335" t="s">
        <v>864</v>
      </c>
      <c r="C15" s="336"/>
      <c r="D15" s="337"/>
      <c r="E15" s="311" t="s">
        <v>3762</v>
      </c>
    </row>
    <row r="16" spans="1:27" ht="209">
      <c r="A16" s="94" t="s">
        <v>551</v>
      </c>
      <c r="B16" s="335" t="s">
        <v>552</v>
      </c>
      <c r="C16" s="336" t="s">
        <v>3750</v>
      </c>
      <c r="D16" s="337" t="s">
        <v>3744</v>
      </c>
      <c r="E16" s="311" t="s">
        <v>3763</v>
      </c>
    </row>
    <row r="17" spans="1:9" ht="19">
      <c r="A17" s="94" t="s">
        <v>871</v>
      </c>
      <c r="B17" s="335" t="s">
        <v>872</v>
      </c>
      <c r="C17" s="336"/>
      <c r="D17" s="337"/>
      <c r="E17" s="311" t="s">
        <v>3764</v>
      </c>
    </row>
    <row r="18" spans="1:9" ht="38">
      <c r="A18" s="94" t="s">
        <v>760</v>
      </c>
      <c r="B18" s="335" t="s">
        <v>761</v>
      </c>
      <c r="C18" s="336"/>
      <c r="D18" s="337"/>
      <c r="E18" s="311" t="s">
        <v>3765</v>
      </c>
    </row>
    <row r="19" spans="1:9" ht="19">
      <c r="A19" s="94" t="s">
        <v>883</v>
      </c>
      <c r="B19" s="335" t="s">
        <v>884</v>
      </c>
      <c r="C19" s="336"/>
      <c r="D19" s="337"/>
      <c r="E19" s="311" t="s">
        <v>3766</v>
      </c>
    </row>
    <row r="20" spans="1:9" ht="19">
      <c r="A20" s="94" t="s">
        <v>890</v>
      </c>
      <c r="B20" s="335" t="s">
        <v>891</v>
      </c>
      <c r="C20" s="336"/>
      <c r="D20" s="337"/>
      <c r="E20" s="311" t="s">
        <v>3767</v>
      </c>
    </row>
    <row r="21" spans="1:9" ht="54" customHeight="1">
      <c r="A21" s="94" t="s">
        <v>750</v>
      </c>
      <c r="B21" s="335" t="s">
        <v>751</v>
      </c>
      <c r="C21" s="336" t="s">
        <v>3741</v>
      </c>
      <c r="D21" s="337"/>
      <c r="E21" s="311" t="s">
        <v>3768</v>
      </c>
      <c r="F21" s="311" t="s">
        <v>3769</v>
      </c>
      <c r="G21" s="311" t="s">
        <v>3770</v>
      </c>
      <c r="H21" s="311" t="s">
        <v>3771</v>
      </c>
      <c r="I21" s="311" t="s">
        <v>3772</v>
      </c>
    </row>
    <row r="22" spans="1:9" ht="19">
      <c r="A22" s="94" t="s">
        <v>900</v>
      </c>
      <c r="B22" s="335" t="s">
        <v>901</v>
      </c>
      <c r="C22" s="336"/>
      <c r="D22" s="337"/>
      <c r="E22" s="311" t="s">
        <v>3773</v>
      </c>
    </row>
    <row r="23" spans="1:9" ht="19">
      <c r="A23" s="94" t="s">
        <v>907</v>
      </c>
      <c r="B23" s="335" t="s">
        <v>908</v>
      </c>
      <c r="C23" s="336"/>
      <c r="D23" s="337"/>
      <c r="E23" s="311" t="s">
        <v>3774</v>
      </c>
    </row>
    <row r="24" spans="1:9" ht="38">
      <c r="A24" s="94" t="s">
        <v>914</v>
      </c>
      <c r="B24" s="335" t="s">
        <v>915</v>
      </c>
      <c r="C24" s="336"/>
      <c r="D24" s="337"/>
      <c r="E24" s="311" t="s">
        <v>3775</v>
      </c>
    </row>
    <row r="25" spans="1:9" ht="57">
      <c r="A25" s="94" t="s">
        <v>515</v>
      </c>
      <c r="B25" s="335" t="s">
        <v>516</v>
      </c>
      <c r="C25" s="336" t="s">
        <v>3743</v>
      </c>
      <c r="D25" s="337" t="s">
        <v>3776</v>
      </c>
      <c r="E25" s="311" t="s">
        <v>3777</v>
      </c>
      <c r="F25" s="311" t="s">
        <v>3778</v>
      </c>
      <c r="G25" s="311" t="s">
        <v>3779</v>
      </c>
    </row>
    <row r="26" spans="1:9" ht="76">
      <c r="A26" s="94" t="s">
        <v>679</v>
      </c>
      <c r="B26" s="335" t="s">
        <v>680</v>
      </c>
      <c r="C26" s="336" t="s">
        <v>3750</v>
      </c>
      <c r="D26" s="337"/>
      <c r="E26" s="311" t="s">
        <v>3780</v>
      </c>
    </row>
    <row r="27" spans="1:9" ht="38">
      <c r="A27" s="94" t="s">
        <v>611</v>
      </c>
      <c r="B27" s="335" t="s">
        <v>612</v>
      </c>
      <c r="C27" s="336" t="s">
        <v>3741</v>
      </c>
      <c r="D27" s="337"/>
      <c r="E27" s="311" t="s">
        <v>3781</v>
      </c>
      <c r="F27" s="311" t="s">
        <v>3782</v>
      </c>
      <c r="G27" s="311" t="s">
        <v>3783</v>
      </c>
    </row>
    <row r="28" spans="1:9" ht="57">
      <c r="A28" s="94" t="s">
        <v>713</v>
      </c>
      <c r="B28" s="335" t="s">
        <v>714</v>
      </c>
      <c r="C28" s="336" t="s">
        <v>3743</v>
      </c>
      <c r="D28" s="337" t="s">
        <v>3744</v>
      </c>
      <c r="E28" s="311" t="s">
        <v>3784</v>
      </c>
      <c r="F28" s="311" t="s">
        <v>3785</v>
      </c>
    </row>
    <row r="29" spans="1:9" ht="38">
      <c r="A29" s="94" t="s">
        <v>938</v>
      </c>
      <c r="B29" s="335" t="s">
        <v>939</v>
      </c>
      <c r="C29" s="336"/>
      <c r="D29" s="337"/>
      <c r="E29" s="311" t="s">
        <v>3774</v>
      </c>
      <c r="H29" s="311" t="s">
        <v>3786</v>
      </c>
    </row>
    <row r="30" spans="1:9" ht="38">
      <c r="A30" s="94" t="s">
        <v>945</v>
      </c>
      <c r="B30" s="335" t="s">
        <v>946</v>
      </c>
      <c r="C30" s="336" t="s">
        <v>3741</v>
      </c>
      <c r="D30" s="337"/>
      <c r="E30" s="311" t="s">
        <v>3787</v>
      </c>
    </row>
    <row r="31" spans="1:9" ht="19">
      <c r="A31" s="94" t="s">
        <v>952</v>
      </c>
      <c r="B31" s="335" t="s">
        <v>953</v>
      </c>
      <c r="C31" s="336" t="s">
        <v>3750</v>
      </c>
      <c r="D31" s="337"/>
      <c r="E31" s="311" t="s">
        <v>3788</v>
      </c>
    </row>
    <row r="32" spans="1:9" ht="38">
      <c r="A32" s="94" t="s">
        <v>959</v>
      </c>
      <c r="B32" s="335" t="s">
        <v>960</v>
      </c>
      <c r="C32" s="336"/>
      <c r="D32" s="337"/>
      <c r="E32" s="311" t="s">
        <v>3789</v>
      </c>
    </row>
    <row r="33" spans="1:10" ht="38">
      <c r="A33" s="94" t="s">
        <v>966</v>
      </c>
      <c r="B33" s="335" t="s">
        <v>967</v>
      </c>
      <c r="C33" s="336" t="s">
        <v>3741</v>
      </c>
      <c r="D33" s="337"/>
      <c r="E33" s="311" t="s">
        <v>3790</v>
      </c>
    </row>
    <row r="34" spans="1:10" ht="38">
      <c r="A34" s="94" t="s">
        <v>649</v>
      </c>
      <c r="B34" s="335" t="s">
        <v>650</v>
      </c>
      <c r="C34" s="336" t="s">
        <v>3750</v>
      </c>
      <c r="D34" s="337"/>
      <c r="E34" s="311" t="s">
        <v>3791</v>
      </c>
    </row>
    <row r="35" spans="1:10" ht="57">
      <c r="A35" s="94" t="s">
        <v>631</v>
      </c>
      <c r="B35" s="335" t="s">
        <v>632</v>
      </c>
      <c r="C35" s="336" t="s">
        <v>3743</v>
      </c>
      <c r="D35" s="337" t="s">
        <v>3776</v>
      </c>
      <c r="E35" s="311" t="s">
        <v>3792</v>
      </c>
    </row>
    <row r="36" spans="1:10" ht="38">
      <c r="A36" s="94" t="s">
        <v>982</v>
      </c>
      <c r="B36" s="335" t="s">
        <v>983</v>
      </c>
      <c r="C36" s="336"/>
      <c r="D36" s="337"/>
      <c r="E36" s="311" t="s">
        <v>3793</v>
      </c>
    </row>
    <row r="37" spans="1:10" ht="57">
      <c r="A37" s="94" t="s">
        <v>765</v>
      </c>
      <c r="B37" s="335" t="s">
        <v>766</v>
      </c>
      <c r="C37" s="336" t="s">
        <v>3743</v>
      </c>
      <c r="D37" s="337" t="s">
        <v>3744</v>
      </c>
      <c r="E37" s="311" t="s">
        <v>3794</v>
      </c>
    </row>
    <row r="38" spans="1:10" ht="19">
      <c r="A38" s="94" t="s">
        <v>991</v>
      </c>
      <c r="B38" s="335" t="s">
        <v>992</v>
      </c>
      <c r="C38" s="336"/>
      <c r="D38" s="337"/>
      <c r="E38" s="311" t="s">
        <v>3795</v>
      </c>
    </row>
    <row r="39" spans="1:10" ht="19">
      <c r="A39" s="94" t="s">
        <v>997</v>
      </c>
      <c r="B39" s="335" t="s">
        <v>998</v>
      </c>
      <c r="C39" s="336"/>
      <c r="D39" s="337"/>
      <c r="E39" s="311" t="s">
        <v>3796</v>
      </c>
    </row>
    <row r="40" spans="1:10" ht="95">
      <c r="A40" s="94" t="s">
        <v>1004</v>
      </c>
      <c r="B40" s="335" t="s">
        <v>1005</v>
      </c>
      <c r="C40" s="336"/>
      <c r="D40" s="337"/>
      <c r="E40" s="311" t="s">
        <v>3797</v>
      </c>
    </row>
    <row r="41" spans="1:10" ht="38">
      <c r="A41" s="94" t="s">
        <v>830</v>
      </c>
      <c r="B41" s="335" t="s">
        <v>831</v>
      </c>
      <c r="C41" s="336" t="s">
        <v>3743</v>
      </c>
      <c r="D41" s="337" t="s">
        <v>3744</v>
      </c>
      <c r="E41" s="311" t="s">
        <v>3798</v>
      </c>
    </row>
    <row r="42" spans="1:10" ht="76">
      <c r="A42" s="94" t="s">
        <v>789</v>
      </c>
      <c r="B42" s="335" t="s">
        <v>790</v>
      </c>
      <c r="C42" s="336" t="s">
        <v>3750</v>
      </c>
      <c r="D42" s="337" t="s">
        <v>3756</v>
      </c>
      <c r="E42" s="311" t="s">
        <v>3799</v>
      </c>
      <c r="G42" s="311" t="s">
        <v>3800</v>
      </c>
      <c r="H42" s="311" t="s">
        <v>3801</v>
      </c>
      <c r="I42" s="311" t="s">
        <v>3802</v>
      </c>
      <c r="J42" s="311" t="s">
        <v>3803</v>
      </c>
    </row>
    <row r="43" spans="1:10" ht="57">
      <c r="A43" s="94" t="s">
        <v>527</v>
      </c>
      <c r="B43" s="335" t="s">
        <v>528</v>
      </c>
      <c r="C43" s="336" t="s">
        <v>3750</v>
      </c>
      <c r="D43" s="337" t="s">
        <v>3744</v>
      </c>
      <c r="E43" s="311" t="s">
        <v>3804</v>
      </c>
    </row>
    <row r="44" spans="1:10" ht="38">
      <c r="A44" s="94" t="s">
        <v>1024</v>
      </c>
      <c r="B44" s="335" t="s">
        <v>1025</v>
      </c>
      <c r="C44" s="336"/>
      <c r="D44" s="337"/>
      <c r="E44" s="311" t="s">
        <v>3805</v>
      </c>
    </row>
    <row r="45" spans="1:10" ht="38">
      <c r="A45" s="94" t="s">
        <v>1031</v>
      </c>
      <c r="B45" s="335" t="s">
        <v>1032</v>
      </c>
      <c r="C45" s="336"/>
      <c r="D45" s="337"/>
      <c r="E45" s="311" t="s">
        <v>3806</v>
      </c>
    </row>
    <row r="46" spans="1:10" ht="57">
      <c r="A46" s="94" t="s">
        <v>816</v>
      </c>
      <c r="B46" s="335" t="s">
        <v>817</v>
      </c>
      <c r="C46" s="336"/>
      <c r="D46" s="337"/>
      <c r="E46" s="311" t="s">
        <v>3807</v>
      </c>
    </row>
    <row r="47" spans="1:10" ht="19">
      <c r="A47" s="94" t="s">
        <v>1035</v>
      </c>
      <c r="B47" s="335" t="s">
        <v>1036</v>
      </c>
      <c r="C47" s="338"/>
      <c r="D47" s="338"/>
      <c r="E47" s="311" t="s">
        <v>3808</v>
      </c>
    </row>
    <row r="48" spans="1:10" ht="38">
      <c r="A48" s="94" t="s">
        <v>672</v>
      </c>
      <c r="B48" s="335" t="s">
        <v>673</v>
      </c>
      <c r="C48" s="336" t="s">
        <v>3750</v>
      </c>
      <c r="D48" s="337"/>
      <c r="E48" s="311" t="s">
        <v>3809</v>
      </c>
    </row>
    <row r="49" spans="1:7" ht="19">
      <c r="A49" s="94" t="s">
        <v>706</v>
      </c>
      <c r="B49" s="335" t="s">
        <v>707</v>
      </c>
      <c r="C49" s="336"/>
      <c r="D49" s="337"/>
      <c r="E49" s="311" t="s">
        <v>3810</v>
      </c>
    </row>
    <row r="50" spans="1:7" ht="57">
      <c r="A50" s="94" t="s">
        <v>1048</v>
      </c>
      <c r="B50" s="335" t="s">
        <v>1049</v>
      </c>
      <c r="C50" s="336"/>
      <c r="D50" s="337"/>
      <c r="E50" s="311" t="s">
        <v>3811</v>
      </c>
    </row>
    <row r="51" spans="1:7" ht="19">
      <c r="A51" s="94" t="s">
        <v>1054</v>
      </c>
      <c r="B51" s="335" t="s">
        <v>1055</v>
      </c>
      <c r="C51" s="336"/>
      <c r="D51" s="337"/>
      <c r="E51" s="311" t="s">
        <v>3812</v>
      </c>
    </row>
    <row r="52" spans="1:7" ht="38">
      <c r="A52" s="94" t="s">
        <v>569</v>
      </c>
      <c r="B52" s="335" t="s">
        <v>570</v>
      </c>
      <c r="C52" s="336" t="s">
        <v>3750</v>
      </c>
      <c r="D52" s="337"/>
      <c r="E52" s="311" t="s">
        <v>3813</v>
      </c>
    </row>
    <row r="53" spans="1:7" ht="76">
      <c r="A53" s="94" t="s">
        <v>1065</v>
      </c>
      <c r="B53" s="335" t="s">
        <v>1066</v>
      </c>
      <c r="C53" s="336" t="s">
        <v>3741</v>
      </c>
      <c r="D53" s="337"/>
      <c r="E53" s="311" t="s">
        <v>3814</v>
      </c>
      <c r="F53" s="311" t="s">
        <v>3815</v>
      </c>
      <c r="G53" s="311" t="s">
        <v>3816</v>
      </c>
    </row>
    <row r="54" spans="1:7" ht="19">
      <c r="A54" s="94" t="s">
        <v>1070</v>
      </c>
      <c r="B54" s="335" t="s">
        <v>1071</v>
      </c>
      <c r="C54" s="336"/>
      <c r="D54" s="337"/>
      <c r="E54" s="311" t="s">
        <v>3817</v>
      </c>
    </row>
    <row r="55" spans="1:7" ht="19">
      <c r="A55" s="94" t="s">
        <v>605</v>
      </c>
      <c r="B55" s="335" t="s">
        <v>606</v>
      </c>
      <c r="C55" s="336"/>
      <c r="D55" s="337"/>
      <c r="E55" s="311" t="s">
        <v>3818</v>
      </c>
    </row>
    <row r="56" spans="1:7" ht="38">
      <c r="A56" s="94" t="s">
        <v>1081</v>
      </c>
      <c r="B56" s="335" t="s">
        <v>1082</v>
      </c>
      <c r="C56" s="336"/>
      <c r="D56" s="337"/>
      <c r="E56" s="311" t="s">
        <v>3819</v>
      </c>
    </row>
    <row r="57" spans="1:7" ht="38">
      <c r="A57" s="94" t="s">
        <v>1087</v>
      </c>
      <c r="B57" s="335" t="s">
        <v>1088</v>
      </c>
      <c r="C57" s="336"/>
      <c r="D57" s="337"/>
      <c r="E57" s="311" t="s">
        <v>3820</v>
      </c>
    </row>
    <row r="58" spans="1:7" ht="57">
      <c r="A58" s="94" t="s">
        <v>1093</v>
      </c>
      <c r="B58" s="335" t="s">
        <v>1094</v>
      </c>
      <c r="C58" s="336"/>
      <c r="D58" s="337"/>
      <c r="E58" s="311" t="s">
        <v>3821</v>
      </c>
    </row>
    <row r="59" spans="1:7" ht="38">
      <c r="A59" s="94" t="s">
        <v>853</v>
      </c>
      <c r="B59" s="335" t="s">
        <v>854</v>
      </c>
      <c r="C59" s="336" t="s">
        <v>3750</v>
      </c>
      <c r="D59" s="337" t="s">
        <v>3756</v>
      </c>
      <c r="E59" s="311" t="s">
        <v>3822</v>
      </c>
    </row>
    <row r="60" spans="1:7" ht="76">
      <c r="A60" s="94" t="s">
        <v>725</v>
      </c>
      <c r="B60" s="335" t="s">
        <v>726</v>
      </c>
      <c r="C60" s="336" t="s">
        <v>3743</v>
      </c>
      <c r="D60" s="337" t="s">
        <v>3776</v>
      </c>
      <c r="E60" s="372" t="s">
        <v>5279</v>
      </c>
    </row>
    <row r="61" spans="1:7" ht="76">
      <c r="A61" s="94" t="s">
        <v>731</v>
      </c>
      <c r="B61" s="335" t="s">
        <v>732</v>
      </c>
      <c r="C61" s="336" t="s">
        <v>3743</v>
      </c>
      <c r="D61" s="337" t="s">
        <v>3776</v>
      </c>
      <c r="E61" s="372" t="s">
        <v>5280</v>
      </c>
    </row>
    <row r="62" spans="1:7" ht="38">
      <c r="A62" s="94" t="s">
        <v>1113</v>
      </c>
      <c r="B62" s="335" t="s">
        <v>1114</v>
      </c>
      <c r="C62" s="336"/>
      <c r="D62" s="337"/>
      <c r="E62" s="311" t="s">
        <v>3823</v>
      </c>
    </row>
    <row r="63" spans="1:7" ht="19">
      <c r="A63" s="94" t="s">
        <v>642</v>
      </c>
      <c r="B63" s="335" t="s">
        <v>643</v>
      </c>
      <c r="C63" s="336" t="s">
        <v>3741</v>
      </c>
      <c r="D63" s="337"/>
      <c r="E63" s="311" t="s">
        <v>3824</v>
      </c>
    </row>
    <row r="64" spans="1:7" ht="19">
      <c r="A64" s="94" t="s">
        <v>1125</v>
      </c>
      <c r="B64" s="335" t="s">
        <v>1126</v>
      </c>
      <c r="C64" s="336"/>
      <c r="D64" s="337"/>
      <c r="E64" s="311" t="s">
        <v>3825</v>
      </c>
    </row>
    <row r="65" spans="1:5" ht="57">
      <c r="A65" s="94" t="s">
        <v>1132</v>
      </c>
      <c r="B65" s="335" t="s">
        <v>1133</v>
      </c>
      <c r="C65" s="336" t="s">
        <v>3741</v>
      </c>
      <c r="D65" s="337"/>
      <c r="E65" s="311" t="s">
        <v>3826</v>
      </c>
    </row>
    <row r="66" spans="1:5" ht="19">
      <c r="A66" s="94" t="s">
        <v>1139</v>
      </c>
      <c r="B66" s="335" t="s">
        <v>1140</v>
      </c>
      <c r="C66" s="336"/>
      <c r="D66" s="337"/>
      <c r="E66" s="311" t="s">
        <v>3827</v>
      </c>
    </row>
    <row r="67" spans="1:5" ht="38">
      <c r="A67" s="94" t="s">
        <v>600</v>
      </c>
      <c r="B67" s="335" t="s">
        <v>601</v>
      </c>
      <c r="C67" s="336" t="s">
        <v>3743</v>
      </c>
      <c r="D67" s="337" t="s">
        <v>3776</v>
      </c>
      <c r="E67" s="311" t="s">
        <v>3828</v>
      </c>
    </row>
    <row r="68" spans="1:5" ht="38">
      <c r="A68" s="94" t="s">
        <v>1150</v>
      </c>
      <c r="B68" s="335" t="s">
        <v>1151</v>
      </c>
      <c r="C68" s="336" t="s">
        <v>3741</v>
      </c>
      <c r="D68" s="337"/>
      <c r="E68" s="311" t="s">
        <v>3829</v>
      </c>
    </row>
    <row r="69" spans="1:5" ht="57">
      <c r="A69" s="94" t="s">
        <v>637</v>
      </c>
      <c r="B69" s="335" t="s">
        <v>638</v>
      </c>
      <c r="C69" s="336" t="s">
        <v>3750</v>
      </c>
      <c r="D69" s="337"/>
      <c r="E69" s="311" t="s">
        <v>3830</v>
      </c>
    </row>
    <row r="70" spans="1:5" ht="38">
      <c r="A70" s="94" t="s">
        <v>1160</v>
      </c>
      <c r="B70" s="335" t="s">
        <v>1161</v>
      </c>
      <c r="C70" s="336"/>
      <c r="D70" s="337"/>
      <c r="E70" s="311" t="s">
        <v>3831</v>
      </c>
    </row>
    <row r="71" spans="1:5" ht="38">
      <c r="A71" s="94" t="s">
        <v>777</v>
      </c>
      <c r="B71" s="335" t="s">
        <v>778</v>
      </c>
      <c r="C71" s="336"/>
      <c r="D71" s="337"/>
      <c r="E71" s="311" t="s">
        <v>3832</v>
      </c>
    </row>
    <row r="72" spans="1:5" ht="38">
      <c r="A72" s="94" t="s">
        <v>1170</v>
      </c>
      <c r="B72" s="335" t="s">
        <v>1171</v>
      </c>
      <c r="C72" s="336"/>
      <c r="D72" s="337"/>
      <c r="E72" s="311" t="s">
        <v>3833</v>
      </c>
    </row>
    <row r="73" spans="1:5" ht="38">
      <c r="A73" s="94" t="s">
        <v>1176</v>
      </c>
      <c r="B73" s="335" t="s">
        <v>1177</v>
      </c>
      <c r="C73" s="336" t="s">
        <v>3743</v>
      </c>
      <c r="D73" s="337"/>
      <c r="E73" s="311" t="s">
        <v>3834</v>
      </c>
    </row>
    <row r="74" spans="1:5" ht="19">
      <c r="A74" s="94" t="s">
        <v>1183</v>
      </c>
      <c r="B74" s="335" t="s">
        <v>1184</v>
      </c>
      <c r="C74" s="336" t="s">
        <v>3750</v>
      </c>
      <c r="D74" s="337"/>
      <c r="E74" s="311" t="s">
        <v>3835</v>
      </c>
    </row>
    <row r="75" spans="1:5" ht="19">
      <c r="A75" s="94" t="s">
        <v>739</v>
      </c>
      <c r="B75" s="335" t="s">
        <v>740</v>
      </c>
      <c r="C75" s="336" t="s">
        <v>3750</v>
      </c>
      <c r="D75" s="337"/>
      <c r="E75" s="311" t="s">
        <v>3836</v>
      </c>
    </row>
    <row r="76" spans="1:5" ht="76">
      <c r="A76" s="94" t="s">
        <v>720</v>
      </c>
      <c r="B76" s="335" t="s">
        <v>721</v>
      </c>
      <c r="C76" s="336" t="s">
        <v>3743</v>
      </c>
      <c r="D76" s="337" t="s">
        <v>3756</v>
      </c>
      <c r="E76" s="311" t="s">
        <v>3837</v>
      </c>
    </row>
    <row r="77" spans="1:5" ht="38">
      <c r="A77" s="94" t="s">
        <v>563</v>
      </c>
      <c r="B77" s="335" t="s">
        <v>564</v>
      </c>
      <c r="C77" s="336" t="s">
        <v>3750</v>
      </c>
      <c r="D77" s="337"/>
      <c r="E77" s="311" t="s">
        <v>3838</v>
      </c>
    </row>
    <row r="78" spans="1:5" ht="38">
      <c r="A78" s="94" t="s">
        <v>1203</v>
      </c>
      <c r="B78" s="335" t="s">
        <v>1204</v>
      </c>
      <c r="C78" s="336"/>
      <c r="D78" s="337"/>
      <c r="E78" s="311" t="s">
        <v>3839</v>
      </c>
    </row>
    <row r="79" spans="1:5" ht="19">
      <c r="A79" s="94" t="s">
        <v>1209</v>
      </c>
      <c r="B79" s="335" t="s">
        <v>1210</v>
      </c>
      <c r="C79" s="336"/>
      <c r="D79" s="337"/>
      <c r="E79" s="311" t="s">
        <v>3840</v>
      </c>
    </row>
    <row r="80" spans="1:5" ht="19">
      <c r="A80" s="94" t="s">
        <v>532</v>
      </c>
      <c r="B80" s="335" t="s">
        <v>533</v>
      </c>
      <c r="C80" s="336" t="s">
        <v>3743</v>
      </c>
      <c r="D80" s="337" t="s">
        <v>3744</v>
      </c>
      <c r="E80" s="311" t="s">
        <v>3841</v>
      </c>
    </row>
    <row r="81" spans="1:5" ht="38">
      <c r="A81" s="94" t="s">
        <v>770</v>
      </c>
      <c r="B81" s="335" t="s">
        <v>1219</v>
      </c>
      <c r="C81" s="336" t="s">
        <v>3743</v>
      </c>
      <c r="D81" s="337" t="s">
        <v>3744</v>
      </c>
      <c r="E81" s="311" t="s">
        <v>3842</v>
      </c>
    </row>
    <row r="82" spans="1:5" ht="38">
      <c r="A82" s="94" t="s">
        <v>1225</v>
      </c>
      <c r="B82" s="335" t="s">
        <v>1226</v>
      </c>
      <c r="C82" s="336"/>
      <c r="D82" s="337"/>
      <c r="E82" s="311" t="s">
        <v>3843</v>
      </c>
    </row>
    <row r="83" spans="1:5" ht="19">
      <c r="A83" s="94" t="s">
        <v>1232</v>
      </c>
      <c r="B83" s="335" t="s">
        <v>1233</v>
      </c>
      <c r="C83" s="336"/>
      <c r="D83" s="337"/>
      <c r="E83" s="311" t="s">
        <v>3844</v>
      </c>
    </row>
    <row r="84" spans="1:5" ht="38">
      <c r="A84" s="94" t="s">
        <v>1239</v>
      </c>
      <c r="B84" s="335" t="s">
        <v>1240</v>
      </c>
      <c r="C84" s="336"/>
      <c r="D84" s="337"/>
      <c r="E84" s="311" t="s">
        <v>3845</v>
      </c>
    </row>
    <row r="85" spans="1:5" ht="38">
      <c r="A85" s="94" t="s">
        <v>1243</v>
      </c>
      <c r="B85" s="335" t="s">
        <v>1244</v>
      </c>
      <c r="C85" s="336"/>
      <c r="D85" s="337"/>
      <c r="E85" s="311" t="s">
        <v>3846</v>
      </c>
    </row>
    <row r="86" spans="1:5" ht="19">
      <c r="A86" s="94" t="s">
        <v>1247</v>
      </c>
      <c r="B86" s="335" t="s">
        <v>1248</v>
      </c>
      <c r="C86" s="336"/>
      <c r="D86" s="337"/>
      <c r="E86" s="311" t="s">
        <v>3847</v>
      </c>
    </row>
    <row r="87" spans="1:5" ht="57">
      <c r="A87" s="94" t="s">
        <v>1251</v>
      </c>
      <c r="B87" s="335" t="s">
        <v>1252</v>
      </c>
      <c r="C87" s="336"/>
      <c r="D87" s="337"/>
      <c r="E87" s="311" t="s">
        <v>3848</v>
      </c>
    </row>
    <row r="88" spans="1:5" ht="38">
      <c r="A88" s="94" t="s">
        <v>1254</v>
      </c>
      <c r="B88" s="335" t="s">
        <v>659</v>
      </c>
      <c r="C88" s="336"/>
      <c r="D88" s="337"/>
      <c r="E88" s="311" t="s">
        <v>3849</v>
      </c>
    </row>
    <row r="89" spans="1:5" ht="19">
      <c r="A89" s="94" t="s">
        <v>1255</v>
      </c>
      <c r="B89" s="335" t="s">
        <v>1256</v>
      </c>
      <c r="C89" s="336"/>
      <c r="D89" s="337"/>
      <c r="E89" s="311" t="s">
        <v>3850</v>
      </c>
    </row>
    <row r="90" spans="1:5" ht="38">
      <c r="A90" s="94" t="s">
        <v>1257</v>
      </c>
      <c r="B90" s="335" t="s">
        <v>1258</v>
      </c>
      <c r="C90" s="336"/>
      <c r="D90" s="337"/>
      <c r="E90" s="311" t="s">
        <v>3851</v>
      </c>
    </row>
    <row r="91" spans="1:5" ht="19">
      <c r="A91" s="94" t="s">
        <v>1260</v>
      </c>
      <c r="B91" s="335" t="s">
        <v>1261</v>
      </c>
      <c r="C91" s="336"/>
      <c r="D91" s="337"/>
      <c r="E91" s="311" t="s">
        <v>3852</v>
      </c>
    </row>
    <row r="92" spans="1:5" ht="19">
      <c r="A92" s="94" t="s">
        <v>1264</v>
      </c>
      <c r="B92" s="335" t="s">
        <v>1265</v>
      </c>
      <c r="C92" s="336"/>
      <c r="D92" s="337"/>
      <c r="E92" s="311" t="s">
        <v>3853</v>
      </c>
    </row>
    <row r="93" spans="1:5" ht="38">
      <c r="A93" s="94" t="s">
        <v>583</v>
      </c>
      <c r="B93" s="335" t="s">
        <v>584</v>
      </c>
      <c r="C93" s="336"/>
      <c r="D93" s="337"/>
      <c r="E93" s="311" t="s">
        <v>3854</v>
      </c>
    </row>
    <row r="94" spans="1:5" ht="19.5" customHeight="1">
      <c r="A94" s="519" t="s">
        <v>3855</v>
      </c>
      <c r="B94" s="516"/>
      <c r="C94" s="516"/>
      <c r="D94" s="520"/>
      <c r="E94" s="516"/>
    </row>
    <row r="95" spans="1:5" ht="19">
      <c r="A95" s="94" t="s">
        <v>633</v>
      </c>
      <c r="B95" s="94" t="s">
        <v>594</v>
      </c>
      <c r="C95" s="336"/>
      <c r="D95" s="337"/>
      <c r="E95" s="311" t="s">
        <v>3856</v>
      </c>
    </row>
    <row r="96" spans="1:5" ht="76">
      <c r="A96" s="94" t="s">
        <v>639</v>
      </c>
      <c r="B96" s="94" t="s">
        <v>640</v>
      </c>
      <c r="C96" s="336" t="s">
        <v>3750</v>
      </c>
      <c r="D96" s="337"/>
      <c r="E96" s="311" t="s">
        <v>3857</v>
      </c>
    </row>
    <row r="97" spans="1:5" ht="19">
      <c r="A97" s="94" t="s">
        <v>644</v>
      </c>
      <c r="B97" s="94" t="s">
        <v>645</v>
      </c>
      <c r="C97" s="336"/>
      <c r="D97" s="337"/>
      <c r="E97" s="311" t="s">
        <v>3858</v>
      </c>
    </row>
    <row r="98" spans="1:5" ht="38">
      <c r="A98" s="94" t="s">
        <v>651</v>
      </c>
      <c r="B98" s="94" t="s">
        <v>652</v>
      </c>
      <c r="C98" s="336"/>
      <c r="D98" s="337"/>
      <c r="E98" s="311" t="s">
        <v>3859</v>
      </c>
    </row>
    <row r="99" spans="1:5" ht="57">
      <c r="A99" s="94" t="s">
        <v>658</v>
      </c>
      <c r="B99" s="94" t="s">
        <v>659</v>
      </c>
      <c r="C99" s="336" t="s">
        <v>3750</v>
      </c>
      <c r="D99" s="337" t="s">
        <v>3756</v>
      </c>
      <c r="E99" s="311" t="s">
        <v>3860</v>
      </c>
    </row>
    <row r="100" spans="1:5" ht="19">
      <c r="A100" s="94" t="s">
        <v>663</v>
      </c>
      <c r="B100" s="94" t="s">
        <v>5246</v>
      </c>
      <c r="C100" s="336"/>
      <c r="D100" s="337"/>
      <c r="E100" s="311" t="s">
        <v>3861</v>
      </c>
    </row>
    <row r="101" spans="1:5" ht="19">
      <c r="A101" s="94" t="s">
        <v>667</v>
      </c>
      <c r="B101" s="339" t="s">
        <v>668</v>
      </c>
      <c r="C101" s="336"/>
      <c r="D101" s="337"/>
      <c r="E101" s="311" t="s">
        <v>3862</v>
      </c>
    </row>
    <row r="102" spans="1:5" ht="38">
      <c r="A102" s="94" t="s">
        <v>674</v>
      </c>
      <c r="B102" s="339" t="s">
        <v>675</v>
      </c>
      <c r="C102" s="336"/>
      <c r="D102" s="337"/>
      <c r="E102" s="311" t="s">
        <v>3863</v>
      </c>
    </row>
    <row r="103" spans="1:5" ht="38">
      <c r="A103" s="94" t="s">
        <v>681</v>
      </c>
      <c r="B103" s="94" t="s">
        <v>666</v>
      </c>
      <c r="C103" s="336"/>
      <c r="D103" s="337"/>
      <c r="E103" s="311" t="s">
        <v>3864</v>
      </c>
    </row>
    <row r="104" spans="1:5" ht="36">
      <c r="A104" s="94" t="s">
        <v>687</v>
      </c>
      <c r="B104" s="94" t="s">
        <v>688</v>
      </c>
      <c r="C104" s="336"/>
      <c r="D104" s="337"/>
      <c r="E104" s="311" t="s">
        <v>3865</v>
      </c>
    </row>
    <row r="105" spans="1:5" ht="57">
      <c r="A105" s="94" t="s">
        <v>694</v>
      </c>
      <c r="B105" s="94" t="s">
        <v>695</v>
      </c>
      <c r="C105" s="336" t="s">
        <v>3866</v>
      </c>
      <c r="D105" s="337"/>
      <c r="E105" s="311" t="s">
        <v>3867</v>
      </c>
    </row>
    <row r="106" spans="1:5" ht="19">
      <c r="A106" s="94" t="s">
        <v>701</v>
      </c>
      <c r="B106" s="94" t="s">
        <v>702</v>
      </c>
      <c r="C106" s="336"/>
      <c r="D106" s="337"/>
      <c r="E106" s="311" t="s">
        <v>3868</v>
      </c>
    </row>
    <row r="107" spans="1:5" ht="19">
      <c r="A107" s="94" t="s">
        <v>708</v>
      </c>
      <c r="B107" s="94" t="s">
        <v>709</v>
      </c>
      <c r="C107" s="336"/>
      <c r="D107" s="337"/>
      <c r="E107" s="311" t="s">
        <v>3869</v>
      </c>
    </row>
    <row r="108" spans="1:5" ht="19">
      <c r="A108" s="94" t="s">
        <v>715</v>
      </c>
      <c r="B108" s="94" t="s">
        <v>716</v>
      </c>
      <c r="C108" s="336"/>
      <c r="D108" s="337"/>
      <c r="E108" s="311" t="s">
        <v>3870</v>
      </c>
    </row>
    <row r="109" spans="1:5" ht="38">
      <c r="A109" s="94" t="s">
        <v>722</v>
      </c>
      <c r="B109" s="94" t="s">
        <v>723</v>
      </c>
      <c r="C109" s="336"/>
      <c r="D109" s="337"/>
      <c r="E109" s="311" t="s">
        <v>3871</v>
      </c>
    </row>
    <row r="110" spans="1:5" ht="38">
      <c r="A110" s="94" t="s">
        <v>727</v>
      </c>
      <c r="B110" s="339" t="s">
        <v>558</v>
      </c>
      <c r="C110" s="336" t="s">
        <v>3750</v>
      </c>
      <c r="D110" s="337"/>
      <c r="E110" s="311" t="s">
        <v>3872</v>
      </c>
    </row>
    <row r="111" spans="1:5" ht="38">
      <c r="A111" s="94" t="s">
        <v>733</v>
      </c>
      <c r="B111" s="94" t="s">
        <v>686</v>
      </c>
      <c r="C111" s="336" t="s">
        <v>3750</v>
      </c>
      <c r="D111" s="337"/>
      <c r="E111" s="311" t="s">
        <v>3873</v>
      </c>
    </row>
    <row r="112" spans="1:5" ht="76">
      <c r="A112" s="94" t="s">
        <v>737</v>
      </c>
      <c r="B112" s="94" t="s">
        <v>700</v>
      </c>
      <c r="C112" s="336" t="s">
        <v>3750</v>
      </c>
      <c r="D112" s="337"/>
      <c r="E112" s="311" t="s">
        <v>3874</v>
      </c>
    </row>
    <row r="113" spans="1:5" ht="38">
      <c r="A113" s="94" t="s">
        <v>741</v>
      </c>
      <c r="B113" s="94" t="s">
        <v>742</v>
      </c>
      <c r="C113" s="336"/>
      <c r="D113" s="337"/>
      <c r="E113" s="311" t="s">
        <v>3875</v>
      </c>
    </row>
    <row r="114" spans="1:5" ht="57">
      <c r="A114" s="94" t="s">
        <v>746</v>
      </c>
      <c r="B114" s="94" t="s">
        <v>693</v>
      </c>
      <c r="C114" s="336" t="s">
        <v>1559</v>
      </c>
      <c r="D114" s="337" t="s">
        <v>3776</v>
      </c>
      <c r="E114" s="311" t="s">
        <v>3876</v>
      </c>
    </row>
    <row r="115" spans="1:5" ht="19">
      <c r="A115" s="94" t="s">
        <v>752</v>
      </c>
      <c r="B115" s="339" t="s">
        <v>753</v>
      </c>
      <c r="C115" s="336"/>
      <c r="D115" s="337"/>
      <c r="E115" s="311" t="s">
        <v>3877</v>
      </c>
    </row>
    <row r="116" spans="1:5" ht="19">
      <c r="A116" s="94" t="s">
        <v>757</v>
      </c>
      <c r="B116" s="94" t="s">
        <v>758</v>
      </c>
      <c r="C116" s="336"/>
      <c r="D116" s="337"/>
      <c r="E116" s="311" t="s">
        <v>3878</v>
      </c>
    </row>
    <row r="117" spans="1:5" ht="57">
      <c r="A117" s="94" t="s">
        <v>762</v>
      </c>
      <c r="B117" s="94" t="s">
        <v>763</v>
      </c>
      <c r="C117" s="336"/>
      <c r="D117" s="337"/>
      <c r="E117" s="311" t="s">
        <v>3879</v>
      </c>
    </row>
    <row r="118" spans="1:5" ht="76">
      <c r="A118" s="94" t="s">
        <v>767</v>
      </c>
      <c r="B118" s="94" t="s">
        <v>768</v>
      </c>
      <c r="C118" s="336"/>
      <c r="D118" s="337"/>
      <c r="E118" s="311" t="s">
        <v>3880</v>
      </c>
    </row>
    <row r="119" spans="1:5" ht="38">
      <c r="A119" s="94" t="s">
        <v>772</v>
      </c>
      <c r="B119" s="94" t="s">
        <v>773</v>
      </c>
      <c r="C119" s="336"/>
      <c r="D119" s="337"/>
      <c r="E119" s="311" t="s">
        <v>3881</v>
      </c>
    </row>
    <row r="120" spans="1:5" ht="57">
      <c r="A120" s="94" t="s">
        <v>779</v>
      </c>
      <c r="B120" s="94" t="s">
        <v>780</v>
      </c>
      <c r="C120" s="336"/>
      <c r="D120" s="337"/>
      <c r="E120" s="311" t="s">
        <v>3882</v>
      </c>
    </row>
    <row r="121" spans="1:5" ht="38">
      <c r="A121" s="94" t="s">
        <v>785</v>
      </c>
      <c r="B121" s="339" t="s">
        <v>786</v>
      </c>
      <c r="C121" s="336"/>
      <c r="D121" s="337"/>
      <c r="E121" s="311" t="s">
        <v>3883</v>
      </c>
    </row>
    <row r="122" spans="1:5" ht="76">
      <c r="A122" s="94" t="s">
        <v>791</v>
      </c>
      <c r="B122" s="94" t="s">
        <v>792</v>
      </c>
      <c r="C122" s="336"/>
      <c r="D122" s="337"/>
      <c r="E122" s="311" t="s">
        <v>3884</v>
      </c>
    </row>
    <row r="123" spans="1:5" ht="38">
      <c r="A123" s="94" t="s">
        <v>796</v>
      </c>
      <c r="B123" s="94" t="s">
        <v>797</v>
      </c>
      <c r="C123" s="336"/>
      <c r="D123" s="337"/>
      <c r="E123" s="311" t="s">
        <v>3885</v>
      </c>
    </row>
    <row r="124" spans="1:5" ht="19">
      <c r="A124" s="94" t="s">
        <v>800</v>
      </c>
      <c r="B124" s="339" t="s">
        <v>801</v>
      </c>
      <c r="C124" s="336"/>
      <c r="D124" s="337"/>
      <c r="E124" s="311" t="s">
        <v>3886</v>
      </c>
    </row>
    <row r="125" spans="1:5" ht="57">
      <c r="A125" s="94" t="s">
        <v>807</v>
      </c>
      <c r="B125" s="94" t="s">
        <v>808</v>
      </c>
      <c r="C125" s="336"/>
      <c r="D125" s="337"/>
      <c r="E125" s="311" t="s">
        <v>3887</v>
      </c>
    </row>
    <row r="126" spans="1:5" ht="19">
      <c r="A126" s="94" t="s">
        <v>814</v>
      </c>
      <c r="B126" s="94" t="s">
        <v>736</v>
      </c>
      <c r="C126" s="336" t="s">
        <v>1559</v>
      </c>
      <c r="D126" s="337" t="s">
        <v>3776</v>
      </c>
      <c r="E126" s="311" t="s">
        <v>3888</v>
      </c>
    </row>
    <row r="127" spans="1:5" ht="19">
      <c r="A127" s="94" t="s">
        <v>818</v>
      </c>
      <c r="B127" s="94" t="s">
        <v>819</v>
      </c>
      <c r="C127" s="336"/>
      <c r="D127" s="337"/>
      <c r="E127" s="311" t="s">
        <v>5244</v>
      </c>
    </row>
    <row r="128" spans="1:5" ht="19">
      <c r="A128" s="94" t="s">
        <v>825</v>
      </c>
      <c r="B128" s="339" t="s">
        <v>826</v>
      </c>
      <c r="C128" s="336"/>
      <c r="D128" s="337"/>
      <c r="E128" s="311" t="s">
        <v>3889</v>
      </c>
    </row>
    <row r="129" spans="1:5" ht="19">
      <c r="A129" s="94" t="s">
        <v>832</v>
      </c>
      <c r="B129" s="94" t="s">
        <v>833</v>
      </c>
      <c r="C129" s="336"/>
      <c r="D129" s="337"/>
      <c r="E129" s="311" t="s">
        <v>3890</v>
      </c>
    </row>
    <row r="130" spans="1:5" ht="38">
      <c r="A130" s="94" t="s">
        <v>837</v>
      </c>
      <c r="B130" s="94" t="s">
        <v>838</v>
      </c>
      <c r="C130" s="336" t="s">
        <v>3750</v>
      </c>
      <c r="D130" s="337"/>
      <c r="E130" s="311" t="s">
        <v>3891</v>
      </c>
    </row>
    <row r="131" spans="1:5" ht="76">
      <c r="A131" s="94" t="s">
        <v>844</v>
      </c>
      <c r="B131" s="339" t="s">
        <v>627</v>
      </c>
      <c r="C131" s="336" t="s">
        <v>3750</v>
      </c>
      <c r="D131" s="337" t="s">
        <v>3756</v>
      </c>
      <c r="E131" s="311" t="s">
        <v>3892</v>
      </c>
    </row>
    <row r="132" spans="1:5" ht="38">
      <c r="A132" s="94" t="s">
        <v>850</v>
      </c>
      <c r="B132" s="94" t="s">
        <v>851</v>
      </c>
      <c r="C132" s="336"/>
      <c r="D132" s="337"/>
      <c r="E132" s="311" t="s">
        <v>5239</v>
      </c>
    </row>
    <row r="133" spans="1:5" ht="38">
      <c r="A133" s="94" t="s">
        <v>855</v>
      </c>
      <c r="B133" s="339" t="s">
        <v>662</v>
      </c>
      <c r="C133" s="336" t="s">
        <v>3750</v>
      </c>
      <c r="D133" s="337" t="s">
        <v>3744</v>
      </c>
      <c r="E133" s="311" t="s">
        <v>3893</v>
      </c>
    </row>
    <row r="134" spans="1:5" ht="19">
      <c r="A134" s="94" t="s">
        <v>859</v>
      </c>
      <c r="B134" s="94" t="s">
        <v>860</v>
      </c>
      <c r="C134" s="336"/>
      <c r="D134" s="337"/>
      <c r="E134" s="311" t="s">
        <v>5241</v>
      </c>
    </row>
    <row r="135" spans="1:5" ht="38">
      <c r="A135" s="94" t="s">
        <v>861</v>
      </c>
      <c r="B135" s="94" t="s">
        <v>862</v>
      </c>
      <c r="C135" s="336"/>
      <c r="D135" s="337"/>
      <c r="E135" s="311" t="s">
        <v>5240</v>
      </c>
    </row>
    <row r="136" spans="1:5" ht="19">
      <c r="A136" s="94" t="s">
        <v>865</v>
      </c>
      <c r="B136" s="94" t="s">
        <v>866</v>
      </c>
      <c r="C136" s="336"/>
      <c r="D136" s="337"/>
      <c r="E136" s="311" t="s">
        <v>5241</v>
      </c>
    </row>
    <row r="137" spans="1:5" ht="95">
      <c r="A137" s="94" t="s">
        <v>870</v>
      </c>
      <c r="B137" s="94" t="s">
        <v>843</v>
      </c>
      <c r="C137" s="336" t="s">
        <v>1559</v>
      </c>
      <c r="D137" s="337" t="s">
        <v>3776</v>
      </c>
      <c r="E137" s="311" t="s">
        <v>3894</v>
      </c>
    </row>
    <row r="138" spans="1:5" ht="19">
      <c r="A138" s="94" t="s">
        <v>876</v>
      </c>
      <c r="B138" s="339" t="s">
        <v>877</v>
      </c>
      <c r="C138" s="336"/>
      <c r="D138" s="337"/>
      <c r="E138" s="311" t="s">
        <v>5242</v>
      </c>
    </row>
    <row r="139" spans="1:5" ht="19">
      <c r="A139" s="94" t="s">
        <v>881</v>
      </c>
      <c r="B139" s="339" t="s">
        <v>882</v>
      </c>
      <c r="C139" s="336"/>
      <c r="D139" s="337"/>
      <c r="E139" s="311" t="s">
        <v>3895</v>
      </c>
    </row>
    <row r="140" spans="1:5" ht="19">
      <c r="A140" s="94" t="s">
        <v>888</v>
      </c>
      <c r="B140" s="339" t="s">
        <v>889</v>
      </c>
      <c r="C140" s="336"/>
      <c r="D140" s="337"/>
      <c r="E140" s="311" t="s">
        <v>3896</v>
      </c>
    </row>
    <row r="141" spans="1:5" ht="19">
      <c r="A141" s="94" t="s">
        <v>895</v>
      </c>
      <c r="B141" s="339" t="s">
        <v>849</v>
      </c>
      <c r="C141" s="336" t="s">
        <v>3750</v>
      </c>
      <c r="D141" s="337"/>
      <c r="E141" s="311" t="s">
        <v>3897</v>
      </c>
    </row>
    <row r="142" spans="1:5" ht="19">
      <c r="A142" s="94" t="s">
        <v>898</v>
      </c>
      <c r="B142" s="339" t="s">
        <v>899</v>
      </c>
      <c r="C142" s="336"/>
      <c r="D142" s="337"/>
      <c r="E142" s="311" t="s">
        <v>3896</v>
      </c>
    </row>
    <row r="143" spans="1:5" ht="19">
      <c r="A143" s="94" t="s">
        <v>905</v>
      </c>
      <c r="B143" s="94" t="s">
        <v>906</v>
      </c>
      <c r="C143" s="336"/>
      <c r="D143" s="337"/>
      <c r="E143" s="311" t="s">
        <v>5243</v>
      </c>
    </row>
    <row r="144" spans="1:5" ht="19">
      <c r="A144" s="94" t="s">
        <v>912</v>
      </c>
      <c r="B144" s="94" t="s">
        <v>913</v>
      </c>
      <c r="C144" s="336"/>
      <c r="D144" s="337"/>
      <c r="E144" s="311" t="s">
        <v>3898</v>
      </c>
    </row>
    <row r="145" spans="1:6" ht="19">
      <c r="A145" s="94" t="s">
        <v>919</v>
      </c>
      <c r="B145" s="94" t="s">
        <v>920</v>
      </c>
      <c r="C145" s="336"/>
      <c r="D145" s="337"/>
      <c r="E145" s="311" t="s">
        <v>3899</v>
      </c>
    </row>
    <row r="146" spans="1:6" ht="19">
      <c r="A146" s="94" t="s">
        <v>924</v>
      </c>
      <c r="B146" s="94" t="s">
        <v>925</v>
      </c>
      <c r="C146" s="336"/>
      <c r="D146" s="337"/>
      <c r="E146" s="311" t="s">
        <v>3900</v>
      </c>
    </row>
    <row r="147" spans="1:6" ht="38">
      <c r="A147" s="94" t="s">
        <v>929</v>
      </c>
      <c r="B147" s="94" t="s">
        <v>930</v>
      </c>
      <c r="C147" s="336" t="s">
        <v>3750</v>
      </c>
      <c r="D147" s="337"/>
      <c r="E147" s="311" t="s">
        <v>3901</v>
      </c>
    </row>
    <row r="148" spans="1:6" ht="38">
      <c r="A148" s="94" t="s">
        <v>934</v>
      </c>
      <c r="B148" s="94" t="s">
        <v>522</v>
      </c>
      <c r="C148" s="336" t="s">
        <v>3743</v>
      </c>
      <c r="D148" s="337" t="s">
        <v>3756</v>
      </c>
      <c r="E148" s="311" t="s">
        <v>3902</v>
      </c>
    </row>
    <row r="149" spans="1:6" ht="38">
      <c r="A149" s="94" t="s">
        <v>937</v>
      </c>
      <c r="B149" s="94" t="s">
        <v>547</v>
      </c>
      <c r="C149" s="336"/>
      <c r="D149" s="337"/>
      <c r="E149" s="311" t="s">
        <v>3903</v>
      </c>
    </row>
    <row r="150" spans="1:6" ht="19">
      <c r="A150" s="94" t="s">
        <v>943</v>
      </c>
      <c r="B150" s="94" t="s">
        <v>944</v>
      </c>
      <c r="C150" s="336"/>
      <c r="D150" s="337"/>
      <c r="E150" s="311" t="s">
        <v>3904</v>
      </c>
    </row>
    <row r="151" spans="1:6" ht="19">
      <c r="A151" s="94" t="s">
        <v>950</v>
      </c>
      <c r="B151" s="94" t="s">
        <v>951</v>
      </c>
      <c r="C151" s="336"/>
      <c r="D151" s="337"/>
      <c r="E151" s="311" t="s">
        <v>3896</v>
      </c>
    </row>
    <row r="152" spans="1:6" ht="76">
      <c r="A152" s="94" t="s">
        <v>957</v>
      </c>
      <c r="B152" s="94" t="s">
        <v>958</v>
      </c>
      <c r="C152" s="336"/>
      <c r="D152" s="337"/>
      <c r="E152" s="311" t="s">
        <v>3905</v>
      </c>
    </row>
    <row r="153" spans="1:6" ht="19">
      <c r="A153" s="94" t="s">
        <v>964</v>
      </c>
      <c r="B153" s="94" t="s">
        <v>965</v>
      </c>
      <c r="C153" s="336"/>
      <c r="D153" s="337"/>
      <c r="E153" s="311" t="s">
        <v>3906</v>
      </c>
    </row>
    <row r="154" spans="1:6" ht="19">
      <c r="A154" s="94" t="s">
        <v>971</v>
      </c>
      <c r="B154" s="339" t="s">
        <v>972</v>
      </c>
      <c r="C154" s="336"/>
      <c r="D154" s="337"/>
      <c r="E154" s="311" t="s">
        <v>3896</v>
      </c>
    </row>
    <row r="155" spans="1:6" ht="19">
      <c r="A155" s="94" t="s">
        <v>976</v>
      </c>
      <c r="B155" s="94" t="s">
        <v>977</v>
      </c>
      <c r="C155" s="336"/>
      <c r="D155" s="337"/>
      <c r="E155" s="311" t="s">
        <v>3896</v>
      </c>
    </row>
    <row r="156" spans="1:6" ht="38">
      <c r="A156" s="94" t="s">
        <v>981</v>
      </c>
      <c r="B156" s="339" t="s">
        <v>624</v>
      </c>
      <c r="C156" s="336" t="s">
        <v>3743</v>
      </c>
      <c r="D156" s="337" t="s">
        <v>3744</v>
      </c>
      <c r="E156" s="311" t="s">
        <v>3907</v>
      </c>
      <c r="F156" s="516" t="s">
        <v>3908</v>
      </c>
    </row>
    <row r="157" spans="1:6" ht="57">
      <c r="A157" s="94" t="s">
        <v>986</v>
      </c>
      <c r="B157" s="339" t="s">
        <v>657</v>
      </c>
      <c r="C157" s="336" t="s">
        <v>3743</v>
      </c>
      <c r="D157" s="337" t="s">
        <v>3776</v>
      </c>
      <c r="E157" s="311" t="s">
        <v>3909</v>
      </c>
      <c r="F157" s="516"/>
    </row>
    <row r="158" spans="1:6" ht="57">
      <c r="A158" s="94" t="s">
        <v>990</v>
      </c>
      <c r="B158" s="339" t="s">
        <v>836</v>
      </c>
      <c r="C158" s="336" t="s">
        <v>3743</v>
      </c>
      <c r="D158" s="337" t="s">
        <v>3744</v>
      </c>
      <c r="E158" s="311" t="s">
        <v>3910</v>
      </c>
      <c r="F158" s="516"/>
    </row>
    <row r="159" spans="1:6" ht="19">
      <c r="A159" s="94" t="s">
        <v>996</v>
      </c>
      <c r="B159" s="94" t="s">
        <v>806</v>
      </c>
      <c r="C159" s="336"/>
      <c r="D159" s="337"/>
      <c r="E159" s="311" t="s">
        <v>3911</v>
      </c>
    </row>
    <row r="160" spans="1:6" ht="38">
      <c r="A160" s="94" t="s">
        <v>1002</v>
      </c>
      <c r="B160" s="339" t="s">
        <v>1003</v>
      </c>
      <c r="C160" s="336" t="s">
        <v>3866</v>
      </c>
      <c r="D160" s="337"/>
      <c r="E160" s="311" t="s">
        <v>3912</v>
      </c>
    </row>
    <row r="161" spans="1:5" ht="19">
      <c r="A161" s="94" t="s">
        <v>1009</v>
      </c>
      <c r="B161" s="94" t="s">
        <v>795</v>
      </c>
      <c r="C161" s="336" t="s">
        <v>3750</v>
      </c>
      <c r="D161" s="337" t="s">
        <v>3756</v>
      </c>
      <c r="E161" s="311" t="s">
        <v>3913</v>
      </c>
    </row>
    <row r="162" spans="1:5" ht="19">
      <c r="A162" s="94" t="s">
        <v>1013</v>
      </c>
      <c r="B162" s="339" t="s">
        <v>1014</v>
      </c>
      <c r="C162" s="336"/>
      <c r="D162" s="337"/>
      <c r="E162" s="311" t="s">
        <v>3914</v>
      </c>
    </row>
    <row r="163" spans="1:5" ht="19">
      <c r="A163" s="94" t="s">
        <v>1018</v>
      </c>
      <c r="B163" s="94" t="s">
        <v>1019</v>
      </c>
      <c r="C163" s="336"/>
      <c r="D163" s="337"/>
      <c r="E163" s="311" t="s">
        <v>3915</v>
      </c>
    </row>
    <row r="164" spans="1:5" ht="38">
      <c r="A164" s="94" t="s">
        <v>1023</v>
      </c>
      <c r="B164" s="94" t="s">
        <v>540</v>
      </c>
      <c r="C164" s="336" t="s">
        <v>3750</v>
      </c>
      <c r="D164" s="337"/>
      <c r="E164" s="311" t="s">
        <v>3916</v>
      </c>
    </row>
    <row r="165" spans="1:5" ht="19">
      <c r="A165" s="94" t="s">
        <v>1029</v>
      </c>
      <c r="B165" s="94" t="s">
        <v>1030</v>
      </c>
      <c r="C165" s="336"/>
      <c r="D165" s="337"/>
      <c r="E165" s="311" t="s">
        <v>3914</v>
      </c>
    </row>
    <row r="166" spans="1:5">
      <c r="C166" s="336"/>
      <c r="D166" s="337"/>
    </row>
    <row r="167" spans="1:5">
      <c r="C167" s="336"/>
      <c r="D167" s="337"/>
    </row>
    <row r="168" spans="1:5">
      <c r="C168" s="336"/>
      <c r="D168" s="337"/>
    </row>
    <row r="169" spans="1:5">
      <c r="C169" s="336"/>
      <c r="D169" s="337"/>
    </row>
    <row r="170" spans="1:5">
      <c r="C170" s="336"/>
      <c r="D170" s="337"/>
    </row>
    <row r="171" spans="1:5">
      <c r="C171" s="336"/>
      <c r="D171" s="337"/>
    </row>
    <row r="172" spans="1:5">
      <c r="C172" s="336"/>
      <c r="D172" s="337"/>
    </row>
    <row r="173" spans="1:5">
      <c r="C173" s="336"/>
      <c r="D173" s="337"/>
    </row>
    <row r="174" spans="1:5">
      <c r="C174" s="336"/>
      <c r="D174" s="337"/>
    </row>
    <row r="175" spans="1:5">
      <c r="C175" s="336"/>
      <c r="D175" s="337"/>
    </row>
    <row r="176" spans="1:5">
      <c r="C176" s="336"/>
      <c r="D176" s="337"/>
    </row>
    <row r="177" spans="3:4">
      <c r="C177" s="336"/>
      <c r="D177" s="337"/>
    </row>
    <row r="178" spans="3:4">
      <c r="C178" s="336"/>
      <c r="D178" s="337"/>
    </row>
    <row r="179" spans="3:4">
      <c r="C179" s="336"/>
      <c r="D179" s="337"/>
    </row>
    <row r="180" spans="3:4">
      <c r="C180" s="336"/>
      <c r="D180" s="337"/>
    </row>
    <row r="181" spans="3:4">
      <c r="C181" s="336"/>
      <c r="D181" s="337"/>
    </row>
    <row r="182" spans="3:4">
      <c r="C182" s="336"/>
      <c r="D182" s="337"/>
    </row>
    <row r="183" spans="3:4">
      <c r="C183" s="336"/>
      <c r="D183" s="337"/>
    </row>
    <row r="184" spans="3:4">
      <c r="C184" s="336"/>
      <c r="D184" s="337"/>
    </row>
    <row r="185" spans="3:4">
      <c r="C185" s="336"/>
      <c r="D185" s="337"/>
    </row>
    <row r="186" spans="3:4">
      <c r="C186" s="336"/>
      <c r="D186" s="337"/>
    </row>
    <row r="187" spans="3:4">
      <c r="C187" s="336"/>
      <c r="D187" s="337"/>
    </row>
    <row r="188" spans="3:4">
      <c r="C188" s="336"/>
      <c r="D188" s="337"/>
    </row>
    <row r="189" spans="3:4">
      <c r="C189" s="336"/>
      <c r="D189" s="337"/>
    </row>
    <row r="190" spans="3:4">
      <c r="C190" s="336"/>
      <c r="D190" s="337"/>
    </row>
    <row r="191" spans="3:4">
      <c r="C191" s="336"/>
      <c r="D191" s="337"/>
    </row>
    <row r="192" spans="3:4">
      <c r="C192" s="336"/>
      <c r="D192" s="337"/>
    </row>
    <row r="193" spans="3:4">
      <c r="C193" s="336"/>
      <c r="D193" s="337"/>
    </row>
    <row r="194" spans="3:4">
      <c r="C194" s="336"/>
      <c r="D194" s="337"/>
    </row>
    <row r="195" spans="3:4">
      <c r="C195" s="336"/>
      <c r="D195" s="337"/>
    </row>
    <row r="196" spans="3:4">
      <c r="C196" s="336"/>
      <c r="D196" s="337"/>
    </row>
    <row r="197" spans="3:4">
      <c r="C197" s="336"/>
      <c r="D197" s="337"/>
    </row>
    <row r="198" spans="3:4">
      <c r="C198" s="336"/>
      <c r="D198" s="337"/>
    </row>
    <row r="199" spans="3:4">
      <c r="C199" s="336"/>
      <c r="D199" s="337"/>
    </row>
    <row r="200" spans="3:4">
      <c r="C200" s="336"/>
      <c r="D200" s="337"/>
    </row>
    <row r="201" spans="3:4">
      <c r="C201" s="336"/>
      <c r="D201" s="337"/>
    </row>
    <row r="202" spans="3:4">
      <c r="C202" s="336"/>
      <c r="D202" s="337"/>
    </row>
    <row r="203" spans="3:4">
      <c r="C203" s="336"/>
      <c r="D203" s="337"/>
    </row>
    <row r="204" spans="3:4">
      <c r="C204" s="336"/>
      <c r="D204" s="337"/>
    </row>
    <row r="205" spans="3:4">
      <c r="C205" s="336"/>
      <c r="D205" s="337"/>
    </row>
    <row r="206" spans="3:4">
      <c r="C206" s="336"/>
      <c r="D206" s="337"/>
    </row>
    <row r="207" spans="3:4">
      <c r="C207" s="336"/>
      <c r="D207" s="337"/>
    </row>
    <row r="208" spans="3:4">
      <c r="C208" s="336"/>
      <c r="D208" s="337"/>
    </row>
    <row r="209" spans="3:4">
      <c r="C209" s="336"/>
      <c r="D209" s="337"/>
    </row>
    <row r="210" spans="3:4">
      <c r="C210" s="336"/>
      <c r="D210" s="337"/>
    </row>
    <row r="211" spans="3:4">
      <c r="C211" s="336"/>
      <c r="D211" s="337"/>
    </row>
    <row r="212" spans="3:4">
      <c r="C212" s="336"/>
      <c r="D212" s="337"/>
    </row>
    <row r="213" spans="3:4">
      <c r="C213" s="336"/>
      <c r="D213" s="337"/>
    </row>
    <row r="214" spans="3:4">
      <c r="C214" s="336"/>
      <c r="D214" s="337"/>
    </row>
    <row r="215" spans="3:4">
      <c r="C215" s="336"/>
      <c r="D215" s="337"/>
    </row>
    <row r="216" spans="3:4">
      <c r="C216" s="336"/>
      <c r="D216" s="337"/>
    </row>
    <row r="217" spans="3:4">
      <c r="C217" s="336"/>
      <c r="D217" s="337"/>
    </row>
    <row r="218" spans="3:4">
      <c r="C218" s="336"/>
      <c r="D218" s="337"/>
    </row>
    <row r="219" spans="3:4">
      <c r="C219" s="336"/>
      <c r="D219" s="337"/>
    </row>
    <row r="220" spans="3:4">
      <c r="C220" s="336"/>
      <c r="D220" s="337"/>
    </row>
    <row r="221" spans="3:4">
      <c r="C221" s="336"/>
      <c r="D221" s="337"/>
    </row>
    <row r="222" spans="3:4">
      <c r="C222" s="336"/>
      <c r="D222" s="337"/>
    </row>
    <row r="223" spans="3:4">
      <c r="C223" s="336"/>
      <c r="D223" s="337"/>
    </row>
    <row r="224" spans="3:4">
      <c r="C224" s="336"/>
      <c r="D224" s="337"/>
    </row>
    <row r="225" spans="3:4">
      <c r="C225" s="336"/>
      <c r="D225" s="337"/>
    </row>
    <row r="226" spans="3:4">
      <c r="C226" s="336"/>
      <c r="D226" s="337"/>
    </row>
    <row r="227" spans="3:4">
      <c r="C227" s="336"/>
      <c r="D227" s="337"/>
    </row>
    <row r="228" spans="3:4">
      <c r="C228" s="336"/>
      <c r="D228" s="337"/>
    </row>
    <row r="229" spans="3:4">
      <c r="C229" s="336"/>
      <c r="D229" s="337"/>
    </row>
    <row r="230" spans="3:4">
      <c r="C230" s="336"/>
      <c r="D230" s="337"/>
    </row>
    <row r="231" spans="3:4">
      <c r="C231" s="336"/>
      <c r="D231" s="337"/>
    </row>
    <row r="232" spans="3:4">
      <c r="C232" s="336"/>
      <c r="D232" s="337"/>
    </row>
    <row r="233" spans="3:4">
      <c r="C233" s="336"/>
      <c r="D233" s="337"/>
    </row>
    <row r="234" spans="3:4">
      <c r="C234" s="336"/>
      <c r="D234" s="337"/>
    </row>
    <row r="235" spans="3:4">
      <c r="C235" s="336"/>
      <c r="D235" s="337"/>
    </row>
    <row r="236" spans="3:4">
      <c r="C236" s="336"/>
      <c r="D236" s="337"/>
    </row>
    <row r="237" spans="3:4">
      <c r="C237" s="336"/>
      <c r="D237" s="337"/>
    </row>
    <row r="238" spans="3:4">
      <c r="C238" s="336"/>
      <c r="D238" s="337"/>
    </row>
    <row r="239" spans="3:4">
      <c r="C239" s="336"/>
      <c r="D239" s="337"/>
    </row>
    <row r="240" spans="3:4">
      <c r="C240" s="336"/>
      <c r="D240" s="337"/>
    </row>
    <row r="241" spans="3:4">
      <c r="C241" s="336"/>
      <c r="D241" s="337"/>
    </row>
    <row r="242" spans="3:4">
      <c r="C242" s="336"/>
      <c r="D242" s="337"/>
    </row>
    <row r="243" spans="3:4">
      <c r="C243" s="336"/>
      <c r="D243" s="337"/>
    </row>
    <row r="244" spans="3:4">
      <c r="C244" s="336"/>
      <c r="D244" s="337"/>
    </row>
    <row r="245" spans="3:4">
      <c r="C245" s="336"/>
      <c r="D245" s="337"/>
    </row>
    <row r="246" spans="3:4">
      <c r="C246" s="336"/>
      <c r="D246" s="337"/>
    </row>
    <row r="247" spans="3:4">
      <c r="C247" s="336"/>
      <c r="D247" s="337"/>
    </row>
    <row r="248" spans="3:4">
      <c r="C248" s="336"/>
      <c r="D248" s="337"/>
    </row>
    <row r="249" spans="3:4">
      <c r="C249" s="336"/>
      <c r="D249" s="337"/>
    </row>
    <row r="250" spans="3:4">
      <c r="C250" s="336"/>
      <c r="D250" s="337"/>
    </row>
    <row r="251" spans="3:4">
      <c r="C251" s="336"/>
      <c r="D251" s="337"/>
    </row>
    <row r="252" spans="3:4">
      <c r="C252" s="336"/>
      <c r="D252" s="337"/>
    </row>
    <row r="253" spans="3:4">
      <c r="C253" s="336"/>
      <c r="D253" s="337"/>
    </row>
    <row r="254" spans="3:4">
      <c r="C254" s="336"/>
      <c r="D254" s="337"/>
    </row>
    <row r="255" spans="3:4">
      <c r="C255" s="336"/>
      <c r="D255" s="337"/>
    </row>
    <row r="256" spans="3:4">
      <c r="C256" s="336"/>
      <c r="D256" s="337"/>
    </row>
    <row r="257" spans="3:4">
      <c r="C257" s="336"/>
      <c r="D257" s="337"/>
    </row>
    <row r="258" spans="3:4">
      <c r="C258" s="336"/>
      <c r="D258" s="337"/>
    </row>
    <row r="259" spans="3:4">
      <c r="C259" s="336"/>
      <c r="D259" s="337"/>
    </row>
    <row r="260" spans="3:4">
      <c r="C260" s="336"/>
      <c r="D260" s="337"/>
    </row>
    <row r="261" spans="3:4">
      <c r="C261" s="336"/>
      <c r="D261" s="337"/>
    </row>
    <row r="262" spans="3:4">
      <c r="C262" s="336"/>
      <c r="D262" s="337"/>
    </row>
    <row r="263" spans="3:4">
      <c r="C263" s="336"/>
      <c r="D263" s="337"/>
    </row>
    <row r="264" spans="3:4">
      <c r="C264" s="336"/>
      <c r="D264" s="337"/>
    </row>
    <row r="265" spans="3:4">
      <c r="C265" s="336"/>
      <c r="D265" s="337"/>
    </row>
    <row r="266" spans="3:4">
      <c r="C266" s="336"/>
      <c r="D266" s="337"/>
    </row>
    <row r="267" spans="3:4">
      <c r="C267" s="336"/>
      <c r="D267" s="337"/>
    </row>
    <row r="268" spans="3:4">
      <c r="C268" s="336"/>
      <c r="D268" s="337"/>
    </row>
    <row r="269" spans="3:4">
      <c r="C269" s="336"/>
      <c r="D269" s="337"/>
    </row>
    <row r="270" spans="3:4">
      <c r="C270" s="336"/>
      <c r="D270" s="337"/>
    </row>
    <row r="271" spans="3:4">
      <c r="C271" s="336"/>
      <c r="D271" s="337"/>
    </row>
    <row r="272" spans="3:4">
      <c r="C272" s="336"/>
      <c r="D272" s="337"/>
    </row>
    <row r="273" spans="3:4">
      <c r="C273" s="336"/>
      <c r="D273" s="337"/>
    </row>
    <row r="274" spans="3:4">
      <c r="C274" s="336"/>
      <c r="D274" s="337"/>
    </row>
    <row r="275" spans="3:4">
      <c r="C275" s="336"/>
      <c r="D275" s="337"/>
    </row>
    <row r="276" spans="3:4">
      <c r="C276" s="336"/>
      <c r="D276" s="337"/>
    </row>
    <row r="277" spans="3:4">
      <c r="C277" s="336"/>
      <c r="D277" s="337"/>
    </row>
    <row r="278" spans="3:4">
      <c r="C278" s="336"/>
      <c r="D278" s="337"/>
    </row>
    <row r="279" spans="3:4">
      <c r="C279" s="336"/>
      <c r="D279" s="337"/>
    </row>
    <row r="280" spans="3:4">
      <c r="C280" s="336"/>
      <c r="D280" s="337"/>
    </row>
    <row r="281" spans="3:4">
      <c r="C281" s="336"/>
      <c r="D281" s="337"/>
    </row>
    <row r="282" spans="3:4">
      <c r="C282" s="336"/>
      <c r="D282" s="337"/>
    </row>
    <row r="283" spans="3:4">
      <c r="C283" s="336"/>
      <c r="D283" s="337"/>
    </row>
    <row r="284" spans="3:4">
      <c r="C284" s="336"/>
      <c r="D284" s="337"/>
    </row>
    <row r="285" spans="3:4">
      <c r="C285" s="336"/>
      <c r="D285" s="337"/>
    </row>
    <row r="286" spans="3:4">
      <c r="C286" s="336"/>
      <c r="D286" s="337"/>
    </row>
    <row r="287" spans="3:4">
      <c r="C287" s="336"/>
      <c r="D287" s="337"/>
    </row>
    <row r="288" spans="3:4">
      <c r="C288" s="336"/>
      <c r="D288" s="337"/>
    </row>
    <row r="289" spans="3:4">
      <c r="C289" s="336"/>
      <c r="D289" s="337"/>
    </row>
    <row r="290" spans="3:4">
      <c r="C290" s="336"/>
      <c r="D290" s="337"/>
    </row>
    <row r="291" spans="3:4">
      <c r="C291" s="336"/>
      <c r="D291" s="337"/>
    </row>
    <row r="292" spans="3:4">
      <c r="C292" s="336"/>
      <c r="D292" s="337"/>
    </row>
    <row r="293" spans="3:4">
      <c r="C293" s="336"/>
      <c r="D293" s="337"/>
    </row>
  </sheetData>
  <mergeCells count="5">
    <mergeCell ref="F156:F158"/>
    <mergeCell ref="F1:AA1"/>
    <mergeCell ref="A94:E94"/>
    <mergeCell ref="A3:E3"/>
    <mergeCell ref="A2:E2"/>
  </mergeCells>
  <phoneticPr fontId="89" type="noConversion"/>
  <dataValidations count="2">
    <dataValidation type="list" allowBlank="1" showInputMessage="1" showErrorMessage="1" sqref="D1:D1048576" xr:uid="{00000000-0002-0000-1700-000000000000}">
      <formula1>"决赛三倍,决赛一倍起步,决赛止步一倍,决赛候补一倍,决赛一倍待观察,"</formula1>
    </dataValidation>
    <dataValidation type="list" allowBlank="1" showInputMessage="1" showErrorMessage="1" sqref="C1:C1048576" xr:uid="{00000000-0002-0000-1700-000001000000}">
      <formula1>"三倍,一倍起步,止步一倍,候补一倍,一倍待观察,"</formula1>
    </dataValidation>
  </dataValidations>
  <hyperlinks>
    <hyperlink ref="E1" r:id="rId1"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s sc"/>
  <dimension ref="A2:J267"/>
  <sheetViews>
    <sheetView workbookViewId="0"/>
  </sheetViews>
  <sheetFormatPr baseColWidth="10" defaultColWidth="13.7109375" defaultRowHeight="18" customHeight="1"/>
  <cols>
    <col min="8" max="8" width="43.7109375" customWidth="1"/>
    <col min="9" max="9" width="24.85546875" customWidth="1"/>
  </cols>
  <sheetData>
    <row r="2" spans="1:10" ht="18" customHeight="1">
      <c r="A2" s="583" t="s">
        <v>5245</v>
      </c>
      <c r="B2" s="571"/>
      <c r="C2" s="571"/>
      <c r="D2" s="571"/>
      <c r="E2" s="571"/>
      <c r="F2" s="571"/>
      <c r="G2" s="571"/>
      <c r="H2" s="583"/>
      <c r="I2" s="571"/>
    </row>
    <row r="3" spans="1:10" ht="18" customHeight="1">
      <c r="A3" s="549"/>
      <c r="B3" s="571"/>
      <c r="C3" s="571"/>
      <c r="D3" s="571"/>
      <c r="E3" s="571"/>
      <c r="F3" s="571"/>
      <c r="G3" s="571"/>
      <c r="H3" s="549"/>
      <c r="I3" s="571"/>
    </row>
    <row r="4" spans="1:10" ht="18" customHeight="1">
      <c r="A4" s="24"/>
      <c r="B4" s="94"/>
      <c r="C4" s="11"/>
      <c r="D4" s="11"/>
      <c r="E4" s="11"/>
      <c r="F4" s="11"/>
      <c r="G4" s="11"/>
      <c r="H4" s="11"/>
      <c r="I4" s="11"/>
    </row>
    <row r="5" spans="1:10" ht="18" customHeight="1">
      <c r="A5" s="24"/>
      <c r="B5" s="24"/>
      <c r="C5" s="24"/>
      <c r="D5" s="24"/>
      <c r="E5" s="24"/>
      <c r="F5" s="24"/>
      <c r="G5" s="24"/>
      <c r="H5" s="24"/>
      <c r="I5" s="24"/>
    </row>
    <row r="6" spans="1:10" ht="18" customHeight="1">
      <c r="A6" s="549" t="s">
        <v>1034</v>
      </c>
      <c r="B6" s="571"/>
      <c r="C6" s="571"/>
      <c r="D6" s="571"/>
      <c r="E6" s="571"/>
      <c r="F6" s="571"/>
      <c r="G6" s="571"/>
      <c r="H6" s="549"/>
      <c r="I6" s="571"/>
    </row>
    <row r="7" spans="1:10" ht="18" customHeight="1">
      <c r="A7" s="24" t="s">
        <v>4</v>
      </c>
      <c r="B7" s="94" t="s">
        <v>5</v>
      </c>
      <c r="C7" s="11" t="s">
        <v>6</v>
      </c>
      <c r="D7" s="11" t="s">
        <v>7</v>
      </c>
      <c r="E7" s="11" t="s">
        <v>8</v>
      </c>
      <c r="F7" s="11" t="s">
        <v>9</v>
      </c>
      <c r="G7" s="11" t="s">
        <v>10</v>
      </c>
      <c r="H7" s="11" t="s">
        <v>11</v>
      </c>
      <c r="I7" s="11" t="s">
        <v>12</v>
      </c>
    </row>
    <row r="8" spans="1:10" ht="18" customHeight="1">
      <c r="A8" s="24" t="s">
        <v>1040</v>
      </c>
      <c r="B8" s="24" t="s">
        <v>1041</v>
      </c>
      <c r="C8" s="19" t="s">
        <v>1574</v>
      </c>
      <c r="D8" s="19" t="s">
        <v>1574</v>
      </c>
      <c r="E8" s="19" t="s">
        <v>1562</v>
      </c>
      <c r="F8" s="19" t="s">
        <v>18</v>
      </c>
      <c r="G8" s="19" t="s">
        <v>22</v>
      </c>
      <c r="H8" s="11"/>
      <c r="I8" s="11"/>
    </row>
    <row r="9" spans="1:10" ht="18" customHeight="1">
      <c r="A9" s="24" t="s">
        <v>1046</v>
      </c>
      <c r="B9" s="24" t="s">
        <v>1047</v>
      </c>
      <c r="C9" s="19" t="s">
        <v>22</v>
      </c>
      <c r="D9" s="19" t="s">
        <v>22</v>
      </c>
      <c r="E9" s="19" t="s">
        <v>22</v>
      </c>
      <c r="F9" s="19" t="s">
        <v>22</v>
      </c>
      <c r="G9" s="19" t="s">
        <v>22</v>
      </c>
      <c r="H9" s="11"/>
      <c r="I9" s="11"/>
    </row>
    <row r="10" spans="1:10" ht="18" customHeight="1">
      <c r="A10" s="24" t="s">
        <v>1053</v>
      </c>
      <c r="B10" s="24" t="s">
        <v>975</v>
      </c>
      <c r="C10" s="19" t="s">
        <v>28</v>
      </c>
      <c r="D10" s="19" t="s">
        <v>28</v>
      </c>
      <c r="E10" s="19" t="s">
        <v>28</v>
      </c>
      <c r="F10" s="19" t="s">
        <v>17</v>
      </c>
      <c r="G10" s="19" t="s">
        <v>28</v>
      </c>
      <c r="H10" s="11"/>
      <c r="I10" s="11"/>
    </row>
    <row r="11" spans="1:10" ht="18" customHeight="1">
      <c r="A11" s="24" t="s">
        <v>1059</v>
      </c>
      <c r="B11" s="24" t="s">
        <v>1060</v>
      </c>
      <c r="C11" s="19" t="s">
        <v>1574</v>
      </c>
      <c r="D11" s="19" t="s">
        <v>1574</v>
      </c>
      <c r="E11" s="19" t="s">
        <v>1562</v>
      </c>
      <c r="F11" s="19" t="s">
        <v>18</v>
      </c>
      <c r="G11" s="19" t="s">
        <v>1562</v>
      </c>
      <c r="H11" s="11" t="s">
        <v>3917</v>
      </c>
      <c r="J11" s="11"/>
    </row>
    <row r="12" spans="1:10" ht="18" customHeight="1">
      <c r="A12" s="24" t="s">
        <v>1064</v>
      </c>
      <c r="B12" s="129" t="s">
        <v>1017</v>
      </c>
      <c r="C12" s="19" t="s">
        <v>21</v>
      </c>
      <c r="D12" s="19" t="s">
        <v>1567</v>
      </c>
      <c r="E12" s="19" t="s">
        <v>1562</v>
      </c>
      <c r="F12" s="19" t="s">
        <v>28</v>
      </c>
      <c r="G12" s="19" t="s">
        <v>21</v>
      </c>
      <c r="H12" s="11" t="s">
        <v>3918</v>
      </c>
      <c r="I12" s="11"/>
    </row>
    <row r="13" spans="1:10" ht="18" customHeight="1">
      <c r="A13" s="24" t="s">
        <v>1069</v>
      </c>
      <c r="B13" s="129" t="s">
        <v>1017</v>
      </c>
      <c r="C13" s="19" t="s">
        <v>18</v>
      </c>
      <c r="D13" s="19" t="s">
        <v>1562</v>
      </c>
      <c r="E13" s="19" t="s">
        <v>1562</v>
      </c>
      <c r="F13" s="19" t="s">
        <v>21</v>
      </c>
      <c r="G13" s="19" t="s">
        <v>1567</v>
      </c>
      <c r="H13" s="11" t="s">
        <v>3919</v>
      </c>
      <c r="I13" s="11"/>
    </row>
    <row r="14" spans="1:10" ht="18" customHeight="1">
      <c r="A14" s="24" t="s">
        <v>1080</v>
      </c>
      <c r="B14" s="24" t="s">
        <v>923</v>
      </c>
      <c r="C14" s="19" t="s">
        <v>18</v>
      </c>
      <c r="D14" s="19" t="s">
        <v>18</v>
      </c>
      <c r="E14" s="19" t="s">
        <v>18</v>
      </c>
      <c r="F14" s="19" t="s">
        <v>28</v>
      </c>
      <c r="G14" s="19" t="s">
        <v>21</v>
      </c>
      <c r="H14" s="11" t="s">
        <v>3920</v>
      </c>
      <c r="I14" s="11"/>
    </row>
    <row r="15" spans="1:10" ht="18" customHeight="1">
      <c r="A15" s="24" t="s">
        <v>3921</v>
      </c>
      <c r="B15" s="24" t="s">
        <v>1076</v>
      </c>
      <c r="C15" s="19" t="s">
        <v>18</v>
      </c>
      <c r="D15" s="19" t="s">
        <v>21</v>
      </c>
      <c r="E15" s="19" t="s">
        <v>1562</v>
      </c>
      <c r="F15" s="19" t="s">
        <v>21</v>
      </c>
      <c r="G15" s="19" t="s">
        <v>1567</v>
      </c>
      <c r="H15" s="11"/>
      <c r="I15" s="11"/>
    </row>
    <row r="16" spans="1:10" ht="18" customHeight="1">
      <c r="A16" s="24" t="s">
        <v>1086</v>
      </c>
      <c r="B16" s="24" t="s">
        <v>918</v>
      </c>
      <c r="C16" s="19" t="s">
        <v>18</v>
      </c>
      <c r="D16" s="19" t="s">
        <v>18</v>
      </c>
      <c r="E16" s="19" t="s">
        <v>1562</v>
      </c>
      <c r="F16" s="19" t="s">
        <v>1567</v>
      </c>
      <c r="G16" s="19" t="s">
        <v>18</v>
      </c>
      <c r="H16" s="11" t="s">
        <v>3922</v>
      </c>
      <c r="I16" s="11"/>
    </row>
    <row r="17" spans="1:9" ht="18" customHeight="1">
      <c r="A17" s="24" t="s">
        <v>1092</v>
      </c>
      <c r="B17" s="24" t="s">
        <v>151</v>
      </c>
      <c r="C17" s="19" t="s">
        <v>21</v>
      </c>
      <c r="D17" s="19" t="s">
        <v>21</v>
      </c>
      <c r="E17" s="19" t="s">
        <v>21</v>
      </c>
      <c r="F17" s="19" t="s">
        <v>21</v>
      </c>
      <c r="G17" s="19" t="s">
        <v>21</v>
      </c>
      <c r="H17" s="11"/>
      <c r="I17" s="11"/>
    </row>
    <row r="18" spans="1:9" ht="18" customHeight="1">
      <c r="A18" s="24" t="s">
        <v>1098</v>
      </c>
      <c r="B18" s="24" t="s">
        <v>1099</v>
      </c>
      <c r="C18" s="19" t="s">
        <v>1567</v>
      </c>
      <c r="D18" s="19" t="s">
        <v>18</v>
      </c>
      <c r="E18" s="19" t="s">
        <v>1562</v>
      </c>
      <c r="F18" s="19" t="s">
        <v>21</v>
      </c>
      <c r="G18" s="19" t="s">
        <v>18</v>
      </c>
      <c r="H18" s="11"/>
      <c r="I18" s="11"/>
    </row>
    <row r="19" spans="1:9" ht="18" customHeight="1">
      <c r="A19" s="24" t="s">
        <v>1103</v>
      </c>
      <c r="B19" s="24" t="s">
        <v>1104</v>
      </c>
      <c r="C19" s="19" t="s">
        <v>1574</v>
      </c>
      <c r="D19" s="19" t="s">
        <v>1574</v>
      </c>
      <c r="E19" s="19" t="s">
        <v>1574</v>
      </c>
      <c r="F19" s="19" t="s">
        <v>1562</v>
      </c>
      <c r="G19" s="19" t="s">
        <v>18</v>
      </c>
      <c r="H19" s="11" t="s">
        <v>3923</v>
      </c>
      <c r="I19" s="11" t="s">
        <v>3924</v>
      </c>
    </row>
    <row r="20" spans="1:9" ht="18" customHeight="1">
      <c r="A20" s="24" t="s">
        <v>1108</v>
      </c>
      <c r="B20" s="24" t="s">
        <v>970</v>
      </c>
      <c r="C20" s="19" t="s">
        <v>21</v>
      </c>
      <c r="D20" s="19" t="s">
        <v>21</v>
      </c>
      <c r="E20" s="19" t="s">
        <v>18</v>
      </c>
      <c r="F20" s="19" t="s">
        <v>28</v>
      </c>
      <c r="G20" s="19" t="s">
        <v>1567</v>
      </c>
      <c r="H20" s="11"/>
      <c r="I20" s="11"/>
    </row>
    <row r="21" spans="1:9" ht="18" customHeight="1">
      <c r="A21" s="24" t="s">
        <v>1111</v>
      </c>
      <c r="B21" s="24" t="s">
        <v>1112</v>
      </c>
      <c r="C21" s="19" t="s">
        <v>21</v>
      </c>
      <c r="D21" s="19" t="s">
        <v>18</v>
      </c>
      <c r="E21" s="19" t="s">
        <v>1562</v>
      </c>
      <c r="F21" s="19" t="s">
        <v>21</v>
      </c>
      <c r="G21" s="19" t="s">
        <v>1567</v>
      </c>
      <c r="H21" s="11"/>
      <c r="I21" s="11"/>
    </row>
    <row r="22" spans="1:9" ht="18" customHeight="1">
      <c r="A22" s="24" t="s">
        <v>1118</v>
      </c>
      <c r="B22" s="24" t="s">
        <v>1119</v>
      </c>
      <c r="C22" s="19" t="s">
        <v>1562</v>
      </c>
      <c r="D22" s="19" t="s">
        <v>1562</v>
      </c>
      <c r="E22" s="19" t="s">
        <v>1661</v>
      </c>
      <c r="F22" s="19" t="s">
        <v>1567</v>
      </c>
      <c r="G22" s="19" t="s">
        <v>1562</v>
      </c>
      <c r="H22" s="11" t="s">
        <v>3925</v>
      </c>
      <c r="I22" s="11"/>
    </row>
    <row r="23" spans="1:9" ht="18" customHeight="1">
      <c r="A23" s="24" t="s">
        <v>1123</v>
      </c>
      <c r="B23" s="24" t="s">
        <v>1124</v>
      </c>
      <c r="C23" s="19" t="s">
        <v>18</v>
      </c>
      <c r="D23" s="19" t="s">
        <v>1567</v>
      </c>
      <c r="E23" s="19" t="s">
        <v>1567</v>
      </c>
      <c r="F23" s="19" t="s">
        <v>21</v>
      </c>
      <c r="G23" s="19" t="s">
        <v>1567</v>
      </c>
      <c r="H23" s="11" t="s">
        <v>3926</v>
      </c>
      <c r="I23" s="11"/>
    </row>
    <row r="24" spans="1:9" ht="18" customHeight="1">
      <c r="A24" s="24" t="s">
        <v>1130</v>
      </c>
      <c r="B24" s="24" t="s">
        <v>1131</v>
      </c>
      <c r="C24" s="19" t="s">
        <v>28</v>
      </c>
      <c r="D24" s="19" t="s">
        <v>21</v>
      </c>
      <c r="E24" s="19" t="s">
        <v>1562</v>
      </c>
      <c r="F24" s="19" t="s">
        <v>28</v>
      </c>
      <c r="G24" s="19" t="s">
        <v>21</v>
      </c>
      <c r="H24" s="11" t="s">
        <v>3927</v>
      </c>
      <c r="I24" s="11"/>
    </row>
    <row r="25" spans="1:9" ht="18" customHeight="1">
      <c r="A25" s="24" t="s">
        <v>1137</v>
      </c>
      <c r="B25" s="24" t="s">
        <v>1138</v>
      </c>
      <c r="C25" s="19" t="s">
        <v>1574</v>
      </c>
      <c r="D25" s="19" t="s">
        <v>1661</v>
      </c>
      <c r="E25" s="19" t="s">
        <v>16</v>
      </c>
      <c r="F25" s="19" t="s">
        <v>1562</v>
      </c>
      <c r="G25" s="19" t="s">
        <v>1562</v>
      </c>
      <c r="H25" s="11"/>
      <c r="I25" s="11"/>
    </row>
    <row r="26" spans="1:9" ht="18" customHeight="1">
      <c r="A26" s="24" t="s">
        <v>1144</v>
      </c>
      <c r="B26" s="24" t="s">
        <v>1145</v>
      </c>
      <c r="C26" s="19" t="s">
        <v>1562</v>
      </c>
      <c r="D26" s="19" t="s">
        <v>18</v>
      </c>
      <c r="E26" s="19" t="s">
        <v>1562</v>
      </c>
      <c r="F26" s="19" t="s">
        <v>21</v>
      </c>
      <c r="G26" s="19" t="s">
        <v>18</v>
      </c>
      <c r="H26" s="11"/>
      <c r="I26" s="11"/>
    </row>
    <row r="27" spans="1:9" ht="18" customHeight="1">
      <c r="A27" s="24" t="s">
        <v>1149</v>
      </c>
      <c r="B27" s="24" t="s">
        <v>918</v>
      </c>
      <c r="C27" s="19" t="s">
        <v>28</v>
      </c>
      <c r="D27" s="19" t="s">
        <v>18</v>
      </c>
      <c r="E27" s="19" t="s">
        <v>18</v>
      </c>
      <c r="F27" s="19" t="s">
        <v>28</v>
      </c>
      <c r="G27" s="19" t="s">
        <v>21</v>
      </c>
      <c r="H27" s="11" t="s">
        <v>3928</v>
      </c>
      <c r="I27" s="11"/>
    </row>
    <row r="28" spans="1:9" ht="18" customHeight="1">
      <c r="A28" s="24" t="s">
        <v>1155</v>
      </c>
      <c r="B28" s="24" t="s">
        <v>942</v>
      </c>
      <c r="C28" s="19" t="s">
        <v>28</v>
      </c>
      <c r="D28" s="19" t="s">
        <v>21</v>
      </c>
      <c r="E28" s="19" t="s">
        <v>28</v>
      </c>
      <c r="F28" s="19" t="s">
        <v>28</v>
      </c>
      <c r="G28" s="19" t="s">
        <v>28</v>
      </c>
      <c r="H28" s="11" t="s">
        <v>3929</v>
      </c>
      <c r="I28" s="11"/>
    </row>
    <row r="29" spans="1:9" ht="18" customHeight="1">
      <c r="A29" s="24" t="s">
        <v>1159</v>
      </c>
      <c r="B29" s="24" t="s">
        <v>159</v>
      </c>
      <c r="C29" s="19" t="s">
        <v>28</v>
      </c>
      <c r="D29" s="19" t="s">
        <v>28</v>
      </c>
      <c r="E29" s="19" t="s">
        <v>21</v>
      </c>
      <c r="F29" s="19" t="s">
        <v>21</v>
      </c>
      <c r="G29" s="19" t="s">
        <v>28</v>
      </c>
      <c r="H29" s="11"/>
      <c r="I29" s="11"/>
    </row>
    <row r="30" spans="1:9" ht="18" customHeight="1">
      <c r="A30" s="24" t="s">
        <v>1165</v>
      </c>
      <c r="B30" s="24" t="s">
        <v>288</v>
      </c>
      <c r="C30" s="19" t="s">
        <v>1567</v>
      </c>
      <c r="D30" s="19" t="s">
        <v>1562</v>
      </c>
      <c r="E30" s="19" t="s">
        <v>1562</v>
      </c>
      <c r="F30" s="19" t="s">
        <v>21</v>
      </c>
      <c r="G30" s="19" t="s">
        <v>18</v>
      </c>
      <c r="H30" s="11" t="s">
        <v>3930</v>
      </c>
      <c r="I30" s="11"/>
    </row>
    <row r="31" spans="1:9" ht="18" customHeight="1">
      <c r="A31" s="24" t="s">
        <v>1169</v>
      </c>
      <c r="B31" s="24" t="s">
        <v>933</v>
      </c>
      <c r="C31" s="19" t="s">
        <v>21</v>
      </c>
      <c r="D31" s="19" t="s">
        <v>1567</v>
      </c>
      <c r="E31" s="19" t="s">
        <v>1562</v>
      </c>
      <c r="F31" s="19" t="s">
        <v>21</v>
      </c>
      <c r="G31" s="19" t="s">
        <v>1567</v>
      </c>
      <c r="H31" s="11" t="s">
        <v>3928</v>
      </c>
      <c r="I31" s="11"/>
    </row>
    <row r="32" spans="1:9" ht="18" customHeight="1">
      <c r="A32" s="24" t="s">
        <v>1175</v>
      </c>
      <c r="B32" s="24" t="s">
        <v>875</v>
      </c>
      <c r="C32" s="19" t="s">
        <v>21</v>
      </c>
      <c r="D32" s="19" t="s">
        <v>21</v>
      </c>
      <c r="E32" s="19" t="s">
        <v>18</v>
      </c>
      <c r="F32" s="19" t="s">
        <v>28</v>
      </c>
      <c r="G32" s="19" t="s">
        <v>22</v>
      </c>
      <c r="H32" s="11" t="s">
        <v>3931</v>
      </c>
      <c r="I32" s="11"/>
    </row>
    <row r="33" spans="1:9" ht="18" customHeight="1">
      <c r="A33" s="24" t="s">
        <v>1181</v>
      </c>
      <c r="B33" s="24" t="s">
        <v>1182</v>
      </c>
      <c r="C33" s="19" t="s">
        <v>28</v>
      </c>
      <c r="D33" s="19" t="s">
        <v>18</v>
      </c>
      <c r="E33" s="19" t="s">
        <v>18</v>
      </c>
      <c r="F33" s="19" t="s">
        <v>28</v>
      </c>
      <c r="G33" s="19" t="s">
        <v>22</v>
      </c>
      <c r="H33" s="11"/>
      <c r="I33" s="11"/>
    </row>
    <row r="34" spans="1:9" ht="18" customHeight="1">
      <c r="A34" s="24" t="s">
        <v>1188</v>
      </c>
      <c r="B34" s="24" t="s">
        <v>911</v>
      </c>
      <c r="C34" s="19" t="s">
        <v>28</v>
      </c>
      <c r="D34" s="19" t="s">
        <v>28</v>
      </c>
      <c r="E34" s="19" t="s">
        <v>21</v>
      </c>
      <c r="F34" s="19" t="s">
        <v>21</v>
      </c>
      <c r="G34" s="19" t="s">
        <v>28</v>
      </c>
      <c r="H34" s="11"/>
      <c r="I34" s="11"/>
    </row>
    <row r="35" spans="1:9" ht="18" customHeight="1">
      <c r="A35" s="24" t="s">
        <v>1192</v>
      </c>
      <c r="B35" s="24" t="s">
        <v>1193</v>
      </c>
      <c r="C35" s="19" t="s">
        <v>1562</v>
      </c>
      <c r="D35" s="19" t="s">
        <v>1562</v>
      </c>
      <c r="E35" s="19" t="s">
        <v>1562</v>
      </c>
      <c r="F35" s="19" t="s">
        <v>18</v>
      </c>
      <c r="G35" s="19" t="s">
        <v>1562</v>
      </c>
      <c r="H35" s="11"/>
      <c r="I35" s="11"/>
    </row>
    <row r="36" spans="1:9" ht="18" customHeight="1">
      <c r="A36" s="24" t="s">
        <v>1197</v>
      </c>
      <c r="B36" s="24" t="s">
        <v>1198</v>
      </c>
      <c r="C36" s="19" t="s">
        <v>1562</v>
      </c>
      <c r="D36" s="19" t="s">
        <v>1562</v>
      </c>
      <c r="E36" s="19" t="s">
        <v>1574</v>
      </c>
      <c r="F36" s="19" t="s">
        <v>18</v>
      </c>
      <c r="G36" s="19" t="s">
        <v>1562</v>
      </c>
      <c r="H36" s="11"/>
      <c r="I36" s="11"/>
    </row>
    <row r="37" spans="1:9" ht="18" customHeight="1">
      <c r="A37" s="24" t="s">
        <v>1202</v>
      </c>
      <c r="B37" s="24" t="s">
        <v>869</v>
      </c>
      <c r="C37" s="19" t="s">
        <v>18</v>
      </c>
      <c r="D37" s="19" t="s">
        <v>1562</v>
      </c>
      <c r="E37" s="19" t="s">
        <v>1562</v>
      </c>
      <c r="F37" s="19" t="s">
        <v>1567</v>
      </c>
      <c r="G37" s="19" t="s">
        <v>1567</v>
      </c>
      <c r="H37" s="11"/>
      <c r="I37" s="11"/>
    </row>
    <row r="38" spans="1:9" ht="18" customHeight="1">
      <c r="A38" s="24" t="s">
        <v>1208</v>
      </c>
      <c r="B38" s="24" t="s">
        <v>1012</v>
      </c>
      <c r="C38" s="19" t="s">
        <v>17</v>
      </c>
      <c r="D38" s="19" t="s">
        <v>17</v>
      </c>
      <c r="E38" s="19" t="s">
        <v>28</v>
      </c>
      <c r="F38" s="19" t="s">
        <v>17</v>
      </c>
      <c r="G38" s="19" t="s">
        <v>17</v>
      </c>
      <c r="H38" s="11" t="s">
        <v>3932</v>
      </c>
      <c r="I38" s="11"/>
    </row>
    <row r="39" spans="1:9" ht="18" customHeight="1">
      <c r="A39" s="24" t="s">
        <v>1214</v>
      </c>
      <c r="B39" s="24" t="s">
        <v>108</v>
      </c>
      <c r="C39" s="19"/>
      <c r="D39" s="19"/>
      <c r="E39" s="19"/>
      <c r="F39" s="19"/>
      <c r="G39" s="19"/>
      <c r="H39" s="11"/>
      <c r="I39" s="11"/>
    </row>
    <row r="40" spans="1:9" ht="18" customHeight="1">
      <c r="A40" s="24" t="s">
        <v>1217</v>
      </c>
      <c r="B40" s="24" t="s">
        <v>1218</v>
      </c>
      <c r="C40" s="19" t="s">
        <v>1567</v>
      </c>
      <c r="D40" s="19" t="s">
        <v>18</v>
      </c>
      <c r="E40" s="19" t="s">
        <v>1562</v>
      </c>
      <c r="F40" s="19" t="s">
        <v>1567</v>
      </c>
      <c r="G40" s="19" t="s">
        <v>18</v>
      </c>
      <c r="H40" s="11" t="s">
        <v>3933</v>
      </c>
      <c r="I40" s="11"/>
    </row>
    <row r="41" spans="1:9" ht="18" customHeight="1">
      <c r="A41" s="24" t="s">
        <v>1223</v>
      </c>
      <c r="B41" s="24" t="s">
        <v>1224</v>
      </c>
      <c r="C41" s="19" t="s">
        <v>1562</v>
      </c>
      <c r="D41" s="19" t="s">
        <v>1574</v>
      </c>
      <c r="E41" s="19" t="s">
        <v>1562</v>
      </c>
      <c r="F41" s="19" t="s">
        <v>18</v>
      </c>
      <c r="G41" s="19" t="s">
        <v>18</v>
      </c>
      <c r="H41" s="11"/>
      <c r="I41" s="11"/>
    </row>
    <row r="42" spans="1:9" ht="18" customHeight="1">
      <c r="A42" s="24" t="s">
        <v>1230</v>
      </c>
      <c r="B42" s="24" t="s">
        <v>1231</v>
      </c>
      <c r="C42" s="19" t="s">
        <v>28</v>
      </c>
      <c r="D42" s="19" t="s">
        <v>1567</v>
      </c>
      <c r="E42" s="19" t="s">
        <v>21</v>
      </c>
      <c r="F42" s="19" t="s">
        <v>28</v>
      </c>
      <c r="G42" s="19" t="s">
        <v>21</v>
      </c>
      <c r="H42" s="11" t="s">
        <v>3934</v>
      </c>
      <c r="I42" s="11" t="s">
        <v>3935</v>
      </c>
    </row>
    <row r="43" spans="1:9">
      <c r="A43" s="24" t="s">
        <v>1237</v>
      </c>
      <c r="B43" s="24" t="s">
        <v>1238</v>
      </c>
      <c r="C43" s="19" t="s">
        <v>18</v>
      </c>
      <c r="D43" s="19" t="s">
        <v>21</v>
      </c>
      <c r="E43" s="19" t="s">
        <v>1562</v>
      </c>
      <c r="F43" s="19" t="s">
        <v>21</v>
      </c>
      <c r="G43" s="19" t="s">
        <v>1567</v>
      </c>
      <c r="H43" s="11" t="s">
        <v>3936</v>
      </c>
      <c r="I43" s="11"/>
    </row>
    <row r="44" spans="1:9">
      <c r="A44" s="24" t="s">
        <v>1241</v>
      </c>
      <c r="B44" s="24" t="s">
        <v>1242</v>
      </c>
      <c r="C44" s="19" t="s">
        <v>21</v>
      </c>
      <c r="D44" s="19" t="s">
        <v>21</v>
      </c>
      <c r="E44" s="19" t="s">
        <v>1567</v>
      </c>
      <c r="F44" s="19" t="s">
        <v>21</v>
      </c>
      <c r="G44" s="19" t="s">
        <v>21</v>
      </c>
      <c r="H44" s="11" t="s">
        <v>3937</v>
      </c>
      <c r="I44" s="11"/>
    </row>
    <row r="45" spans="1:9">
      <c r="A45" s="24" t="s">
        <v>1245</v>
      </c>
      <c r="B45" s="24" t="s">
        <v>1246</v>
      </c>
      <c r="C45" s="19" t="s">
        <v>28</v>
      </c>
      <c r="D45" s="19" t="s">
        <v>21</v>
      </c>
      <c r="E45" s="19" t="s">
        <v>21</v>
      </c>
      <c r="F45" s="19" t="s">
        <v>21</v>
      </c>
      <c r="G45" s="19" t="s">
        <v>28</v>
      </c>
      <c r="H45" s="11"/>
      <c r="I45" s="11"/>
    </row>
    <row r="46" spans="1:9">
      <c r="A46" s="24" t="s">
        <v>1249</v>
      </c>
      <c r="B46" s="24" t="s">
        <v>1250</v>
      </c>
      <c r="C46" s="19" t="s">
        <v>21</v>
      </c>
      <c r="D46" s="19" t="s">
        <v>1567</v>
      </c>
      <c r="E46" s="19" t="s">
        <v>1567</v>
      </c>
      <c r="F46" s="19" t="s">
        <v>28</v>
      </c>
      <c r="G46" s="19" t="s">
        <v>21</v>
      </c>
      <c r="H46" s="11" t="s">
        <v>3938</v>
      </c>
      <c r="I46" s="11"/>
    </row>
    <row r="47" spans="1:9">
      <c r="A47" s="24"/>
      <c r="B47" s="24"/>
      <c r="C47" s="24"/>
      <c r="D47" s="24"/>
      <c r="E47" s="24"/>
      <c r="F47" s="24"/>
      <c r="G47" s="24"/>
      <c r="H47" s="24"/>
      <c r="I47" s="24"/>
    </row>
    <row r="48" spans="1:9">
      <c r="A48" s="24"/>
      <c r="B48" s="24"/>
      <c r="C48" s="24"/>
      <c r="D48" s="24"/>
      <c r="E48" s="24"/>
      <c r="F48" s="24"/>
      <c r="G48" s="24"/>
      <c r="H48" s="24"/>
      <c r="I48" s="24"/>
    </row>
    <row r="49" spans="1:9">
      <c r="A49" s="24"/>
      <c r="B49" s="24"/>
      <c r="C49" s="24"/>
      <c r="D49" s="24"/>
      <c r="E49" s="24"/>
      <c r="F49" s="24"/>
      <c r="G49" s="24"/>
      <c r="H49" s="24"/>
      <c r="I49" s="24"/>
    </row>
    <row r="50" spans="1:9">
      <c r="A50" s="24"/>
      <c r="B50" s="24"/>
      <c r="C50" s="24"/>
      <c r="D50" s="24"/>
      <c r="E50" s="24"/>
      <c r="F50" s="24"/>
      <c r="G50" s="24"/>
      <c r="H50" s="24"/>
      <c r="I50" s="24"/>
    </row>
    <row r="51" spans="1:9">
      <c r="A51" s="24"/>
      <c r="B51" s="24"/>
      <c r="C51" s="24"/>
      <c r="D51" s="24"/>
      <c r="E51" s="24"/>
      <c r="F51" s="24"/>
      <c r="G51" s="24"/>
      <c r="H51" s="24"/>
      <c r="I51" s="24"/>
    </row>
    <row r="52" spans="1:9">
      <c r="A52" s="24"/>
      <c r="B52" s="24"/>
      <c r="C52" s="24"/>
      <c r="D52" s="24"/>
      <c r="E52" s="24"/>
      <c r="F52" s="24"/>
      <c r="G52" s="24"/>
      <c r="H52" s="24"/>
      <c r="I52" s="24"/>
    </row>
    <row r="53" spans="1:9">
      <c r="A53" s="24"/>
      <c r="B53" s="24"/>
      <c r="C53" s="24"/>
      <c r="D53" s="24"/>
      <c r="E53" s="24"/>
      <c r="F53" s="24"/>
      <c r="G53" s="24"/>
      <c r="H53" s="24"/>
      <c r="I53" s="24"/>
    </row>
    <row r="54" spans="1:9">
      <c r="A54" s="24"/>
      <c r="B54" s="24"/>
      <c r="C54" s="24"/>
      <c r="D54" s="24"/>
      <c r="E54" s="24"/>
      <c r="F54" s="24"/>
      <c r="G54" s="24"/>
      <c r="H54" s="24"/>
      <c r="I54" s="24"/>
    </row>
    <row r="55" spans="1:9">
      <c r="A55" s="24"/>
      <c r="B55" s="24"/>
      <c r="C55" s="24"/>
      <c r="D55" s="24"/>
      <c r="E55" s="24"/>
      <c r="F55" s="24"/>
      <c r="G55" s="24"/>
      <c r="H55" s="24"/>
      <c r="I55" s="24"/>
    </row>
    <row r="56" spans="1:9">
      <c r="A56" s="24"/>
      <c r="B56" s="24"/>
      <c r="C56" s="24"/>
      <c r="D56" s="24"/>
      <c r="E56" s="24"/>
      <c r="F56" s="24"/>
      <c r="G56" s="24"/>
      <c r="H56" s="24"/>
      <c r="I56" s="24"/>
    </row>
    <row r="57" spans="1:9">
      <c r="A57" s="24"/>
      <c r="B57" s="24"/>
      <c r="C57" s="24"/>
      <c r="D57" s="24"/>
      <c r="E57" s="24"/>
      <c r="F57" s="24"/>
      <c r="G57" s="24"/>
      <c r="H57" s="24"/>
      <c r="I57" s="24"/>
    </row>
    <row r="58" spans="1:9">
      <c r="A58" s="24"/>
      <c r="B58" s="24"/>
      <c r="C58" s="24"/>
      <c r="D58" s="24"/>
      <c r="E58" s="24"/>
      <c r="F58" s="24"/>
      <c r="G58" s="24"/>
      <c r="H58" s="24"/>
      <c r="I58" s="24"/>
    </row>
    <row r="59" spans="1:9">
      <c r="A59" s="24"/>
      <c r="B59" s="24"/>
      <c r="C59" s="24"/>
      <c r="D59" s="24"/>
      <c r="E59" s="24"/>
      <c r="F59" s="24"/>
      <c r="G59" s="24"/>
      <c r="H59" s="24"/>
      <c r="I59" s="24"/>
    </row>
    <row r="60" spans="1:9">
      <c r="A60" s="24"/>
      <c r="B60" s="24"/>
      <c r="C60" s="24"/>
      <c r="D60" s="24"/>
      <c r="E60" s="24"/>
      <c r="F60" s="24"/>
      <c r="G60" s="24"/>
      <c r="H60" s="24"/>
      <c r="I60" s="24"/>
    </row>
    <row r="61" spans="1:9">
      <c r="A61" s="24"/>
      <c r="B61" s="24"/>
      <c r="C61" s="24"/>
      <c r="D61" s="24"/>
      <c r="E61" s="24"/>
      <c r="F61" s="24"/>
      <c r="G61" s="24"/>
      <c r="H61" s="24"/>
      <c r="I61" s="24"/>
    </row>
    <row r="62" spans="1:9">
      <c r="A62" s="24"/>
      <c r="B62" s="24"/>
      <c r="C62" s="24"/>
      <c r="D62" s="24"/>
      <c r="E62" s="24"/>
      <c r="F62" s="24"/>
      <c r="G62" s="24"/>
      <c r="H62" s="24"/>
      <c r="I62" s="24"/>
    </row>
    <row r="63" spans="1:9">
      <c r="A63" s="24"/>
      <c r="B63" s="24"/>
      <c r="C63" s="24"/>
      <c r="D63" s="24"/>
      <c r="E63" s="24"/>
      <c r="F63" s="24"/>
      <c r="G63" s="24"/>
      <c r="H63" s="24"/>
      <c r="I63" s="24"/>
    </row>
    <row r="64" spans="1:9">
      <c r="A64" s="24"/>
      <c r="B64" s="24"/>
      <c r="C64" s="24"/>
      <c r="D64" s="24"/>
      <c r="E64" s="24"/>
      <c r="F64" s="24"/>
      <c r="G64" s="24"/>
      <c r="H64" s="24"/>
      <c r="I64" s="24"/>
    </row>
    <row r="65" spans="1:9">
      <c r="A65" s="24"/>
      <c r="B65" s="24"/>
      <c r="C65" s="24"/>
      <c r="D65" s="24"/>
      <c r="E65" s="24"/>
      <c r="F65" s="24"/>
      <c r="G65" s="24"/>
      <c r="H65" s="24"/>
      <c r="I65" s="24"/>
    </row>
    <row r="66" spans="1:9">
      <c r="A66" s="24"/>
      <c r="B66" s="24"/>
      <c r="C66" s="24"/>
      <c r="D66" s="24"/>
      <c r="E66" s="24"/>
      <c r="F66" s="24"/>
      <c r="G66" s="24"/>
      <c r="H66" s="24"/>
      <c r="I66" s="24"/>
    </row>
    <row r="67" spans="1:9">
      <c r="A67" s="24"/>
      <c r="B67" s="24"/>
      <c r="C67" s="24"/>
      <c r="D67" s="24"/>
      <c r="E67" s="24"/>
      <c r="F67" s="24"/>
      <c r="G67" s="24"/>
      <c r="H67" s="24"/>
      <c r="I67" s="24"/>
    </row>
    <row r="68" spans="1:9">
      <c r="A68" s="24"/>
      <c r="B68" s="24"/>
      <c r="C68" s="24"/>
      <c r="D68" s="24"/>
      <c r="E68" s="24"/>
      <c r="F68" s="24"/>
      <c r="G68" s="24"/>
      <c r="H68" s="24"/>
      <c r="I68" s="24"/>
    </row>
    <row r="69" spans="1:9">
      <c r="A69" s="24"/>
      <c r="B69" s="24"/>
      <c r="C69" s="24"/>
      <c r="D69" s="24"/>
      <c r="E69" s="24"/>
      <c r="F69" s="24"/>
      <c r="G69" s="24"/>
      <c r="H69" s="24"/>
      <c r="I69" s="24"/>
    </row>
    <row r="70" spans="1:9">
      <c r="A70" s="24"/>
      <c r="B70" s="24"/>
      <c r="C70" s="24"/>
      <c r="D70" s="24"/>
      <c r="E70" s="24"/>
      <c r="F70" s="24"/>
      <c r="G70" s="24"/>
      <c r="H70" s="24"/>
      <c r="I70" s="24"/>
    </row>
    <row r="71" spans="1:9">
      <c r="A71" s="24"/>
      <c r="B71" s="24"/>
      <c r="C71" s="24"/>
      <c r="D71" s="24"/>
      <c r="E71" s="24"/>
      <c r="F71" s="24"/>
      <c r="G71" s="24"/>
      <c r="H71" s="24"/>
      <c r="I71" s="24"/>
    </row>
    <row r="72" spans="1:9">
      <c r="A72" s="24"/>
      <c r="B72" s="24"/>
      <c r="C72" s="24"/>
      <c r="D72" s="24"/>
      <c r="E72" s="24"/>
      <c r="F72" s="24"/>
      <c r="G72" s="24"/>
      <c r="H72" s="24"/>
      <c r="I72" s="24"/>
    </row>
    <row r="73" spans="1:9">
      <c r="A73" s="24"/>
      <c r="B73" s="24"/>
      <c r="C73" s="24"/>
      <c r="D73" s="24"/>
      <c r="E73" s="24"/>
      <c r="F73" s="24"/>
      <c r="G73" s="24"/>
      <c r="H73" s="24"/>
      <c r="I73" s="24"/>
    </row>
    <row r="74" spans="1:9">
      <c r="A74" s="24"/>
      <c r="B74" s="24"/>
      <c r="C74" s="24"/>
      <c r="D74" s="24"/>
      <c r="E74" s="24"/>
      <c r="F74" s="24"/>
      <c r="G74" s="24"/>
      <c r="H74" s="24"/>
      <c r="I74" s="24"/>
    </row>
    <row r="75" spans="1:9">
      <c r="A75" s="24"/>
      <c r="B75" s="24"/>
      <c r="C75" s="24"/>
      <c r="D75" s="24"/>
      <c r="E75" s="24"/>
      <c r="F75" s="24"/>
      <c r="G75" s="24"/>
      <c r="H75" s="24"/>
      <c r="I75" s="24"/>
    </row>
    <row r="76" spans="1:9">
      <c r="A76" s="24"/>
      <c r="B76" s="24"/>
      <c r="C76" s="24"/>
      <c r="D76" s="24"/>
      <c r="E76" s="24"/>
      <c r="F76" s="24"/>
      <c r="G76" s="24"/>
      <c r="H76" s="24"/>
      <c r="I76" s="24"/>
    </row>
    <row r="77" spans="1:9">
      <c r="A77" s="24"/>
      <c r="B77" s="24"/>
      <c r="C77" s="24"/>
      <c r="D77" s="24"/>
      <c r="E77" s="24"/>
      <c r="F77" s="24"/>
      <c r="G77" s="24"/>
      <c r="H77" s="24"/>
      <c r="I77" s="24"/>
    </row>
    <row r="78" spans="1:9">
      <c r="A78" s="24"/>
      <c r="B78" s="24"/>
      <c r="C78" s="24"/>
      <c r="D78" s="24"/>
      <c r="E78" s="24"/>
      <c r="F78" s="24"/>
      <c r="G78" s="24"/>
      <c r="H78" s="24"/>
      <c r="I78" s="24"/>
    </row>
    <row r="79" spans="1:9">
      <c r="A79" s="24"/>
      <c r="B79" s="24"/>
      <c r="C79" s="24"/>
      <c r="D79" s="24"/>
      <c r="E79" s="24"/>
      <c r="F79" s="24"/>
      <c r="G79" s="24"/>
      <c r="H79" s="24"/>
      <c r="I79" s="24"/>
    </row>
    <row r="80" spans="1:9">
      <c r="A80" s="24"/>
      <c r="B80" s="24"/>
      <c r="C80" s="24"/>
      <c r="D80" s="24"/>
      <c r="E80" s="24"/>
      <c r="F80" s="24"/>
      <c r="G80" s="24"/>
      <c r="H80" s="24"/>
      <c r="I80" s="24"/>
    </row>
    <row r="81" spans="1:9">
      <c r="A81" s="24"/>
      <c r="B81" s="24"/>
      <c r="C81" s="24"/>
      <c r="D81" s="24"/>
      <c r="E81" s="24"/>
      <c r="F81" s="24"/>
      <c r="G81" s="24"/>
      <c r="H81" s="24"/>
      <c r="I81" s="24"/>
    </row>
    <row r="82" spans="1:9">
      <c r="A82" s="24"/>
      <c r="B82" s="24"/>
      <c r="C82" s="24"/>
      <c r="D82" s="24"/>
      <c r="E82" s="24"/>
      <c r="F82" s="24"/>
      <c r="G82" s="24"/>
      <c r="H82" s="24"/>
      <c r="I82" s="24"/>
    </row>
    <row r="83" spans="1:9">
      <c r="A83" s="24"/>
      <c r="B83" s="24"/>
      <c r="C83" s="24"/>
      <c r="D83" s="24"/>
      <c r="E83" s="24"/>
      <c r="F83" s="24"/>
      <c r="G83" s="24"/>
      <c r="H83" s="24"/>
      <c r="I83" s="24"/>
    </row>
    <row r="84" spans="1:9">
      <c r="A84" s="24"/>
      <c r="B84" s="24"/>
      <c r="C84" s="24"/>
      <c r="D84" s="24"/>
      <c r="E84" s="24"/>
      <c r="F84" s="24"/>
      <c r="G84" s="24"/>
      <c r="H84" s="24"/>
      <c r="I84" s="24"/>
    </row>
    <row r="85" spans="1:9">
      <c r="A85" s="24"/>
      <c r="B85" s="24"/>
      <c r="C85" s="24"/>
      <c r="D85" s="24"/>
      <c r="E85" s="24"/>
      <c r="F85" s="24"/>
      <c r="G85" s="24"/>
      <c r="H85" s="24"/>
      <c r="I85" s="24"/>
    </row>
    <row r="86" spans="1:9">
      <c r="A86" s="24"/>
      <c r="B86" s="24"/>
      <c r="C86" s="24"/>
      <c r="D86" s="24"/>
      <c r="E86" s="24"/>
      <c r="F86" s="24"/>
      <c r="G86" s="24"/>
      <c r="H86" s="24"/>
      <c r="I86" s="24"/>
    </row>
    <row r="87" spans="1:9">
      <c r="A87" s="24"/>
      <c r="B87" s="24"/>
      <c r="C87" s="24"/>
      <c r="D87" s="24"/>
      <c r="E87" s="24"/>
      <c r="F87" s="24"/>
      <c r="G87" s="24"/>
      <c r="H87" s="24"/>
      <c r="I87" s="24"/>
    </row>
    <row r="88" spans="1:9">
      <c r="A88" s="24"/>
      <c r="B88" s="24"/>
      <c r="C88" s="24"/>
      <c r="D88" s="24"/>
      <c r="E88" s="24"/>
      <c r="F88" s="24"/>
      <c r="G88" s="24"/>
      <c r="H88" s="24"/>
      <c r="I88" s="24"/>
    </row>
    <row r="89" spans="1:9">
      <c r="A89" s="24"/>
      <c r="B89" s="24"/>
      <c r="C89" s="24"/>
      <c r="D89" s="24"/>
      <c r="E89" s="24"/>
      <c r="F89" s="24"/>
      <c r="G89" s="24"/>
      <c r="H89" s="24"/>
      <c r="I89" s="24"/>
    </row>
    <row r="90" spans="1:9">
      <c r="A90" s="24"/>
      <c r="B90" s="24"/>
      <c r="C90" s="24"/>
      <c r="D90" s="24"/>
      <c r="E90" s="24"/>
      <c r="F90" s="24"/>
      <c r="G90" s="24"/>
      <c r="H90" s="24"/>
      <c r="I90" s="24"/>
    </row>
    <row r="91" spans="1:9">
      <c r="A91" s="24"/>
      <c r="B91" s="24"/>
      <c r="C91" s="24"/>
      <c r="D91" s="24"/>
      <c r="E91" s="24"/>
      <c r="F91" s="24"/>
      <c r="G91" s="24"/>
      <c r="H91" s="24"/>
      <c r="I91" s="24"/>
    </row>
    <row r="92" spans="1:9">
      <c r="A92" s="24"/>
      <c r="B92" s="24"/>
      <c r="C92" s="24"/>
      <c r="D92" s="24"/>
      <c r="E92" s="24"/>
      <c r="F92" s="24"/>
      <c r="G92" s="24"/>
      <c r="H92" s="24"/>
      <c r="I92" s="24"/>
    </row>
    <row r="93" spans="1:9">
      <c r="A93" s="24"/>
      <c r="B93" s="24"/>
      <c r="C93" s="24"/>
      <c r="D93" s="24"/>
      <c r="E93" s="24"/>
      <c r="F93" s="24"/>
      <c r="G93" s="24"/>
      <c r="H93" s="24"/>
      <c r="I93" s="24"/>
    </row>
    <row r="94" spans="1:9">
      <c r="A94" s="24"/>
      <c r="B94" s="24"/>
      <c r="C94" s="24"/>
      <c r="D94" s="24"/>
      <c r="E94" s="24"/>
      <c r="F94" s="24"/>
      <c r="G94" s="24"/>
      <c r="H94" s="24"/>
      <c r="I94" s="24"/>
    </row>
    <row r="95" spans="1:9">
      <c r="A95" s="24"/>
      <c r="B95" s="24"/>
      <c r="C95" s="24"/>
      <c r="D95" s="24"/>
      <c r="E95" s="24"/>
      <c r="F95" s="24"/>
      <c r="G95" s="24"/>
      <c r="H95" s="24"/>
      <c r="I95" s="24"/>
    </row>
    <row r="96" spans="1:9">
      <c r="A96" s="24"/>
      <c r="B96" s="24"/>
      <c r="C96" s="24"/>
      <c r="D96" s="24"/>
      <c r="E96" s="24"/>
      <c r="F96" s="24"/>
      <c r="G96" s="24"/>
      <c r="H96" s="24"/>
      <c r="I96" s="24"/>
    </row>
    <row r="97" spans="1:9">
      <c r="A97" s="24"/>
      <c r="B97" s="24"/>
      <c r="C97" s="24"/>
      <c r="D97" s="24"/>
      <c r="E97" s="24"/>
      <c r="F97" s="24"/>
      <c r="G97" s="24"/>
      <c r="H97" s="24"/>
      <c r="I97" s="24"/>
    </row>
    <row r="98" spans="1:9">
      <c r="A98" s="24"/>
      <c r="B98" s="24"/>
      <c r="C98" s="24"/>
      <c r="D98" s="24"/>
      <c r="E98" s="24"/>
      <c r="F98" s="24"/>
      <c r="G98" s="24"/>
      <c r="H98" s="24"/>
      <c r="I98" s="24"/>
    </row>
    <row r="99" spans="1:9">
      <c r="A99" s="24"/>
      <c r="B99" s="24"/>
      <c r="C99" s="24"/>
      <c r="D99" s="24"/>
      <c r="E99" s="24"/>
      <c r="F99" s="24"/>
      <c r="G99" s="24"/>
      <c r="H99" s="24"/>
      <c r="I99" s="24"/>
    </row>
    <row r="100" spans="1:9">
      <c r="A100" s="24"/>
      <c r="B100" s="24"/>
      <c r="C100" s="24"/>
      <c r="D100" s="24"/>
      <c r="E100" s="24"/>
      <c r="F100" s="24"/>
      <c r="G100" s="24"/>
      <c r="H100" s="24"/>
      <c r="I100" s="24"/>
    </row>
    <row r="101" spans="1:9">
      <c r="A101" s="24"/>
      <c r="B101" s="24"/>
      <c r="C101" s="24"/>
      <c r="D101" s="24"/>
      <c r="E101" s="24"/>
      <c r="F101" s="24"/>
      <c r="G101" s="24"/>
      <c r="H101" s="24"/>
      <c r="I101" s="24"/>
    </row>
    <row r="102" spans="1:9">
      <c r="A102" s="24"/>
      <c r="B102" s="24"/>
      <c r="C102" s="24"/>
      <c r="D102" s="24"/>
      <c r="E102" s="24"/>
      <c r="F102" s="24"/>
      <c r="G102" s="24"/>
      <c r="H102" s="24"/>
      <c r="I102" s="24"/>
    </row>
    <row r="103" spans="1:9">
      <c r="A103" s="24"/>
      <c r="B103" s="24"/>
      <c r="C103" s="24"/>
      <c r="D103" s="24"/>
      <c r="E103" s="24"/>
      <c r="F103" s="24"/>
      <c r="G103" s="24"/>
      <c r="H103" s="24"/>
      <c r="I103" s="24"/>
    </row>
    <row r="104" spans="1:9">
      <c r="A104" s="24"/>
      <c r="B104" s="24"/>
      <c r="C104" s="24"/>
      <c r="D104" s="24"/>
      <c r="E104" s="24"/>
      <c r="F104" s="24"/>
      <c r="G104" s="24"/>
      <c r="H104" s="24"/>
      <c r="I104" s="24"/>
    </row>
    <row r="105" spans="1:9">
      <c r="A105" s="24"/>
      <c r="B105" s="24"/>
      <c r="C105" s="24"/>
      <c r="D105" s="24"/>
      <c r="E105" s="24"/>
      <c r="F105" s="24"/>
      <c r="G105" s="24"/>
      <c r="H105" s="24"/>
      <c r="I105" s="24"/>
    </row>
    <row r="106" spans="1:9">
      <c r="A106" s="24"/>
      <c r="B106" s="24"/>
      <c r="C106" s="24"/>
      <c r="D106" s="24"/>
      <c r="E106" s="24"/>
      <c r="F106" s="24"/>
      <c r="G106" s="24"/>
      <c r="H106" s="24"/>
      <c r="I106" s="24"/>
    </row>
    <row r="107" spans="1:9">
      <c r="A107" s="41"/>
      <c r="B107" s="298"/>
      <c r="C107" s="298"/>
      <c r="D107" s="298"/>
      <c r="E107" s="298"/>
      <c r="F107" s="298"/>
      <c r="G107" s="298"/>
      <c r="H107" s="41"/>
      <c r="I107" s="298"/>
    </row>
    <row r="108" spans="1:9">
      <c r="A108" s="24"/>
      <c r="B108" s="24"/>
      <c r="C108" s="24"/>
      <c r="D108" s="24"/>
      <c r="E108" s="24"/>
      <c r="F108" s="24"/>
      <c r="G108" s="24"/>
      <c r="H108" s="24"/>
      <c r="I108" s="24"/>
    </row>
    <row r="109" spans="1:9">
      <c r="A109" s="24"/>
      <c r="B109" s="24"/>
      <c r="C109" s="24"/>
      <c r="D109" s="24"/>
      <c r="E109" s="24"/>
      <c r="F109" s="24"/>
      <c r="G109" s="24"/>
      <c r="H109" s="24"/>
      <c r="I109" s="24"/>
    </row>
    <row r="110" spans="1:9">
      <c r="A110" s="24"/>
      <c r="B110" s="24"/>
      <c r="C110" s="24"/>
      <c r="D110" s="24"/>
      <c r="E110" s="24"/>
      <c r="F110" s="24"/>
      <c r="G110" s="24"/>
      <c r="H110" s="24"/>
      <c r="I110" s="24"/>
    </row>
    <row r="111" spans="1:9">
      <c r="A111" s="24"/>
      <c r="B111" s="24"/>
      <c r="C111" s="24"/>
      <c r="D111" s="24"/>
      <c r="E111" s="24"/>
      <c r="F111" s="24"/>
      <c r="G111" s="24"/>
      <c r="H111" s="24"/>
      <c r="I111" s="24"/>
    </row>
    <row r="112" spans="1:9">
      <c r="A112" s="24"/>
      <c r="B112" s="24"/>
      <c r="C112" s="24"/>
      <c r="D112" s="24"/>
      <c r="E112" s="24"/>
      <c r="F112" s="24"/>
      <c r="G112" s="24"/>
      <c r="H112" s="24"/>
      <c r="I112" s="24"/>
    </row>
    <row r="113" spans="1:9">
      <c r="A113" s="24"/>
      <c r="B113" s="24"/>
      <c r="C113" s="24"/>
      <c r="D113" s="24"/>
      <c r="E113" s="24"/>
      <c r="F113" s="24"/>
      <c r="G113" s="24"/>
      <c r="H113" s="24"/>
      <c r="I113" s="24"/>
    </row>
    <row r="114" spans="1:9">
      <c r="A114" s="24"/>
      <c r="B114" s="24"/>
      <c r="C114" s="24"/>
      <c r="D114" s="24"/>
      <c r="E114" s="24"/>
      <c r="F114" s="24"/>
      <c r="G114" s="24"/>
      <c r="H114" s="24"/>
      <c r="I114" s="24"/>
    </row>
    <row r="115" spans="1:9">
      <c r="A115" s="24"/>
      <c r="B115" s="24"/>
      <c r="C115" s="24"/>
      <c r="D115" s="24"/>
      <c r="E115" s="24"/>
      <c r="F115" s="24"/>
      <c r="G115" s="24"/>
      <c r="H115" s="24"/>
      <c r="I115" s="24"/>
    </row>
    <row r="116" spans="1:9">
      <c r="A116" s="24"/>
      <c r="B116" s="24"/>
      <c r="C116" s="24"/>
      <c r="D116" s="24"/>
      <c r="E116" s="24"/>
      <c r="F116" s="24"/>
      <c r="G116" s="24"/>
      <c r="H116" s="24"/>
      <c r="I116" s="24"/>
    </row>
    <row r="117" spans="1:9">
      <c r="A117" s="24"/>
      <c r="B117" s="24"/>
      <c r="C117" s="24"/>
      <c r="D117" s="24"/>
      <c r="E117" s="24"/>
      <c r="F117" s="24"/>
      <c r="G117" s="24"/>
      <c r="H117" s="24"/>
      <c r="I117" s="24"/>
    </row>
    <row r="118" spans="1:9">
      <c r="A118" s="24"/>
      <c r="B118" s="24"/>
      <c r="C118" s="24"/>
      <c r="D118" s="24"/>
      <c r="E118" s="24"/>
      <c r="F118" s="24"/>
      <c r="G118" s="24"/>
      <c r="H118" s="24"/>
      <c r="I118" s="24"/>
    </row>
    <row r="119" spans="1:9">
      <c r="A119" s="24"/>
      <c r="B119" s="24"/>
      <c r="C119" s="24"/>
      <c r="D119" s="24"/>
      <c r="E119" s="24"/>
      <c r="F119" s="24"/>
      <c r="G119" s="24"/>
      <c r="H119" s="24"/>
      <c r="I119" s="24"/>
    </row>
    <row r="120" spans="1:9">
      <c r="A120" s="24"/>
      <c r="B120" s="24"/>
      <c r="C120" s="24"/>
      <c r="D120" s="24"/>
      <c r="E120" s="24"/>
      <c r="F120" s="24"/>
      <c r="G120" s="24"/>
      <c r="H120" s="24"/>
      <c r="I120" s="24"/>
    </row>
    <row r="121" spans="1:9">
      <c r="A121" s="24"/>
      <c r="B121" s="24"/>
      <c r="C121" s="24"/>
      <c r="D121" s="24"/>
      <c r="E121" s="24"/>
      <c r="F121" s="24"/>
      <c r="G121" s="24"/>
      <c r="H121" s="24"/>
      <c r="I121" s="24"/>
    </row>
    <row r="122" spans="1:9">
      <c r="A122" s="24"/>
      <c r="B122" s="24"/>
      <c r="C122" s="24"/>
      <c r="D122" s="24"/>
      <c r="E122" s="24"/>
      <c r="F122" s="24"/>
      <c r="G122" s="24"/>
      <c r="H122" s="24"/>
      <c r="I122" s="24"/>
    </row>
    <row r="123" spans="1:9">
      <c r="A123" s="24"/>
      <c r="B123" s="24"/>
      <c r="C123" s="24"/>
      <c r="D123" s="24"/>
      <c r="E123" s="24"/>
      <c r="F123" s="24"/>
      <c r="G123" s="24"/>
      <c r="H123" s="24"/>
      <c r="I123" s="24"/>
    </row>
    <row r="124" spans="1:9">
      <c r="A124" s="24"/>
      <c r="B124" s="24"/>
      <c r="C124" s="24"/>
      <c r="D124" s="24"/>
      <c r="E124" s="24"/>
      <c r="F124" s="24"/>
      <c r="G124" s="24"/>
      <c r="H124" s="24"/>
      <c r="I124" s="24"/>
    </row>
    <row r="125" spans="1:9">
      <c r="A125" s="24"/>
      <c r="B125" s="24"/>
      <c r="C125" s="24"/>
      <c r="D125" s="24"/>
      <c r="E125" s="24"/>
      <c r="F125" s="24"/>
      <c r="G125" s="24"/>
      <c r="H125" s="24"/>
      <c r="I125" s="24"/>
    </row>
    <row r="126" spans="1:9">
      <c r="A126" s="24"/>
      <c r="B126" s="24"/>
      <c r="C126" s="24"/>
      <c r="D126" s="24"/>
      <c r="E126" s="24"/>
      <c r="F126" s="24"/>
      <c r="G126" s="24"/>
      <c r="H126" s="24"/>
      <c r="I126" s="24"/>
    </row>
    <row r="127" spans="1:9">
      <c r="A127" s="24"/>
      <c r="B127" s="24"/>
      <c r="C127" s="24"/>
      <c r="D127" s="24"/>
      <c r="E127" s="24"/>
      <c r="F127" s="24"/>
      <c r="G127" s="24"/>
      <c r="H127" s="24"/>
      <c r="I127" s="24"/>
    </row>
    <row r="128" spans="1:9">
      <c r="A128" s="24"/>
      <c r="B128" s="24"/>
      <c r="C128" s="24"/>
      <c r="D128" s="24"/>
      <c r="E128" s="24"/>
      <c r="F128" s="24"/>
      <c r="G128" s="24"/>
      <c r="H128" s="24"/>
      <c r="I128" s="24"/>
    </row>
    <row r="129" spans="1:9">
      <c r="A129" s="24"/>
      <c r="B129" s="24"/>
      <c r="C129" s="24"/>
      <c r="D129" s="24"/>
      <c r="E129" s="24"/>
      <c r="F129" s="24"/>
      <c r="G129" s="24"/>
      <c r="H129" s="24"/>
      <c r="I129" s="24"/>
    </row>
    <row r="130" spans="1:9">
      <c r="A130" s="24"/>
      <c r="B130" s="24"/>
      <c r="C130" s="24"/>
      <c r="D130" s="24"/>
      <c r="E130" s="24"/>
      <c r="F130" s="24"/>
      <c r="G130" s="24"/>
      <c r="H130" s="24"/>
      <c r="I130" s="24"/>
    </row>
    <row r="131" spans="1:9">
      <c r="A131" s="24"/>
      <c r="B131" s="24"/>
      <c r="C131" s="24"/>
      <c r="D131" s="24"/>
      <c r="E131" s="24"/>
      <c r="F131" s="24"/>
      <c r="G131" s="24"/>
      <c r="H131" s="24"/>
      <c r="I131" s="24"/>
    </row>
    <row r="132" spans="1:9">
      <c r="A132" s="24"/>
      <c r="B132" s="24"/>
      <c r="C132" s="24"/>
      <c r="D132" s="24"/>
      <c r="E132" s="24"/>
      <c r="F132" s="24"/>
      <c r="G132" s="24"/>
      <c r="H132" s="24"/>
      <c r="I132" s="24"/>
    </row>
    <row r="133" spans="1:9">
      <c r="A133" s="24"/>
      <c r="B133" s="24"/>
      <c r="C133" s="24"/>
      <c r="D133" s="24"/>
      <c r="E133" s="24"/>
      <c r="F133" s="24"/>
      <c r="G133" s="24"/>
      <c r="H133" s="24"/>
      <c r="I133" s="24"/>
    </row>
    <row r="134" spans="1:9">
      <c r="A134" s="24"/>
      <c r="B134" s="24"/>
      <c r="C134" s="24"/>
      <c r="D134" s="24"/>
      <c r="E134" s="24"/>
      <c r="F134" s="24"/>
      <c r="G134" s="24"/>
      <c r="H134" s="24"/>
      <c r="I134" s="24"/>
    </row>
    <row r="135" spans="1:9">
      <c r="A135" s="24"/>
      <c r="B135" s="24"/>
      <c r="C135" s="24"/>
      <c r="D135" s="24"/>
      <c r="E135" s="24"/>
      <c r="F135" s="24"/>
      <c r="G135" s="24"/>
      <c r="H135" s="24"/>
      <c r="I135" s="24"/>
    </row>
    <row r="136" spans="1:9">
      <c r="A136" s="24"/>
      <c r="B136" s="24"/>
      <c r="C136" s="24"/>
      <c r="D136" s="24"/>
      <c r="E136" s="24"/>
      <c r="F136" s="24"/>
      <c r="G136" s="24"/>
      <c r="H136" s="24"/>
      <c r="I136" s="24"/>
    </row>
    <row r="137" spans="1:9">
      <c r="A137" s="24"/>
      <c r="B137" s="24"/>
      <c r="C137" s="24"/>
      <c r="D137" s="24"/>
      <c r="E137" s="24"/>
      <c r="F137" s="24"/>
      <c r="G137" s="24"/>
      <c r="H137" s="24"/>
      <c r="I137" s="24"/>
    </row>
    <row r="138" spans="1:9">
      <c r="A138" s="24"/>
      <c r="B138" s="24"/>
      <c r="C138" s="24"/>
      <c r="D138" s="24"/>
      <c r="E138" s="24"/>
      <c r="F138" s="24"/>
      <c r="G138" s="24"/>
      <c r="H138" s="24"/>
      <c r="I138" s="24"/>
    </row>
    <row r="139" spans="1:9">
      <c r="A139" s="24"/>
      <c r="B139" s="24"/>
      <c r="C139" s="24"/>
      <c r="D139" s="24"/>
      <c r="E139" s="24"/>
      <c r="F139" s="24"/>
      <c r="G139" s="24"/>
      <c r="H139" s="24"/>
      <c r="I139" s="24"/>
    </row>
    <row r="140" spans="1:9">
      <c r="A140" s="24"/>
      <c r="B140" s="24"/>
      <c r="C140" s="24"/>
      <c r="D140" s="24"/>
      <c r="E140" s="24"/>
      <c r="F140" s="24"/>
      <c r="G140" s="24"/>
      <c r="H140" s="24"/>
      <c r="I140" s="24"/>
    </row>
    <row r="141" spans="1:9">
      <c r="A141" s="24"/>
      <c r="B141" s="24"/>
      <c r="C141" s="24"/>
      <c r="D141" s="24"/>
      <c r="E141" s="24"/>
      <c r="F141" s="24"/>
      <c r="G141" s="24"/>
      <c r="H141" s="24"/>
      <c r="I141" s="24"/>
    </row>
    <row r="142" spans="1:9">
      <c r="A142" s="24"/>
      <c r="B142" s="24"/>
      <c r="C142" s="24"/>
      <c r="D142" s="24"/>
      <c r="E142" s="24"/>
      <c r="F142" s="24"/>
      <c r="G142" s="24"/>
      <c r="H142" s="24"/>
      <c r="I142" s="24"/>
    </row>
    <row r="143" spans="1:9">
      <c r="A143" s="24"/>
      <c r="B143" s="24"/>
      <c r="C143" s="24"/>
      <c r="D143" s="24"/>
      <c r="E143" s="24"/>
      <c r="F143" s="24"/>
      <c r="G143" s="24"/>
      <c r="H143" s="24"/>
      <c r="I143" s="24"/>
    </row>
    <row r="144" spans="1:9">
      <c r="A144" s="24"/>
      <c r="B144" s="24"/>
      <c r="C144" s="24"/>
      <c r="D144" s="24"/>
      <c r="E144" s="24"/>
      <c r="F144" s="24"/>
      <c r="G144" s="24"/>
      <c r="H144" s="24"/>
      <c r="I144" s="24"/>
    </row>
    <row r="145" spans="1:9">
      <c r="A145" s="24"/>
      <c r="B145" s="24"/>
      <c r="C145" s="24"/>
      <c r="D145" s="24"/>
      <c r="E145" s="24"/>
      <c r="F145" s="24"/>
      <c r="G145" s="24"/>
      <c r="H145" s="24"/>
      <c r="I145" s="24"/>
    </row>
    <row r="146" spans="1:9">
      <c r="A146" s="24"/>
      <c r="B146" s="24"/>
      <c r="C146" s="24"/>
      <c r="D146" s="24"/>
      <c r="E146" s="24"/>
      <c r="F146" s="24"/>
      <c r="G146" s="24"/>
      <c r="H146" s="24"/>
      <c r="I146" s="24"/>
    </row>
    <row r="147" spans="1:9">
      <c r="A147" s="24"/>
      <c r="B147" s="24"/>
      <c r="C147" s="24"/>
      <c r="D147" s="24"/>
      <c r="E147" s="24"/>
      <c r="F147" s="24"/>
      <c r="G147" s="24"/>
      <c r="H147" s="24"/>
      <c r="I147" s="24"/>
    </row>
    <row r="148" spans="1:9">
      <c r="A148" s="24"/>
      <c r="B148" s="24"/>
      <c r="C148" s="24"/>
      <c r="D148" s="24"/>
      <c r="E148" s="24"/>
      <c r="F148" s="24"/>
      <c r="G148" s="24"/>
      <c r="H148" s="24"/>
      <c r="I148" s="24"/>
    </row>
    <row r="149" spans="1:9">
      <c r="A149" s="24"/>
      <c r="B149" s="24"/>
      <c r="C149" s="24"/>
      <c r="D149" s="24"/>
      <c r="E149" s="24"/>
      <c r="F149" s="24"/>
      <c r="G149" s="24"/>
      <c r="H149" s="24"/>
      <c r="I149" s="24"/>
    </row>
    <row r="150" spans="1:9">
      <c r="A150" s="24"/>
      <c r="B150" s="24"/>
      <c r="C150" s="24"/>
      <c r="D150" s="24"/>
      <c r="E150" s="24"/>
      <c r="F150" s="24"/>
      <c r="G150" s="24"/>
      <c r="H150" s="24"/>
      <c r="I150" s="24"/>
    </row>
    <row r="151" spans="1:9">
      <c r="A151" s="24"/>
      <c r="B151" s="24"/>
      <c r="C151" s="24"/>
      <c r="D151" s="24"/>
      <c r="E151" s="24"/>
      <c r="F151" s="24"/>
      <c r="G151" s="24"/>
      <c r="H151" s="24"/>
      <c r="I151" s="24"/>
    </row>
    <row r="152" spans="1:9">
      <c r="A152" s="24"/>
      <c r="B152" s="24"/>
      <c r="C152" s="24"/>
      <c r="D152" s="24"/>
      <c r="E152" s="24"/>
      <c r="F152" s="24"/>
      <c r="G152" s="24"/>
      <c r="H152" s="24"/>
      <c r="I152" s="24"/>
    </row>
    <row r="153" spans="1:9">
      <c r="A153" s="24"/>
      <c r="B153" s="24"/>
      <c r="C153" s="24"/>
      <c r="D153" s="24"/>
      <c r="E153" s="24"/>
      <c r="F153" s="24"/>
      <c r="G153" s="24"/>
      <c r="H153" s="24"/>
      <c r="I153" s="24"/>
    </row>
    <row r="154" spans="1:9">
      <c r="A154" s="24"/>
      <c r="B154" s="24"/>
      <c r="C154" s="24"/>
      <c r="D154" s="24"/>
      <c r="E154" s="24"/>
      <c r="F154" s="24"/>
      <c r="G154" s="24"/>
      <c r="H154" s="24"/>
      <c r="I154" s="24"/>
    </row>
    <row r="155" spans="1:9">
      <c r="A155" s="24"/>
      <c r="B155" s="24"/>
      <c r="C155" s="24"/>
      <c r="D155" s="24"/>
      <c r="E155" s="24"/>
      <c r="F155" s="24"/>
      <c r="G155" s="24"/>
      <c r="H155" s="24"/>
      <c r="I155" s="24"/>
    </row>
    <row r="156" spans="1:9">
      <c r="A156" s="24"/>
      <c r="B156" s="24"/>
      <c r="C156" s="24"/>
      <c r="D156" s="24"/>
      <c r="E156" s="24"/>
      <c r="F156" s="24"/>
      <c r="G156" s="24"/>
      <c r="H156" s="24"/>
      <c r="I156" s="24"/>
    </row>
    <row r="157" spans="1:9">
      <c r="A157" s="24"/>
      <c r="B157" s="24"/>
      <c r="C157" s="24"/>
      <c r="D157" s="24"/>
      <c r="E157" s="24"/>
      <c r="F157" s="24"/>
      <c r="G157" s="24"/>
      <c r="H157" s="24"/>
      <c r="I157" s="24"/>
    </row>
    <row r="158" spans="1:9">
      <c r="A158" s="24"/>
      <c r="B158" s="24"/>
      <c r="C158" s="24"/>
      <c r="D158" s="24"/>
      <c r="E158" s="24"/>
      <c r="F158" s="24"/>
      <c r="G158" s="24"/>
      <c r="H158" s="24"/>
      <c r="I158" s="24"/>
    </row>
    <row r="159" spans="1:9">
      <c r="A159" s="24"/>
      <c r="B159" s="24"/>
      <c r="C159" s="24"/>
      <c r="D159" s="24"/>
      <c r="E159" s="24"/>
      <c r="F159" s="24"/>
      <c r="G159" s="24"/>
      <c r="H159" s="24"/>
      <c r="I159" s="24"/>
    </row>
    <row r="160" spans="1:9">
      <c r="A160" s="24"/>
      <c r="B160" s="24"/>
      <c r="C160" s="24"/>
      <c r="D160" s="24"/>
      <c r="E160" s="24"/>
      <c r="F160" s="24"/>
      <c r="G160" s="24"/>
      <c r="H160" s="24"/>
      <c r="I160" s="24"/>
    </row>
    <row r="161" spans="1:9">
      <c r="A161" s="24"/>
      <c r="B161" s="24"/>
      <c r="C161" s="24"/>
      <c r="D161" s="24"/>
      <c r="E161" s="24"/>
      <c r="F161" s="24"/>
      <c r="G161" s="24"/>
      <c r="H161" s="24"/>
      <c r="I161" s="24"/>
    </row>
    <row r="162" spans="1:9">
      <c r="A162" s="24"/>
      <c r="B162" s="24"/>
      <c r="C162" s="24"/>
      <c r="D162" s="24"/>
      <c r="E162" s="24"/>
      <c r="F162" s="24"/>
      <c r="G162" s="24"/>
      <c r="H162" s="24"/>
      <c r="I162" s="24"/>
    </row>
    <row r="163" spans="1:9">
      <c r="A163" s="24"/>
      <c r="B163" s="24"/>
      <c r="C163" s="24"/>
      <c r="D163" s="24"/>
      <c r="E163" s="24"/>
      <c r="F163" s="24"/>
      <c r="G163" s="24"/>
      <c r="H163" s="24"/>
      <c r="I163" s="24"/>
    </row>
    <row r="164" spans="1:9">
      <c r="A164" s="24"/>
      <c r="B164" s="24"/>
      <c r="C164" s="24"/>
      <c r="D164" s="24"/>
      <c r="E164" s="24"/>
      <c r="F164" s="24"/>
      <c r="G164" s="24"/>
      <c r="H164" s="24"/>
      <c r="I164" s="24"/>
    </row>
    <row r="165" spans="1:9">
      <c r="A165" s="24"/>
      <c r="B165" s="24"/>
      <c r="C165" s="24"/>
      <c r="D165" s="24"/>
      <c r="E165" s="24"/>
      <c r="F165" s="24"/>
      <c r="G165" s="24"/>
      <c r="H165" s="24"/>
      <c r="I165" s="24"/>
    </row>
    <row r="166" spans="1:9">
      <c r="A166" s="24"/>
      <c r="B166" s="24"/>
      <c r="C166" s="24"/>
      <c r="D166" s="24"/>
      <c r="E166" s="24"/>
      <c r="F166" s="24"/>
      <c r="G166" s="24"/>
      <c r="H166" s="24"/>
      <c r="I166" s="24"/>
    </row>
    <row r="167" spans="1:9">
      <c r="A167" s="24"/>
      <c r="B167" s="24"/>
      <c r="C167" s="24"/>
      <c r="D167" s="24"/>
      <c r="E167" s="24"/>
      <c r="F167" s="24"/>
      <c r="G167" s="24"/>
      <c r="H167" s="24"/>
      <c r="I167" s="24"/>
    </row>
    <row r="168" spans="1:9">
      <c r="A168" s="24"/>
      <c r="B168" s="24"/>
      <c r="C168" s="24"/>
      <c r="D168" s="24"/>
      <c r="E168" s="24"/>
      <c r="F168" s="24"/>
      <c r="G168" s="24"/>
      <c r="H168" s="24"/>
      <c r="I168" s="24"/>
    </row>
    <row r="169" spans="1:9">
      <c r="A169" s="24"/>
      <c r="B169" s="24"/>
      <c r="C169" s="24"/>
      <c r="D169" s="24"/>
      <c r="E169" s="24"/>
      <c r="F169" s="24"/>
      <c r="G169" s="24"/>
      <c r="H169" s="24"/>
      <c r="I169" s="24"/>
    </row>
    <row r="170" spans="1:9">
      <c r="A170" s="24"/>
      <c r="B170" s="24"/>
      <c r="C170" s="24"/>
      <c r="D170" s="24"/>
      <c r="E170" s="24"/>
      <c r="F170" s="24"/>
      <c r="G170" s="24"/>
      <c r="H170" s="24"/>
      <c r="I170" s="24"/>
    </row>
    <row r="171" spans="1:9">
      <c r="A171" s="24"/>
      <c r="B171" s="24"/>
      <c r="C171" s="24"/>
      <c r="D171" s="24"/>
      <c r="E171" s="24"/>
      <c r="F171" s="24"/>
      <c r="G171" s="24"/>
      <c r="H171" s="24"/>
      <c r="I171" s="24"/>
    </row>
    <row r="172" spans="1:9">
      <c r="A172" s="24"/>
      <c r="B172" s="24"/>
      <c r="C172" s="24"/>
      <c r="D172" s="24"/>
      <c r="E172" s="24"/>
      <c r="F172" s="24"/>
      <c r="G172" s="24"/>
      <c r="H172" s="24"/>
      <c r="I172" s="24"/>
    </row>
    <row r="173" spans="1:9">
      <c r="A173" s="24"/>
      <c r="B173" s="24"/>
      <c r="C173" s="24"/>
      <c r="D173" s="24"/>
      <c r="E173" s="24"/>
      <c r="F173" s="24"/>
      <c r="G173" s="24"/>
      <c r="H173" s="24"/>
      <c r="I173" s="24"/>
    </row>
    <row r="174" spans="1:9">
      <c r="A174" s="24"/>
      <c r="B174" s="24"/>
      <c r="C174" s="24"/>
      <c r="D174" s="24"/>
      <c r="E174" s="24"/>
      <c r="F174" s="24"/>
      <c r="G174" s="24"/>
      <c r="H174" s="24"/>
      <c r="I174" s="24"/>
    </row>
    <row r="175" spans="1:9">
      <c r="A175" s="24"/>
      <c r="B175" s="24"/>
      <c r="C175" s="24"/>
      <c r="D175" s="24"/>
      <c r="E175" s="24"/>
      <c r="F175" s="24"/>
      <c r="G175" s="24"/>
      <c r="H175" s="24"/>
      <c r="I175" s="24"/>
    </row>
    <row r="176" spans="1:9">
      <c r="A176" s="24"/>
      <c r="B176" s="24"/>
      <c r="C176" s="24"/>
      <c r="D176" s="24"/>
      <c r="E176" s="24"/>
      <c r="F176" s="24"/>
      <c r="G176" s="24"/>
      <c r="H176" s="24"/>
      <c r="I176" s="24"/>
    </row>
    <row r="177" spans="1:9">
      <c r="A177" s="24"/>
      <c r="B177" s="24"/>
      <c r="C177" s="24"/>
      <c r="D177" s="24"/>
      <c r="E177" s="24"/>
      <c r="F177" s="24"/>
      <c r="G177" s="24"/>
      <c r="H177" s="24"/>
      <c r="I177" s="24"/>
    </row>
    <row r="178" spans="1:9">
      <c r="A178" s="24"/>
      <c r="B178" s="24"/>
      <c r="C178" s="24"/>
      <c r="D178" s="24"/>
      <c r="E178" s="24"/>
      <c r="F178" s="24"/>
      <c r="G178" s="24"/>
      <c r="H178" s="24"/>
      <c r="I178" s="24"/>
    </row>
    <row r="179" spans="1:9">
      <c r="A179" s="24"/>
      <c r="B179" s="24"/>
      <c r="C179" s="24"/>
      <c r="D179" s="24"/>
      <c r="E179" s="24"/>
      <c r="F179" s="24"/>
      <c r="G179" s="24"/>
      <c r="H179" s="24"/>
      <c r="I179" s="24"/>
    </row>
    <row r="180" spans="1:9">
      <c r="A180" s="549" t="s">
        <v>1034</v>
      </c>
      <c r="B180" s="571"/>
      <c r="C180" s="571"/>
      <c r="D180" s="571"/>
      <c r="E180" s="571"/>
      <c r="F180" s="571"/>
      <c r="G180" s="571"/>
      <c r="H180" s="549"/>
      <c r="I180" s="571"/>
    </row>
    <row r="181" spans="1:9">
      <c r="A181" s="24" t="s">
        <v>4</v>
      </c>
      <c r="B181" s="94" t="s">
        <v>5</v>
      </c>
      <c r="C181" s="11" t="s">
        <v>6</v>
      </c>
      <c r="D181" s="11" t="s">
        <v>7</v>
      </c>
      <c r="E181" s="11" t="s">
        <v>8</v>
      </c>
      <c r="F181" s="11" t="s">
        <v>9</v>
      </c>
      <c r="G181" s="11" t="s">
        <v>10</v>
      </c>
      <c r="H181" s="11" t="s">
        <v>11</v>
      </c>
      <c r="I181" s="11" t="s">
        <v>12</v>
      </c>
    </row>
    <row r="182" spans="1:9">
      <c r="A182" s="24" t="s">
        <v>1040</v>
      </c>
      <c r="B182" s="24" t="s">
        <v>1041</v>
      </c>
      <c r="C182" s="19"/>
      <c r="D182" s="19"/>
      <c r="E182" s="19"/>
      <c r="F182" s="19"/>
      <c r="G182" s="19"/>
      <c r="H182" s="11"/>
      <c r="I182" s="11" t="s">
        <v>1042</v>
      </c>
    </row>
    <row r="183" spans="1:9">
      <c r="A183" s="24" t="s">
        <v>1046</v>
      </c>
      <c r="B183" s="24" t="s">
        <v>1047</v>
      </c>
      <c r="C183" s="19"/>
      <c r="D183" s="19"/>
      <c r="E183" s="19"/>
      <c r="F183" s="19"/>
      <c r="G183" s="19"/>
      <c r="H183" s="11"/>
      <c r="I183" s="11"/>
    </row>
    <row r="184" spans="1:9">
      <c r="A184" s="24" t="s">
        <v>1053</v>
      </c>
      <c r="B184" s="24" t="s">
        <v>975</v>
      </c>
      <c r="C184" s="19"/>
      <c r="D184" s="19"/>
      <c r="E184" s="19"/>
      <c r="F184" s="19"/>
      <c r="G184" s="19"/>
      <c r="H184" s="11"/>
      <c r="I184" s="11"/>
    </row>
    <row r="185" spans="1:9">
      <c r="A185" s="24" t="s">
        <v>1059</v>
      </c>
      <c r="B185" s="24" t="s">
        <v>1060</v>
      </c>
      <c r="C185" s="19"/>
      <c r="D185" s="19"/>
      <c r="E185" s="19"/>
      <c r="F185" s="19"/>
      <c r="G185" s="19"/>
      <c r="H185" s="11"/>
      <c r="I185" s="11"/>
    </row>
    <row r="186" spans="1:9">
      <c r="A186" s="24" t="s">
        <v>1064</v>
      </c>
      <c r="B186" s="129" t="s">
        <v>1017</v>
      </c>
      <c r="C186" s="19"/>
      <c r="D186" s="19"/>
      <c r="E186" s="19"/>
      <c r="F186" s="19"/>
      <c r="G186" s="19"/>
      <c r="H186" s="11"/>
      <c r="I186" s="11"/>
    </row>
    <row r="187" spans="1:9">
      <c r="A187" s="24" t="s">
        <v>1069</v>
      </c>
      <c r="B187" s="129" t="s">
        <v>1017</v>
      </c>
      <c r="C187" s="19"/>
      <c r="D187" s="19"/>
      <c r="E187" s="19"/>
      <c r="F187" s="19"/>
      <c r="G187" s="19"/>
      <c r="H187" s="11"/>
      <c r="I187" s="11"/>
    </row>
    <row r="188" spans="1:9">
      <c r="A188" s="24" t="s">
        <v>1075</v>
      </c>
      <c r="B188" s="24" t="s">
        <v>1076</v>
      </c>
      <c r="C188" s="19"/>
      <c r="D188" s="19"/>
      <c r="E188" s="19"/>
      <c r="F188" s="19"/>
      <c r="G188" s="19"/>
      <c r="H188" s="11"/>
      <c r="I188" s="11"/>
    </row>
    <row r="189" spans="1:9">
      <c r="A189" s="24" t="s">
        <v>1080</v>
      </c>
      <c r="B189" s="24" t="s">
        <v>923</v>
      </c>
      <c r="C189" s="19"/>
      <c r="D189" s="19"/>
      <c r="E189" s="19"/>
      <c r="F189" s="19"/>
      <c r="G189" s="19"/>
      <c r="H189" s="11"/>
      <c r="I189" s="11"/>
    </row>
    <row r="190" spans="1:9">
      <c r="A190" s="24" t="s">
        <v>1086</v>
      </c>
      <c r="B190" s="24" t="s">
        <v>918</v>
      </c>
      <c r="C190" s="19"/>
      <c r="D190" s="19"/>
      <c r="E190" s="19"/>
      <c r="F190" s="19"/>
      <c r="G190" s="19"/>
      <c r="H190" s="11"/>
      <c r="I190" s="11"/>
    </row>
    <row r="191" spans="1:9">
      <c r="A191" s="24" t="s">
        <v>1092</v>
      </c>
      <c r="B191" s="24" t="s">
        <v>151</v>
      </c>
      <c r="C191" s="19"/>
      <c r="D191" s="19"/>
      <c r="E191" s="19"/>
      <c r="F191" s="19"/>
      <c r="G191" s="19"/>
      <c r="H191" s="11"/>
      <c r="I191" s="11"/>
    </row>
    <row r="192" spans="1:9">
      <c r="A192" s="24" t="s">
        <v>1098</v>
      </c>
      <c r="B192" s="24" t="s">
        <v>1099</v>
      </c>
      <c r="C192" s="19"/>
      <c r="D192" s="19"/>
      <c r="E192" s="19"/>
      <c r="F192" s="19"/>
      <c r="G192" s="19"/>
      <c r="H192" s="11"/>
      <c r="I192" s="11"/>
    </row>
    <row r="193" spans="1:9">
      <c r="A193" s="24" t="s">
        <v>1103</v>
      </c>
      <c r="B193" s="24" t="s">
        <v>1104</v>
      </c>
      <c r="C193" s="19"/>
      <c r="D193" s="19"/>
      <c r="E193" s="19"/>
      <c r="F193" s="19"/>
      <c r="G193" s="19"/>
      <c r="H193" s="11"/>
      <c r="I193" s="11"/>
    </row>
    <row r="194" spans="1:9">
      <c r="A194" s="24" t="s">
        <v>1108</v>
      </c>
      <c r="B194" s="24" t="s">
        <v>970</v>
      </c>
      <c r="C194" s="19"/>
      <c r="D194" s="19"/>
      <c r="E194" s="19"/>
      <c r="F194" s="19"/>
      <c r="G194" s="19"/>
      <c r="H194" s="11"/>
      <c r="I194" s="11"/>
    </row>
    <row r="195" spans="1:9">
      <c r="A195" s="24" t="s">
        <v>1111</v>
      </c>
      <c r="B195" s="24" t="s">
        <v>1112</v>
      </c>
      <c r="C195" s="19"/>
      <c r="D195" s="19"/>
      <c r="E195" s="19"/>
      <c r="F195" s="19"/>
      <c r="G195" s="19"/>
      <c r="H195" s="11"/>
      <c r="I195" s="11"/>
    </row>
    <row r="196" spans="1:9">
      <c r="A196" s="24" t="s">
        <v>1118</v>
      </c>
      <c r="B196" s="24" t="s">
        <v>1119</v>
      </c>
      <c r="C196" s="19"/>
      <c r="D196" s="19"/>
      <c r="E196" s="19"/>
      <c r="F196" s="19"/>
      <c r="G196" s="19"/>
      <c r="H196" s="11"/>
      <c r="I196" s="11"/>
    </row>
    <row r="197" spans="1:9">
      <c r="A197" s="24" t="s">
        <v>1123</v>
      </c>
      <c r="B197" s="24" t="s">
        <v>1124</v>
      </c>
      <c r="C197" s="19"/>
      <c r="D197" s="19"/>
      <c r="E197" s="19"/>
      <c r="F197" s="19"/>
      <c r="G197" s="19"/>
      <c r="H197" s="11"/>
      <c r="I197" s="11"/>
    </row>
    <row r="198" spans="1:9">
      <c r="A198" s="24" t="s">
        <v>1130</v>
      </c>
      <c r="B198" s="24" t="s">
        <v>1131</v>
      </c>
      <c r="C198" s="19"/>
      <c r="D198" s="19"/>
      <c r="E198" s="19"/>
      <c r="F198" s="19"/>
      <c r="G198" s="19"/>
      <c r="H198" s="11"/>
      <c r="I198" s="11"/>
    </row>
    <row r="199" spans="1:9">
      <c r="A199" s="24" t="s">
        <v>1137</v>
      </c>
      <c r="B199" s="24" t="s">
        <v>1138</v>
      </c>
      <c r="C199" s="19"/>
      <c r="D199" s="19"/>
      <c r="E199" s="19"/>
      <c r="F199" s="19"/>
      <c r="G199" s="19"/>
      <c r="H199" s="11"/>
      <c r="I199" s="11"/>
    </row>
    <row r="200" spans="1:9">
      <c r="A200" s="24" t="s">
        <v>1144</v>
      </c>
      <c r="B200" s="24" t="s">
        <v>1145</v>
      </c>
      <c r="C200" s="19"/>
      <c r="D200" s="19"/>
      <c r="E200" s="19"/>
      <c r="F200" s="19"/>
      <c r="G200" s="19"/>
      <c r="H200" s="11"/>
      <c r="I200" s="11"/>
    </row>
    <row r="201" spans="1:9">
      <c r="A201" s="24" t="s">
        <v>1149</v>
      </c>
      <c r="B201" s="24" t="s">
        <v>918</v>
      </c>
      <c r="C201" s="19"/>
      <c r="D201" s="19"/>
      <c r="E201" s="19"/>
      <c r="F201" s="19"/>
      <c r="G201" s="19"/>
      <c r="H201" s="11"/>
      <c r="I201" s="11"/>
    </row>
    <row r="202" spans="1:9">
      <c r="A202" s="24" t="s">
        <v>1155</v>
      </c>
      <c r="B202" s="24" t="s">
        <v>942</v>
      </c>
      <c r="C202" s="19"/>
      <c r="D202" s="19"/>
      <c r="E202" s="19"/>
      <c r="F202" s="19"/>
      <c r="G202" s="19"/>
      <c r="H202" s="11"/>
      <c r="I202" s="11"/>
    </row>
    <row r="203" spans="1:9">
      <c r="A203" s="24" t="s">
        <v>1159</v>
      </c>
      <c r="B203" s="24" t="s">
        <v>159</v>
      </c>
      <c r="C203" s="19"/>
      <c r="D203" s="19"/>
      <c r="E203" s="19"/>
      <c r="F203" s="19"/>
      <c r="G203" s="19"/>
      <c r="H203" s="11"/>
      <c r="I203" s="11"/>
    </row>
    <row r="204" spans="1:9">
      <c r="A204" s="24" t="s">
        <v>1165</v>
      </c>
      <c r="B204" s="24" t="s">
        <v>288</v>
      </c>
      <c r="C204" s="19"/>
      <c r="D204" s="19"/>
      <c r="E204" s="19"/>
      <c r="F204" s="19"/>
      <c r="G204" s="19"/>
      <c r="H204" s="11"/>
      <c r="I204" s="11"/>
    </row>
    <row r="205" spans="1:9">
      <c r="A205" s="24" t="s">
        <v>1169</v>
      </c>
      <c r="B205" s="24" t="s">
        <v>933</v>
      </c>
      <c r="C205" s="19"/>
      <c r="D205" s="19"/>
      <c r="E205" s="19"/>
      <c r="F205" s="19"/>
      <c r="G205" s="19"/>
      <c r="H205" s="11"/>
      <c r="I205" s="11"/>
    </row>
    <row r="206" spans="1:9">
      <c r="A206" s="24" t="s">
        <v>1175</v>
      </c>
      <c r="B206" s="24" t="s">
        <v>875</v>
      </c>
      <c r="C206" s="19"/>
      <c r="D206" s="19"/>
      <c r="E206" s="19"/>
      <c r="F206" s="19"/>
      <c r="G206" s="19"/>
      <c r="H206" s="11"/>
      <c r="I206" s="11"/>
    </row>
    <row r="207" spans="1:9">
      <c r="A207" s="24" t="s">
        <v>1181</v>
      </c>
      <c r="B207" s="24" t="s">
        <v>1182</v>
      </c>
      <c r="C207" s="19"/>
      <c r="D207" s="19"/>
      <c r="E207" s="19"/>
      <c r="F207" s="19"/>
      <c r="G207" s="19"/>
      <c r="H207" s="11"/>
      <c r="I207" s="11"/>
    </row>
    <row r="208" spans="1:9">
      <c r="A208" s="24" t="s">
        <v>1188</v>
      </c>
      <c r="B208" s="24" t="s">
        <v>911</v>
      </c>
      <c r="C208" s="19"/>
      <c r="D208" s="19"/>
      <c r="E208" s="19"/>
      <c r="F208" s="19"/>
      <c r="G208" s="19"/>
      <c r="H208" s="11"/>
      <c r="I208" s="11"/>
    </row>
    <row r="209" spans="1:9">
      <c r="A209" s="24" t="s">
        <v>1192</v>
      </c>
      <c r="B209" s="24" t="s">
        <v>1193</v>
      </c>
      <c r="C209" s="19"/>
      <c r="D209" s="19"/>
      <c r="E209" s="19"/>
      <c r="F209" s="19"/>
      <c r="G209" s="19"/>
      <c r="H209" s="11"/>
      <c r="I209" s="11"/>
    </row>
    <row r="210" spans="1:9">
      <c r="A210" s="24" t="s">
        <v>1197</v>
      </c>
      <c r="B210" s="24" t="s">
        <v>1198</v>
      </c>
      <c r="C210" s="19"/>
      <c r="D210" s="19"/>
      <c r="E210" s="19"/>
      <c r="F210" s="19"/>
      <c r="G210" s="19"/>
      <c r="H210" s="11"/>
      <c r="I210" s="11"/>
    </row>
    <row r="211" spans="1:9">
      <c r="A211" s="24" t="s">
        <v>1202</v>
      </c>
      <c r="B211" s="24" t="s">
        <v>869</v>
      </c>
      <c r="C211" s="19"/>
      <c r="D211" s="19"/>
      <c r="E211" s="19"/>
      <c r="F211" s="19"/>
      <c r="G211" s="19"/>
      <c r="H211" s="11"/>
      <c r="I211" s="11"/>
    </row>
    <row r="212" spans="1:9">
      <c r="A212" s="24" t="s">
        <v>1208</v>
      </c>
      <c r="B212" s="24" t="s">
        <v>1012</v>
      </c>
      <c r="C212" s="19"/>
      <c r="D212" s="19"/>
      <c r="E212" s="19"/>
      <c r="F212" s="19"/>
      <c r="G212" s="19"/>
      <c r="H212" s="11"/>
      <c r="I212" s="11"/>
    </row>
    <row r="213" spans="1:9">
      <c r="A213" s="24" t="s">
        <v>1214</v>
      </c>
      <c r="B213" s="24" t="s">
        <v>108</v>
      </c>
      <c r="C213" s="19"/>
      <c r="D213" s="19"/>
      <c r="E213" s="19"/>
      <c r="F213" s="19"/>
      <c r="G213" s="19"/>
      <c r="H213" s="11"/>
      <c r="I213" s="11"/>
    </row>
    <row r="214" spans="1:9">
      <c r="A214" s="24" t="s">
        <v>1217</v>
      </c>
      <c r="B214" s="24" t="s">
        <v>1218</v>
      </c>
      <c r="C214" s="19"/>
      <c r="D214" s="19"/>
      <c r="E214" s="19"/>
      <c r="F214" s="19"/>
      <c r="G214" s="19"/>
      <c r="H214" s="11"/>
      <c r="I214" s="11"/>
    </row>
    <row r="215" spans="1:9">
      <c r="A215" s="24" t="s">
        <v>1223</v>
      </c>
      <c r="B215" s="24" t="s">
        <v>1224</v>
      </c>
      <c r="C215" s="19"/>
      <c r="D215" s="19"/>
      <c r="E215" s="19"/>
      <c r="F215" s="19"/>
      <c r="G215" s="19"/>
      <c r="H215" s="11"/>
      <c r="I215" s="11"/>
    </row>
    <row r="216" spans="1:9">
      <c r="A216" s="24" t="s">
        <v>1230</v>
      </c>
      <c r="B216" s="24" t="s">
        <v>1231</v>
      </c>
      <c r="C216" s="19"/>
      <c r="D216" s="19"/>
      <c r="E216" s="19"/>
      <c r="F216" s="19"/>
      <c r="G216" s="19"/>
      <c r="H216" s="11"/>
      <c r="I216" s="11"/>
    </row>
    <row r="217" spans="1:9">
      <c r="A217" s="24" t="s">
        <v>1237</v>
      </c>
      <c r="B217" s="24" t="s">
        <v>1238</v>
      </c>
      <c r="C217" s="19"/>
      <c r="D217" s="19"/>
      <c r="E217" s="19"/>
      <c r="F217" s="19"/>
      <c r="G217" s="19"/>
      <c r="H217" s="11"/>
      <c r="I217" s="11"/>
    </row>
    <row r="218" spans="1:9">
      <c r="A218" s="24" t="s">
        <v>1241</v>
      </c>
      <c r="B218" s="24" t="s">
        <v>1242</v>
      </c>
      <c r="C218" s="19"/>
      <c r="D218" s="19"/>
      <c r="E218" s="19"/>
      <c r="F218" s="19"/>
      <c r="G218" s="19"/>
      <c r="H218" s="11"/>
      <c r="I218" s="11"/>
    </row>
    <row r="219" spans="1:9">
      <c r="A219" s="24" t="s">
        <v>1245</v>
      </c>
      <c r="B219" s="24" t="s">
        <v>1246</v>
      </c>
      <c r="C219" s="19"/>
      <c r="D219" s="19"/>
      <c r="E219" s="19"/>
      <c r="F219" s="19"/>
      <c r="G219" s="19"/>
      <c r="H219" s="11"/>
      <c r="I219" s="11"/>
    </row>
    <row r="220" spans="1:9">
      <c r="A220" s="24" t="s">
        <v>1249</v>
      </c>
      <c r="B220" s="24" t="s">
        <v>1250</v>
      </c>
      <c r="C220" s="19"/>
      <c r="D220" s="19"/>
      <c r="E220" s="19"/>
      <c r="F220" s="19"/>
      <c r="G220" s="19"/>
      <c r="H220" s="11"/>
      <c r="I220" s="11"/>
    </row>
    <row r="221" spans="1:9">
      <c r="A221" s="610"/>
      <c r="B221" s="571"/>
      <c r="C221" s="571"/>
      <c r="D221" s="571"/>
      <c r="E221" s="571"/>
      <c r="F221" s="571"/>
      <c r="G221" s="571"/>
      <c r="H221" s="610"/>
      <c r="I221" s="571"/>
    </row>
    <row r="222" spans="1:9">
      <c r="A222" s="24"/>
      <c r="B222" s="94"/>
      <c r="C222" s="11"/>
      <c r="D222" s="11"/>
      <c r="E222" s="11"/>
      <c r="F222" s="11"/>
      <c r="G222" s="11"/>
      <c r="H222" s="11"/>
      <c r="I222" s="11"/>
    </row>
    <row r="223" spans="1:9">
      <c r="A223" s="24"/>
      <c r="B223" s="24"/>
      <c r="C223" s="19"/>
      <c r="D223" s="19"/>
      <c r="E223" s="19"/>
      <c r="F223" s="19"/>
      <c r="G223" s="19"/>
      <c r="H223" s="11"/>
      <c r="I223" s="11"/>
    </row>
    <row r="224" spans="1:9">
      <c r="A224" s="24"/>
      <c r="B224" s="24"/>
      <c r="C224" s="19"/>
      <c r="D224" s="19"/>
      <c r="E224" s="19"/>
      <c r="F224" s="19"/>
      <c r="G224" s="19"/>
      <c r="H224" s="11"/>
      <c r="I224" s="11"/>
    </row>
    <row r="225" spans="1:9">
      <c r="A225" s="24"/>
      <c r="B225" s="130"/>
      <c r="C225" s="19"/>
      <c r="D225" s="19"/>
      <c r="E225" s="19"/>
      <c r="F225" s="19"/>
      <c r="G225" s="19"/>
      <c r="H225" s="11"/>
      <c r="I225" s="11"/>
    </row>
    <row r="226" spans="1:9">
      <c r="A226" s="24"/>
      <c r="B226" s="24"/>
      <c r="C226" s="19"/>
      <c r="D226" s="19"/>
      <c r="E226" s="19"/>
      <c r="F226" s="19"/>
      <c r="G226" s="19"/>
      <c r="H226" s="11"/>
      <c r="I226" s="11"/>
    </row>
    <row r="227" spans="1:9">
      <c r="A227" s="24"/>
      <c r="B227" s="24"/>
      <c r="C227" s="19"/>
      <c r="D227" s="19"/>
      <c r="E227" s="19"/>
      <c r="F227" s="19"/>
      <c r="G227" s="19"/>
      <c r="H227" s="11"/>
      <c r="I227" s="11"/>
    </row>
    <row r="228" spans="1:9">
      <c r="A228" s="24"/>
      <c r="B228" s="130"/>
      <c r="C228" s="19"/>
      <c r="D228" s="19"/>
      <c r="E228" s="19"/>
      <c r="F228" s="19"/>
      <c r="G228" s="19"/>
      <c r="H228" s="11"/>
      <c r="I228" s="11"/>
    </row>
    <row r="229" spans="1:9">
      <c r="A229" s="24"/>
      <c r="B229" s="24"/>
      <c r="C229" s="19"/>
      <c r="D229" s="19"/>
      <c r="E229" s="19"/>
      <c r="F229" s="19"/>
      <c r="G229" s="19"/>
      <c r="H229" s="11"/>
      <c r="I229" s="11"/>
    </row>
    <row r="230" spans="1:9">
      <c r="A230" s="24"/>
      <c r="B230" s="24"/>
      <c r="C230" s="19"/>
      <c r="D230" s="19"/>
      <c r="E230" s="19"/>
      <c r="F230" s="19"/>
      <c r="G230" s="19"/>
      <c r="H230" s="11"/>
      <c r="I230" s="11"/>
    </row>
    <row r="231" spans="1:9">
      <c r="A231" s="24"/>
      <c r="B231" s="24"/>
      <c r="C231" s="19"/>
      <c r="D231" s="19"/>
      <c r="E231" s="19"/>
      <c r="F231" s="19"/>
      <c r="G231" s="19"/>
      <c r="H231" s="11"/>
      <c r="I231" s="11"/>
    </row>
    <row r="232" spans="1:9">
      <c r="A232" s="24"/>
      <c r="B232" s="24"/>
      <c r="C232" s="19"/>
      <c r="D232" s="19"/>
      <c r="E232" s="19"/>
      <c r="F232" s="19"/>
      <c r="G232" s="19"/>
      <c r="H232" s="11"/>
      <c r="I232" s="11"/>
    </row>
    <row r="233" spans="1:9">
      <c r="A233" s="24"/>
      <c r="B233" s="130"/>
      <c r="C233" s="19"/>
      <c r="D233" s="19"/>
      <c r="E233" s="19"/>
      <c r="F233" s="19"/>
      <c r="G233" s="19"/>
      <c r="H233" s="11"/>
      <c r="I233" s="11"/>
    </row>
    <row r="234" spans="1:9">
      <c r="A234" s="24"/>
      <c r="B234" s="130"/>
      <c r="C234" s="19"/>
      <c r="D234" s="19"/>
      <c r="E234" s="19"/>
      <c r="F234" s="19"/>
      <c r="G234" s="19"/>
      <c r="H234" s="11"/>
      <c r="I234" s="11"/>
    </row>
    <row r="235" spans="1:9">
      <c r="A235" s="24"/>
      <c r="B235" s="130"/>
      <c r="C235" s="19"/>
      <c r="D235" s="19"/>
      <c r="E235" s="19"/>
      <c r="F235" s="19"/>
      <c r="G235" s="19"/>
      <c r="H235" s="11"/>
      <c r="I235" s="11"/>
    </row>
    <row r="236" spans="1:9">
      <c r="A236" s="24"/>
      <c r="B236" s="130"/>
      <c r="C236" s="19"/>
      <c r="D236" s="19"/>
      <c r="E236" s="19"/>
      <c r="F236" s="19"/>
      <c r="G236" s="19"/>
      <c r="H236" s="11"/>
      <c r="I236" s="11"/>
    </row>
    <row r="237" spans="1:9">
      <c r="A237" s="24"/>
      <c r="B237" s="24"/>
      <c r="C237" s="19"/>
      <c r="D237" s="19"/>
      <c r="E237" s="19"/>
      <c r="F237" s="19"/>
      <c r="G237" s="19"/>
      <c r="H237" s="11"/>
      <c r="I237" s="11"/>
    </row>
    <row r="238" spans="1:9">
      <c r="A238" s="24"/>
      <c r="B238" s="24"/>
      <c r="C238" s="19"/>
      <c r="D238" s="19"/>
      <c r="E238" s="19"/>
      <c r="F238" s="19"/>
      <c r="G238" s="19"/>
      <c r="H238" s="11"/>
      <c r="I238" s="11"/>
    </row>
    <row r="239" spans="1:9">
      <c r="A239" s="24"/>
      <c r="B239" s="24"/>
      <c r="C239" s="19"/>
      <c r="D239" s="19"/>
      <c r="E239" s="19"/>
      <c r="F239" s="19"/>
      <c r="G239" s="19"/>
      <c r="H239" s="11"/>
      <c r="I239" s="11"/>
    </row>
    <row r="240" spans="1:9">
      <c r="A240" s="24"/>
      <c r="B240" s="24"/>
      <c r="C240" s="19"/>
      <c r="D240" s="19"/>
      <c r="E240" s="19"/>
      <c r="F240" s="19"/>
      <c r="G240" s="19"/>
      <c r="H240" s="11"/>
      <c r="I240" s="11"/>
    </row>
    <row r="241" spans="1:9">
      <c r="A241" s="24"/>
      <c r="B241" s="24"/>
      <c r="C241" s="19"/>
      <c r="D241" s="19"/>
      <c r="E241" s="19"/>
      <c r="F241" s="19"/>
      <c r="G241" s="19"/>
      <c r="H241" s="11"/>
      <c r="I241" s="11"/>
    </row>
    <row r="242" spans="1:9">
      <c r="A242" s="24"/>
      <c r="B242" s="24"/>
      <c r="C242" s="19"/>
      <c r="D242" s="19"/>
      <c r="E242" s="19"/>
      <c r="F242" s="19"/>
      <c r="G242" s="19"/>
      <c r="H242" s="11"/>
      <c r="I242" s="11"/>
    </row>
    <row r="243" spans="1:9">
      <c r="A243" s="24"/>
      <c r="B243" s="24"/>
      <c r="C243" s="19"/>
      <c r="D243" s="19"/>
      <c r="E243" s="19"/>
      <c r="F243" s="19"/>
      <c r="G243" s="19"/>
      <c r="H243" s="11"/>
      <c r="I243" s="11"/>
    </row>
    <row r="244" spans="1:9">
      <c r="A244" s="24"/>
      <c r="B244" s="24"/>
      <c r="C244" s="19"/>
      <c r="D244" s="19"/>
      <c r="E244" s="19"/>
      <c r="F244" s="19"/>
      <c r="G244" s="19"/>
      <c r="H244" s="11"/>
      <c r="I244" s="11"/>
    </row>
    <row r="245" spans="1:9">
      <c r="A245" s="24"/>
      <c r="B245" s="24"/>
      <c r="C245" s="19"/>
      <c r="D245" s="19"/>
      <c r="E245" s="19"/>
      <c r="F245" s="19"/>
      <c r="G245" s="19"/>
      <c r="H245" s="11"/>
      <c r="I245" s="11"/>
    </row>
    <row r="246" spans="1:9">
      <c r="A246" s="24"/>
      <c r="B246" s="130"/>
      <c r="C246" s="19"/>
      <c r="D246" s="19"/>
      <c r="E246" s="19"/>
      <c r="F246" s="19"/>
      <c r="G246" s="19"/>
      <c r="H246" s="11"/>
      <c r="I246" s="11"/>
    </row>
    <row r="247" spans="1:9">
      <c r="A247" s="24"/>
      <c r="B247" s="24"/>
      <c r="C247" s="19"/>
      <c r="D247" s="19"/>
      <c r="E247" s="19"/>
      <c r="F247" s="19"/>
      <c r="G247" s="19"/>
      <c r="H247" s="11"/>
      <c r="I247" s="11"/>
    </row>
    <row r="248" spans="1:9">
      <c r="A248" s="24"/>
      <c r="B248" s="24"/>
      <c r="C248" s="19"/>
      <c r="D248" s="19"/>
      <c r="E248" s="19"/>
      <c r="F248" s="19"/>
      <c r="G248" s="19"/>
      <c r="H248" s="11"/>
      <c r="I248" s="11"/>
    </row>
    <row r="249" spans="1:9">
      <c r="A249" s="24"/>
      <c r="B249" s="24"/>
      <c r="C249" s="19"/>
      <c r="D249" s="19"/>
      <c r="E249" s="19"/>
      <c r="F249" s="19"/>
      <c r="G249" s="19"/>
      <c r="H249" s="11"/>
      <c r="I249" s="11"/>
    </row>
    <row r="250" spans="1:9">
      <c r="A250" s="24"/>
      <c r="B250" s="24"/>
      <c r="C250" s="19"/>
      <c r="D250" s="19"/>
      <c r="E250" s="19"/>
      <c r="F250" s="19"/>
      <c r="G250" s="19"/>
      <c r="H250" s="11"/>
      <c r="I250" s="11"/>
    </row>
    <row r="251" spans="1:9">
      <c r="A251" s="24"/>
      <c r="B251" s="130"/>
      <c r="C251" s="19"/>
      <c r="D251" s="19"/>
      <c r="E251" s="19"/>
      <c r="F251" s="19"/>
      <c r="G251" s="19"/>
      <c r="H251" s="11"/>
      <c r="I251" s="11"/>
    </row>
    <row r="252" spans="1:9">
      <c r="A252" s="24"/>
      <c r="B252" s="24"/>
      <c r="C252" s="19"/>
      <c r="D252" s="19"/>
      <c r="E252" s="19"/>
      <c r="F252" s="19"/>
      <c r="G252" s="19"/>
      <c r="H252" s="11"/>
      <c r="I252" s="11"/>
    </row>
    <row r="253" spans="1:9">
      <c r="A253" s="24"/>
      <c r="B253" s="24"/>
      <c r="C253" s="19"/>
      <c r="D253" s="19"/>
      <c r="E253" s="19"/>
      <c r="F253" s="19"/>
      <c r="G253" s="19"/>
      <c r="H253" s="11"/>
      <c r="I253" s="11"/>
    </row>
    <row r="254" spans="1:9">
      <c r="A254" s="24"/>
      <c r="B254" s="24"/>
      <c r="C254" s="19"/>
      <c r="D254" s="19"/>
      <c r="E254" s="19"/>
      <c r="F254" s="19"/>
      <c r="G254" s="19"/>
      <c r="H254" s="11"/>
      <c r="I254" s="11"/>
    </row>
    <row r="255" spans="1:9">
      <c r="A255" s="24"/>
      <c r="B255" s="24"/>
      <c r="C255" s="19"/>
      <c r="D255" s="19"/>
      <c r="E255" s="19"/>
      <c r="F255" s="19"/>
      <c r="G255" s="19"/>
      <c r="H255" s="11"/>
      <c r="I255" s="11"/>
    </row>
    <row r="256" spans="1:9">
      <c r="A256" s="24"/>
      <c r="B256" s="24"/>
      <c r="C256" s="19"/>
      <c r="D256" s="19"/>
      <c r="E256" s="19"/>
      <c r="F256" s="19"/>
      <c r="G256" s="19"/>
      <c r="H256" s="11"/>
      <c r="I256" s="11"/>
    </row>
    <row r="257" spans="1:9">
      <c r="A257" s="24"/>
      <c r="B257" s="24"/>
      <c r="C257" s="19"/>
      <c r="D257" s="19"/>
      <c r="E257" s="19"/>
      <c r="F257" s="19"/>
      <c r="G257" s="19"/>
      <c r="H257" s="11"/>
      <c r="I257" s="11"/>
    </row>
    <row r="258" spans="1:9">
      <c r="A258" s="24"/>
      <c r="B258" s="130"/>
      <c r="C258" s="19"/>
      <c r="D258" s="19"/>
      <c r="E258" s="19"/>
      <c r="F258" s="19"/>
      <c r="G258" s="19"/>
      <c r="H258" s="11"/>
      <c r="I258" s="11"/>
    </row>
    <row r="259" spans="1:9">
      <c r="A259" s="24"/>
      <c r="B259" s="24"/>
      <c r="C259" s="19"/>
      <c r="D259" s="19"/>
      <c r="E259" s="19"/>
      <c r="F259" s="19"/>
      <c r="G259" s="19"/>
      <c r="H259" s="11"/>
      <c r="I259" s="11"/>
    </row>
    <row r="260" spans="1:9">
      <c r="A260" s="24"/>
      <c r="B260" s="24"/>
      <c r="C260" s="19"/>
      <c r="D260" s="19"/>
      <c r="E260" s="19"/>
      <c r="F260" s="19"/>
      <c r="G260" s="19"/>
      <c r="H260" s="11"/>
      <c r="I260" s="11"/>
    </row>
    <row r="261" spans="1:9">
      <c r="A261" s="24"/>
      <c r="B261" s="24"/>
      <c r="C261" s="19"/>
      <c r="D261" s="19"/>
      <c r="E261" s="19"/>
      <c r="F261" s="19"/>
      <c r="G261" s="19"/>
      <c r="H261" s="11"/>
      <c r="I261" s="11"/>
    </row>
    <row r="262" spans="1:9">
      <c r="A262" s="24"/>
      <c r="B262" s="24"/>
      <c r="C262" s="19"/>
      <c r="D262" s="19"/>
      <c r="E262" s="19"/>
      <c r="F262" s="19"/>
      <c r="G262" s="19"/>
      <c r="H262" s="11"/>
      <c r="I262" s="11"/>
    </row>
    <row r="263" spans="1:9">
      <c r="A263" s="24"/>
      <c r="B263" s="24"/>
      <c r="C263" s="19"/>
      <c r="D263" s="19"/>
      <c r="E263" s="19"/>
      <c r="F263" s="19"/>
      <c r="G263" s="19"/>
      <c r="H263" s="11"/>
      <c r="I263" s="11"/>
    </row>
    <row r="264" spans="1:9">
      <c r="A264" s="24"/>
      <c r="B264" s="24"/>
      <c r="C264" s="19"/>
      <c r="D264" s="19"/>
      <c r="E264" s="19"/>
      <c r="F264" s="19"/>
      <c r="G264" s="19"/>
      <c r="H264" s="11"/>
      <c r="I264" s="11"/>
    </row>
    <row r="265" spans="1:9">
      <c r="A265" s="24"/>
      <c r="B265" s="24"/>
      <c r="C265" s="19"/>
      <c r="D265" s="19"/>
      <c r="E265" s="19"/>
      <c r="F265" s="19"/>
      <c r="G265" s="19"/>
      <c r="H265" s="11"/>
      <c r="I265" s="11"/>
    </row>
    <row r="266" spans="1:9">
      <c r="A266" s="24"/>
      <c r="B266" s="24"/>
      <c r="C266" s="19"/>
      <c r="D266" s="19"/>
      <c r="E266" s="19"/>
      <c r="F266" s="19"/>
      <c r="G266" s="19"/>
      <c r="H266" s="11"/>
      <c r="I266" s="11"/>
    </row>
    <row r="267" spans="1:9">
      <c r="A267" s="24"/>
      <c r="B267" s="24"/>
      <c r="C267" s="19"/>
      <c r="D267" s="19"/>
      <c r="E267" s="19"/>
      <c r="F267" s="19"/>
      <c r="G267" s="19"/>
      <c r="H267" s="11"/>
      <c r="I267" s="11"/>
    </row>
  </sheetData>
  <mergeCells count="5">
    <mergeCell ref="A2:I2"/>
    <mergeCell ref="A3:I3"/>
    <mergeCell ref="A180:I180"/>
    <mergeCell ref="A221:I221"/>
    <mergeCell ref="A6:I6"/>
  </mergeCells>
  <phoneticPr fontId="89" type="noConversion"/>
  <dataValidations count="1">
    <dataValidation type="list" allowBlank="1" showInputMessage="1" showErrorMessage="1" sqref="C8:G46 C223:G267 C182:G220" xr:uid="{00000000-0002-0000-1800-000000000000}">
      <formula1>"S,A+,A,B+,B,C+,C,D+,D,?,"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正言ACSC"/>
  <dimension ref="A1:Y266"/>
  <sheetViews>
    <sheetView workbookViewId="0"/>
  </sheetViews>
  <sheetFormatPr baseColWidth="10" defaultColWidth="13.7109375" defaultRowHeight="18" customHeight="1"/>
  <cols>
    <col min="1" max="1" width="11" style="159" customWidth="1"/>
    <col min="2" max="2" width="34.85546875" style="159" customWidth="1"/>
    <col min="3" max="3" width="3.140625" style="124" customWidth="1"/>
    <col min="4" max="4" width="3" style="124" customWidth="1"/>
    <col min="5" max="5" width="2.85546875" style="124" customWidth="1"/>
    <col min="6" max="6" width="2.42578125" style="124" customWidth="1"/>
    <col min="7" max="7" width="8.5703125" style="124" customWidth="1"/>
    <col min="8" max="8" width="41.5703125" style="340"/>
    <col min="9" max="9" width="6" style="313" customWidth="1"/>
    <col min="10" max="11" width="12.5703125" style="1" customWidth="1"/>
    <col min="12" max="12" width="2.7109375" style="1" customWidth="1"/>
    <col min="13" max="13" width="2.42578125" style="1" customWidth="1"/>
    <col min="14" max="15" width="2.7109375" style="1" customWidth="1"/>
    <col min="16" max="16" width="12.5703125" style="1" customWidth="1"/>
    <col min="17" max="17" width="41.85546875" style="340" customWidth="1"/>
    <col min="18" max="25" width="12.5703125" style="1" customWidth="1"/>
  </cols>
  <sheetData>
    <row r="1" spans="1:25" ht="124.5" customHeight="1">
      <c r="A1" s="551" t="s">
        <v>5271</v>
      </c>
      <c r="B1" s="543"/>
      <c r="C1" s="543"/>
      <c r="D1" s="543"/>
      <c r="E1" s="543"/>
      <c r="F1" s="543"/>
      <c r="G1" s="543"/>
      <c r="H1" s="613"/>
      <c r="I1" s="2"/>
      <c r="J1" s="14"/>
      <c r="K1" s="14"/>
      <c r="L1" s="14"/>
      <c r="M1" s="14"/>
      <c r="N1" s="14"/>
      <c r="O1" s="14"/>
      <c r="P1" s="14"/>
      <c r="R1" s="14"/>
      <c r="S1" s="14"/>
      <c r="T1" s="14"/>
      <c r="U1" s="14"/>
      <c r="V1" s="14"/>
      <c r="W1" s="14"/>
      <c r="X1" s="14"/>
      <c r="Y1" s="14"/>
    </row>
    <row r="2" spans="1:25" ht="30" customHeight="1">
      <c r="A2" s="540" t="s">
        <v>1</v>
      </c>
      <c r="B2" s="543"/>
      <c r="C2" s="543"/>
      <c r="D2" s="543"/>
      <c r="E2" s="543"/>
      <c r="F2" s="543"/>
      <c r="G2" s="543"/>
      <c r="H2" s="612"/>
      <c r="I2" s="2"/>
      <c r="J2" s="540" t="s">
        <v>2</v>
      </c>
      <c r="K2" s="543"/>
      <c r="L2" s="543"/>
      <c r="M2" s="543"/>
      <c r="N2" s="543"/>
      <c r="O2" s="543"/>
      <c r="P2" s="543"/>
      <c r="Q2" s="611"/>
      <c r="R2" s="14"/>
      <c r="S2" s="14"/>
      <c r="T2" s="14"/>
      <c r="U2" s="14"/>
      <c r="V2" s="14"/>
      <c r="W2" s="14"/>
      <c r="X2" s="14"/>
      <c r="Y2" s="14"/>
    </row>
    <row r="3" spans="1:25" ht="27" customHeight="1">
      <c r="A3" s="5" t="s">
        <v>4</v>
      </c>
      <c r="B3" s="6" t="s">
        <v>5</v>
      </c>
      <c r="C3" s="7" t="s">
        <v>6</v>
      </c>
      <c r="D3" s="7" t="s">
        <v>7</v>
      </c>
      <c r="E3" s="7" t="s">
        <v>8</v>
      </c>
      <c r="F3" s="7" t="s">
        <v>9</v>
      </c>
      <c r="G3" s="7" t="s">
        <v>10</v>
      </c>
      <c r="H3" s="340" t="s">
        <v>11</v>
      </c>
      <c r="I3" s="2"/>
      <c r="J3" s="5" t="s">
        <v>4</v>
      </c>
      <c r="K3" s="6" t="s">
        <v>5</v>
      </c>
      <c r="L3" s="7" t="s">
        <v>6</v>
      </c>
      <c r="M3" s="7" t="s">
        <v>7</v>
      </c>
      <c r="N3" s="7" t="s">
        <v>8</v>
      </c>
      <c r="O3" s="7" t="s">
        <v>9</v>
      </c>
      <c r="P3" s="7" t="s">
        <v>10</v>
      </c>
      <c r="Q3" s="89" t="s">
        <v>11</v>
      </c>
      <c r="R3" s="14"/>
      <c r="S3" s="14"/>
      <c r="T3" s="14"/>
      <c r="U3" s="14"/>
      <c r="V3" s="14"/>
      <c r="W3" s="14"/>
      <c r="X3" s="14"/>
      <c r="Y3" s="14"/>
    </row>
    <row r="4" spans="1:25" ht="21">
      <c r="A4" s="5" t="s">
        <v>14</v>
      </c>
      <c r="B4" s="5" t="s">
        <v>15</v>
      </c>
      <c r="C4" s="10"/>
      <c r="D4" s="10"/>
      <c r="E4" s="10"/>
      <c r="F4" s="10"/>
      <c r="G4" s="10" t="s">
        <v>1562</v>
      </c>
      <c r="H4" s="341" t="s">
        <v>3939</v>
      </c>
      <c r="I4" s="2"/>
      <c r="J4" s="5" t="s">
        <v>19</v>
      </c>
      <c r="K4" s="12" t="s">
        <v>20</v>
      </c>
      <c r="L4" s="13"/>
      <c r="M4" s="13"/>
      <c r="N4" s="13"/>
      <c r="O4" s="13"/>
      <c r="P4" s="13"/>
      <c r="Q4" s="340" t="s">
        <v>3940</v>
      </c>
      <c r="R4" s="14"/>
      <c r="S4" s="14"/>
      <c r="T4" s="14"/>
      <c r="U4" s="14"/>
      <c r="V4" s="14"/>
      <c r="W4" s="14"/>
      <c r="X4" s="14"/>
      <c r="Y4" s="14"/>
    </row>
    <row r="5" spans="1:25" ht="34">
      <c r="A5" s="5" t="s">
        <v>26</v>
      </c>
      <c r="B5" s="342" t="s">
        <v>27</v>
      </c>
      <c r="C5" s="10"/>
      <c r="D5" s="10"/>
      <c r="E5" s="10"/>
      <c r="F5" s="10"/>
      <c r="G5" s="10" t="s">
        <v>18</v>
      </c>
      <c r="H5" s="341" t="s">
        <v>3941</v>
      </c>
      <c r="I5" s="2"/>
      <c r="J5" s="5" t="s">
        <v>29</v>
      </c>
      <c r="K5" s="343" t="s">
        <v>30</v>
      </c>
      <c r="L5" s="13"/>
      <c r="M5" s="13"/>
      <c r="N5" s="13"/>
      <c r="O5" s="13"/>
      <c r="P5" s="13" t="s">
        <v>21</v>
      </c>
      <c r="Q5" s="340" t="s">
        <v>3942</v>
      </c>
      <c r="R5" s="14"/>
      <c r="S5" s="14"/>
      <c r="T5" s="14"/>
      <c r="U5" s="14"/>
      <c r="V5" s="14"/>
      <c r="W5" s="14"/>
      <c r="X5" s="14"/>
      <c r="Y5" s="14"/>
    </row>
    <row r="6" spans="1:25" ht="21">
      <c r="A6" s="5" t="s">
        <v>34</v>
      </c>
      <c r="B6" s="5" t="s">
        <v>35</v>
      </c>
      <c r="C6" s="10"/>
      <c r="D6" s="10"/>
      <c r="E6" s="10"/>
      <c r="F6" s="10"/>
      <c r="G6" s="10"/>
      <c r="I6" s="2"/>
      <c r="J6" s="5" t="s">
        <v>36</v>
      </c>
      <c r="K6" s="12" t="s">
        <v>37</v>
      </c>
      <c r="L6" s="13"/>
      <c r="M6" s="13"/>
      <c r="N6" s="13"/>
      <c r="O6" s="13"/>
      <c r="P6" s="13"/>
      <c r="R6" s="14"/>
      <c r="S6" s="14"/>
      <c r="T6" s="14"/>
      <c r="U6" s="14"/>
      <c r="V6" s="14"/>
      <c r="W6" s="14"/>
      <c r="X6" s="14"/>
      <c r="Y6" s="14"/>
    </row>
    <row r="7" spans="1:25" ht="21">
      <c r="A7" s="5" t="s">
        <v>41</v>
      </c>
      <c r="B7" s="342" t="s">
        <v>42</v>
      </c>
      <c r="C7" s="10"/>
      <c r="D7" s="10"/>
      <c r="E7" s="10"/>
      <c r="F7" s="10"/>
      <c r="G7" s="10" t="s">
        <v>22</v>
      </c>
      <c r="H7" s="341" t="s">
        <v>3943</v>
      </c>
      <c r="I7" s="2"/>
      <c r="J7" s="5" t="s">
        <v>43</v>
      </c>
      <c r="K7" s="12" t="s">
        <v>44</v>
      </c>
      <c r="L7" s="13"/>
      <c r="M7" s="13"/>
      <c r="N7" s="13"/>
      <c r="O7" s="13"/>
      <c r="P7" s="13"/>
      <c r="R7" s="14"/>
      <c r="S7" s="14"/>
      <c r="T7" s="14"/>
      <c r="U7" s="14"/>
      <c r="V7" s="14"/>
      <c r="W7" s="14"/>
      <c r="X7" s="14"/>
      <c r="Y7" s="14"/>
    </row>
    <row r="8" spans="1:25" ht="21">
      <c r="A8" s="5" t="s">
        <v>48</v>
      </c>
      <c r="B8" s="344" t="s">
        <v>49</v>
      </c>
      <c r="C8" s="10"/>
      <c r="D8" s="10"/>
      <c r="E8" s="10"/>
      <c r="F8" s="10"/>
      <c r="G8" s="10" t="s">
        <v>28</v>
      </c>
      <c r="H8" s="341" t="s">
        <v>3944</v>
      </c>
      <c r="I8" s="2"/>
      <c r="J8" s="5" t="s">
        <v>50</v>
      </c>
      <c r="K8" s="343" t="s">
        <v>51</v>
      </c>
      <c r="L8" s="13"/>
      <c r="M8" s="13"/>
      <c r="N8" s="13"/>
      <c r="O8" s="13"/>
      <c r="P8" s="13" t="s">
        <v>1567</v>
      </c>
      <c r="Q8" s="340" t="s">
        <v>3945</v>
      </c>
      <c r="R8" s="14"/>
      <c r="S8" s="14"/>
      <c r="T8" s="14"/>
      <c r="U8" s="14"/>
      <c r="V8" s="14"/>
      <c r="W8" s="14"/>
      <c r="X8" s="14"/>
      <c r="Y8" s="14"/>
    </row>
    <row r="9" spans="1:25" ht="21">
      <c r="A9" s="5" t="s">
        <v>55</v>
      </c>
      <c r="B9" s="345" t="s">
        <v>56</v>
      </c>
      <c r="C9" s="10"/>
      <c r="D9" s="10"/>
      <c r="E9" s="10"/>
      <c r="F9" s="10"/>
      <c r="G9" s="10" t="s">
        <v>28</v>
      </c>
      <c r="H9" s="341" t="s">
        <v>3946</v>
      </c>
      <c r="I9" s="2"/>
      <c r="J9" s="5" t="s">
        <v>57</v>
      </c>
      <c r="K9" s="12" t="s">
        <v>58</v>
      </c>
      <c r="L9" s="13"/>
      <c r="M9" s="13"/>
      <c r="N9" s="13"/>
      <c r="O9" s="13"/>
      <c r="P9" s="13" t="s">
        <v>18</v>
      </c>
      <c r="Q9" s="340" t="s">
        <v>3947</v>
      </c>
      <c r="R9" s="14"/>
      <c r="S9" s="14"/>
      <c r="T9" s="14"/>
      <c r="U9" s="14"/>
      <c r="V9" s="14"/>
      <c r="W9" s="14"/>
      <c r="X9" s="14"/>
      <c r="Y9" s="14"/>
    </row>
    <row r="10" spans="1:25" ht="21">
      <c r="A10" s="5" t="s">
        <v>62</v>
      </c>
      <c r="B10" s="5" t="s">
        <v>63</v>
      </c>
      <c r="C10" s="10"/>
      <c r="D10" s="10"/>
      <c r="E10" s="10"/>
      <c r="F10" s="10"/>
      <c r="G10" s="10"/>
      <c r="I10" s="2"/>
      <c r="J10" s="5" t="s">
        <v>64</v>
      </c>
      <c r="K10" s="12" t="s">
        <v>65</v>
      </c>
      <c r="L10" s="13"/>
      <c r="M10" s="13"/>
      <c r="N10" s="13"/>
      <c r="O10" s="13"/>
      <c r="P10" s="13"/>
      <c r="R10" s="14"/>
      <c r="S10" s="14"/>
      <c r="T10" s="14"/>
      <c r="U10" s="14"/>
      <c r="V10" s="14"/>
      <c r="W10" s="14"/>
      <c r="X10" s="14"/>
      <c r="Y10" s="14"/>
    </row>
    <row r="11" spans="1:25" ht="21">
      <c r="A11" s="5" t="s">
        <v>67</v>
      </c>
      <c r="B11" s="5" t="s">
        <v>68</v>
      </c>
      <c r="C11" s="10"/>
      <c r="D11" s="10"/>
      <c r="E11" s="10"/>
      <c r="F11" s="10"/>
      <c r="G11" s="10" t="s">
        <v>1661</v>
      </c>
      <c r="H11" s="341" t="s">
        <v>3948</v>
      </c>
      <c r="I11" s="2"/>
      <c r="J11" s="5" t="s">
        <v>69</v>
      </c>
      <c r="K11" s="346" t="s">
        <v>70</v>
      </c>
      <c r="L11" s="13"/>
      <c r="M11" s="13"/>
      <c r="N11" s="13"/>
      <c r="O11" s="13"/>
      <c r="P11" s="13" t="s">
        <v>1562</v>
      </c>
      <c r="Q11" s="340" t="s">
        <v>3949</v>
      </c>
      <c r="R11" s="14"/>
      <c r="S11" s="14"/>
      <c r="T11" s="14"/>
      <c r="U11" s="14"/>
      <c r="V11" s="14"/>
      <c r="W11" s="14"/>
      <c r="X11" s="14"/>
      <c r="Y11" s="14"/>
    </row>
    <row r="12" spans="1:25" ht="21">
      <c r="A12" s="5" t="s">
        <v>74</v>
      </c>
      <c r="B12" s="5" t="s">
        <v>75</v>
      </c>
      <c r="C12" s="10"/>
      <c r="D12" s="10"/>
      <c r="E12" s="10"/>
      <c r="F12" s="10"/>
      <c r="G12" s="10" t="s">
        <v>1574</v>
      </c>
      <c r="H12" s="341" t="s">
        <v>3950</v>
      </c>
      <c r="I12" s="2"/>
      <c r="J12" s="5" t="s">
        <v>76</v>
      </c>
      <c r="K12" s="346" t="s">
        <v>77</v>
      </c>
      <c r="L12" s="13"/>
      <c r="M12" s="13"/>
      <c r="N12" s="13"/>
      <c r="O12" s="13"/>
      <c r="P12" s="13" t="s">
        <v>1574</v>
      </c>
      <c r="Q12" s="340" t="s">
        <v>3951</v>
      </c>
      <c r="R12" s="14"/>
      <c r="S12" s="14"/>
      <c r="T12" s="14"/>
      <c r="U12" s="14"/>
      <c r="V12" s="14"/>
      <c r="W12" s="14"/>
      <c r="X12" s="14"/>
      <c r="Y12" s="14"/>
    </row>
    <row r="13" spans="1:25" ht="51">
      <c r="A13" s="5" t="s">
        <v>81</v>
      </c>
      <c r="B13" s="342" t="s">
        <v>82</v>
      </c>
      <c r="C13" s="10"/>
      <c r="D13" s="10"/>
      <c r="E13" s="10"/>
      <c r="F13" s="10"/>
      <c r="G13" s="10" t="s">
        <v>18</v>
      </c>
      <c r="H13" s="341" t="s">
        <v>3952</v>
      </c>
      <c r="I13" s="2"/>
      <c r="J13" s="5" t="s">
        <v>83</v>
      </c>
      <c r="K13" s="346" t="s">
        <v>84</v>
      </c>
      <c r="L13" s="13"/>
      <c r="M13" s="13"/>
      <c r="N13" s="13"/>
      <c r="O13" s="13"/>
      <c r="P13" s="13" t="s">
        <v>18</v>
      </c>
      <c r="Q13" s="340" t="s">
        <v>3953</v>
      </c>
      <c r="R13" s="14"/>
      <c r="S13" s="14"/>
      <c r="T13" s="14"/>
      <c r="U13" s="14"/>
      <c r="V13" s="14"/>
      <c r="W13" s="14"/>
      <c r="X13" s="14"/>
      <c r="Y13" s="14"/>
    </row>
    <row r="14" spans="1:25" ht="21">
      <c r="A14" s="5" t="s">
        <v>88</v>
      </c>
      <c r="B14" s="344" t="s">
        <v>89</v>
      </c>
      <c r="C14" s="10"/>
      <c r="D14" s="10"/>
      <c r="E14" s="10"/>
      <c r="F14" s="10"/>
      <c r="G14" s="10" t="s">
        <v>21</v>
      </c>
      <c r="H14" s="341" t="s">
        <v>3954</v>
      </c>
      <c r="I14" s="2"/>
      <c r="J14" s="5" t="s">
        <v>90</v>
      </c>
      <c r="K14" s="346" t="s">
        <v>91</v>
      </c>
      <c r="L14" s="13"/>
      <c r="M14" s="13"/>
      <c r="N14" s="13"/>
      <c r="O14" s="13"/>
      <c r="P14" s="13" t="s">
        <v>1562</v>
      </c>
      <c r="R14" s="14"/>
      <c r="S14" s="14"/>
      <c r="T14" s="14"/>
      <c r="U14" s="14"/>
      <c r="V14" s="14"/>
      <c r="W14" s="14"/>
      <c r="X14" s="14"/>
      <c r="Y14" s="14"/>
    </row>
    <row r="15" spans="1:25" ht="21">
      <c r="A15" s="5" t="s">
        <v>95</v>
      </c>
      <c r="B15" s="5" t="s">
        <v>96</v>
      </c>
      <c r="C15" s="10"/>
      <c r="D15" s="10"/>
      <c r="E15" s="10"/>
      <c r="F15" s="10"/>
      <c r="G15" s="10"/>
      <c r="I15" s="2"/>
      <c r="J15" s="5" t="s">
        <v>97</v>
      </c>
      <c r="K15" s="12" t="s">
        <v>98</v>
      </c>
      <c r="L15" s="13"/>
      <c r="M15" s="13"/>
      <c r="N15" s="13"/>
      <c r="O15" s="13"/>
      <c r="P15" s="13"/>
      <c r="R15" s="14"/>
      <c r="S15" s="14"/>
      <c r="T15" s="14"/>
      <c r="U15" s="14"/>
      <c r="V15" s="14"/>
      <c r="W15" s="14"/>
      <c r="X15" s="14"/>
      <c r="Y15" s="14"/>
    </row>
    <row r="16" spans="1:25" ht="21">
      <c r="A16" s="5" t="s">
        <v>102</v>
      </c>
      <c r="B16" s="344" t="s">
        <v>103</v>
      </c>
      <c r="C16" s="10"/>
      <c r="D16" s="10"/>
      <c r="E16" s="10"/>
      <c r="F16" s="10"/>
      <c r="G16" s="10" t="s">
        <v>28</v>
      </c>
      <c r="H16" s="341" t="s">
        <v>2717</v>
      </c>
      <c r="I16" s="2"/>
      <c r="J16" s="5" t="s">
        <v>104</v>
      </c>
      <c r="K16" s="347" t="s">
        <v>105</v>
      </c>
      <c r="L16" s="13"/>
      <c r="M16" s="13"/>
      <c r="N16" s="13"/>
      <c r="O16" s="13"/>
      <c r="P16" s="13" t="s">
        <v>17</v>
      </c>
      <c r="Q16" s="340" t="s">
        <v>3955</v>
      </c>
      <c r="R16" s="14"/>
      <c r="S16" s="14"/>
      <c r="T16" s="14"/>
      <c r="U16" s="14"/>
      <c r="V16" s="14"/>
      <c r="W16" s="14"/>
      <c r="X16" s="14"/>
      <c r="Y16" s="14"/>
    </row>
    <row r="17" spans="1:25" ht="21">
      <c r="A17" s="5" t="s">
        <v>109</v>
      </c>
      <c r="B17" s="345" t="s">
        <v>110</v>
      </c>
      <c r="C17" s="10"/>
      <c r="D17" s="10"/>
      <c r="E17" s="10"/>
      <c r="F17" s="10"/>
      <c r="G17" s="10" t="s">
        <v>17</v>
      </c>
      <c r="H17" s="341" t="s">
        <v>3956</v>
      </c>
      <c r="I17" s="2"/>
      <c r="J17" s="5" t="s">
        <v>111</v>
      </c>
      <c r="K17" s="346" t="s">
        <v>112</v>
      </c>
      <c r="L17" s="13"/>
      <c r="M17" s="13"/>
      <c r="N17" s="13"/>
      <c r="O17" s="13"/>
      <c r="P17" s="13" t="s">
        <v>1562</v>
      </c>
      <c r="R17" s="14"/>
      <c r="S17" s="14"/>
      <c r="T17" s="14"/>
      <c r="U17" s="14"/>
      <c r="V17" s="14"/>
      <c r="W17" s="14"/>
      <c r="X17" s="14"/>
      <c r="Y17" s="14"/>
    </row>
    <row r="18" spans="1:25" ht="21">
      <c r="A18" s="5" t="s">
        <v>116</v>
      </c>
      <c r="B18" s="342" t="s">
        <v>117</v>
      </c>
      <c r="C18" s="10" t="s">
        <v>1567</v>
      </c>
      <c r="D18" s="10"/>
      <c r="E18" s="10"/>
      <c r="F18" s="10"/>
      <c r="G18" s="10" t="s">
        <v>22</v>
      </c>
      <c r="H18" s="341" t="s">
        <v>3957</v>
      </c>
      <c r="I18" s="2"/>
      <c r="J18" s="5" t="s">
        <v>118</v>
      </c>
      <c r="K18" s="12" t="s">
        <v>119</v>
      </c>
      <c r="L18" s="13"/>
      <c r="M18" s="13"/>
      <c r="N18" s="13"/>
      <c r="O18" s="13"/>
      <c r="P18" s="13"/>
      <c r="R18" s="14"/>
      <c r="S18" s="14"/>
      <c r="T18" s="14"/>
      <c r="U18" s="14"/>
      <c r="V18" s="14"/>
      <c r="W18" s="14"/>
      <c r="X18" s="14"/>
      <c r="Y18" s="14"/>
    </row>
    <row r="19" spans="1:25" ht="21">
      <c r="A19" s="5" t="s">
        <v>123</v>
      </c>
      <c r="B19" s="345" t="s">
        <v>124</v>
      </c>
      <c r="C19" s="10"/>
      <c r="D19" s="10"/>
      <c r="E19" s="10"/>
      <c r="F19" s="10"/>
      <c r="G19" s="10" t="s">
        <v>17</v>
      </c>
      <c r="H19" s="341" t="s">
        <v>3958</v>
      </c>
      <c r="I19" s="2"/>
      <c r="J19" s="5" t="s">
        <v>125</v>
      </c>
      <c r="K19" s="12" t="s">
        <v>126</v>
      </c>
      <c r="L19" s="13"/>
      <c r="M19" s="13"/>
      <c r="N19" s="13"/>
      <c r="O19" s="13"/>
      <c r="P19" s="13"/>
      <c r="R19" s="14"/>
      <c r="S19" s="14"/>
      <c r="T19" s="14"/>
      <c r="U19" s="14"/>
      <c r="V19" s="14"/>
      <c r="W19" s="14"/>
      <c r="X19" s="14"/>
      <c r="Y19" s="14"/>
    </row>
    <row r="20" spans="1:25" ht="21">
      <c r="A20" s="5" t="s">
        <v>130</v>
      </c>
      <c r="B20" s="5" t="s">
        <v>129</v>
      </c>
      <c r="C20" s="10"/>
      <c r="D20" s="10"/>
      <c r="E20" s="10"/>
      <c r="F20" s="10"/>
      <c r="G20" s="10"/>
      <c r="I20" s="2"/>
      <c r="J20" s="5" t="s">
        <v>131</v>
      </c>
      <c r="K20" s="347" t="s">
        <v>132</v>
      </c>
      <c r="L20" s="13"/>
      <c r="M20" s="13"/>
      <c r="N20" s="13"/>
      <c r="O20" s="13"/>
      <c r="P20" s="13" t="s">
        <v>28</v>
      </c>
      <c r="Q20" s="340" t="s">
        <v>3959</v>
      </c>
      <c r="R20" s="14"/>
      <c r="S20" s="14"/>
      <c r="T20" s="14"/>
      <c r="U20" s="14"/>
      <c r="V20" s="14"/>
      <c r="W20" s="14"/>
      <c r="X20" s="14"/>
      <c r="Y20" s="14"/>
    </row>
    <row r="21" spans="1:25" ht="21">
      <c r="A21" s="5" t="s">
        <v>136</v>
      </c>
      <c r="B21" s="344" t="s">
        <v>137</v>
      </c>
      <c r="C21" s="10"/>
      <c r="D21" s="10"/>
      <c r="E21" s="10"/>
      <c r="F21" s="10"/>
      <c r="G21" s="10" t="s">
        <v>28</v>
      </c>
      <c r="H21" s="341" t="s">
        <v>3960</v>
      </c>
      <c r="I21" s="2"/>
      <c r="J21" s="5" t="s">
        <v>138</v>
      </c>
      <c r="K21" s="12" t="s">
        <v>139</v>
      </c>
      <c r="L21" s="13"/>
      <c r="M21" s="13"/>
      <c r="N21" s="13"/>
      <c r="O21" s="13"/>
      <c r="P21" s="13"/>
      <c r="R21" s="14"/>
      <c r="S21" s="14"/>
      <c r="T21" s="14"/>
      <c r="U21" s="14"/>
      <c r="V21" s="14"/>
      <c r="W21" s="14"/>
      <c r="X21" s="14"/>
      <c r="Y21" s="14"/>
    </row>
    <row r="22" spans="1:25" ht="21">
      <c r="A22" s="5" t="s">
        <v>143</v>
      </c>
      <c r="B22" s="5" t="s">
        <v>144</v>
      </c>
      <c r="C22" s="10"/>
      <c r="D22" s="10"/>
      <c r="E22" s="10"/>
      <c r="F22" s="10"/>
      <c r="G22" s="10"/>
      <c r="I22" s="2"/>
      <c r="J22" s="5" t="s">
        <v>145</v>
      </c>
      <c r="K22" s="12" t="s">
        <v>146</v>
      </c>
      <c r="L22" s="13"/>
      <c r="M22" s="13"/>
      <c r="N22" s="13"/>
      <c r="O22" s="13"/>
      <c r="P22" s="13"/>
      <c r="R22" s="14"/>
      <c r="S22" s="14"/>
      <c r="T22" s="14"/>
      <c r="U22" s="14"/>
      <c r="V22" s="14"/>
      <c r="W22" s="14"/>
      <c r="X22" s="14"/>
      <c r="Y22" s="14"/>
    </row>
    <row r="23" spans="1:25" ht="21">
      <c r="A23" s="5" t="s">
        <v>150</v>
      </c>
      <c r="B23" s="342" t="s">
        <v>151</v>
      </c>
      <c r="C23" s="10"/>
      <c r="D23" s="10"/>
      <c r="E23" s="10"/>
      <c r="F23" s="10"/>
      <c r="G23" s="10" t="s">
        <v>18</v>
      </c>
      <c r="I23" s="2"/>
      <c r="J23" s="5" t="s">
        <v>152</v>
      </c>
      <c r="K23" s="346" t="s">
        <v>30</v>
      </c>
      <c r="L23" s="13"/>
      <c r="M23" s="13"/>
      <c r="N23" s="13"/>
      <c r="O23" s="13"/>
      <c r="P23" s="13" t="s">
        <v>18</v>
      </c>
      <c r="Q23" s="340" t="s">
        <v>3961</v>
      </c>
      <c r="R23" s="14"/>
      <c r="S23" s="14"/>
      <c r="T23" s="14"/>
      <c r="U23" s="14"/>
      <c r="V23" s="14"/>
      <c r="W23" s="14"/>
      <c r="X23" s="14"/>
      <c r="Y23" s="14"/>
    </row>
    <row r="24" spans="1:25" ht="21">
      <c r="A24" s="5" t="s">
        <v>156</v>
      </c>
      <c r="B24" s="342" t="s">
        <v>157</v>
      </c>
      <c r="C24" s="10"/>
      <c r="D24" s="10"/>
      <c r="E24" s="10"/>
      <c r="F24" s="10"/>
      <c r="G24" s="10" t="s">
        <v>22</v>
      </c>
      <c r="H24" s="340" t="s">
        <v>3962</v>
      </c>
      <c r="I24" s="2"/>
      <c r="J24" s="5" t="s">
        <v>158</v>
      </c>
      <c r="K24" s="343" t="s">
        <v>159</v>
      </c>
      <c r="L24" s="13"/>
      <c r="M24" s="13"/>
      <c r="N24" s="13"/>
      <c r="O24" s="13"/>
      <c r="P24" s="13" t="s">
        <v>1567</v>
      </c>
      <c r="Q24" s="340" t="s">
        <v>3963</v>
      </c>
      <c r="R24" s="14"/>
      <c r="S24" s="14"/>
      <c r="T24" s="14"/>
      <c r="U24" s="14"/>
      <c r="V24" s="14"/>
      <c r="W24" s="14"/>
      <c r="X24" s="14"/>
      <c r="Y24" s="14"/>
    </row>
    <row r="25" spans="1:25" ht="21">
      <c r="A25" s="5" t="s">
        <v>163</v>
      </c>
      <c r="B25" s="342" t="s">
        <v>164</v>
      </c>
      <c r="C25" s="10"/>
      <c r="D25" s="10"/>
      <c r="E25" s="10"/>
      <c r="F25" s="10"/>
      <c r="G25" s="10" t="s">
        <v>1567</v>
      </c>
      <c r="H25" s="340" t="s">
        <v>3964</v>
      </c>
      <c r="I25" s="2"/>
      <c r="J25" s="5" t="s">
        <v>165</v>
      </c>
      <c r="K25" s="12" t="s">
        <v>166</v>
      </c>
      <c r="L25" s="13"/>
      <c r="M25" s="13"/>
      <c r="N25" s="13"/>
      <c r="O25" s="13"/>
      <c r="P25" s="13" t="s">
        <v>22</v>
      </c>
      <c r="Q25" s="340" t="s">
        <v>3965</v>
      </c>
      <c r="R25" s="14"/>
      <c r="S25" s="14"/>
      <c r="T25" s="14"/>
      <c r="U25" s="14"/>
      <c r="V25" s="14"/>
      <c r="W25" s="14"/>
      <c r="X25" s="14"/>
      <c r="Y25" s="14"/>
    </row>
    <row r="26" spans="1:25" ht="21">
      <c r="A26" s="5" t="s">
        <v>170</v>
      </c>
      <c r="B26" s="5" t="s">
        <v>171</v>
      </c>
      <c r="C26" s="10"/>
      <c r="D26" s="10"/>
      <c r="E26" s="10"/>
      <c r="F26" s="10"/>
      <c r="G26" s="10"/>
      <c r="I26" s="2"/>
      <c r="J26" s="5" t="s">
        <v>172</v>
      </c>
      <c r="K26" s="12" t="s">
        <v>173</v>
      </c>
      <c r="L26" s="13"/>
      <c r="M26" s="13"/>
      <c r="N26" s="13"/>
      <c r="O26" s="13"/>
      <c r="P26" s="13"/>
      <c r="R26" s="14"/>
      <c r="S26" s="14"/>
      <c r="T26" s="14"/>
      <c r="U26" s="14"/>
      <c r="V26" s="14"/>
      <c r="W26" s="14"/>
      <c r="X26" s="14"/>
      <c r="Y26" s="14"/>
    </row>
    <row r="27" spans="1:25" ht="21">
      <c r="A27" s="5" t="s">
        <v>177</v>
      </c>
      <c r="B27" s="342" t="s">
        <v>178</v>
      </c>
      <c r="C27" s="10"/>
      <c r="D27" s="10"/>
      <c r="E27" s="10"/>
      <c r="F27" s="10"/>
      <c r="G27" s="10" t="s">
        <v>18</v>
      </c>
      <c r="I27" s="2"/>
      <c r="J27" s="5" t="s">
        <v>179</v>
      </c>
      <c r="K27" s="12" t="s">
        <v>180</v>
      </c>
      <c r="L27" s="13"/>
      <c r="M27" s="13"/>
      <c r="N27" s="13"/>
      <c r="O27" s="13"/>
      <c r="P27" s="13"/>
      <c r="R27" s="14"/>
      <c r="S27" s="14"/>
      <c r="T27" s="14"/>
      <c r="U27" s="14"/>
      <c r="V27" s="14"/>
      <c r="W27" s="14"/>
      <c r="X27" s="14"/>
      <c r="Y27" s="14"/>
    </row>
    <row r="28" spans="1:25" ht="21">
      <c r="A28" s="5" t="s">
        <v>184</v>
      </c>
      <c r="B28" s="342" t="s">
        <v>185</v>
      </c>
      <c r="C28" s="10"/>
      <c r="D28" s="10"/>
      <c r="E28" s="10"/>
      <c r="F28" s="10"/>
      <c r="G28" s="10" t="s">
        <v>18</v>
      </c>
      <c r="I28" s="2"/>
      <c r="J28" s="5" t="s">
        <v>186</v>
      </c>
      <c r="K28" s="343" t="s">
        <v>187</v>
      </c>
      <c r="L28" s="13"/>
      <c r="M28" s="13"/>
      <c r="N28" s="13"/>
      <c r="O28" s="13"/>
      <c r="P28" s="13" t="s">
        <v>1567</v>
      </c>
      <c r="Q28" s="340" t="s">
        <v>3966</v>
      </c>
      <c r="R28" s="14"/>
      <c r="S28" s="14"/>
      <c r="T28" s="14"/>
      <c r="U28" s="14"/>
      <c r="V28" s="14"/>
      <c r="W28" s="14"/>
      <c r="X28" s="14"/>
      <c r="Y28" s="14"/>
    </row>
    <row r="29" spans="1:25" ht="21">
      <c r="A29" s="5" t="s">
        <v>191</v>
      </c>
      <c r="B29" s="342" t="s">
        <v>192</v>
      </c>
      <c r="C29" s="10"/>
      <c r="D29" s="10"/>
      <c r="E29" s="10"/>
      <c r="F29" s="10"/>
      <c r="G29" s="10" t="s">
        <v>18</v>
      </c>
      <c r="I29" s="2"/>
      <c r="J29" s="5" t="s">
        <v>193</v>
      </c>
      <c r="K29" s="346" t="s">
        <v>194</v>
      </c>
      <c r="L29" s="13" t="s">
        <v>21</v>
      </c>
      <c r="M29" s="13"/>
      <c r="N29" s="13"/>
      <c r="O29" s="13"/>
      <c r="P29" s="13" t="s">
        <v>22</v>
      </c>
      <c r="Q29" s="340" t="s">
        <v>3967</v>
      </c>
      <c r="R29" s="14"/>
      <c r="S29" s="14"/>
      <c r="T29" s="14"/>
      <c r="U29" s="14"/>
      <c r="V29" s="14"/>
      <c r="W29" s="14"/>
      <c r="X29" s="14"/>
      <c r="Y29" s="14"/>
    </row>
    <row r="30" spans="1:25" ht="21">
      <c r="A30" s="5" t="s">
        <v>198</v>
      </c>
      <c r="B30" s="344" t="s">
        <v>199</v>
      </c>
      <c r="C30" s="10"/>
      <c r="D30" s="10"/>
      <c r="E30" s="10"/>
      <c r="F30" s="10"/>
      <c r="G30" s="10" t="s">
        <v>1567</v>
      </c>
      <c r="I30" s="2"/>
      <c r="J30" s="5" t="s">
        <v>200</v>
      </c>
      <c r="K30" s="346" t="s">
        <v>201</v>
      </c>
      <c r="L30" s="13"/>
      <c r="M30" s="13"/>
      <c r="N30" s="13"/>
      <c r="O30" s="13"/>
      <c r="P30" s="13" t="s">
        <v>1574</v>
      </c>
      <c r="R30" s="14"/>
      <c r="S30" s="14"/>
      <c r="T30" s="14"/>
      <c r="U30" s="14"/>
      <c r="V30" s="14"/>
      <c r="W30" s="14"/>
      <c r="X30" s="14"/>
      <c r="Y30" s="14"/>
    </row>
    <row r="31" spans="1:25" ht="21">
      <c r="A31" s="5" t="s">
        <v>205</v>
      </c>
      <c r="B31" s="342" t="s">
        <v>206</v>
      </c>
      <c r="C31" s="10"/>
      <c r="D31" s="10"/>
      <c r="E31" s="10"/>
      <c r="F31" s="10"/>
      <c r="G31" s="10" t="s">
        <v>1562</v>
      </c>
      <c r="I31" s="2"/>
      <c r="J31" s="5" t="s">
        <v>207</v>
      </c>
      <c r="K31" s="346" t="s">
        <v>208</v>
      </c>
      <c r="L31" s="13"/>
      <c r="M31" s="13"/>
      <c r="N31" s="13"/>
      <c r="O31" s="13"/>
      <c r="P31" s="13" t="s">
        <v>1562</v>
      </c>
      <c r="Q31" s="340" t="s">
        <v>3968</v>
      </c>
      <c r="R31" s="14"/>
      <c r="S31" s="14"/>
      <c r="T31" s="14"/>
      <c r="U31" s="14"/>
      <c r="V31" s="14"/>
      <c r="W31" s="14"/>
      <c r="X31" s="14"/>
      <c r="Y31" s="14"/>
    </row>
    <row r="32" spans="1:25" ht="21">
      <c r="A32" s="5" t="s">
        <v>212</v>
      </c>
      <c r="B32" s="342" t="s">
        <v>213</v>
      </c>
      <c r="C32" s="10"/>
      <c r="D32" s="10"/>
      <c r="E32" s="10"/>
      <c r="F32" s="10"/>
      <c r="G32" s="10" t="s">
        <v>1567</v>
      </c>
      <c r="I32" s="2"/>
      <c r="J32" s="5" t="s">
        <v>214</v>
      </c>
      <c r="K32" s="12" t="s">
        <v>215</v>
      </c>
      <c r="L32" s="13"/>
      <c r="M32" s="13"/>
      <c r="N32" s="13"/>
      <c r="O32" s="13"/>
      <c r="P32" s="13"/>
      <c r="R32" s="14"/>
      <c r="S32" s="14"/>
      <c r="T32" s="14"/>
      <c r="U32" s="14"/>
      <c r="V32" s="14"/>
      <c r="W32" s="14"/>
      <c r="X32" s="14"/>
      <c r="Y32" s="14"/>
    </row>
    <row r="33" spans="1:25" ht="21">
      <c r="A33" s="5" t="s">
        <v>218</v>
      </c>
      <c r="B33" s="342" t="s">
        <v>219</v>
      </c>
      <c r="C33" s="10"/>
      <c r="D33" s="10"/>
      <c r="E33" s="10"/>
      <c r="F33" s="10"/>
      <c r="G33" s="10" t="s">
        <v>1562</v>
      </c>
      <c r="I33" s="2"/>
      <c r="J33" s="5" t="s">
        <v>220</v>
      </c>
      <c r="K33" s="12" t="s">
        <v>221</v>
      </c>
      <c r="L33" s="13"/>
      <c r="M33" s="13"/>
      <c r="N33" s="13"/>
      <c r="O33" s="13"/>
      <c r="P33" s="13"/>
      <c r="R33" s="14"/>
      <c r="S33" s="14"/>
      <c r="T33" s="14"/>
      <c r="U33" s="14"/>
      <c r="V33" s="14"/>
      <c r="W33" s="14"/>
      <c r="X33" s="14"/>
      <c r="Y33" s="14"/>
    </row>
    <row r="34" spans="1:25" ht="21">
      <c r="A34" s="5" t="s">
        <v>225</v>
      </c>
      <c r="B34" s="344" t="s">
        <v>226</v>
      </c>
      <c r="C34" s="10"/>
      <c r="D34" s="10"/>
      <c r="E34" s="10"/>
      <c r="F34" s="10"/>
      <c r="G34" s="10" t="s">
        <v>1567</v>
      </c>
      <c r="H34" s="340" t="s">
        <v>3969</v>
      </c>
      <c r="I34" s="2"/>
      <c r="J34" s="5" t="s">
        <v>227</v>
      </c>
      <c r="K34" s="346" t="s">
        <v>228</v>
      </c>
      <c r="L34" s="13"/>
      <c r="M34" s="13"/>
      <c r="N34" s="13"/>
      <c r="O34" s="13"/>
      <c r="P34" s="13" t="s">
        <v>1562</v>
      </c>
      <c r="R34" s="14"/>
      <c r="S34" s="14"/>
      <c r="T34" s="14"/>
      <c r="U34" s="14"/>
      <c r="V34" s="14"/>
      <c r="W34" s="14"/>
      <c r="X34" s="14"/>
      <c r="Y34" s="14"/>
    </row>
    <row r="35" spans="1:25" ht="21">
      <c r="A35" s="5" t="s">
        <v>232</v>
      </c>
      <c r="B35" s="5" t="s">
        <v>233</v>
      </c>
      <c r="C35" s="10"/>
      <c r="D35" s="10"/>
      <c r="E35" s="10"/>
      <c r="F35" s="10"/>
      <c r="G35" s="10"/>
      <c r="I35" s="2"/>
      <c r="J35" s="5" t="s">
        <v>234</v>
      </c>
      <c r="K35" s="347" t="s">
        <v>68</v>
      </c>
      <c r="L35" s="13"/>
      <c r="M35" s="13"/>
      <c r="N35" s="13"/>
      <c r="O35" s="13"/>
      <c r="P35" s="13" t="s">
        <v>28</v>
      </c>
      <c r="Q35" s="340" t="s">
        <v>3970</v>
      </c>
      <c r="R35" s="14"/>
      <c r="S35" s="14"/>
      <c r="T35" s="14"/>
      <c r="U35" s="14"/>
      <c r="V35" s="14"/>
      <c r="W35" s="14"/>
      <c r="X35" s="14"/>
      <c r="Y35" s="14"/>
    </row>
    <row r="36" spans="1:25" ht="21">
      <c r="A36" s="5" t="s">
        <v>238</v>
      </c>
      <c r="B36" s="344" t="s">
        <v>239</v>
      </c>
      <c r="C36" s="10"/>
      <c r="D36" s="10"/>
      <c r="E36" s="10"/>
      <c r="F36" s="10"/>
      <c r="G36" s="10" t="s">
        <v>1567</v>
      </c>
      <c r="H36" s="340" t="s">
        <v>3971</v>
      </c>
      <c r="I36" s="2"/>
      <c r="J36" s="5" t="s">
        <v>240</v>
      </c>
      <c r="K36" s="12" t="s">
        <v>241</v>
      </c>
      <c r="L36" s="13"/>
      <c r="M36" s="13"/>
      <c r="N36" s="13"/>
      <c r="O36" s="13"/>
      <c r="P36" s="13" t="s">
        <v>1562</v>
      </c>
      <c r="Q36" s="340" t="s">
        <v>3972</v>
      </c>
      <c r="R36" s="14"/>
      <c r="S36" s="14"/>
      <c r="T36" s="14"/>
      <c r="U36" s="14"/>
      <c r="V36" s="14"/>
      <c r="W36" s="14"/>
      <c r="X36" s="14"/>
      <c r="Y36" s="14"/>
    </row>
    <row r="37" spans="1:25" ht="21">
      <c r="A37" s="5" t="s">
        <v>243</v>
      </c>
      <c r="B37" s="342" t="s">
        <v>244</v>
      </c>
      <c r="C37" s="10"/>
      <c r="D37" s="10"/>
      <c r="E37" s="10"/>
      <c r="F37" s="10"/>
      <c r="G37" s="10" t="s">
        <v>18</v>
      </c>
      <c r="H37" s="340" t="s">
        <v>3973</v>
      </c>
      <c r="I37" s="2"/>
      <c r="J37" s="5" t="s">
        <v>245</v>
      </c>
      <c r="K37" s="12" t="s">
        <v>246</v>
      </c>
      <c r="L37" s="13"/>
      <c r="M37" s="13"/>
      <c r="N37" s="13"/>
      <c r="O37" s="13"/>
      <c r="P37" s="13"/>
      <c r="R37" s="14"/>
      <c r="S37" s="14"/>
      <c r="T37" s="14"/>
      <c r="U37" s="14"/>
      <c r="V37" s="14"/>
      <c r="W37" s="14"/>
      <c r="X37" s="14"/>
      <c r="Y37" s="14"/>
    </row>
    <row r="38" spans="1:25" ht="21">
      <c r="A38" s="5" t="s">
        <v>250</v>
      </c>
      <c r="B38" s="344" t="s">
        <v>80</v>
      </c>
      <c r="C38" s="10"/>
      <c r="D38" s="10"/>
      <c r="E38" s="10"/>
      <c r="F38" s="10"/>
      <c r="G38" s="10" t="s">
        <v>21</v>
      </c>
      <c r="H38" s="340" t="s">
        <v>3974</v>
      </c>
      <c r="I38" s="2"/>
      <c r="J38" s="5" t="s">
        <v>251</v>
      </c>
      <c r="K38" s="12" t="s">
        <v>252</v>
      </c>
      <c r="L38" s="13"/>
      <c r="M38" s="13"/>
      <c r="N38" s="13"/>
      <c r="O38" s="13"/>
      <c r="P38" s="13"/>
      <c r="R38" s="14"/>
      <c r="S38" s="14"/>
      <c r="T38" s="14"/>
      <c r="U38" s="14"/>
      <c r="V38" s="14"/>
      <c r="W38" s="14"/>
      <c r="X38" s="14"/>
      <c r="Y38" s="14"/>
    </row>
    <row r="39" spans="1:25" ht="21">
      <c r="A39" s="5" t="s">
        <v>256</v>
      </c>
      <c r="B39" s="342" t="s">
        <v>257</v>
      </c>
      <c r="C39" s="10"/>
      <c r="D39" s="10"/>
      <c r="E39" s="10"/>
      <c r="F39" s="10"/>
      <c r="G39" s="10" t="s">
        <v>1562</v>
      </c>
      <c r="H39" s="340" t="s">
        <v>3975</v>
      </c>
      <c r="I39" s="2"/>
      <c r="J39" s="5" t="s">
        <v>258</v>
      </c>
      <c r="K39" s="343" t="s">
        <v>259</v>
      </c>
      <c r="L39" s="13"/>
      <c r="M39" s="13"/>
      <c r="N39" s="13"/>
      <c r="O39" s="13"/>
      <c r="P39" s="13" t="s">
        <v>21</v>
      </c>
      <c r="R39" s="14"/>
      <c r="S39" s="14"/>
      <c r="T39" s="14"/>
      <c r="U39" s="14"/>
      <c r="V39" s="14"/>
      <c r="W39" s="14"/>
      <c r="X39" s="14"/>
      <c r="Y39" s="14"/>
    </row>
    <row r="40" spans="1:25" ht="21">
      <c r="A40" s="5" t="s">
        <v>263</v>
      </c>
      <c r="B40" s="5" t="s">
        <v>264</v>
      </c>
      <c r="C40" s="10"/>
      <c r="D40" s="10"/>
      <c r="E40" s="10"/>
      <c r="F40" s="10"/>
      <c r="G40" s="10" t="s">
        <v>22</v>
      </c>
      <c r="H40" s="340" t="s">
        <v>3976</v>
      </c>
      <c r="I40" s="2"/>
      <c r="J40" s="5" t="s">
        <v>265</v>
      </c>
      <c r="K40" s="12" t="s">
        <v>266</v>
      </c>
      <c r="L40" s="13"/>
      <c r="M40" s="13"/>
      <c r="N40" s="13"/>
      <c r="O40" s="13"/>
      <c r="P40" s="13"/>
      <c r="R40" s="14"/>
      <c r="S40" s="14"/>
      <c r="T40" s="14"/>
      <c r="U40" s="14"/>
      <c r="V40" s="14"/>
      <c r="W40" s="14"/>
      <c r="X40" s="14"/>
      <c r="Y40" s="14"/>
    </row>
    <row r="41" spans="1:25" ht="21">
      <c r="A41" s="5" t="s">
        <v>269</v>
      </c>
      <c r="B41" s="8" t="s">
        <v>270</v>
      </c>
      <c r="C41" s="10"/>
      <c r="D41" s="10"/>
      <c r="E41" s="10"/>
      <c r="F41" s="10"/>
      <c r="G41" s="10"/>
      <c r="I41" s="2"/>
      <c r="J41" s="5" t="s">
        <v>271</v>
      </c>
      <c r="K41" s="343" t="s">
        <v>272</v>
      </c>
      <c r="L41" s="13"/>
      <c r="M41" s="13"/>
      <c r="N41" s="13"/>
      <c r="O41" s="13"/>
      <c r="P41" s="13" t="s">
        <v>1567</v>
      </c>
      <c r="Q41" s="340" t="s">
        <v>3966</v>
      </c>
      <c r="R41" s="14"/>
      <c r="S41" s="14"/>
      <c r="T41" s="14"/>
      <c r="U41" s="14"/>
      <c r="V41" s="14"/>
      <c r="W41" s="14"/>
      <c r="X41" s="14"/>
      <c r="Y41" s="14"/>
    </row>
    <row r="42" spans="1:25" ht="21">
      <c r="A42" s="5" t="s">
        <v>274</v>
      </c>
      <c r="B42" s="5" t="s">
        <v>275</v>
      </c>
      <c r="C42" s="10"/>
      <c r="D42" s="10"/>
      <c r="E42" s="10"/>
      <c r="F42" s="10"/>
      <c r="G42" s="10"/>
      <c r="I42" s="2"/>
      <c r="J42" s="5" t="s">
        <v>121</v>
      </c>
      <c r="K42" s="346" t="s">
        <v>122</v>
      </c>
      <c r="L42" s="13"/>
      <c r="M42" s="13"/>
      <c r="N42" s="13"/>
      <c r="O42" s="13"/>
      <c r="P42" s="13" t="s">
        <v>18</v>
      </c>
      <c r="Q42" s="340" t="s">
        <v>3977</v>
      </c>
      <c r="R42" s="14"/>
      <c r="S42" s="14"/>
      <c r="T42" s="14"/>
      <c r="U42" s="14"/>
      <c r="V42" s="14"/>
      <c r="W42" s="14"/>
      <c r="X42" s="14"/>
      <c r="Y42" s="14"/>
    </row>
    <row r="43" spans="1:25" ht="21">
      <c r="A43" s="5" t="s">
        <v>279</v>
      </c>
      <c r="B43" s="342" t="s">
        <v>280</v>
      </c>
      <c r="C43" s="10"/>
      <c r="D43" s="10"/>
      <c r="E43" s="10"/>
      <c r="F43" s="10"/>
      <c r="G43" s="10" t="s">
        <v>18</v>
      </c>
      <c r="H43" s="340" t="s">
        <v>3978</v>
      </c>
      <c r="I43" s="2"/>
      <c r="J43" s="5" t="s">
        <v>281</v>
      </c>
      <c r="K43" s="346" t="s">
        <v>282</v>
      </c>
      <c r="L43" s="13"/>
      <c r="M43" s="13"/>
      <c r="N43" s="13"/>
      <c r="O43" s="13"/>
      <c r="P43" s="13" t="s">
        <v>1562</v>
      </c>
      <c r="R43" s="14"/>
      <c r="S43" s="14"/>
      <c r="T43" s="14"/>
      <c r="U43" s="14"/>
      <c r="V43" s="14"/>
      <c r="W43" s="14"/>
      <c r="X43" s="14"/>
      <c r="Y43" s="14"/>
    </row>
    <row r="44" spans="1:25" ht="21">
      <c r="A44" s="5" t="s">
        <v>286</v>
      </c>
      <c r="B44" s="344" t="s">
        <v>54</v>
      </c>
      <c r="C44" s="10"/>
      <c r="D44" s="10"/>
      <c r="E44" s="10"/>
      <c r="F44" s="10"/>
      <c r="G44" s="10" t="s">
        <v>21</v>
      </c>
      <c r="H44" s="340" t="s">
        <v>3979</v>
      </c>
      <c r="I44" s="2"/>
      <c r="J44" s="5" t="s">
        <v>287</v>
      </c>
      <c r="K44" s="12" t="s">
        <v>288</v>
      </c>
      <c r="L44" s="13"/>
      <c r="M44" s="13"/>
      <c r="N44" s="13"/>
      <c r="O44" s="13"/>
      <c r="P44" s="13"/>
      <c r="R44" s="14"/>
      <c r="S44" s="14"/>
      <c r="T44" s="14"/>
      <c r="U44" s="14"/>
      <c r="V44" s="14"/>
      <c r="W44" s="14"/>
      <c r="X44" s="14"/>
      <c r="Y44" s="14"/>
    </row>
    <row r="45" spans="1:25" ht="21">
      <c r="A45" s="5" t="s">
        <v>292</v>
      </c>
      <c r="B45" s="342" t="s">
        <v>293</v>
      </c>
      <c r="C45" s="10" t="s">
        <v>1567</v>
      </c>
      <c r="D45" s="10"/>
      <c r="E45" s="10"/>
      <c r="F45" s="10"/>
      <c r="G45" s="10" t="s">
        <v>22</v>
      </c>
      <c r="H45" s="340" t="s">
        <v>3980</v>
      </c>
      <c r="I45" s="2"/>
      <c r="J45" s="5" t="s">
        <v>294</v>
      </c>
      <c r="K45" s="346" t="s">
        <v>295</v>
      </c>
      <c r="L45" s="13"/>
      <c r="M45" s="13"/>
      <c r="N45" s="13"/>
      <c r="O45" s="13"/>
      <c r="P45" s="13" t="s">
        <v>18</v>
      </c>
      <c r="Q45" s="340" t="s">
        <v>3981</v>
      </c>
      <c r="R45" s="14"/>
      <c r="S45" s="14"/>
      <c r="T45" s="14"/>
      <c r="U45" s="14"/>
      <c r="V45" s="14"/>
      <c r="W45" s="14"/>
      <c r="X45" s="14"/>
      <c r="Y45" s="14"/>
    </row>
    <row r="46" spans="1:25" ht="21">
      <c r="A46" s="5" t="s">
        <v>298</v>
      </c>
      <c r="B46" s="344" t="s">
        <v>299</v>
      </c>
      <c r="C46" s="10"/>
      <c r="D46" s="10"/>
      <c r="E46" s="10"/>
      <c r="F46" s="10"/>
      <c r="G46" s="10" t="s">
        <v>1567</v>
      </c>
      <c r="H46" s="340" t="s">
        <v>3954</v>
      </c>
      <c r="I46" s="2"/>
      <c r="J46" s="5" t="s">
        <v>39</v>
      </c>
      <c r="K46" s="12" t="s">
        <v>40</v>
      </c>
      <c r="L46" s="13"/>
      <c r="M46" s="13"/>
      <c r="N46" s="13"/>
      <c r="O46" s="13"/>
      <c r="P46" s="13"/>
      <c r="R46" s="14"/>
      <c r="S46" s="14"/>
      <c r="T46" s="14"/>
      <c r="U46" s="14"/>
      <c r="V46" s="14"/>
      <c r="W46" s="14"/>
      <c r="X46" s="14"/>
      <c r="Y46" s="14"/>
    </row>
    <row r="47" spans="1:25" ht="21">
      <c r="A47" s="5" t="s">
        <v>302</v>
      </c>
      <c r="B47" s="344" t="s">
        <v>303</v>
      </c>
      <c r="C47" s="10"/>
      <c r="D47" s="10"/>
      <c r="E47" s="10"/>
      <c r="F47" s="10"/>
      <c r="G47" s="10" t="s">
        <v>1567</v>
      </c>
      <c r="I47" s="2"/>
      <c r="J47" s="5" t="s">
        <v>304</v>
      </c>
      <c r="K47" s="12" t="s">
        <v>305</v>
      </c>
      <c r="L47" s="13"/>
      <c r="M47" s="13"/>
      <c r="N47" s="13"/>
      <c r="O47" s="13"/>
      <c r="P47" s="13"/>
      <c r="R47" s="14"/>
      <c r="S47" s="14"/>
      <c r="T47" s="14"/>
      <c r="U47" s="14"/>
      <c r="V47" s="14"/>
      <c r="W47" s="14"/>
      <c r="X47" s="14"/>
      <c r="Y47" s="14"/>
    </row>
    <row r="48" spans="1:25" ht="21">
      <c r="A48" s="5" t="s">
        <v>309</v>
      </c>
      <c r="B48" s="5" t="s">
        <v>310</v>
      </c>
      <c r="C48" s="10"/>
      <c r="D48" s="10"/>
      <c r="E48" s="10"/>
      <c r="F48" s="10"/>
      <c r="G48" s="10"/>
      <c r="I48" s="2"/>
      <c r="J48" s="5" t="s">
        <v>311</v>
      </c>
      <c r="K48" s="12" t="s">
        <v>312</v>
      </c>
      <c r="L48" s="13"/>
      <c r="M48" s="13"/>
      <c r="N48" s="13"/>
      <c r="O48" s="13"/>
      <c r="P48" s="13"/>
      <c r="R48" s="14"/>
      <c r="S48" s="14"/>
      <c r="T48" s="14"/>
      <c r="U48" s="14"/>
      <c r="V48" s="14"/>
      <c r="W48" s="14"/>
      <c r="X48" s="14"/>
      <c r="Y48" s="14"/>
    </row>
    <row r="49" spans="1:25" ht="21">
      <c r="A49" s="5" t="s">
        <v>315</v>
      </c>
      <c r="B49" s="5" t="s">
        <v>316</v>
      </c>
      <c r="C49" s="10"/>
      <c r="D49" s="10"/>
      <c r="E49" s="10"/>
      <c r="F49" s="10"/>
      <c r="G49" s="10"/>
      <c r="I49" s="2"/>
      <c r="J49" s="5" t="s">
        <v>317</v>
      </c>
      <c r="K49" s="347" t="s">
        <v>318</v>
      </c>
      <c r="L49" s="13"/>
      <c r="M49" s="13"/>
      <c r="N49" s="13"/>
      <c r="O49" s="13"/>
      <c r="P49" s="13" t="s">
        <v>17</v>
      </c>
      <c r="Q49" s="340" t="s">
        <v>3982</v>
      </c>
      <c r="R49" s="14"/>
      <c r="S49" s="14"/>
      <c r="T49" s="14"/>
      <c r="U49" s="14"/>
      <c r="V49" s="14"/>
      <c r="W49" s="14"/>
      <c r="X49" s="14"/>
      <c r="Y49" s="14"/>
    </row>
    <row r="50" spans="1:25" ht="21">
      <c r="A50" s="5" t="s">
        <v>322</v>
      </c>
      <c r="B50" s="342" t="s">
        <v>162</v>
      </c>
      <c r="C50" s="10"/>
      <c r="D50" s="10"/>
      <c r="E50" s="10"/>
      <c r="F50" s="10"/>
      <c r="G50" s="10" t="s">
        <v>18</v>
      </c>
      <c r="H50" s="340" t="s">
        <v>3983</v>
      </c>
      <c r="I50" s="2"/>
      <c r="J50" s="5" t="s">
        <v>323</v>
      </c>
      <c r="K50" s="346" t="s">
        <v>185</v>
      </c>
      <c r="L50" s="13"/>
      <c r="M50" s="13"/>
      <c r="N50" s="13"/>
      <c r="O50" s="13"/>
      <c r="P50" s="13" t="s">
        <v>18</v>
      </c>
      <c r="R50" s="14"/>
      <c r="S50" s="14"/>
      <c r="T50" s="14"/>
      <c r="U50" s="14"/>
      <c r="V50" s="14"/>
      <c r="W50" s="14"/>
      <c r="X50" s="14"/>
      <c r="Y50" s="14"/>
    </row>
    <row r="51" spans="1:25" ht="21">
      <c r="A51" s="5" t="s">
        <v>326</v>
      </c>
      <c r="B51" s="344" t="s">
        <v>94</v>
      </c>
      <c r="C51" s="10"/>
      <c r="D51" s="10"/>
      <c r="E51" s="10"/>
      <c r="F51" s="10"/>
      <c r="G51" s="10" t="s">
        <v>21</v>
      </c>
      <c r="I51" s="2"/>
      <c r="J51" s="5" t="s">
        <v>327</v>
      </c>
      <c r="K51" s="346" t="s">
        <v>328</v>
      </c>
      <c r="L51" s="13"/>
      <c r="M51" s="13"/>
      <c r="N51" s="13"/>
      <c r="O51" s="13"/>
      <c r="P51" s="13" t="s">
        <v>1562</v>
      </c>
      <c r="R51" s="14"/>
      <c r="S51" s="14"/>
      <c r="T51" s="14"/>
      <c r="U51" s="14"/>
      <c r="V51" s="14"/>
      <c r="W51" s="14"/>
      <c r="X51" s="14"/>
      <c r="Y51" s="14"/>
    </row>
    <row r="52" spans="1:25" ht="21">
      <c r="A52" s="5" t="s">
        <v>331</v>
      </c>
      <c r="B52" s="342" t="s">
        <v>332</v>
      </c>
      <c r="C52" s="10"/>
      <c r="D52" s="10"/>
      <c r="E52" s="10"/>
      <c r="F52" s="10"/>
      <c r="G52" s="10"/>
      <c r="I52" s="2"/>
      <c r="J52" s="5" t="s">
        <v>217</v>
      </c>
      <c r="K52" s="346" t="s">
        <v>68</v>
      </c>
      <c r="L52" s="13"/>
      <c r="M52" s="13"/>
      <c r="N52" s="13"/>
      <c r="O52" s="13"/>
      <c r="P52" s="13" t="s">
        <v>1562</v>
      </c>
      <c r="R52" s="14"/>
      <c r="S52" s="14"/>
      <c r="T52" s="14"/>
      <c r="U52" s="14"/>
      <c r="V52" s="14"/>
      <c r="W52" s="14"/>
      <c r="X52" s="14"/>
      <c r="Y52" s="14"/>
    </row>
    <row r="53" spans="1:25" ht="21">
      <c r="A53" s="5" t="s">
        <v>334</v>
      </c>
      <c r="B53" s="342" t="s">
        <v>335</v>
      </c>
      <c r="C53" s="10"/>
      <c r="D53" s="10"/>
      <c r="E53" s="10"/>
      <c r="F53" s="10"/>
      <c r="G53" s="10"/>
      <c r="I53" s="2"/>
      <c r="J53" s="5" t="s">
        <v>336</v>
      </c>
      <c r="K53" s="12" t="s">
        <v>337</v>
      </c>
      <c r="L53" s="13"/>
      <c r="M53" s="13"/>
      <c r="N53" s="13"/>
      <c r="O53" s="13"/>
      <c r="P53" s="13"/>
      <c r="R53" s="14"/>
      <c r="S53" s="14"/>
      <c r="T53" s="14"/>
      <c r="U53" s="14"/>
      <c r="V53" s="14"/>
      <c r="W53" s="14"/>
      <c r="X53" s="14"/>
      <c r="Y53" s="14"/>
    </row>
    <row r="54" spans="1:25" ht="21">
      <c r="A54" s="5" t="s">
        <v>339</v>
      </c>
      <c r="B54" s="5" t="s">
        <v>340</v>
      </c>
      <c r="C54" s="10"/>
      <c r="D54" s="10"/>
      <c r="E54" s="10"/>
      <c r="F54" s="10"/>
      <c r="G54" s="10"/>
      <c r="I54" s="2"/>
      <c r="J54" s="5" t="s">
        <v>341</v>
      </c>
      <c r="K54" s="346" t="s">
        <v>342</v>
      </c>
      <c r="L54" s="13"/>
      <c r="M54" s="13"/>
      <c r="N54" s="13"/>
      <c r="O54" s="13"/>
      <c r="P54" s="13" t="s">
        <v>1562</v>
      </c>
      <c r="Q54" s="340" t="s">
        <v>3984</v>
      </c>
      <c r="R54" s="14"/>
      <c r="S54" s="14"/>
      <c r="T54" s="14"/>
      <c r="U54" s="14"/>
      <c r="V54" s="14"/>
      <c r="W54" s="14"/>
      <c r="X54" s="14"/>
      <c r="Y54" s="14"/>
    </row>
    <row r="55" spans="1:25" ht="21">
      <c r="A55" s="5" t="s">
        <v>346</v>
      </c>
      <c r="B55" s="344" t="s">
        <v>347</v>
      </c>
      <c r="C55" s="10"/>
      <c r="D55" s="10"/>
      <c r="E55" s="10"/>
      <c r="F55" s="10"/>
      <c r="G55" s="10" t="s">
        <v>1567</v>
      </c>
      <c r="I55" s="2"/>
      <c r="J55" s="5" t="s">
        <v>348</v>
      </c>
      <c r="K55" s="343" t="s">
        <v>349</v>
      </c>
      <c r="L55" s="13"/>
      <c r="M55" s="13"/>
      <c r="N55" s="13"/>
      <c r="O55" s="13"/>
      <c r="P55" s="13" t="s">
        <v>21</v>
      </c>
      <c r="R55" s="14"/>
      <c r="S55" s="14"/>
      <c r="T55" s="14"/>
      <c r="U55" s="14"/>
      <c r="V55" s="14"/>
      <c r="W55" s="14"/>
      <c r="X55" s="14"/>
      <c r="Y55" s="14"/>
    </row>
    <row r="56" spans="1:25" ht="21">
      <c r="A56" s="5" t="s">
        <v>353</v>
      </c>
      <c r="B56" s="342" t="s">
        <v>354</v>
      </c>
      <c r="C56" s="10"/>
      <c r="D56" s="10"/>
      <c r="E56" s="10"/>
      <c r="F56" s="10"/>
      <c r="G56" s="10" t="s">
        <v>1562</v>
      </c>
      <c r="I56" s="2"/>
      <c r="J56" s="5" t="s">
        <v>355</v>
      </c>
      <c r="K56" s="12" t="s">
        <v>356</v>
      </c>
      <c r="L56" s="13"/>
      <c r="M56" s="13"/>
      <c r="N56" s="13"/>
      <c r="O56" s="13"/>
      <c r="P56" s="13" t="s">
        <v>18</v>
      </c>
      <c r="R56" s="14"/>
      <c r="S56" s="14"/>
      <c r="T56" s="14"/>
      <c r="U56" s="14"/>
      <c r="V56" s="14"/>
      <c r="W56" s="14"/>
      <c r="X56" s="14"/>
      <c r="Y56" s="14"/>
    </row>
    <row r="57" spans="1:25" ht="21">
      <c r="A57" s="5" t="s">
        <v>358</v>
      </c>
      <c r="B57" s="345" t="s">
        <v>359</v>
      </c>
      <c r="C57" s="10"/>
      <c r="D57" s="10"/>
      <c r="E57" s="10"/>
      <c r="F57" s="10"/>
      <c r="G57" s="10" t="s">
        <v>28</v>
      </c>
      <c r="H57" s="340" t="s">
        <v>3985</v>
      </c>
      <c r="I57" s="2"/>
      <c r="J57" s="5" t="s">
        <v>360</v>
      </c>
      <c r="K57" s="12" t="s">
        <v>361</v>
      </c>
      <c r="L57" s="13"/>
      <c r="M57" s="13"/>
      <c r="N57" s="13"/>
      <c r="O57" s="13"/>
      <c r="P57" s="13"/>
      <c r="R57" s="14"/>
      <c r="S57" s="14"/>
      <c r="T57" s="14"/>
      <c r="U57" s="14"/>
      <c r="V57" s="14"/>
      <c r="W57" s="14"/>
      <c r="X57" s="14"/>
      <c r="Y57" s="14"/>
    </row>
    <row r="58" spans="1:25" ht="21">
      <c r="A58" s="5" t="s">
        <v>365</v>
      </c>
      <c r="B58" s="342" t="s">
        <v>366</v>
      </c>
      <c r="C58" s="10"/>
      <c r="D58" s="10"/>
      <c r="E58" s="10"/>
      <c r="F58" s="10"/>
      <c r="G58" s="10" t="s">
        <v>1562</v>
      </c>
      <c r="H58" s="340" t="s">
        <v>3986</v>
      </c>
      <c r="I58" s="2"/>
      <c r="J58" s="5" t="s">
        <v>367</v>
      </c>
      <c r="K58" s="346" t="s">
        <v>368</v>
      </c>
      <c r="L58" s="13"/>
      <c r="M58" s="13"/>
      <c r="N58" s="13"/>
      <c r="O58" s="13"/>
      <c r="P58" s="13" t="s">
        <v>1562</v>
      </c>
      <c r="R58" s="14"/>
      <c r="S58" s="14"/>
      <c r="T58" s="14"/>
      <c r="U58" s="14"/>
      <c r="V58" s="14"/>
      <c r="W58" s="14"/>
      <c r="X58" s="14"/>
      <c r="Y58" s="14"/>
    </row>
    <row r="59" spans="1:25" ht="21">
      <c r="A59" s="5" t="s">
        <v>371</v>
      </c>
      <c r="B59" s="5" t="s">
        <v>372</v>
      </c>
      <c r="C59" s="10"/>
      <c r="D59" s="10"/>
      <c r="E59" s="10"/>
      <c r="F59" s="10"/>
      <c r="G59" s="10"/>
      <c r="I59" s="2"/>
      <c r="J59" s="5" t="s">
        <v>210</v>
      </c>
      <c r="K59" s="346" t="s">
        <v>211</v>
      </c>
      <c r="L59" s="13"/>
      <c r="M59" s="13"/>
      <c r="N59" s="13"/>
      <c r="O59" s="13"/>
      <c r="P59" s="13" t="s">
        <v>21</v>
      </c>
      <c r="Q59" s="340" t="s">
        <v>1849</v>
      </c>
      <c r="R59" s="14"/>
      <c r="S59" s="14"/>
      <c r="T59" s="14"/>
      <c r="U59" s="14"/>
      <c r="V59" s="14"/>
      <c r="W59" s="14"/>
      <c r="X59" s="14"/>
      <c r="Y59" s="14"/>
    </row>
    <row r="60" spans="1:25" ht="21">
      <c r="A60" s="5" t="s">
        <v>376</v>
      </c>
      <c r="B60" s="344" t="s">
        <v>278</v>
      </c>
      <c r="C60" s="10"/>
      <c r="D60" s="10"/>
      <c r="E60" s="10"/>
      <c r="F60" s="10"/>
      <c r="G60" s="10" t="s">
        <v>1567</v>
      </c>
      <c r="H60" s="340" t="s">
        <v>3987</v>
      </c>
      <c r="I60" s="2"/>
      <c r="J60" s="5" t="s">
        <v>377</v>
      </c>
      <c r="K60" s="12" t="s">
        <v>378</v>
      </c>
      <c r="L60" s="13"/>
      <c r="M60" s="13"/>
      <c r="N60" s="13"/>
      <c r="O60" s="13"/>
      <c r="P60" s="13"/>
      <c r="R60" s="14"/>
      <c r="S60" s="14"/>
      <c r="T60" s="14"/>
      <c r="U60" s="14"/>
      <c r="V60" s="14"/>
      <c r="W60" s="14"/>
      <c r="X60" s="14"/>
      <c r="Y60" s="14"/>
    </row>
    <row r="61" spans="1:25" ht="21">
      <c r="A61" s="5" t="s">
        <v>382</v>
      </c>
      <c r="B61" s="342" t="s">
        <v>383</v>
      </c>
      <c r="C61" s="10"/>
      <c r="D61" s="10"/>
      <c r="E61" s="10"/>
      <c r="F61" s="10"/>
      <c r="G61" s="10" t="s">
        <v>18</v>
      </c>
      <c r="I61" s="2"/>
      <c r="J61" s="5" t="s">
        <v>384</v>
      </c>
      <c r="K61" s="12" t="s">
        <v>385</v>
      </c>
      <c r="L61" s="13"/>
      <c r="M61" s="13"/>
      <c r="N61" s="13"/>
      <c r="O61" s="13"/>
      <c r="P61" s="13"/>
      <c r="R61" s="14"/>
      <c r="S61" s="14"/>
      <c r="T61" s="14"/>
      <c r="U61" s="14"/>
      <c r="V61" s="14"/>
      <c r="W61" s="14"/>
      <c r="X61" s="14"/>
      <c r="Y61" s="14"/>
    </row>
    <row r="62" spans="1:25" ht="21">
      <c r="A62" s="5" t="s">
        <v>387</v>
      </c>
      <c r="B62" s="342" t="s">
        <v>388</v>
      </c>
      <c r="C62" s="10"/>
      <c r="D62" s="10"/>
      <c r="E62" s="10"/>
      <c r="F62" s="10"/>
      <c r="G62" s="10" t="s">
        <v>18</v>
      </c>
      <c r="I62" s="2"/>
      <c r="J62" s="5" t="s">
        <v>389</v>
      </c>
      <c r="K62" s="12" t="s">
        <v>390</v>
      </c>
      <c r="L62" s="13"/>
      <c r="M62" s="13"/>
      <c r="N62" s="13"/>
      <c r="O62" s="13"/>
      <c r="P62" s="13"/>
      <c r="R62" s="14"/>
      <c r="S62" s="14"/>
      <c r="T62" s="14"/>
      <c r="U62" s="14"/>
      <c r="V62" s="14"/>
      <c r="W62" s="14"/>
      <c r="X62" s="14"/>
      <c r="Y62" s="14"/>
    </row>
    <row r="63" spans="1:25" ht="21">
      <c r="A63" s="5" t="s">
        <v>393</v>
      </c>
      <c r="B63" s="342" t="s">
        <v>394</v>
      </c>
      <c r="C63" s="10"/>
      <c r="D63" s="10"/>
      <c r="E63" s="10"/>
      <c r="F63" s="10"/>
      <c r="G63" s="10" t="s">
        <v>1562</v>
      </c>
      <c r="I63" s="2"/>
      <c r="J63" s="5" t="s">
        <v>395</v>
      </c>
      <c r="K63" s="12" t="s">
        <v>396</v>
      </c>
      <c r="L63" s="13"/>
      <c r="M63" s="13"/>
      <c r="N63" s="13"/>
      <c r="O63" s="13"/>
      <c r="P63" s="13"/>
      <c r="R63" s="14"/>
      <c r="S63" s="14"/>
      <c r="T63" s="14"/>
      <c r="U63" s="14"/>
      <c r="V63" s="14"/>
      <c r="W63" s="14"/>
      <c r="X63" s="14"/>
      <c r="Y63" s="14"/>
    </row>
    <row r="64" spans="1:25" ht="21">
      <c r="A64" s="5" t="s">
        <v>399</v>
      </c>
      <c r="B64" s="5" t="s">
        <v>400</v>
      </c>
      <c r="C64" s="10"/>
      <c r="D64" s="10"/>
      <c r="E64" s="10"/>
      <c r="F64" s="10"/>
      <c r="G64" s="10" t="s">
        <v>1562</v>
      </c>
      <c r="H64" s="340" t="s">
        <v>3988</v>
      </c>
      <c r="I64" s="2"/>
      <c r="J64" s="5" t="s">
        <v>401</v>
      </c>
      <c r="K64" s="12" t="s">
        <v>402</v>
      </c>
      <c r="L64" s="13"/>
      <c r="M64" s="13"/>
      <c r="N64" s="13"/>
      <c r="O64" s="13"/>
      <c r="P64" s="13"/>
      <c r="R64" s="14"/>
      <c r="S64" s="14"/>
      <c r="T64" s="14"/>
      <c r="U64" s="14"/>
      <c r="V64" s="14"/>
      <c r="W64" s="14"/>
      <c r="X64" s="14"/>
      <c r="Y64" s="14"/>
    </row>
    <row r="65" spans="1:25" ht="21">
      <c r="A65" s="5" t="s">
        <v>404</v>
      </c>
      <c r="B65" s="5" t="s">
        <v>405</v>
      </c>
      <c r="C65" s="10"/>
      <c r="D65" s="10"/>
      <c r="E65" s="10"/>
      <c r="F65" s="10"/>
      <c r="G65" s="10"/>
      <c r="I65" s="2"/>
      <c r="J65" s="5" t="s">
        <v>374</v>
      </c>
      <c r="K65" s="12" t="s">
        <v>375</v>
      </c>
      <c r="L65" s="13"/>
      <c r="M65" s="13"/>
      <c r="N65" s="13"/>
      <c r="O65" s="13"/>
      <c r="P65" s="13"/>
      <c r="R65" s="14"/>
      <c r="S65" s="14"/>
      <c r="T65" s="14"/>
      <c r="U65" s="14"/>
      <c r="V65" s="14"/>
      <c r="W65" s="14"/>
      <c r="X65" s="14"/>
      <c r="Y65" s="14"/>
    </row>
    <row r="66" spans="1:25" ht="21">
      <c r="A66" s="5" t="s">
        <v>409</v>
      </c>
      <c r="B66" s="344" t="s">
        <v>308</v>
      </c>
      <c r="C66" s="10"/>
      <c r="D66" s="10"/>
      <c r="E66" s="10"/>
      <c r="F66" s="10"/>
      <c r="G66" s="10" t="s">
        <v>21</v>
      </c>
      <c r="I66" s="2"/>
      <c r="J66" s="5" t="s">
        <v>230</v>
      </c>
      <c r="K66" s="346" t="s">
        <v>231</v>
      </c>
      <c r="L66" s="13"/>
      <c r="M66" s="13"/>
      <c r="N66" s="13"/>
      <c r="O66" s="13"/>
      <c r="P66" s="13" t="s">
        <v>18</v>
      </c>
      <c r="R66" s="14"/>
      <c r="S66" s="14"/>
      <c r="T66" s="14"/>
      <c r="U66" s="14"/>
      <c r="V66" s="14"/>
      <c r="W66" s="14"/>
      <c r="X66" s="14"/>
      <c r="Y66" s="14"/>
    </row>
    <row r="67" spans="1:25" ht="21">
      <c r="A67" s="5" t="s">
        <v>413</v>
      </c>
      <c r="B67" s="5" t="s">
        <v>414</v>
      </c>
      <c r="C67" s="10"/>
      <c r="D67" s="10"/>
      <c r="E67" s="10"/>
      <c r="F67" s="10"/>
      <c r="G67" s="10" t="s">
        <v>1574</v>
      </c>
      <c r="I67" s="2"/>
      <c r="J67" s="5" t="s">
        <v>86</v>
      </c>
      <c r="K67" s="343" t="s">
        <v>87</v>
      </c>
      <c r="L67" s="13"/>
      <c r="M67" s="13"/>
      <c r="N67" s="13"/>
      <c r="O67" s="13"/>
      <c r="P67" s="13" t="s">
        <v>1567</v>
      </c>
      <c r="R67" s="14"/>
      <c r="S67" s="14"/>
      <c r="T67" s="14"/>
      <c r="U67" s="14"/>
      <c r="V67" s="14"/>
      <c r="W67" s="14"/>
      <c r="X67" s="14"/>
      <c r="Y67" s="14"/>
    </row>
    <row r="68" spans="1:25" ht="21">
      <c r="A68" s="5" t="s">
        <v>416</v>
      </c>
      <c r="B68" s="348" t="s">
        <v>417</v>
      </c>
      <c r="C68" s="10"/>
      <c r="D68" s="10"/>
      <c r="E68" s="10"/>
      <c r="F68" s="10"/>
      <c r="G68" s="10" t="s">
        <v>1562</v>
      </c>
      <c r="I68" s="2"/>
      <c r="J68" s="5" t="s">
        <v>100</v>
      </c>
      <c r="K68" s="12" t="s">
        <v>101</v>
      </c>
      <c r="L68" s="13"/>
      <c r="M68" s="13"/>
      <c r="N68" s="13"/>
      <c r="O68" s="13"/>
      <c r="P68" s="13"/>
      <c r="R68" s="14"/>
      <c r="S68" s="14"/>
      <c r="T68" s="14"/>
      <c r="U68" s="14"/>
      <c r="V68" s="14"/>
      <c r="W68" s="14"/>
      <c r="X68" s="14"/>
      <c r="Y68" s="14"/>
    </row>
    <row r="69" spans="1:25" ht="21">
      <c r="A69" s="5" t="s">
        <v>421</v>
      </c>
      <c r="B69" s="345" t="s">
        <v>422</v>
      </c>
      <c r="C69" s="10"/>
      <c r="D69" s="10"/>
      <c r="E69" s="10"/>
      <c r="F69" s="10"/>
      <c r="G69" s="10" t="s">
        <v>28</v>
      </c>
      <c r="I69" s="2"/>
      <c r="J69" s="5" t="s">
        <v>423</v>
      </c>
      <c r="K69" s="343" t="s">
        <v>424</v>
      </c>
      <c r="L69" s="13"/>
      <c r="M69" s="13"/>
      <c r="N69" s="13"/>
      <c r="O69" s="13"/>
      <c r="P69" s="13" t="s">
        <v>21</v>
      </c>
      <c r="Q69" s="340" t="s">
        <v>3989</v>
      </c>
      <c r="R69" s="14"/>
      <c r="S69" s="14"/>
      <c r="T69" s="14"/>
      <c r="U69" s="14"/>
      <c r="V69" s="14"/>
      <c r="W69" s="14"/>
      <c r="X69" s="14"/>
      <c r="Y69" s="14"/>
    </row>
    <row r="70" spans="1:25" ht="21">
      <c r="A70" s="5" t="s">
        <v>426</v>
      </c>
      <c r="B70" s="342" t="s">
        <v>427</v>
      </c>
      <c r="C70" s="10"/>
      <c r="D70" s="10"/>
      <c r="E70" s="10"/>
      <c r="F70" s="10"/>
      <c r="G70" s="10" t="s">
        <v>18</v>
      </c>
      <c r="I70" s="2"/>
      <c r="J70" s="5" t="s">
        <v>428</v>
      </c>
      <c r="K70" s="346" t="s">
        <v>429</v>
      </c>
      <c r="L70" s="13"/>
      <c r="M70" s="13"/>
      <c r="N70" s="13"/>
      <c r="O70" s="13"/>
      <c r="P70" s="13" t="s">
        <v>22</v>
      </c>
      <c r="R70" s="14"/>
      <c r="S70" s="14"/>
      <c r="T70" s="14"/>
      <c r="U70" s="14"/>
      <c r="V70" s="14"/>
      <c r="W70" s="14"/>
      <c r="X70" s="14"/>
      <c r="Y70" s="14"/>
    </row>
    <row r="71" spans="1:25" ht="21">
      <c r="A71" s="5" t="s">
        <v>432</v>
      </c>
      <c r="B71" s="342" t="s">
        <v>149</v>
      </c>
      <c r="C71" s="10"/>
      <c r="D71" s="10"/>
      <c r="E71" s="10"/>
      <c r="F71" s="10"/>
      <c r="G71" s="10" t="s">
        <v>18</v>
      </c>
      <c r="I71" s="2"/>
      <c r="J71" s="5" t="s">
        <v>261</v>
      </c>
      <c r="K71" s="343" t="s">
        <v>262</v>
      </c>
      <c r="L71" s="13"/>
      <c r="M71" s="13"/>
      <c r="N71" s="13"/>
      <c r="O71" s="13"/>
      <c r="P71" s="13" t="s">
        <v>1567</v>
      </c>
      <c r="R71" s="14"/>
      <c r="S71" s="14"/>
      <c r="T71" s="14"/>
      <c r="U71" s="14"/>
      <c r="V71" s="14"/>
      <c r="W71" s="14"/>
      <c r="X71" s="14"/>
      <c r="Y71" s="14"/>
    </row>
    <row r="72" spans="1:25" ht="21">
      <c r="A72" s="5" t="s">
        <v>435</v>
      </c>
      <c r="B72" s="5" t="s">
        <v>436</v>
      </c>
      <c r="C72" s="10"/>
      <c r="D72" s="10"/>
      <c r="E72" s="10"/>
      <c r="F72" s="10"/>
      <c r="G72" s="10"/>
      <c r="I72" s="2"/>
      <c r="J72" s="5" t="s">
        <v>437</v>
      </c>
      <c r="K72" s="12" t="s">
        <v>438</v>
      </c>
      <c r="L72" s="13"/>
      <c r="M72" s="13"/>
      <c r="N72" s="13"/>
      <c r="O72" s="13"/>
      <c r="P72" s="13"/>
      <c r="Q72" s="340" t="s">
        <v>3990</v>
      </c>
      <c r="R72" s="14"/>
      <c r="S72" s="14"/>
      <c r="T72" s="14"/>
      <c r="U72" s="14"/>
      <c r="V72" s="14"/>
      <c r="W72" s="14"/>
      <c r="X72" s="14"/>
      <c r="Y72" s="14"/>
    </row>
    <row r="73" spans="1:25" ht="21">
      <c r="A73" s="5" t="s">
        <v>442</v>
      </c>
      <c r="B73" s="342" t="s">
        <v>443</v>
      </c>
      <c r="C73" s="10"/>
      <c r="D73" s="10"/>
      <c r="E73" s="10"/>
      <c r="F73" s="10"/>
      <c r="G73" s="10" t="s">
        <v>1562</v>
      </c>
      <c r="I73" s="2"/>
      <c r="J73" s="5" t="s">
        <v>444</v>
      </c>
      <c r="K73" s="343" t="s">
        <v>445</v>
      </c>
      <c r="L73" s="13"/>
      <c r="M73" s="13"/>
      <c r="N73" s="13"/>
      <c r="O73" s="13"/>
      <c r="P73" s="13" t="s">
        <v>1567</v>
      </c>
      <c r="R73" s="14"/>
      <c r="S73" s="14"/>
      <c r="T73" s="14"/>
      <c r="U73" s="14"/>
      <c r="V73" s="14"/>
      <c r="W73" s="14"/>
      <c r="X73" s="14"/>
      <c r="Y73" s="14"/>
    </row>
    <row r="74" spans="1:25" ht="21">
      <c r="A74" s="5" t="s">
        <v>447</v>
      </c>
      <c r="B74" s="342" t="s">
        <v>47</v>
      </c>
      <c r="C74" s="10"/>
      <c r="D74" s="10"/>
      <c r="E74" s="10"/>
      <c r="F74" s="10"/>
      <c r="G74" s="10" t="s">
        <v>18</v>
      </c>
      <c r="I74" s="2"/>
      <c r="J74" s="5" t="s">
        <v>448</v>
      </c>
      <c r="K74" s="346" t="s">
        <v>449</v>
      </c>
      <c r="L74" s="13"/>
      <c r="M74" s="13"/>
      <c r="N74" s="13"/>
      <c r="O74" s="13"/>
      <c r="P74" s="13" t="s">
        <v>18</v>
      </c>
      <c r="R74" s="14"/>
      <c r="S74" s="14"/>
      <c r="T74" s="14"/>
      <c r="U74" s="14"/>
      <c r="V74" s="14"/>
      <c r="W74" s="14"/>
      <c r="X74" s="14"/>
      <c r="Y74" s="14"/>
    </row>
    <row r="75" spans="1:25" ht="21">
      <c r="A75" s="5" t="s">
        <v>451</v>
      </c>
      <c r="B75" s="344" t="s">
        <v>169</v>
      </c>
      <c r="C75" s="10"/>
      <c r="D75" s="10"/>
      <c r="E75" s="10"/>
      <c r="F75" s="10"/>
      <c r="G75" s="10" t="s">
        <v>21</v>
      </c>
      <c r="I75" s="2"/>
      <c r="J75" s="5" t="s">
        <v>452</v>
      </c>
      <c r="K75" s="343" t="s">
        <v>453</v>
      </c>
      <c r="L75" s="13"/>
      <c r="M75" s="13"/>
      <c r="N75" s="13"/>
      <c r="O75" s="13"/>
      <c r="P75" s="13" t="s">
        <v>1567</v>
      </c>
      <c r="R75" s="14"/>
      <c r="S75" s="14"/>
      <c r="T75" s="14"/>
      <c r="U75" s="14"/>
      <c r="V75" s="14"/>
      <c r="W75" s="14"/>
      <c r="X75" s="14"/>
      <c r="Y75" s="14"/>
    </row>
    <row r="76" spans="1:25" ht="21">
      <c r="A76" s="5" t="s">
        <v>455</v>
      </c>
      <c r="B76" s="342" t="s">
        <v>197</v>
      </c>
      <c r="C76" s="10"/>
      <c r="D76" s="10"/>
      <c r="E76" s="10"/>
      <c r="F76" s="10"/>
      <c r="G76" s="10" t="s">
        <v>18</v>
      </c>
      <c r="H76" s="340" t="s">
        <v>3991</v>
      </c>
      <c r="I76" s="2"/>
      <c r="J76" s="5" t="s">
        <v>456</v>
      </c>
      <c r="K76" s="12" t="s">
        <v>457</v>
      </c>
      <c r="L76" s="13"/>
      <c r="M76" s="13"/>
      <c r="N76" s="13"/>
      <c r="O76" s="13"/>
      <c r="P76" s="13"/>
      <c r="Q76" s="340" t="s">
        <v>3992</v>
      </c>
      <c r="R76" s="14"/>
      <c r="S76" s="14"/>
      <c r="T76" s="14"/>
      <c r="U76" s="14"/>
      <c r="V76" s="14"/>
      <c r="W76" s="14"/>
      <c r="X76" s="14"/>
      <c r="Y76" s="14"/>
    </row>
    <row r="77" spans="1:25" ht="21">
      <c r="A77" s="5" t="s">
        <v>461</v>
      </c>
      <c r="B77" s="349" t="s">
        <v>378</v>
      </c>
      <c r="C77" s="10"/>
      <c r="D77" s="10"/>
      <c r="E77" s="10"/>
      <c r="F77" s="10"/>
      <c r="G77" s="10" t="s">
        <v>18</v>
      </c>
      <c r="H77" s="340" t="s">
        <v>3993</v>
      </c>
      <c r="I77" s="2"/>
      <c r="J77" s="5" t="s">
        <v>462</v>
      </c>
      <c r="K77" s="346" t="s">
        <v>463</v>
      </c>
      <c r="L77" s="13"/>
      <c r="M77" s="13"/>
      <c r="N77" s="13"/>
      <c r="O77" s="13"/>
      <c r="P77" s="13" t="s">
        <v>1574</v>
      </c>
      <c r="R77" s="14"/>
      <c r="S77" s="14"/>
      <c r="T77" s="14"/>
      <c r="U77" s="14"/>
      <c r="V77" s="14"/>
      <c r="W77" s="14"/>
      <c r="X77" s="14"/>
      <c r="Y77" s="14"/>
    </row>
    <row r="78" spans="1:25" ht="21">
      <c r="A78" s="5" t="s">
        <v>467</v>
      </c>
      <c r="B78" s="344" t="s">
        <v>30</v>
      </c>
      <c r="C78" s="10"/>
      <c r="D78" s="10"/>
      <c r="E78" s="10"/>
      <c r="F78" s="10"/>
      <c r="G78" s="10" t="s">
        <v>21</v>
      </c>
      <c r="I78" s="2"/>
      <c r="J78" s="5" t="s">
        <v>468</v>
      </c>
      <c r="K78" s="346" t="s">
        <v>469</v>
      </c>
      <c r="L78" s="13"/>
      <c r="M78" s="13"/>
      <c r="N78" s="13"/>
      <c r="O78" s="13"/>
      <c r="P78" s="13" t="s">
        <v>1574</v>
      </c>
      <c r="R78" s="14"/>
      <c r="S78" s="14"/>
      <c r="T78" s="14"/>
      <c r="U78" s="14"/>
      <c r="V78" s="14"/>
      <c r="W78" s="14"/>
      <c r="X78" s="14"/>
      <c r="Y78" s="14"/>
    </row>
    <row r="79" spans="1:25" ht="21">
      <c r="A79" s="5" t="s">
        <v>472</v>
      </c>
      <c r="B79" s="5" t="s">
        <v>473</v>
      </c>
      <c r="C79" s="10"/>
      <c r="D79" s="10"/>
      <c r="E79" s="10"/>
      <c r="F79" s="10"/>
      <c r="G79" s="10" t="s">
        <v>18</v>
      </c>
      <c r="I79" s="2"/>
      <c r="J79" s="5" t="s">
        <v>175</v>
      </c>
      <c r="K79" s="343" t="s">
        <v>176</v>
      </c>
      <c r="L79" s="13"/>
      <c r="M79" s="13"/>
      <c r="N79" s="13"/>
      <c r="O79" s="13"/>
      <c r="P79" s="13" t="s">
        <v>21</v>
      </c>
      <c r="Q79" s="340" t="s">
        <v>3994</v>
      </c>
      <c r="R79" s="14"/>
      <c r="S79" s="14"/>
      <c r="T79" s="14"/>
      <c r="U79" s="14"/>
      <c r="V79" s="14"/>
      <c r="W79" s="14"/>
      <c r="X79" s="14"/>
      <c r="Y79" s="14"/>
    </row>
    <row r="80" spans="1:25" ht="21">
      <c r="A80" s="5" t="s">
        <v>475</v>
      </c>
      <c r="B80" s="342" t="s">
        <v>476</v>
      </c>
      <c r="C80" s="10"/>
      <c r="D80" s="10"/>
      <c r="E80" s="10"/>
      <c r="F80" s="10"/>
      <c r="G80" s="10" t="s">
        <v>22</v>
      </c>
      <c r="I80" s="2"/>
      <c r="J80" s="5" t="s">
        <v>189</v>
      </c>
      <c r="K80" s="343" t="s">
        <v>190</v>
      </c>
      <c r="L80" s="13"/>
      <c r="M80" s="13"/>
      <c r="N80" s="13"/>
      <c r="O80" s="13"/>
      <c r="P80" s="13" t="s">
        <v>21</v>
      </c>
      <c r="Q80" s="340" t="s">
        <v>3995</v>
      </c>
      <c r="R80" s="14"/>
      <c r="S80" s="14"/>
      <c r="T80" s="14"/>
      <c r="U80" s="14"/>
      <c r="V80" s="14"/>
      <c r="W80" s="14"/>
      <c r="X80" s="14"/>
      <c r="Y80" s="14"/>
    </row>
    <row r="81" spans="1:25" ht="21">
      <c r="A81" s="5" t="s">
        <v>478</v>
      </c>
      <c r="B81" s="342" t="s">
        <v>321</v>
      </c>
      <c r="C81" s="10"/>
      <c r="D81" s="10"/>
      <c r="E81" s="10"/>
      <c r="F81" s="10"/>
      <c r="G81" s="10" t="s">
        <v>1567</v>
      </c>
      <c r="I81" s="2"/>
      <c r="J81" s="5" t="s">
        <v>479</v>
      </c>
      <c r="K81" s="12" t="s">
        <v>480</v>
      </c>
      <c r="L81" s="13"/>
      <c r="M81" s="13"/>
      <c r="N81" s="13"/>
      <c r="O81" s="13"/>
      <c r="P81" s="13"/>
      <c r="R81" s="14"/>
      <c r="S81" s="14"/>
      <c r="T81" s="14"/>
      <c r="U81" s="14"/>
      <c r="V81" s="14"/>
      <c r="W81" s="14"/>
      <c r="X81" s="14"/>
      <c r="Y81" s="14"/>
    </row>
    <row r="82" spans="1:25" ht="21">
      <c r="A82" s="5" t="s">
        <v>483</v>
      </c>
      <c r="B82" s="5" t="s">
        <v>484</v>
      </c>
      <c r="C82" s="10"/>
      <c r="D82" s="10"/>
      <c r="E82" s="10"/>
      <c r="F82" s="10"/>
      <c r="G82" s="10"/>
      <c r="I82" s="2"/>
      <c r="J82" s="5" t="s">
        <v>485</v>
      </c>
      <c r="K82" s="350" t="s">
        <v>486</v>
      </c>
      <c r="L82" s="13"/>
      <c r="M82" s="13"/>
      <c r="N82" s="13"/>
      <c r="O82" s="13"/>
      <c r="P82" s="13"/>
      <c r="R82" s="14"/>
      <c r="S82" s="14"/>
      <c r="T82" s="14"/>
      <c r="U82" s="14"/>
      <c r="V82" s="14"/>
      <c r="W82" s="14"/>
      <c r="X82" s="14"/>
      <c r="Y82" s="14"/>
    </row>
    <row r="83" spans="1:25" ht="21">
      <c r="A83" s="5" t="s">
        <v>488</v>
      </c>
      <c r="B83" s="5" t="s">
        <v>489</v>
      </c>
      <c r="C83" s="10"/>
      <c r="D83" s="10"/>
      <c r="E83" s="10"/>
      <c r="F83" s="10"/>
      <c r="G83" s="10"/>
      <c r="I83" s="2"/>
      <c r="J83" s="5" t="s">
        <v>490</v>
      </c>
      <c r="K83" s="343" t="s">
        <v>491</v>
      </c>
      <c r="L83" s="13"/>
      <c r="M83" s="13"/>
      <c r="N83" s="13"/>
      <c r="O83" s="13"/>
      <c r="P83" s="13" t="s">
        <v>1567</v>
      </c>
      <c r="R83" s="14"/>
      <c r="S83" s="14"/>
      <c r="T83" s="14"/>
      <c r="U83" s="14"/>
      <c r="V83" s="14"/>
      <c r="W83" s="14"/>
      <c r="X83" s="14"/>
      <c r="Y83" s="14"/>
    </row>
    <row r="84" spans="1:25" ht="21">
      <c r="A84" s="5" t="s">
        <v>494</v>
      </c>
      <c r="B84" s="5" t="s">
        <v>495</v>
      </c>
      <c r="C84" s="10"/>
      <c r="D84" s="10"/>
      <c r="E84" s="10"/>
      <c r="F84" s="10"/>
      <c r="G84" s="10"/>
      <c r="I84" s="2"/>
      <c r="J84" s="5" t="s">
        <v>496</v>
      </c>
      <c r="K84" s="346" t="s">
        <v>497</v>
      </c>
      <c r="L84" s="13"/>
      <c r="M84" s="13"/>
      <c r="N84" s="13"/>
      <c r="O84" s="13"/>
      <c r="P84" s="13" t="s">
        <v>1661</v>
      </c>
      <c r="R84" s="14"/>
      <c r="S84" s="14"/>
      <c r="T84" s="14"/>
      <c r="U84" s="14"/>
      <c r="V84" s="14"/>
      <c r="W84" s="14"/>
      <c r="X84" s="14"/>
      <c r="Y84" s="14"/>
    </row>
    <row r="85" spans="1:25" ht="21">
      <c r="A85" s="5" t="s">
        <v>500</v>
      </c>
      <c r="B85" s="342" t="s">
        <v>501</v>
      </c>
      <c r="C85" s="10"/>
      <c r="D85" s="10"/>
      <c r="E85" s="10"/>
      <c r="F85" s="10"/>
      <c r="G85" s="10" t="s">
        <v>18</v>
      </c>
      <c r="H85" s="340" t="s">
        <v>3996</v>
      </c>
      <c r="I85" s="2"/>
      <c r="J85" s="5" t="s">
        <v>502</v>
      </c>
      <c r="K85" s="346" t="s">
        <v>503</v>
      </c>
      <c r="L85" s="13"/>
      <c r="M85" s="13"/>
      <c r="N85" s="13"/>
      <c r="O85" s="13"/>
      <c r="P85" s="13" t="s">
        <v>1562</v>
      </c>
      <c r="R85" s="14"/>
      <c r="S85" s="14"/>
      <c r="T85" s="14"/>
      <c r="U85" s="14"/>
      <c r="V85" s="14"/>
      <c r="W85" s="14"/>
      <c r="X85" s="14"/>
      <c r="Y85" s="14"/>
    </row>
    <row r="86" spans="1:25" ht="21">
      <c r="A86" s="5" t="s">
        <v>505</v>
      </c>
      <c r="B86" s="5" t="s">
        <v>506</v>
      </c>
      <c r="C86" s="10"/>
      <c r="D86" s="10"/>
      <c r="E86" s="10"/>
      <c r="F86" s="10"/>
      <c r="G86" s="10"/>
      <c r="I86" s="2"/>
      <c r="J86" s="5" t="s">
        <v>507</v>
      </c>
      <c r="K86" s="346" t="s">
        <v>508</v>
      </c>
      <c r="L86" s="13"/>
      <c r="M86" s="13"/>
      <c r="N86" s="13"/>
      <c r="O86" s="13"/>
      <c r="P86" s="13" t="s">
        <v>18</v>
      </c>
      <c r="Q86" s="340" t="s">
        <v>3997</v>
      </c>
      <c r="R86" s="14"/>
      <c r="S86" s="14"/>
      <c r="T86" s="14"/>
      <c r="U86" s="14"/>
      <c r="V86" s="14"/>
      <c r="W86" s="14"/>
      <c r="X86" s="14"/>
      <c r="Y86" s="14"/>
    </row>
    <row r="87" spans="1:25" ht="21">
      <c r="A87" s="5" t="s">
        <v>509</v>
      </c>
      <c r="B87" s="342" t="s">
        <v>237</v>
      </c>
      <c r="C87" s="10"/>
      <c r="D87" s="10"/>
      <c r="E87" s="10"/>
      <c r="F87" s="10"/>
      <c r="G87" s="10" t="s">
        <v>18</v>
      </c>
      <c r="I87" s="2"/>
      <c r="J87" s="5" t="s">
        <v>182</v>
      </c>
      <c r="K87" s="346" t="s">
        <v>183</v>
      </c>
      <c r="L87" s="13"/>
      <c r="M87" s="13"/>
      <c r="N87" s="13"/>
      <c r="O87" s="13"/>
      <c r="P87" s="13" t="s">
        <v>18</v>
      </c>
      <c r="Q87" s="340" t="s">
        <v>3998</v>
      </c>
      <c r="R87" s="14"/>
      <c r="S87" s="14"/>
      <c r="T87" s="14"/>
      <c r="U87" s="14"/>
      <c r="V87" s="14"/>
      <c r="W87" s="14"/>
      <c r="X87" s="14"/>
      <c r="Y87" s="14"/>
    </row>
    <row r="88" spans="1:25" ht="21">
      <c r="A88" s="5" t="s">
        <v>510</v>
      </c>
      <c r="B88" s="342" t="s">
        <v>511</v>
      </c>
      <c r="C88" s="10"/>
      <c r="D88" s="10"/>
      <c r="E88" s="10"/>
      <c r="F88" s="10"/>
      <c r="G88" s="10" t="s">
        <v>18</v>
      </c>
      <c r="I88" s="2"/>
      <c r="J88" s="5" t="s">
        <v>512</v>
      </c>
      <c r="K88" s="346" t="s">
        <v>513</v>
      </c>
      <c r="L88" s="13"/>
      <c r="M88" s="13"/>
      <c r="N88" s="13"/>
      <c r="O88" s="13"/>
      <c r="P88" s="13" t="s">
        <v>1562</v>
      </c>
      <c r="R88" s="14"/>
      <c r="S88" s="14"/>
      <c r="T88" s="14"/>
      <c r="U88" s="14"/>
      <c r="V88" s="14"/>
      <c r="W88" s="14"/>
      <c r="X88" s="14"/>
      <c r="Y88" s="14"/>
    </row>
    <row r="89" spans="1:25" ht="21">
      <c r="A89" s="5" t="s">
        <v>517</v>
      </c>
      <c r="B89" s="342" t="s">
        <v>224</v>
      </c>
      <c r="C89" s="10"/>
      <c r="D89" s="10"/>
      <c r="E89" s="10"/>
      <c r="F89" s="10"/>
      <c r="G89" s="10" t="s">
        <v>18</v>
      </c>
      <c r="I89" s="2"/>
      <c r="J89" s="5" t="s">
        <v>518</v>
      </c>
      <c r="K89" s="346" t="s">
        <v>519</v>
      </c>
      <c r="L89" s="13"/>
      <c r="M89" s="13"/>
      <c r="N89" s="13"/>
      <c r="O89" s="13"/>
      <c r="P89" s="13" t="s">
        <v>1562</v>
      </c>
      <c r="Q89" s="340" t="s">
        <v>3999</v>
      </c>
      <c r="R89" s="14"/>
      <c r="S89" s="14"/>
      <c r="T89" s="14"/>
      <c r="U89" s="14"/>
      <c r="V89" s="14"/>
      <c r="W89" s="14"/>
      <c r="X89" s="14"/>
      <c r="Y89" s="14"/>
    </row>
    <row r="90" spans="1:25" ht="21">
      <c r="A90" s="5" t="s">
        <v>523</v>
      </c>
      <c r="B90" s="342" t="s">
        <v>460</v>
      </c>
      <c r="C90" s="10"/>
      <c r="D90" s="10"/>
      <c r="E90" s="10"/>
      <c r="F90" s="10"/>
      <c r="G90" s="10" t="s">
        <v>18</v>
      </c>
      <c r="H90" s="340" t="s">
        <v>4000</v>
      </c>
      <c r="I90" s="2"/>
      <c r="J90" s="5" t="s">
        <v>524</v>
      </c>
      <c r="K90" s="346" t="s">
        <v>525</v>
      </c>
      <c r="L90" s="13"/>
      <c r="M90" s="13"/>
      <c r="N90" s="13"/>
      <c r="O90" s="13"/>
      <c r="P90" s="13" t="s">
        <v>1562</v>
      </c>
      <c r="Q90" s="340" t="s">
        <v>4001</v>
      </c>
      <c r="R90" s="14"/>
      <c r="S90" s="14"/>
      <c r="T90" s="14"/>
      <c r="U90" s="14"/>
      <c r="V90" s="14"/>
      <c r="W90" s="14"/>
      <c r="X90" s="14"/>
      <c r="Y90" s="14"/>
    </row>
    <row r="91" spans="1:25" ht="21">
      <c r="A91" s="5" t="s">
        <v>529</v>
      </c>
      <c r="B91" s="342" t="s">
        <v>530</v>
      </c>
      <c r="C91" s="10" t="s">
        <v>21</v>
      </c>
      <c r="D91" s="10"/>
      <c r="E91" s="10"/>
      <c r="F91" s="10"/>
      <c r="G91" s="10" t="s">
        <v>22</v>
      </c>
      <c r="I91" s="2"/>
      <c r="J91" s="5" t="s">
        <v>72</v>
      </c>
      <c r="K91" s="343" t="s">
        <v>73</v>
      </c>
      <c r="L91" s="13"/>
      <c r="M91" s="13"/>
      <c r="N91" s="13"/>
      <c r="O91" s="13"/>
      <c r="P91" s="13" t="s">
        <v>21</v>
      </c>
      <c r="Q91" s="340" t="s">
        <v>4002</v>
      </c>
      <c r="R91" s="14"/>
      <c r="S91" s="14"/>
      <c r="T91" s="14"/>
      <c r="U91" s="14"/>
      <c r="V91" s="14"/>
      <c r="W91" s="14"/>
      <c r="X91" s="14"/>
      <c r="Y91" s="14"/>
    </row>
    <row r="92" spans="1:25" ht="21">
      <c r="A92" s="5" t="s">
        <v>534</v>
      </c>
      <c r="B92" s="344" t="s">
        <v>535</v>
      </c>
      <c r="C92" s="10"/>
      <c r="D92" s="10"/>
      <c r="E92" s="10"/>
      <c r="F92" s="10"/>
      <c r="G92" s="10" t="s">
        <v>1567</v>
      </c>
      <c r="I92" s="2"/>
      <c r="J92" s="5" t="s">
        <v>536</v>
      </c>
      <c r="K92" s="12" t="s">
        <v>537</v>
      </c>
      <c r="L92" s="13"/>
      <c r="M92" s="13"/>
      <c r="N92" s="13"/>
      <c r="O92" s="13"/>
      <c r="P92" s="13" t="s">
        <v>1574</v>
      </c>
      <c r="Q92" s="340" t="s">
        <v>4003</v>
      </c>
      <c r="R92" s="14"/>
      <c r="S92" s="14"/>
      <c r="T92" s="14"/>
      <c r="U92" s="14"/>
      <c r="V92" s="14"/>
      <c r="W92" s="14"/>
      <c r="X92" s="14"/>
      <c r="Y92" s="14"/>
    </row>
    <row r="93" spans="1:25" ht="21">
      <c r="A93" s="5" t="s">
        <v>541</v>
      </c>
      <c r="B93" s="5" t="s">
        <v>542</v>
      </c>
      <c r="C93" s="10"/>
      <c r="D93" s="10"/>
      <c r="E93" s="10"/>
      <c r="F93" s="10"/>
      <c r="G93" s="10" t="s">
        <v>1574</v>
      </c>
      <c r="I93" s="2"/>
      <c r="J93" s="5" t="s">
        <v>543</v>
      </c>
      <c r="K93" s="12" t="s">
        <v>544</v>
      </c>
      <c r="L93" s="13"/>
      <c r="M93" s="13"/>
      <c r="N93" s="13"/>
      <c r="O93" s="13"/>
      <c r="P93" s="13"/>
      <c r="Q93" s="340" t="s">
        <v>4004</v>
      </c>
      <c r="R93" s="14"/>
      <c r="S93" s="14"/>
      <c r="T93" s="14"/>
      <c r="U93" s="14"/>
      <c r="V93" s="14"/>
      <c r="W93" s="14"/>
      <c r="X93" s="14"/>
      <c r="Y93" s="14"/>
    </row>
    <row r="94" spans="1:25" ht="21">
      <c r="A94" s="5" t="s">
        <v>548</v>
      </c>
      <c r="B94" s="342" t="s">
        <v>549</v>
      </c>
      <c r="C94" s="10"/>
      <c r="D94" s="10"/>
      <c r="E94" s="10"/>
      <c r="F94" s="10"/>
      <c r="G94" s="10" t="s">
        <v>18</v>
      </c>
      <c r="I94" s="2"/>
      <c r="J94" s="5" t="s">
        <v>363</v>
      </c>
      <c r="K94" s="346" t="s">
        <v>364</v>
      </c>
      <c r="L94" s="13"/>
      <c r="M94" s="13"/>
      <c r="N94" s="13"/>
      <c r="O94" s="13"/>
      <c r="P94" s="13" t="s">
        <v>18</v>
      </c>
      <c r="R94" s="14"/>
      <c r="S94" s="14"/>
      <c r="T94" s="14"/>
      <c r="U94" s="14"/>
      <c r="V94" s="14"/>
      <c r="W94" s="14"/>
      <c r="X94" s="14"/>
      <c r="Y94" s="14"/>
    </row>
    <row r="95" spans="1:25" ht="21">
      <c r="A95" s="5" t="s">
        <v>553</v>
      </c>
      <c r="B95" s="5" t="s">
        <v>352</v>
      </c>
      <c r="C95" s="10"/>
      <c r="D95" s="10"/>
      <c r="E95" s="10"/>
      <c r="F95" s="10"/>
      <c r="G95" s="10" t="s">
        <v>1574</v>
      </c>
      <c r="I95" s="2"/>
      <c r="J95" s="5" t="s">
        <v>554</v>
      </c>
      <c r="K95" s="12" t="s">
        <v>555</v>
      </c>
      <c r="L95" s="13"/>
      <c r="M95" s="13"/>
      <c r="N95" s="13"/>
      <c r="O95" s="13"/>
      <c r="P95" s="13"/>
      <c r="R95" s="14"/>
      <c r="S95" s="14"/>
      <c r="T95" s="14"/>
      <c r="U95" s="14"/>
      <c r="V95" s="14"/>
      <c r="W95" s="14"/>
      <c r="X95" s="14"/>
      <c r="Y95" s="14"/>
    </row>
    <row r="96" spans="1:25" ht="21">
      <c r="A96" s="5" t="s">
        <v>559</v>
      </c>
      <c r="B96" s="342" t="s">
        <v>560</v>
      </c>
      <c r="C96" s="10"/>
      <c r="D96" s="10"/>
      <c r="E96" s="10"/>
      <c r="F96" s="10"/>
      <c r="G96" s="10" t="s">
        <v>1562</v>
      </c>
      <c r="I96" s="2"/>
      <c r="J96" s="5" t="s">
        <v>561</v>
      </c>
      <c r="K96" s="12"/>
      <c r="L96" s="13"/>
      <c r="M96" s="13"/>
      <c r="N96" s="13"/>
      <c r="O96" s="13"/>
      <c r="P96" s="13"/>
      <c r="R96" s="14"/>
      <c r="S96" s="14"/>
      <c r="T96" s="14"/>
      <c r="U96" s="14"/>
      <c r="V96" s="14"/>
      <c r="W96" s="14"/>
      <c r="X96" s="14"/>
      <c r="Y96" s="14"/>
    </row>
    <row r="97" spans="1:25" ht="21">
      <c r="A97" s="5" t="s">
        <v>565</v>
      </c>
      <c r="B97" s="342" t="s">
        <v>441</v>
      </c>
      <c r="C97" s="10"/>
      <c r="D97" s="10"/>
      <c r="E97" s="10"/>
      <c r="F97" s="10"/>
      <c r="G97" s="10" t="s">
        <v>18</v>
      </c>
      <c r="I97" s="2"/>
      <c r="J97" s="5" t="s">
        <v>566</v>
      </c>
      <c r="K97" s="12" t="s">
        <v>567</v>
      </c>
      <c r="L97" s="13"/>
      <c r="M97" s="13"/>
      <c r="N97" s="13"/>
      <c r="O97" s="13"/>
      <c r="P97" s="13"/>
      <c r="R97" s="14"/>
      <c r="S97" s="14"/>
      <c r="T97" s="14"/>
      <c r="U97" s="14"/>
      <c r="V97" s="14"/>
      <c r="W97" s="14"/>
      <c r="X97" s="14"/>
      <c r="Y97" s="14"/>
    </row>
    <row r="98" spans="1:25" ht="21">
      <c r="A98" s="5" t="s">
        <v>571</v>
      </c>
      <c r="B98" s="344" t="s">
        <v>572</v>
      </c>
      <c r="C98" s="10"/>
      <c r="D98" s="10"/>
      <c r="E98" s="10"/>
      <c r="F98" s="10"/>
      <c r="G98" s="10" t="s">
        <v>1567</v>
      </c>
      <c r="I98" s="2"/>
      <c r="J98" s="5" t="s">
        <v>573</v>
      </c>
      <c r="K98" s="12" t="s">
        <v>574</v>
      </c>
      <c r="L98" s="13"/>
      <c r="M98" s="13"/>
      <c r="N98" s="13"/>
      <c r="O98" s="13"/>
      <c r="P98" s="13"/>
      <c r="R98" s="14"/>
      <c r="S98" s="14"/>
      <c r="T98" s="14"/>
      <c r="U98" s="14"/>
      <c r="V98" s="14"/>
      <c r="W98" s="14"/>
      <c r="X98" s="14"/>
      <c r="Y98" s="14"/>
    </row>
    <row r="99" spans="1:25" ht="21">
      <c r="A99" s="5" t="s">
        <v>578</v>
      </c>
      <c r="B99" s="342" t="s">
        <v>579</v>
      </c>
      <c r="C99" s="10"/>
      <c r="D99" s="10"/>
      <c r="E99" s="10"/>
      <c r="F99" s="10"/>
      <c r="G99" s="10" t="s">
        <v>18</v>
      </c>
      <c r="I99" s="2"/>
      <c r="J99" s="5" t="s">
        <v>580</v>
      </c>
      <c r="K99" s="12" t="s">
        <v>581</v>
      </c>
      <c r="L99" s="13"/>
      <c r="M99" s="13"/>
      <c r="N99" s="13"/>
      <c r="O99" s="13"/>
      <c r="P99" s="13"/>
      <c r="R99" s="14"/>
      <c r="S99" s="14"/>
      <c r="T99" s="14"/>
      <c r="U99" s="14"/>
      <c r="V99" s="14"/>
      <c r="W99" s="14"/>
      <c r="X99" s="14"/>
      <c r="Y99" s="14"/>
    </row>
    <row r="100" spans="1:25" ht="21">
      <c r="A100" s="5" t="s">
        <v>585</v>
      </c>
      <c r="B100" s="5" t="s">
        <v>586</v>
      </c>
      <c r="C100" s="10"/>
      <c r="D100" s="10"/>
      <c r="E100" s="10"/>
      <c r="F100" s="10"/>
      <c r="G100" s="10" t="s">
        <v>1562</v>
      </c>
      <c r="I100" s="2"/>
      <c r="J100" s="5" t="s">
        <v>154</v>
      </c>
      <c r="K100" s="343" t="s">
        <v>155</v>
      </c>
      <c r="L100" s="13"/>
      <c r="M100" s="13"/>
      <c r="N100" s="13"/>
      <c r="O100" s="13"/>
      <c r="P100" s="13" t="s">
        <v>21</v>
      </c>
      <c r="R100" s="14"/>
      <c r="S100" s="14"/>
      <c r="T100" s="14"/>
      <c r="U100" s="14"/>
      <c r="V100" s="14"/>
      <c r="W100" s="14"/>
      <c r="X100" s="14"/>
      <c r="Y100" s="14"/>
    </row>
    <row r="101" spans="1:25" ht="21">
      <c r="A101" s="5" t="s">
        <v>590</v>
      </c>
      <c r="B101" s="342" t="s">
        <v>591</v>
      </c>
      <c r="C101" s="10"/>
      <c r="D101" s="10"/>
      <c r="E101" s="10"/>
      <c r="F101" s="10"/>
      <c r="G101" s="10" t="s">
        <v>1562</v>
      </c>
      <c r="I101" s="2"/>
      <c r="J101" s="5" t="s">
        <v>248</v>
      </c>
      <c r="K101" s="343" t="s">
        <v>249</v>
      </c>
      <c r="L101" s="13"/>
      <c r="M101" s="13"/>
      <c r="N101" s="13"/>
      <c r="O101" s="13"/>
      <c r="P101" s="13" t="s">
        <v>1567</v>
      </c>
      <c r="R101" s="14"/>
      <c r="S101" s="14"/>
      <c r="T101" s="14"/>
      <c r="U101" s="14"/>
      <c r="V101" s="14"/>
      <c r="W101" s="14"/>
      <c r="X101" s="14"/>
      <c r="Y101" s="14"/>
    </row>
    <row r="102" spans="1:25" ht="21">
      <c r="A102" s="5" t="s">
        <v>595</v>
      </c>
      <c r="B102" s="342" t="s">
        <v>596</v>
      </c>
      <c r="C102" s="10"/>
      <c r="D102" s="10"/>
      <c r="E102" s="10"/>
      <c r="F102" s="10"/>
      <c r="G102" s="10" t="s">
        <v>22</v>
      </c>
      <c r="H102" s="340" t="s">
        <v>4005</v>
      </c>
      <c r="I102" s="2"/>
      <c r="J102" s="5" t="s">
        <v>597</v>
      </c>
      <c r="K102" s="12" t="s">
        <v>598</v>
      </c>
      <c r="L102" s="13"/>
      <c r="M102" s="13"/>
      <c r="N102" s="13"/>
      <c r="O102" s="13"/>
      <c r="P102" s="13" t="s">
        <v>1574</v>
      </c>
      <c r="R102" s="14"/>
      <c r="S102" s="14"/>
      <c r="T102" s="14"/>
      <c r="U102" s="14"/>
      <c r="V102" s="14"/>
      <c r="W102" s="14"/>
      <c r="X102" s="14"/>
      <c r="Y102" s="14"/>
    </row>
    <row r="103" spans="1:25" ht="21">
      <c r="A103" s="5" t="s">
        <v>602</v>
      </c>
      <c r="B103" s="5" t="s">
        <v>603</v>
      </c>
      <c r="C103" s="10"/>
      <c r="D103" s="10"/>
      <c r="E103" s="10"/>
      <c r="F103" s="10"/>
      <c r="G103" s="10"/>
      <c r="I103" s="2"/>
      <c r="J103" s="5" t="s">
        <v>141</v>
      </c>
      <c r="K103" s="351" t="s">
        <v>142</v>
      </c>
      <c r="L103" s="13"/>
      <c r="M103" s="13"/>
      <c r="N103" s="13"/>
      <c r="O103" s="13"/>
      <c r="P103" s="13" t="s">
        <v>28</v>
      </c>
      <c r="Q103" s="340" t="s">
        <v>4006</v>
      </c>
      <c r="R103" s="14"/>
      <c r="S103" s="14"/>
      <c r="T103" s="14"/>
      <c r="U103" s="14"/>
      <c r="V103" s="14"/>
      <c r="W103" s="14"/>
      <c r="X103" s="14"/>
      <c r="Y103" s="14"/>
    </row>
    <row r="104" spans="1:25" ht="21">
      <c r="A104" s="5" t="s">
        <v>607</v>
      </c>
      <c r="B104" s="345" t="s">
        <v>381</v>
      </c>
      <c r="C104" s="10"/>
      <c r="D104" s="10"/>
      <c r="E104" s="10"/>
      <c r="F104" s="10"/>
      <c r="G104" s="10" t="s">
        <v>28</v>
      </c>
      <c r="I104" s="2"/>
      <c r="J104" s="5" t="s">
        <v>608</v>
      </c>
      <c r="K104" s="346" t="s">
        <v>609</v>
      </c>
      <c r="L104" s="13"/>
      <c r="M104" s="13"/>
      <c r="N104" s="13"/>
      <c r="O104" s="13"/>
      <c r="P104" s="13" t="s">
        <v>18</v>
      </c>
      <c r="Q104" s="340" t="s">
        <v>4007</v>
      </c>
      <c r="R104" s="14"/>
      <c r="S104" s="14"/>
      <c r="T104" s="14"/>
      <c r="U104" s="14"/>
      <c r="V104" s="14"/>
      <c r="W104" s="14"/>
      <c r="X104" s="14"/>
      <c r="Y104" s="14"/>
    </row>
    <row r="105" spans="1:25" ht="21">
      <c r="A105" s="5" t="s">
        <v>613</v>
      </c>
      <c r="B105" s="342" t="s">
        <v>108</v>
      </c>
      <c r="C105" s="10"/>
      <c r="D105" s="10"/>
      <c r="E105" s="10"/>
      <c r="F105" s="10"/>
      <c r="G105" s="10" t="s">
        <v>18</v>
      </c>
      <c r="I105" s="2"/>
      <c r="J105" s="5" t="s">
        <v>614</v>
      </c>
      <c r="K105" s="12" t="s">
        <v>615</v>
      </c>
      <c r="L105" s="13"/>
      <c r="M105" s="13"/>
      <c r="N105" s="13"/>
      <c r="O105" s="13"/>
      <c r="P105" s="13" t="s">
        <v>1562</v>
      </c>
      <c r="R105" s="14"/>
      <c r="S105" s="14"/>
      <c r="T105" s="14"/>
      <c r="U105" s="14"/>
      <c r="V105" s="14"/>
      <c r="W105" s="14"/>
      <c r="X105" s="14"/>
      <c r="Y105" s="14"/>
    </row>
    <row r="106" spans="1:25" ht="35.25" customHeight="1">
      <c r="A106" s="540" t="s">
        <v>619</v>
      </c>
      <c r="B106" s="543"/>
      <c r="C106" s="543"/>
      <c r="D106" s="543"/>
      <c r="E106" s="543"/>
      <c r="F106" s="543"/>
      <c r="G106" s="543"/>
      <c r="H106" s="612"/>
      <c r="I106" s="2"/>
      <c r="J106" s="5" t="s">
        <v>620</v>
      </c>
      <c r="K106" s="12" t="s">
        <v>621</v>
      </c>
      <c r="L106" s="13"/>
      <c r="M106" s="13"/>
      <c r="N106" s="13"/>
      <c r="O106" s="13"/>
      <c r="P106" s="13" t="s">
        <v>18</v>
      </c>
      <c r="Q106" s="340" t="s">
        <v>4008</v>
      </c>
      <c r="R106" s="14"/>
      <c r="S106" s="14"/>
      <c r="T106" s="14"/>
      <c r="U106" s="14"/>
      <c r="V106" s="14"/>
      <c r="W106" s="14"/>
      <c r="X106" s="14"/>
      <c r="Y106" s="14"/>
    </row>
    <row r="107" spans="1:25" ht="21">
      <c r="A107" s="5" t="s">
        <v>4</v>
      </c>
      <c r="B107" s="6" t="s">
        <v>5</v>
      </c>
      <c r="C107" s="7" t="s">
        <v>6</v>
      </c>
      <c r="D107" s="7" t="s">
        <v>7</v>
      </c>
      <c r="E107" s="7" t="s">
        <v>8</v>
      </c>
      <c r="F107" s="7" t="s">
        <v>9</v>
      </c>
      <c r="G107" s="7" t="s">
        <v>10</v>
      </c>
      <c r="H107" s="340" t="s">
        <v>11</v>
      </c>
      <c r="I107" s="2"/>
      <c r="J107" s="5" t="s">
        <v>419</v>
      </c>
      <c r="K107" s="351" t="s">
        <v>420</v>
      </c>
      <c r="L107" s="13"/>
      <c r="M107" s="13"/>
      <c r="N107" s="13"/>
      <c r="O107" s="13"/>
      <c r="P107" s="13" t="s">
        <v>28</v>
      </c>
      <c r="Q107" s="340" t="s">
        <v>4009</v>
      </c>
      <c r="R107" s="14"/>
      <c r="S107" s="14"/>
      <c r="T107" s="14"/>
      <c r="U107" s="14"/>
      <c r="V107" s="14"/>
      <c r="W107" s="14"/>
      <c r="X107" s="14"/>
      <c r="Y107" s="14"/>
    </row>
    <row r="108" spans="1:25" ht="21">
      <c r="A108" s="5" t="s">
        <v>633</v>
      </c>
      <c r="B108" s="342" t="s">
        <v>594</v>
      </c>
      <c r="C108" s="13"/>
      <c r="D108" s="13"/>
      <c r="E108" s="13"/>
      <c r="F108" s="13"/>
      <c r="G108" s="13" t="s">
        <v>18</v>
      </c>
      <c r="H108" s="340" t="s">
        <v>4010</v>
      </c>
      <c r="I108" s="2"/>
      <c r="J108" s="5" t="s">
        <v>628</v>
      </c>
      <c r="K108" s="12" t="s">
        <v>629</v>
      </c>
      <c r="L108" s="13"/>
      <c r="M108" s="13"/>
      <c r="N108" s="13"/>
      <c r="O108" s="13"/>
      <c r="P108" s="13"/>
      <c r="R108" s="14"/>
      <c r="S108" s="14"/>
      <c r="T108" s="14"/>
      <c r="U108" s="14"/>
      <c r="V108" s="14"/>
      <c r="W108" s="14"/>
      <c r="X108" s="14"/>
      <c r="Y108" s="14"/>
    </row>
    <row r="109" spans="1:25" ht="34">
      <c r="A109" s="5" t="s">
        <v>639</v>
      </c>
      <c r="B109" s="342" t="s">
        <v>640</v>
      </c>
      <c r="C109" s="13"/>
      <c r="D109" s="13"/>
      <c r="E109" s="13"/>
      <c r="F109" s="13"/>
      <c r="G109" s="13" t="s">
        <v>18</v>
      </c>
      <c r="H109" s="340" t="s">
        <v>4011</v>
      </c>
      <c r="I109" s="2"/>
      <c r="J109" s="5" t="s">
        <v>634</v>
      </c>
      <c r="K109" s="343" t="s">
        <v>635</v>
      </c>
      <c r="L109" s="13"/>
      <c r="M109" s="13"/>
      <c r="N109" s="13"/>
      <c r="O109" s="13"/>
      <c r="P109" s="13" t="s">
        <v>1567</v>
      </c>
      <c r="Q109" s="340" t="s">
        <v>4012</v>
      </c>
      <c r="R109" s="14"/>
      <c r="S109" s="14"/>
      <c r="T109" s="14"/>
      <c r="U109" s="14"/>
      <c r="V109" s="14"/>
      <c r="W109" s="14"/>
      <c r="X109" s="14"/>
      <c r="Y109" s="14"/>
    </row>
    <row r="110" spans="1:25" ht="21">
      <c r="A110" s="5" t="s">
        <v>644</v>
      </c>
      <c r="B110" s="342" t="s">
        <v>645</v>
      </c>
      <c r="C110" s="13"/>
      <c r="D110" s="13"/>
      <c r="E110" s="13"/>
      <c r="F110" s="13"/>
      <c r="G110" s="13" t="s">
        <v>1574</v>
      </c>
      <c r="I110" s="2"/>
      <c r="J110" s="5" t="s">
        <v>284</v>
      </c>
      <c r="K110" s="346" t="s">
        <v>285</v>
      </c>
      <c r="L110" s="13"/>
      <c r="M110" s="13"/>
      <c r="N110" s="13"/>
      <c r="O110" s="13"/>
      <c r="P110" s="13" t="s">
        <v>18</v>
      </c>
      <c r="Q110" s="340" t="s">
        <v>4013</v>
      </c>
      <c r="R110" s="14"/>
      <c r="S110" s="14"/>
      <c r="T110" s="14"/>
      <c r="U110" s="14"/>
      <c r="V110" s="14"/>
      <c r="W110" s="14"/>
      <c r="X110" s="14"/>
      <c r="Y110" s="14"/>
    </row>
    <row r="111" spans="1:25" ht="21">
      <c r="A111" s="5" t="s">
        <v>651</v>
      </c>
      <c r="B111" s="342" t="s">
        <v>652</v>
      </c>
      <c r="C111" s="13"/>
      <c r="D111" s="13"/>
      <c r="E111" s="13"/>
      <c r="F111" s="13"/>
      <c r="G111" s="13"/>
      <c r="I111" s="2"/>
      <c r="J111" s="5" t="s">
        <v>646</v>
      </c>
      <c r="K111" s="346" t="s">
        <v>647</v>
      </c>
      <c r="L111" s="13"/>
      <c r="M111" s="13"/>
      <c r="N111" s="13"/>
      <c r="O111" s="13"/>
      <c r="P111" s="13" t="s">
        <v>18</v>
      </c>
      <c r="Q111" s="340" t="s">
        <v>3966</v>
      </c>
      <c r="R111" s="14"/>
      <c r="S111" s="14"/>
      <c r="T111" s="14"/>
      <c r="U111" s="14"/>
      <c r="V111" s="14"/>
      <c r="W111" s="14"/>
      <c r="X111" s="14"/>
      <c r="Y111" s="14"/>
    </row>
    <row r="112" spans="1:25" ht="21">
      <c r="A112" s="5" t="s">
        <v>658</v>
      </c>
      <c r="B112" s="342" t="s">
        <v>659</v>
      </c>
      <c r="C112" s="13"/>
      <c r="D112" s="13"/>
      <c r="E112" s="13"/>
      <c r="F112" s="13"/>
      <c r="G112" s="13"/>
      <c r="I112" s="2"/>
      <c r="J112" s="5" t="s">
        <v>653</v>
      </c>
      <c r="K112" s="350" t="s">
        <v>654</v>
      </c>
      <c r="L112" s="13"/>
      <c r="M112" s="13"/>
      <c r="N112" s="13"/>
      <c r="O112" s="13"/>
      <c r="P112" s="13"/>
      <c r="R112" s="14"/>
      <c r="S112" s="14"/>
      <c r="T112" s="14"/>
      <c r="U112" s="14"/>
      <c r="V112" s="14"/>
      <c r="W112" s="14"/>
      <c r="X112" s="14"/>
      <c r="Y112" s="14"/>
    </row>
    <row r="113" spans="1:25" ht="21">
      <c r="A113" s="5" t="s">
        <v>663</v>
      </c>
      <c r="B113" s="5" t="s">
        <v>5246</v>
      </c>
      <c r="C113" s="13"/>
      <c r="D113" s="13"/>
      <c r="E113" s="13"/>
      <c r="F113" s="13"/>
      <c r="G113" s="13"/>
      <c r="I113" s="2"/>
      <c r="J113" s="5" t="s">
        <v>203</v>
      </c>
      <c r="K113" s="346" t="s">
        <v>204</v>
      </c>
      <c r="L113" s="13"/>
      <c r="M113" s="13"/>
      <c r="N113" s="13"/>
      <c r="O113" s="13"/>
      <c r="P113" s="13" t="s">
        <v>22</v>
      </c>
      <c r="Q113" s="340" t="s">
        <v>4014</v>
      </c>
      <c r="R113" s="14"/>
      <c r="S113" s="14"/>
      <c r="T113" s="14"/>
      <c r="U113" s="14"/>
      <c r="V113" s="14"/>
      <c r="W113" s="14"/>
      <c r="X113" s="14"/>
      <c r="Y113" s="14"/>
    </row>
    <row r="114" spans="1:25" ht="21">
      <c r="A114" s="5" t="s">
        <v>667</v>
      </c>
      <c r="B114" s="352" t="s">
        <v>668</v>
      </c>
      <c r="C114" s="13"/>
      <c r="D114" s="13"/>
      <c r="E114" s="13"/>
      <c r="F114" s="13"/>
      <c r="G114" s="13" t="s">
        <v>1574</v>
      </c>
      <c r="H114" s="340" t="s">
        <v>4015</v>
      </c>
      <c r="I114" s="2"/>
      <c r="J114" s="5" t="s">
        <v>60</v>
      </c>
      <c r="K114" s="351" t="s">
        <v>61</v>
      </c>
      <c r="L114" s="13"/>
      <c r="M114" s="13"/>
      <c r="N114" s="13"/>
      <c r="O114" s="13"/>
      <c r="P114" s="13" t="s">
        <v>17</v>
      </c>
      <c r="Q114" s="340" t="s">
        <v>4016</v>
      </c>
      <c r="R114" s="14"/>
      <c r="S114" s="14"/>
      <c r="T114" s="14"/>
      <c r="U114" s="14"/>
      <c r="V114" s="14"/>
      <c r="W114" s="14"/>
      <c r="X114" s="14"/>
      <c r="Y114" s="14"/>
    </row>
    <row r="115" spans="1:25" ht="21">
      <c r="A115" s="5" t="s">
        <v>674</v>
      </c>
      <c r="B115" s="352" t="s">
        <v>675</v>
      </c>
      <c r="C115" s="13"/>
      <c r="D115" s="13"/>
      <c r="E115" s="13"/>
      <c r="F115" s="13"/>
      <c r="G115" s="13" t="s">
        <v>18</v>
      </c>
      <c r="H115" s="340" t="s">
        <v>4017</v>
      </c>
      <c r="I115" s="2"/>
      <c r="J115" s="5" t="s">
        <v>669</v>
      </c>
      <c r="K115" s="346" t="s">
        <v>670</v>
      </c>
      <c r="L115" s="13"/>
      <c r="M115" s="13"/>
      <c r="N115" s="13"/>
      <c r="O115" s="13"/>
      <c r="P115" s="13" t="s">
        <v>22</v>
      </c>
      <c r="R115" s="14"/>
      <c r="S115" s="14"/>
      <c r="T115" s="14"/>
      <c r="U115" s="14"/>
      <c r="V115" s="14"/>
      <c r="W115" s="14"/>
      <c r="X115" s="14"/>
      <c r="Y115" s="14"/>
    </row>
    <row r="116" spans="1:25" ht="21">
      <c r="A116" s="5" t="s">
        <v>681</v>
      </c>
      <c r="B116" s="342" t="s">
        <v>666</v>
      </c>
      <c r="C116" s="13"/>
      <c r="D116" s="13"/>
      <c r="E116" s="13"/>
      <c r="F116" s="13"/>
      <c r="G116" s="13" t="s">
        <v>1562</v>
      </c>
      <c r="H116" s="340" t="s">
        <v>4018</v>
      </c>
      <c r="I116" s="2"/>
      <c r="J116" s="5" t="s">
        <v>676</v>
      </c>
      <c r="K116" s="346" t="s">
        <v>677</v>
      </c>
      <c r="L116" s="13"/>
      <c r="M116" s="13"/>
      <c r="N116" s="13"/>
      <c r="O116" s="13"/>
      <c r="P116" s="13" t="s">
        <v>18</v>
      </c>
      <c r="Q116" s="340" t="s">
        <v>4019</v>
      </c>
      <c r="R116" s="14"/>
      <c r="S116" s="14"/>
      <c r="T116" s="14"/>
      <c r="U116" s="14"/>
      <c r="V116" s="14"/>
      <c r="W116" s="14"/>
      <c r="X116" s="14"/>
      <c r="Y116" s="14"/>
    </row>
    <row r="117" spans="1:25" ht="21">
      <c r="A117" s="5" t="s">
        <v>687</v>
      </c>
      <c r="B117" s="342" t="s">
        <v>688</v>
      </c>
      <c r="C117" s="13"/>
      <c r="D117" s="13"/>
      <c r="E117" s="13"/>
      <c r="F117" s="13"/>
      <c r="G117" s="13" t="s">
        <v>1562</v>
      </c>
      <c r="I117" s="2"/>
      <c r="J117" s="5" t="s">
        <v>682</v>
      </c>
      <c r="K117" s="346" t="s">
        <v>683</v>
      </c>
      <c r="L117" s="13"/>
      <c r="M117" s="13"/>
      <c r="N117" s="13"/>
      <c r="O117" s="13"/>
      <c r="P117" s="13" t="s">
        <v>18</v>
      </c>
      <c r="R117" s="14"/>
      <c r="S117" s="14"/>
      <c r="T117" s="14"/>
      <c r="U117" s="14"/>
      <c r="V117" s="14"/>
      <c r="W117" s="14"/>
      <c r="X117" s="14"/>
      <c r="Y117" s="14"/>
    </row>
    <row r="118" spans="1:25" ht="21">
      <c r="A118" s="5" t="s">
        <v>694</v>
      </c>
      <c r="B118" s="342" t="s">
        <v>695</v>
      </c>
      <c r="C118" s="13"/>
      <c r="D118" s="13"/>
      <c r="E118" s="13"/>
      <c r="F118" s="13"/>
      <c r="G118" s="13"/>
      <c r="I118" s="2"/>
      <c r="J118" s="5" t="s">
        <v>689</v>
      </c>
      <c r="K118" s="12" t="s">
        <v>690</v>
      </c>
      <c r="L118" s="13"/>
      <c r="M118" s="13"/>
      <c r="N118" s="13"/>
      <c r="O118" s="13"/>
      <c r="P118" s="13"/>
      <c r="R118" s="14"/>
      <c r="S118" s="14"/>
      <c r="T118" s="14"/>
      <c r="U118" s="14"/>
      <c r="V118" s="14"/>
      <c r="W118" s="14"/>
      <c r="X118" s="14"/>
      <c r="Y118" s="14"/>
    </row>
    <row r="119" spans="1:25" ht="21">
      <c r="A119" s="5" t="s">
        <v>701</v>
      </c>
      <c r="B119" s="5" t="s">
        <v>702</v>
      </c>
      <c r="C119" s="13"/>
      <c r="D119" s="13"/>
      <c r="E119" s="13"/>
      <c r="F119" s="13"/>
      <c r="G119" s="13"/>
      <c r="H119" s="340" t="s">
        <v>4020</v>
      </c>
      <c r="I119" s="2"/>
      <c r="J119" s="5" t="s">
        <v>696</v>
      </c>
      <c r="K119" s="12" t="s">
        <v>697</v>
      </c>
      <c r="L119" s="13"/>
      <c r="M119" s="13"/>
      <c r="N119" s="13"/>
      <c r="O119" s="13"/>
      <c r="P119" s="13" t="s">
        <v>1661</v>
      </c>
      <c r="Q119" s="340" t="s">
        <v>4021</v>
      </c>
      <c r="R119" s="14"/>
      <c r="S119" s="14"/>
      <c r="T119" s="14"/>
      <c r="U119" s="14"/>
      <c r="V119" s="14"/>
      <c r="W119" s="14"/>
      <c r="X119" s="14"/>
      <c r="Y119" s="14"/>
    </row>
    <row r="120" spans="1:25" ht="21">
      <c r="A120" s="5" t="s">
        <v>708</v>
      </c>
      <c r="B120" s="342" t="s">
        <v>709</v>
      </c>
      <c r="C120" s="13"/>
      <c r="D120" s="13"/>
      <c r="E120" s="13"/>
      <c r="F120" s="13"/>
      <c r="G120" s="13"/>
      <c r="I120" s="2"/>
      <c r="J120" s="5" t="s">
        <v>703</v>
      </c>
      <c r="K120" s="12" t="s">
        <v>704</v>
      </c>
      <c r="L120" s="13"/>
      <c r="M120" s="13"/>
      <c r="N120" s="13"/>
      <c r="O120" s="13"/>
      <c r="P120" s="13" t="s">
        <v>16</v>
      </c>
      <c r="Q120" s="340" t="s">
        <v>4022</v>
      </c>
      <c r="R120" s="14"/>
      <c r="S120" s="14"/>
      <c r="T120" s="14"/>
      <c r="U120" s="14"/>
      <c r="V120" s="14"/>
      <c r="W120" s="14"/>
      <c r="X120" s="14"/>
      <c r="Y120" s="14"/>
    </row>
    <row r="121" spans="1:25" ht="21">
      <c r="A121" s="5" t="s">
        <v>715</v>
      </c>
      <c r="B121" s="342" t="s">
        <v>716</v>
      </c>
      <c r="C121" s="13"/>
      <c r="D121" s="13"/>
      <c r="E121" s="13"/>
      <c r="F121" s="13"/>
      <c r="G121" s="13"/>
      <c r="I121" s="2"/>
      <c r="J121" s="5" t="s">
        <v>710</v>
      </c>
      <c r="K121" s="12" t="s">
        <v>711</v>
      </c>
      <c r="L121" s="13"/>
      <c r="M121" s="13"/>
      <c r="N121" s="13"/>
      <c r="O121" s="13"/>
      <c r="P121" s="13"/>
      <c r="Q121" s="340" t="s">
        <v>4023</v>
      </c>
      <c r="R121" s="14"/>
      <c r="S121" s="14"/>
      <c r="T121" s="14"/>
      <c r="U121" s="14"/>
      <c r="V121" s="14"/>
      <c r="W121" s="14"/>
      <c r="X121" s="14"/>
      <c r="Y121" s="14"/>
    </row>
    <row r="122" spans="1:25" ht="21">
      <c r="A122" s="5" t="s">
        <v>722</v>
      </c>
      <c r="B122" s="342" t="s">
        <v>723</v>
      </c>
      <c r="C122" s="13"/>
      <c r="D122" s="13"/>
      <c r="E122" s="13"/>
      <c r="F122" s="13"/>
      <c r="G122" s="13"/>
      <c r="I122" s="2"/>
      <c r="J122" s="5" t="s">
        <v>717</v>
      </c>
      <c r="K122" s="12" t="s">
        <v>718</v>
      </c>
      <c r="L122" s="13"/>
      <c r="M122" s="13"/>
      <c r="N122" s="13"/>
      <c r="O122" s="13"/>
      <c r="P122" s="13"/>
      <c r="R122" s="14"/>
      <c r="S122" s="14"/>
      <c r="T122" s="14"/>
      <c r="U122" s="14"/>
      <c r="V122" s="14"/>
      <c r="W122" s="14"/>
      <c r="X122" s="14"/>
      <c r="Y122" s="14"/>
    </row>
    <row r="123" spans="1:25" ht="21">
      <c r="A123" s="5" t="s">
        <v>727</v>
      </c>
      <c r="B123" s="352" t="s">
        <v>558</v>
      </c>
      <c r="C123" s="13"/>
      <c r="D123" s="13"/>
      <c r="E123" s="13"/>
      <c r="F123" s="13"/>
      <c r="G123" s="13"/>
      <c r="I123" s="2"/>
      <c r="J123" s="5" t="s">
        <v>134</v>
      </c>
      <c r="K123" s="12" t="s">
        <v>135</v>
      </c>
      <c r="L123" s="13"/>
      <c r="M123" s="13"/>
      <c r="N123" s="13"/>
      <c r="O123" s="13"/>
      <c r="P123" s="13"/>
      <c r="R123" s="14"/>
      <c r="S123" s="14"/>
      <c r="T123" s="14"/>
      <c r="U123" s="14"/>
      <c r="V123" s="14"/>
      <c r="W123" s="14"/>
      <c r="X123" s="14"/>
      <c r="Y123" s="14"/>
    </row>
    <row r="124" spans="1:25" ht="21">
      <c r="A124" s="5" t="s">
        <v>733</v>
      </c>
      <c r="B124" s="342" t="s">
        <v>686</v>
      </c>
      <c r="C124" s="13"/>
      <c r="D124" s="13"/>
      <c r="E124" s="13"/>
      <c r="F124" s="13"/>
      <c r="G124" s="13"/>
      <c r="I124" s="2"/>
      <c r="J124" s="5" t="s">
        <v>728</v>
      </c>
      <c r="K124" s="12" t="s">
        <v>729</v>
      </c>
      <c r="L124" s="13"/>
      <c r="M124" s="13"/>
      <c r="N124" s="13"/>
      <c r="O124" s="13"/>
      <c r="P124" s="13"/>
      <c r="R124" s="14"/>
      <c r="S124" s="14"/>
      <c r="T124" s="14"/>
      <c r="U124" s="14"/>
      <c r="V124" s="14"/>
      <c r="W124" s="14"/>
      <c r="X124" s="14"/>
      <c r="Y124" s="14"/>
    </row>
    <row r="125" spans="1:25" ht="21">
      <c r="A125" s="5" t="s">
        <v>737</v>
      </c>
      <c r="B125" s="342" t="s">
        <v>700</v>
      </c>
      <c r="C125" s="13"/>
      <c r="D125" s="13"/>
      <c r="E125" s="13"/>
      <c r="F125" s="13"/>
      <c r="G125" s="13"/>
      <c r="I125" s="2"/>
      <c r="J125" s="5" t="s">
        <v>290</v>
      </c>
      <c r="K125" s="12" t="s">
        <v>291</v>
      </c>
      <c r="L125" s="13"/>
      <c r="M125" s="13"/>
      <c r="N125" s="13"/>
      <c r="O125" s="13"/>
      <c r="P125" s="13" t="s">
        <v>18</v>
      </c>
      <c r="Q125" s="340" t="s">
        <v>4024</v>
      </c>
      <c r="R125" s="14"/>
      <c r="S125" s="14"/>
      <c r="T125" s="14"/>
      <c r="U125" s="14"/>
      <c r="V125" s="14"/>
      <c r="W125" s="14"/>
      <c r="X125" s="14"/>
      <c r="Y125" s="14"/>
    </row>
    <row r="126" spans="1:25">
      <c r="A126" s="5" t="s">
        <v>741</v>
      </c>
      <c r="B126" s="342" t="s">
        <v>742</v>
      </c>
      <c r="C126" s="13"/>
      <c r="D126" s="13"/>
      <c r="E126" s="13"/>
      <c r="F126" s="13"/>
      <c r="G126" s="13"/>
      <c r="J126" s="353" t="s">
        <v>254</v>
      </c>
      <c r="K126" s="354" t="s">
        <v>255</v>
      </c>
      <c r="L126" s="355"/>
      <c r="M126" s="355"/>
      <c r="N126" s="355"/>
      <c r="O126" s="355"/>
      <c r="P126" s="355" t="s">
        <v>18</v>
      </c>
      <c r="Q126" s="356" t="s">
        <v>3966</v>
      </c>
    </row>
    <row r="127" spans="1:25">
      <c r="A127" s="5" t="s">
        <v>746</v>
      </c>
      <c r="B127" s="342" t="s">
        <v>693</v>
      </c>
      <c r="C127" s="13"/>
      <c r="D127" s="13"/>
      <c r="E127" s="13"/>
      <c r="F127" s="13"/>
      <c r="G127" s="13"/>
      <c r="J127" s="357" t="s">
        <v>407</v>
      </c>
      <c r="K127" s="354" t="s">
        <v>408</v>
      </c>
      <c r="L127" s="358"/>
      <c r="M127" s="358"/>
      <c r="N127" s="358"/>
      <c r="O127" s="358"/>
      <c r="P127" s="358" t="s">
        <v>1562</v>
      </c>
      <c r="Q127" s="341"/>
    </row>
    <row r="128" spans="1:25">
      <c r="A128" s="5" t="s">
        <v>752</v>
      </c>
      <c r="B128" s="23" t="s">
        <v>753</v>
      </c>
      <c r="C128" s="13"/>
      <c r="D128" s="13"/>
      <c r="E128" s="13"/>
      <c r="F128" s="13"/>
      <c r="G128" s="13"/>
      <c r="J128" s="357" t="s">
        <v>747</v>
      </c>
      <c r="K128" s="354" t="s">
        <v>748</v>
      </c>
      <c r="L128" s="358"/>
      <c r="M128" s="358"/>
      <c r="N128" s="358"/>
      <c r="O128" s="358"/>
      <c r="P128" s="358" t="s">
        <v>1574</v>
      </c>
      <c r="Q128" s="341"/>
    </row>
    <row r="129" spans="1:17">
      <c r="A129" s="5" t="s">
        <v>757</v>
      </c>
      <c r="B129" s="5" t="s">
        <v>758</v>
      </c>
      <c r="C129" s="13"/>
      <c r="D129" s="13"/>
      <c r="E129" s="13"/>
      <c r="F129" s="13"/>
      <c r="G129" s="13"/>
      <c r="J129" s="357" t="s">
        <v>411</v>
      </c>
      <c r="K129" s="354" t="s">
        <v>412</v>
      </c>
      <c r="L129" s="358"/>
      <c r="M129" s="358"/>
      <c r="N129" s="358"/>
      <c r="O129" s="358"/>
      <c r="P129" s="358" t="s">
        <v>1562</v>
      </c>
      <c r="Q129" s="341" t="s">
        <v>4025</v>
      </c>
    </row>
    <row r="130" spans="1:17">
      <c r="A130" s="5" t="s">
        <v>762</v>
      </c>
      <c r="B130" s="342" t="s">
        <v>763</v>
      </c>
      <c r="C130" s="13"/>
      <c r="D130" s="13"/>
      <c r="E130" s="13"/>
      <c r="F130" s="13"/>
      <c r="G130" s="13"/>
      <c r="J130" s="357" t="s">
        <v>32</v>
      </c>
      <c r="K130" s="359" t="s">
        <v>33</v>
      </c>
      <c r="L130" s="358"/>
      <c r="M130" s="358"/>
      <c r="N130" s="358"/>
      <c r="O130" s="358"/>
      <c r="P130" s="358" t="s">
        <v>21</v>
      </c>
      <c r="Q130" s="341" t="s">
        <v>4026</v>
      </c>
    </row>
    <row r="131" spans="1:17">
      <c r="A131" s="5" t="s">
        <v>767</v>
      </c>
      <c r="B131" s="5" t="s">
        <v>768</v>
      </c>
      <c r="C131" s="13"/>
      <c r="D131" s="13"/>
      <c r="E131" s="13"/>
      <c r="F131" s="13"/>
      <c r="G131" s="13"/>
      <c r="J131" s="357" t="s">
        <v>301</v>
      </c>
      <c r="K131" s="359" t="s">
        <v>280</v>
      </c>
      <c r="L131" s="358"/>
      <c r="M131" s="358"/>
      <c r="N131" s="358"/>
      <c r="O131" s="358"/>
      <c r="P131" s="358" t="s">
        <v>21</v>
      </c>
      <c r="Q131" s="341" t="s">
        <v>4027</v>
      </c>
    </row>
    <row r="132" spans="1:17">
      <c r="A132" s="5" t="s">
        <v>772</v>
      </c>
      <c r="B132" s="5" t="s">
        <v>773</v>
      </c>
      <c r="C132" s="13"/>
      <c r="D132" s="13"/>
      <c r="E132" s="13"/>
      <c r="F132" s="13"/>
      <c r="G132" s="13"/>
      <c r="J132" s="357" t="s">
        <v>344</v>
      </c>
      <c r="K132" s="354" t="s">
        <v>345</v>
      </c>
      <c r="L132" s="358"/>
      <c r="M132" s="358"/>
      <c r="N132" s="358"/>
      <c r="O132" s="358"/>
      <c r="P132" s="358" t="s">
        <v>18</v>
      </c>
      <c r="Q132" s="341"/>
    </row>
    <row r="133" spans="1:17">
      <c r="A133" s="5" t="s">
        <v>779</v>
      </c>
      <c r="B133" s="5" t="s">
        <v>780</v>
      </c>
      <c r="C133" s="13"/>
      <c r="D133" s="13"/>
      <c r="E133" s="13"/>
      <c r="F133" s="13"/>
      <c r="G133" s="13"/>
      <c r="J133" s="357" t="s">
        <v>774</v>
      </c>
      <c r="K133" s="25" t="s">
        <v>775</v>
      </c>
      <c r="L133" s="358"/>
      <c r="M133" s="358"/>
      <c r="N133" s="358"/>
      <c r="O133" s="358"/>
      <c r="P133" s="358"/>
      <c r="Q133" s="341" t="s">
        <v>4023</v>
      </c>
    </row>
    <row r="134" spans="1:17">
      <c r="A134" s="5" t="s">
        <v>785</v>
      </c>
      <c r="B134" s="23" t="s">
        <v>786</v>
      </c>
      <c r="C134" s="13"/>
      <c r="D134" s="13"/>
      <c r="E134" s="13"/>
      <c r="F134" s="13"/>
      <c r="G134" s="13"/>
      <c r="J134" s="357" t="s">
        <v>781</v>
      </c>
      <c r="K134" s="25" t="s">
        <v>544</v>
      </c>
      <c r="L134" s="358"/>
      <c r="M134" s="358"/>
      <c r="N134" s="358"/>
      <c r="O134" s="358"/>
      <c r="P134" s="358"/>
      <c r="Q134" s="341" t="s">
        <v>4028</v>
      </c>
    </row>
    <row r="135" spans="1:17">
      <c r="A135" s="5" t="s">
        <v>791</v>
      </c>
      <c r="B135" s="342" t="s">
        <v>792</v>
      </c>
      <c r="C135" s="13"/>
      <c r="D135" s="13"/>
      <c r="E135" s="13"/>
      <c r="F135" s="13"/>
      <c r="G135" s="13"/>
    </row>
    <row r="136" spans="1:17">
      <c r="A136" s="5" t="s">
        <v>796</v>
      </c>
      <c r="B136" s="5" t="s">
        <v>797</v>
      </c>
      <c r="C136" s="13"/>
      <c r="D136" s="13"/>
      <c r="E136" s="13"/>
      <c r="F136" s="13"/>
      <c r="G136" s="13"/>
    </row>
    <row r="137" spans="1:17">
      <c r="A137" s="5" t="s">
        <v>800</v>
      </c>
      <c r="B137" s="23" t="s">
        <v>801</v>
      </c>
      <c r="C137" s="13"/>
      <c r="D137" s="13"/>
      <c r="E137" s="13"/>
      <c r="F137" s="13"/>
      <c r="G137" s="13"/>
    </row>
    <row r="138" spans="1:17">
      <c r="A138" s="5" t="s">
        <v>807</v>
      </c>
      <c r="B138" s="5" t="s">
        <v>808</v>
      </c>
      <c r="C138" s="13"/>
      <c r="D138" s="13"/>
      <c r="E138" s="13"/>
      <c r="F138" s="13"/>
      <c r="G138" s="13"/>
    </row>
    <row r="139" spans="1:17">
      <c r="A139" s="5" t="s">
        <v>814</v>
      </c>
      <c r="B139" s="342" t="s">
        <v>736</v>
      </c>
      <c r="C139" s="13"/>
      <c r="D139" s="13"/>
      <c r="E139" s="13"/>
      <c r="F139" s="13"/>
      <c r="G139" s="13"/>
    </row>
    <row r="140" spans="1:17">
      <c r="A140" s="5" t="s">
        <v>818</v>
      </c>
      <c r="B140" s="5" t="s">
        <v>819</v>
      </c>
      <c r="C140" s="13"/>
      <c r="D140" s="13"/>
      <c r="E140" s="13"/>
      <c r="F140" s="13"/>
      <c r="G140" s="13"/>
    </row>
    <row r="141" spans="1:17">
      <c r="A141" s="5" t="s">
        <v>825</v>
      </c>
      <c r="B141" s="352" t="s">
        <v>826</v>
      </c>
      <c r="C141" s="13"/>
      <c r="D141" s="13"/>
      <c r="E141" s="13"/>
      <c r="F141" s="13"/>
      <c r="G141" s="13"/>
    </row>
    <row r="142" spans="1:17">
      <c r="A142" s="5" t="s">
        <v>832</v>
      </c>
      <c r="B142" s="342" t="s">
        <v>833</v>
      </c>
      <c r="C142" s="13"/>
      <c r="D142" s="13"/>
      <c r="E142" s="13"/>
      <c r="F142" s="13"/>
      <c r="G142" s="13"/>
    </row>
    <row r="143" spans="1:17">
      <c r="A143" s="5" t="s">
        <v>837</v>
      </c>
      <c r="B143" s="342" t="s">
        <v>838</v>
      </c>
      <c r="C143" s="13"/>
      <c r="D143" s="13"/>
      <c r="E143" s="13"/>
      <c r="F143" s="13"/>
      <c r="G143" s="13"/>
    </row>
    <row r="144" spans="1:17">
      <c r="A144" s="5" t="s">
        <v>844</v>
      </c>
      <c r="B144" s="352" t="s">
        <v>627</v>
      </c>
      <c r="C144" s="13"/>
      <c r="D144" s="13"/>
      <c r="E144" s="13"/>
      <c r="F144" s="13"/>
      <c r="G144" s="13"/>
    </row>
    <row r="145" spans="1:7">
      <c r="A145" s="5" t="s">
        <v>850</v>
      </c>
      <c r="B145" s="342" t="s">
        <v>851</v>
      </c>
      <c r="C145" s="13"/>
      <c r="D145" s="13"/>
      <c r="E145" s="13"/>
      <c r="F145" s="13"/>
      <c r="G145" s="13"/>
    </row>
    <row r="146" spans="1:7">
      <c r="A146" s="5" t="s">
        <v>855</v>
      </c>
      <c r="B146" s="352" t="s">
        <v>662</v>
      </c>
      <c r="C146" s="13"/>
      <c r="D146" s="13"/>
      <c r="E146" s="13"/>
      <c r="F146" s="13"/>
      <c r="G146" s="13"/>
    </row>
    <row r="147" spans="1:7">
      <c r="A147" s="5" t="s">
        <v>859</v>
      </c>
      <c r="B147" s="342" t="s">
        <v>860</v>
      </c>
      <c r="C147" s="13"/>
      <c r="D147" s="13"/>
      <c r="E147" s="13"/>
      <c r="F147" s="13"/>
      <c r="G147" s="13"/>
    </row>
    <row r="148" spans="1:7">
      <c r="A148" s="5" t="s">
        <v>861</v>
      </c>
      <c r="B148" s="5" t="s">
        <v>862</v>
      </c>
      <c r="C148" s="13"/>
      <c r="D148" s="13"/>
      <c r="E148" s="13"/>
      <c r="F148" s="13"/>
      <c r="G148" s="13"/>
    </row>
    <row r="149" spans="1:7">
      <c r="A149" s="5" t="s">
        <v>865</v>
      </c>
      <c r="B149" s="5" t="s">
        <v>866</v>
      </c>
      <c r="C149" s="13"/>
      <c r="D149" s="13"/>
      <c r="E149" s="13"/>
      <c r="F149" s="13"/>
      <c r="G149" s="13"/>
    </row>
    <row r="150" spans="1:7">
      <c r="A150" s="5" t="s">
        <v>870</v>
      </c>
      <c r="B150" s="342" t="s">
        <v>843</v>
      </c>
      <c r="C150" s="13"/>
      <c r="D150" s="13"/>
      <c r="E150" s="13"/>
      <c r="F150" s="13"/>
      <c r="G150" s="13"/>
    </row>
    <row r="151" spans="1:7">
      <c r="A151" s="5" t="s">
        <v>876</v>
      </c>
      <c r="B151" s="23" t="s">
        <v>877</v>
      </c>
      <c r="C151" s="13"/>
      <c r="D151" s="13"/>
      <c r="E151" s="13"/>
      <c r="F151" s="13"/>
      <c r="G151" s="13"/>
    </row>
    <row r="152" spans="1:7">
      <c r="A152" s="5" t="s">
        <v>881</v>
      </c>
      <c r="B152" s="23" t="s">
        <v>882</v>
      </c>
      <c r="C152" s="13"/>
      <c r="D152" s="13"/>
      <c r="E152" s="13"/>
      <c r="F152" s="13"/>
      <c r="G152" s="13"/>
    </row>
    <row r="153" spans="1:7">
      <c r="A153" s="5" t="s">
        <v>888</v>
      </c>
      <c r="B153" s="352" t="s">
        <v>889</v>
      </c>
      <c r="C153" s="13"/>
      <c r="D153" s="13"/>
      <c r="E153" s="13"/>
      <c r="F153" s="13"/>
      <c r="G153" s="13"/>
    </row>
    <row r="154" spans="1:7">
      <c r="A154" s="5" t="s">
        <v>895</v>
      </c>
      <c r="B154" s="23" t="s">
        <v>849</v>
      </c>
      <c r="C154" s="13"/>
      <c r="D154" s="13"/>
      <c r="E154" s="13"/>
      <c r="F154" s="13"/>
      <c r="G154" s="13"/>
    </row>
    <row r="155" spans="1:7">
      <c r="A155" s="5" t="s">
        <v>898</v>
      </c>
      <c r="B155" s="352" t="s">
        <v>899</v>
      </c>
      <c r="C155" s="13"/>
      <c r="D155" s="13"/>
      <c r="E155" s="13"/>
      <c r="F155" s="13"/>
      <c r="G155" s="13"/>
    </row>
    <row r="156" spans="1:7">
      <c r="A156" s="5" t="s">
        <v>905</v>
      </c>
      <c r="B156" s="5" t="s">
        <v>906</v>
      </c>
      <c r="C156" s="13"/>
      <c r="D156" s="13"/>
      <c r="E156" s="13"/>
      <c r="F156" s="13"/>
      <c r="G156" s="13"/>
    </row>
    <row r="157" spans="1:7">
      <c r="A157" s="5" t="s">
        <v>912</v>
      </c>
      <c r="B157" s="5" t="s">
        <v>913</v>
      </c>
      <c r="C157" s="13"/>
      <c r="D157" s="13"/>
      <c r="E157" s="13"/>
      <c r="F157" s="13"/>
      <c r="G157" s="13"/>
    </row>
    <row r="158" spans="1:7">
      <c r="A158" s="5" t="s">
        <v>919</v>
      </c>
      <c r="B158" s="342" t="s">
        <v>920</v>
      </c>
      <c r="C158" s="13"/>
      <c r="D158" s="13"/>
      <c r="E158" s="13"/>
      <c r="F158" s="13"/>
      <c r="G158" s="13"/>
    </row>
    <row r="159" spans="1:7">
      <c r="A159" s="5" t="s">
        <v>924</v>
      </c>
      <c r="B159" s="5" t="s">
        <v>925</v>
      </c>
      <c r="C159" s="13"/>
      <c r="D159" s="13"/>
      <c r="E159" s="13"/>
      <c r="F159" s="13"/>
      <c r="G159" s="13"/>
    </row>
    <row r="160" spans="1:7">
      <c r="A160" s="5" t="s">
        <v>929</v>
      </c>
      <c r="B160" s="342" t="s">
        <v>930</v>
      </c>
      <c r="C160" s="13"/>
      <c r="D160" s="13"/>
      <c r="E160" s="13"/>
      <c r="F160" s="13"/>
      <c r="G160" s="13"/>
    </row>
    <row r="161" spans="1:7">
      <c r="A161" s="5" t="s">
        <v>934</v>
      </c>
      <c r="B161" s="342" t="s">
        <v>522</v>
      </c>
      <c r="C161" s="13"/>
      <c r="D161" s="13"/>
      <c r="E161" s="13"/>
      <c r="F161" s="13"/>
      <c r="G161" s="13"/>
    </row>
    <row r="162" spans="1:7">
      <c r="A162" s="5" t="s">
        <v>937</v>
      </c>
      <c r="B162" s="342" t="s">
        <v>547</v>
      </c>
      <c r="C162" s="13"/>
      <c r="D162" s="13"/>
      <c r="E162" s="13"/>
      <c r="F162" s="13"/>
      <c r="G162" s="13"/>
    </row>
    <row r="163" spans="1:7">
      <c r="A163" s="5" t="s">
        <v>943</v>
      </c>
      <c r="B163" s="5" t="s">
        <v>944</v>
      </c>
      <c r="C163" s="13"/>
      <c r="D163" s="13"/>
      <c r="E163" s="13"/>
      <c r="F163" s="13"/>
      <c r="G163" s="13"/>
    </row>
    <row r="164" spans="1:7">
      <c r="A164" s="5" t="s">
        <v>950</v>
      </c>
      <c r="B164" s="5" t="s">
        <v>951</v>
      </c>
      <c r="C164" s="13"/>
      <c r="D164" s="13"/>
      <c r="E164" s="13"/>
      <c r="F164" s="13"/>
      <c r="G164" s="13"/>
    </row>
    <row r="165" spans="1:7">
      <c r="A165" s="5" t="s">
        <v>957</v>
      </c>
      <c r="B165" s="342" t="s">
        <v>958</v>
      </c>
      <c r="C165" s="13"/>
      <c r="D165" s="13"/>
      <c r="E165" s="13"/>
      <c r="F165" s="13"/>
      <c r="G165" s="13"/>
    </row>
    <row r="166" spans="1:7">
      <c r="A166" s="5" t="s">
        <v>964</v>
      </c>
      <c r="B166" s="5" t="s">
        <v>965</v>
      </c>
      <c r="C166" s="13"/>
      <c r="D166" s="13"/>
      <c r="E166" s="13"/>
      <c r="F166" s="13"/>
      <c r="G166" s="13"/>
    </row>
    <row r="167" spans="1:7">
      <c r="A167" s="5" t="s">
        <v>971</v>
      </c>
      <c r="B167" s="23" t="s">
        <v>972</v>
      </c>
      <c r="C167" s="13"/>
      <c r="D167" s="13"/>
      <c r="E167" s="13"/>
      <c r="F167" s="13"/>
      <c r="G167" s="13"/>
    </row>
    <row r="168" spans="1:7">
      <c r="A168" s="5" t="s">
        <v>976</v>
      </c>
      <c r="B168" s="5" t="s">
        <v>977</v>
      </c>
      <c r="C168" s="13"/>
      <c r="D168" s="13"/>
      <c r="E168" s="13"/>
      <c r="F168" s="13"/>
      <c r="G168" s="13"/>
    </row>
    <row r="169" spans="1:7">
      <c r="A169" s="5" t="s">
        <v>981</v>
      </c>
      <c r="B169" s="23" t="s">
        <v>624</v>
      </c>
      <c r="C169" s="13"/>
      <c r="D169" s="13"/>
      <c r="E169" s="13"/>
      <c r="F169" s="13"/>
      <c r="G169" s="13"/>
    </row>
    <row r="170" spans="1:7">
      <c r="A170" s="5" t="s">
        <v>986</v>
      </c>
      <c r="B170" s="352" t="s">
        <v>657</v>
      </c>
      <c r="C170" s="13"/>
      <c r="D170" s="13"/>
      <c r="E170" s="13"/>
      <c r="F170" s="13"/>
      <c r="G170" s="13"/>
    </row>
    <row r="171" spans="1:7">
      <c r="A171" s="5" t="s">
        <v>990</v>
      </c>
      <c r="B171" s="352" t="s">
        <v>836</v>
      </c>
      <c r="C171" s="13"/>
      <c r="D171" s="13"/>
      <c r="E171" s="13"/>
      <c r="F171" s="13"/>
      <c r="G171" s="13"/>
    </row>
    <row r="172" spans="1:7">
      <c r="A172" s="5" t="s">
        <v>996</v>
      </c>
      <c r="B172" s="342" t="s">
        <v>806</v>
      </c>
      <c r="C172" s="13"/>
      <c r="D172" s="13"/>
      <c r="E172" s="13"/>
      <c r="F172" s="13"/>
      <c r="G172" s="13"/>
    </row>
    <row r="173" spans="1:7">
      <c r="A173" s="5" t="s">
        <v>1002</v>
      </c>
      <c r="B173" s="23" t="s">
        <v>1003</v>
      </c>
      <c r="C173" s="13"/>
      <c r="D173" s="13"/>
      <c r="E173" s="13"/>
      <c r="F173" s="13"/>
      <c r="G173" s="13"/>
    </row>
    <row r="174" spans="1:7">
      <c r="A174" s="5" t="s">
        <v>1009</v>
      </c>
      <c r="B174" s="342" t="s">
        <v>795</v>
      </c>
      <c r="C174" s="13"/>
      <c r="D174" s="13"/>
      <c r="E174" s="13"/>
      <c r="F174" s="13"/>
      <c r="G174" s="13"/>
    </row>
    <row r="175" spans="1:7">
      <c r="A175" s="5" t="s">
        <v>1013</v>
      </c>
      <c r="B175" s="352" t="s">
        <v>1014</v>
      </c>
      <c r="C175" s="13"/>
      <c r="D175" s="13"/>
      <c r="E175" s="13"/>
      <c r="F175" s="13"/>
      <c r="G175" s="13"/>
    </row>
    <row r="176" spans="1:7">
      <c r="A176" s="5" t="s">
        <v>1018</v>
      </c>
      <c r="B176" s="342" t="s">
        <v>1019</v>
      </c>
      <c r="C176" s="13"/>
      <c r="D176" s="13"/>
      <c r="E176" s="13"/>
      <c r="F176" s="13"/>
      <c r="G176" s="13"/>
    </row>
    <row r="177" spans="1:17">
      <c r="A177" s="5" t="s">
        <v>1023</v>
      </c>
      <c r="B177" s="5" t="s">
        <v>540</v>
      </c>
      <c r="C177" s="13"/>
      <c r="D177" s="13"/>
      <c r="E177" s="13"/>
      <c r="F177" s="13"/>
      <c r="G177" s="13"/>
    </row>
    <row r="178" spans="1:17">
      <c r="A178" s="5" t="s">
        <v>1029</v>
      </c>
      <c r="B178" s="5" t="s">
        <v>1030</v>
      </c>
      <c r="C178" s="13"/>
      <c r="D178" s="13"/>
      <c r="E178" s="13"/>
      <c r="F178" s="13"/>
      <c r="G178" s="13"/>
    </row>
    <row r="179" spans="1:17" ht="39" customHeight="1">
      <c r="A179" s="540" t="s">
        <v>1034</v>
      </c>
      <c r="B179" s="543"/>
      <c r="C179" s="543"/>
      <c r="D179" s="543"/>
      <c r="E179" s="543"/>
      <c r="F179" s="543"/>
      <c r="G179" s="543"/>
      <c r="H179" s="612"/>
      <c r="Q179" s="341"/>
    </row>
    <row r="180" spans="1:17">
      <c r="A180" s="5" t="s">
        <v>4</v>
      </c>
      <c r="B180" s="6" t="s">
        <v>5</v>
      </c>
      <c r="C180" s="7" t="s">
        <v>6</v>
      </c>
      <c r="D180" s="7" t="s">
        <v>7</v>
      </c>
      <c r="E180" s="7" t="s">
        <v>8</v>
      </c>
      <c r="F180" s="7" t="s">
        <v>9</v>
      </c>
      <c r="G180" s="7" t="s">
        <v>10</v>
      </c>
      <c r="H180" s="340" t="s">
        <v>11</v>
      </c>
    </row>
    <row r="181" spans="1:17">
      <c r="A181" s="5" t="s">
        <v>1040</v>
      </c>
      <c r="B181" s="5" t="s">
        <v>1041</v>
      </c>
      <c r="C181" s="13"/>
      <c r="D181" s="13"/>
      <c r="E181" s="13"/>
      <c r="F181" s="13"/>
      <c r="G181" s="13"/>
    </row>
    <row r="182" spans="1:17">
      <c r="A182" s="5" t="s">
        <v>1046</v>
      </c>
      <c r="B182" s="5" t="s">
        <v>1047</v>
      </c>
      <c r="C182" s="13"/>
      <c r="D182" s="13"/>
      <c r="E182" s="13"/>
      <c r="F182" s="13"/>
      <c r="G182" s="13"/>
    </row>
    <row r="183" spans="1:17">
      <c r="A183" s="5" t="s">
        <v>1053</v>
      </c>
      <c r="B183" s="344" t="s">
        <v>975</v>
      </c>
      <c r="C183" s="13"/>
      <c r="D183" s="13"/>
      <c r="E183" s="13"/>
      <c r="F183" s="13"/>
      <c r="G183" s="13" t="s">
        <v>28</v>
      </c>
    </row>
    <row r="184" spans="1:17">
      <c r="A184" s="5" t="s">
        <v>1059</v>
      </c>
      <c r="B184" s="5" t="s">
        <v>1060</v>
      </c>
      <c r="C184" s="13"/>
      <c r="D184" s="13"/>
      <c r="E184" s="13"/>
      <c r="F184" s="13"/>
      <c r="G184" s="13"/>
    </row>
    <row r="185" spans="1:17">
      <c r="A185" s="5" t="s">
        <v>1064</v>
      </c>
      <c r="B185" s="360" t="s">
        <v>1017</v>
      </c>
      <c r="C185" s="13"/>
      <c r="D185" s="13"/>
      <c r="E185" s="13"/>
      <c r="F185" s="13"/>
      <c r="G185" s="13" t="s">
        <v>18</v>
      </c>
    </row>
    <row r="186" spans="1:17">
      <c r="A186" s="5" t="s">
        <v>1069</v>
      </c>
      <c r="B186" s="34" t="s">
        <v>1017</v>
      </c>
      <c r="C186" s="13"/>
      <c r="D186" s="13"/>
      <c r="E186" s="13"/>
      <c r="F186" s="13"/>
      <c r="G186" s="13"/>
    </row>
    <row r="187" spans="1:17">
      <c r="A187" s="5" t="s">
        <v>1075</v>
      </c>
      <c r="B187" s="5" t="s">
        <v>1076</v>
      </c>
      <c r="C187" s="13"/>
      <c r="D187" s="13"/>
      <c r="E187" s="13"/>
      <c r="F187" s="13"/>
      <c r="G187" s="13"/>
    </row>
    <row r="188" spans="1:17">
      <c r="A188" s="5" t="s">
        <v>1080</v>
      </c>
      <c r="B188" s="344" t="s">
        <v>923</v>
      </c>
      <c r="C188" s="13"/>
      <c r="D188" s="13"/>
      <c r="E188" s="13"/>
      <c r="F188" s="13"/>
      <c r="G188" s="13" t="s">
        <v>21</v>
      </c>
    </row>
    <row r="189" spans="1:17">
      <c r="A189" s="5" t="s">
        <v>1086</v>
      </c>
      <c r="B189" s="344" t="s">
        <v>918</v>
      </c>
      <c r="C189" s="13"/>
      <c r="D189" s="13"/>
      <c r="E189" s="13"/>
      <c r="F189" s="13"/>
      <c r="G189" s="13" t="s">
        <v>21</v>
      </c>
    </row>
    <row r="190" spans="1:17">
      <c r="A190" s="5" t="s">
        <v>1092</v>
      </c>
      <c r="B190" s="344" t="s">
        <v>151</v>
      </c>
      <c r="C190" s="13"/>
      <c r="D190" s="13"/>
      <c r="E190" s="13"/>
      <c r="F190" s="13"/>
      <c r="G190" s="13" t="s">
        <v>1567</v>
      </c>
      <c r="H190" s="340" t="s">
        <v>4029</v>
      </c>
    </row>
    <row r="191" spans="1:17">
      <c r="A191" s="5" t="s">
        <v>1098</v>
      </c>
      <c r="B191" s="5" t="s">
        <v>1099</v>
      </c>
      <c r="C191" s="13"/>
      <c r="D191" s="13"/>
      <c r="E191" s="13"/>
      <c r="F191" s="13"/>
      <c r="G191" s="13"/>
    </row>
    <row r="192" spans="1:17">
      <c r="A192" s="5" t="s">
        <v>1103</v>
      </c>
      <c r="B192" s="5" t="s">
        <v>1104</v>
      </c>
      <c r="C192" s="13"/>
      <c r="D192" s="13"/>
      <c r="E192" s="13"/>
      <c r="F192" s="13"/>
      <c r="G192" s="13"/>
    </row>
    <row r="193" spans="1:8">
      <c r="A193" s="5" t="s">
        <v>1108</v>
      </c>
      <c r="B193" s="344" t="s">
        <v>970</v>
      </c>
      <c r="C193" s="13"/>
      <c r="D193" s="13"/>
      <c r="E193" s="13"/>
      <c r="F193" s="13"/>
      <c r="G193" s="13" t="s">
        <v>28</v>
      </c>
      <c r="H193" s="340" t="s">
        <v>2119</v>
      </c>
    </row>
    <row r="194" spans="1:8">
      <c r="A194" s="5" t="s">
        <v>1111</v>
      </c>
      <c r="B194" s="361" t="s">
        <v>1112</v>
      </c>
      <c r="C194" s="13"/>
      <c r="D194" s="13"/>
      <c r="E194" s="13"/>
      <c r="F194" s="13"/>
      <c r="G194" s="13" t="s">
        <v>18</v>
      </c>
    </row>
    <row r="195" spans="1:8">
      <c r="A195" s="5" t="s">
        <v>1118</v>
      </c>
      <c r="B195" s="5" t="s">
        <v>1119</v>
      </c>
      <c r="C195" s="13"/>
      <c r="D195" s="13"/>
      <c r="E195" s="13"/>
      <c r="F195" s="13"/>
      <c r="G195" s="13"/>
    </row>
    <row r="196" spans="1:8">
      <c r="A196" s="5" t="s">
        <v>1123</v>
      </c>
      <c r="B196" s="5" t="s">
        <v>1124</v>
      </c>
      <c r="C196" s="13"/>
      <c r="D196" s="13"/>
      <c r="E196" s="13"/>
      <c r="F196" s="13"/>
      <c r="G196" s="13"/>
    </row>
    <row r="197" spans="1:8">
      <c r="A197" s="5" t="s">
        <v>1130</v>
      </c>
      <c r="B197" s="5" t="s">
        <v>1131</v>
      </c>
      <c r="C197" s="13"/>
      <c r="D197" s="13"/>
      <c r="E197" s="13"/>
      <c r="F197" s="13"/>
      <c r="G197" s="13"/>
    </row>
    <row r="198" spans="1:8">
      <c r="A198" s="5" t="s">
        <v>1137</v>
      </c>
      <c r="B198" s="361" t="s">
        <v>1138</v>
      </c>
      <c r="C198" s="13"/>
      <c r="D198" s="13"/>
      <c r="E198" s="13"/>
      <c r="F198" s="13"/>
      <c r="G198" s="13" t="s">
        <v>22</v>
      </c>
    </row>
    <row r="199" spans="1:8">
      <c r="A199" s="5" t="s">
        <v>1144</v>
      </c>
      <c r="B199" s="5" t="s">
        <v>1145</v>
      </c>
      <c r="C199" s="13"/>
      <c r="D199" s="13"/>
      <c r="E199" s="13"/>
      <c r="F199" s="13"/>
      <c r="G199" s="13"/>
    </row>
    <row r="200" spans="1:8">
      <c r="A200" s="5" t="s">
        <v>1149</v>
      </c>
      <c r="B200" s="344" t="s">
        <v>918</v>
      </c>
      <c r="C200" s="13"/>
      <c r="D200" s="13"/>
      <c r="E200" s="13"/>
      <c r="F200" s="13"/>
      <c r="G200" s="13" t="s">
        <v>28</v>
      </c>
      <c r="H200" s="340" t="s">
        <v>4030</v>
      </c>
    </row>
    <row r="201" spans="1:8">
      <c r="A201" s="5" t="s">
        <v>1155</v>
      </c>
      <c r="B201" s="345" t="s">
        <v>942</v>
      </c>
      <c r="C201" s="13"/>
      <c r="D201" s="13"/>
      <c r="E201" s="13"/>
      <c r="F201" s="13"/>
      <c r="G201" s="13" t="s">
        <v>17</v>
      </c>
      <c r="H201" s="340" t="s">
        <v>4031</v>
      </c>
    </row>
    <row r="202" spans="1:8">
      <c r="A202" s="5" t="s">
        <v>1159</v>
      </c>
      <c r="B202" s="344" t="s">
        <v>159</v>
      </c>
      <c r="C202" s="13"/>
      <c r="D202" s="13"/>
      <c r="E202" s="13"/>
      <c r="F202" s="13"/>
      <c r="G202" s="13" t="s">
        <v>21</v>
      </c>
      <c r="H202" s="340" t="s">
        <v>4032</v>
      </c>
    </row>
    <row r="203" spans="1:8">
      <c r="A203" s="5" t="s">
        <v>1165</v>
      </c>
      <c r="B203" s="361" t="s">
        <v>288</v>
      </c>
      <c r="C203" s="13"/>
      <c r="D203" s="13"/>
      <c r="E203" s="13"/>
      <c r="F203" s="13"/>
      <c r="G203" s="13" t="s">
        <v>1562</v>
      </c>
    </row>
    <row r="204" spans="1:8">
      <c r="A204" s="5" t="s">
        <v>1169</v>
      </c>
      <c r="B204" s="361" t="s">
        <v>933</v>
      </c>
      <c r="C204" s="13"/>
      <c r="D204" s="13"/>
      <c r="E204" s="13"/>
      <c r="F204" s="13"/>
      <c r="G204" s="13" t="s">
        <v>18</v>
      </c>
    </row>
    <row r="205" spans="1:8">
      <c r="A205" s="5" t="s">
        <v>1175</v>
      </c>
      <c r="B205" s="5" t="s">
        <v>875</v>
      </c>
      <c r="C205" s="13"/>
      <c r="D205" s="13"/>
      <c r="E205" s="13"/>
      <c r="F205" s="13"/>
      <c r="G205" s="13"/>
    </row>
    <row r="206" spans="1:8">
      <c r="A206" s="5" t="s">
        <v>1181</v>
      </c>
      <c r="B206" s="5" t="s">
        <v>1182</v>
      </c>
      <c r="C206" s="13"/>
      <c r="D206" s="13"/>
      <c r="E206" s="13"/>
      <c r="F206" s="13"/>
      <c r="G206" s="13"/>
    </row>
    <row r="207" spans="1:8">
      <c r="A207" s="5" t="s">
        <v>1188</v>
      </c>
      <c r="B207" s="344" t="s">
        <v>911</v>
      </c>
      <c r="C207" s="13"/>
      <c r="D207" s="13"/>
      <c r="E207" s="13"/>
      <c r="F207" s="13"/>
      <c r="G207" s="13" t="s">
        <v>21</v>
      </c>
    </row>
    <row r="208" spans="1:8">
      <c r="A208" s="5" t="s">
        <v>1192</v>
      </c>
      <c r="B208" s="5" t="s">
        <v>1193</v>
      </c>
      <c r="C208" s="13"/>
      <c r="D208" s="13"/>
      <c r="E208" s="13"/>
      <c r="F208" s="13"/>
      <c r="G208" s="13"/>
    </row>
    <row r="209" spans="1:17">
      <c r="A209" s="5" t="s">
        <v>1197</v>
      </c>
      <c r="B209" s="5" t="s">
        <v>1198</v>
      </c>
      <c r="C209" s="13"/>
      <c r="D209" s="13"/>
      <c r="E209" s="13"/>
      <c r="F209" s="13"/>
      <c r="G209" s="13" t="s">
        <v>1574</v>
      </c>
    </row>
    <row r="210" spans="1:17">
      <c r="A210" s="5" t="s">
        <v>1202</v>
      </c>
      <c r="B210" s="5" t="s">
        <v>869</v>
      </c>
      <c r="C210" s="13"/>
      <c r="D210" s="13"/>
      <c r="E210" s="13"/>
      <c r="F210" s="13"/>
      <c r="G210" s="13" t="s">
        <v>1562</v>
      </c>
      <c r="H210" s="340" t="s">
        <v>4033</v>
      </c>
    </row>
    <row r="211" spans="1:17">
      <c r="A211" s="5" t="s">
        <v>1208</v>
      </c>
      <c r="B211" s="344" t="s">
        <v>1012</v>
      </c>
      <c r="C211" s="13"/>
      <c r="D211" s="13"/>
      <c r="E211" s="13"/>
      <c r="F211" s="13"/>
      <c r="G211" s="13" t="s">
        <v>28</v>
      </c>
    </row>
    <row r="212" spans="1:17">
      <c r="A212" s="5" t="s">
        <v>1214</v>
      </c>
      <c r="B212" s="5" t="s">
        <v>108</v>
      </c>
      <c r="C212" s="13"/>
      <c r="D212" s="13"/>
      <c r="E212" s="13"/>
      <c r="F212" s="13"/>
      <c r="G212" s="13"/>
    </row>
    <row r="213" spans="1:17">
      <c r="A213" s="5" t="s">
        <v>1217</v>
      </c>
      <c r="B213" s="5" t="s">
        <v>1218</v>
      </c>
      <c r="C213" s="13"/>
      <c r="D213" s="13"/>
      <c r="E213" s="13"/>
      <c r="F213" s="13"/>
      <c r="G213" s="13" t="s">
        <v>1661</v>
      </c>
      <c r="H213" s="340" t="s">
        <v>4034</v>
      </c>
    </row>
    <row r="214" spans="1:17">
      <c r="A214" s="5" t="s">
        <v>1223</v>
      </c>
      <c r="B214" s="5" t="s">
        <v>1224</v>
      </c>
      <c r="C214" s="13"/>
      <c r="D214" s="13"/>
      <c r="E214" s="13"/>
      <c r="F214" s="13"/>
      <c r="G214" s="13"/>
    </row>
    <row r="215" spans="1:17">
      <c r="A215" s="5" t="s">
        <v>1230</v>
      </c>
      <c r="B215" s="361" t="s">
        <v>1231</v>
      </c>
      <c r="C215" s="13"/>
      <c r="D215" s="13"/>
      <c r="E215" s="13"/>
      <c r="F215" s="13"/>
      <c r="G215" s="13" t="s">
        <v>18</v>
      </c>
      <c r="H215" s="340" t="s">
        <v>4035</v>
      </c>
    </row>
    <row r="216" spans="1:17">
      <c r="A216" s="5" t="s">
        <v>1237</v>
      </c>
      <c r="B216" s="5" t="s">
        <v>1238</v>
      </c>
      <c r="C216" s="13"/>
      <c r="D216" s="13"/>
      <c r="E216" s="13"/>
      <c r="F216" s="13"/>
      <c r="G216" s="13"/>
      <c r="H216" s="340" t="s">
        <v>4036</v>
      </c>
    </row>
    <row r="217" spans="1:17">
      <c r="A217" s="5" t="s">
        <v>1241</v>
      </c>
      <c r="B217" s="5" t="s">
        <v>1242</v>
      </c>
      <c r="C217" s="13"/>
      <c r="D217" s="13"/>
      <c r="E217" s="13"/>
      <c r="F217" s="13"/>
      <c r="G217" s="13"/>
    </row>
    <row r="218" spans="1:17" ht="34">
      <c r="A218" s="5" t="s">
        <v>1245</v>
      </c>
      <c r="B218" s="361" t="s">
        <v>1246</v>
      </c>
      <c r="C218" s="13"/>
      <c r="D218" s="13"/>
      <c r="E218" s="13"/>
      <c r="F218" s="13"/>
      <c r="G218" s="13" t="s">
        <v>18</v>
      </c>
      <c r="H218" s="340" t="s">
        <v>4037</v>
      </c>
    </row>
    <row r="219" spans="1:17">
      <c r="A219" s="5" t="s">
        <v>1249</v>
      </c>
      <c r="B219" s="344" t="s">
        <v>1250</v>
      </c>
      <c r="C219" s="13"/>
      <c r="D219" s="13"/>
      <c r="E219" s="13"/>
      <c r="F219" s="13"/>
      <c r="G219" s="13" t="s">
        <v>1567</v>
      </c>
    </row>
    <row r="220" spans="1:17" ht="37.5" customHeight="1">
      <c r="A220" s="536" t="s">
        <v>1253</v>
      </c>
      <c r="B220" s="543"/>
      <c r="C220" s="543"/>
      <c r="D220" s="543"/>
      <c r="E220" s="543"/>
      <c r="F220" s="543"/>
      <c r="G220" s="543"/>
      <c r="H220" s="612"/>
      <c r="Q220" s="341"/>
    </row>
    <row r="221" spans="1:17">
      <c r="A221" s="5" t="s">
        <v>4</v>
      </c>
      <c r="B221" s="6" t="s">
        <v>5</v>
      </c>
      <c r="C221" s="7" t="s">
        <v>6</v>
      </c>
      <c r="D221" s="7" t="s">
        <v>7</v>
      </c>
      <c r="E221" s="7" t="s">
        <v>8</v>
      </c>
      <c r="F221" s="7" t="s">
        <v>9</v>
      </c>
      <c r="G221" s="7" t="s">
        <v>10</v>
      </c>
      <c r="H221" s="340" t="s">
        <v>11</v>
      </c>
    </row>
    <row r="222" spans="1:17">
      <c r="A222" s="5" t="s">
        <v>1259</v>
      </c>
      <c r="B222" s="5" t="s">
        <v>1201</v>
      </c>
      <c r="C222" s="13"/>
      <c r="D222" s="13"/>
      <c r="E222" s="13"/>
      <c r="F222" s="13"/>
      <c r="G222" s="13"/>
    </row>
    <row r="223" spans="1:17">
      <c r="A223" s="5" t="s">
        <v>1262</v>
      </c>
      <c r="B223" s="5" t="s">
        <v>1263</v>
      </c>
      <c r="C223" s="13"/>
      <c r="D223" s="13"/>
      <c r="E223" s="13"/>
      <c r="F223" s="13"/>
      <c r="G223" s="13"/>
    </row>
    <row r="224" spans="1:17">
      <c r="A224" s="5" t="s">
        <v>1266</v>
      </c>
      <c r="B224" s="23" t="s">
        <v>1267</v>
      </c>
      <c r="C224" s="13"/>
      <c r="D224" s="13"/>
      <c r="E224" s="13"/>
      <c r="F224" s="13"/>
      <c r="G224" s="13"/>
    </row>
    <row r="225" spans="1:7">
      <c r="A225" s="5" t="s">
        <v>1268</v>
      </c>
      <c r="B225" s="5" t="s">
        <v>1269</v>
      </c>
      <c r="C225" s="13"/>
      <c r="D225" s="13"/>
      <c r="E225" s="13"/>
      <c r="F225" s="13"/>
      <c r="G225" s="13"/>
    </row>
    <row r="226" spans="1:7">
      <c r="A226" s="5" t="s">
        <v>1271</v>
      </c>
      <c r="B226" s="5" t="s">
        <v>1272</v>
      </c>
      <c r="C226" s="13"/>
      <c r="D226" s="13"/>
      <c r="E226" s="13"/>
      <c r="F226" s="13"/>
      <c r="G226" s="13"/>
    </row>
    <row r="227" spans="1:7">
      <c r="A227" s="5" t="s">
        <v>1273</v>
      </c>
      <c r="B227" s="23" t="s">
        <v>1274</v>
      </c>
      <c r="C227" s="13"/>
      <c r="D227" s="13"/>
      <c r="E227" s="13"/>
      <c r="F227" s="13"/>
      <c r="G227" s="13"/>
    </row>
    <row r="228" spans="1:7">
      <c r="A228" s="5" t="s">
        <v>1275</v>
      </c>
      <c r="B228" s="5" t="s">
        <v>939</v>
      </c>
      <c r="C228" s="13"/>
      <c r="D228" s="13"/>
      <c r="E228" s="13"/>
      <c r="F228" s="13"/>
      <c r="G228" s="13"/>
    </row>
    <row r="229" spans="1:7">
      <c r="A229" s="5" t="s">
        <v>1278</v>
      </c>
      <c r="B229" s="5" t="s">
        <v>1279</v>
      </c>
      <c r="C229" s="13"/>
      <c r="D229" s="13"/>
      <c r="E229" s="13"/>
      <c r="F229" s="13"/>
      <c r="G229" s="13"/>
    </row>
    <row r="230" spans="1:7">
      <c r="A230" s="5" t="s">
        <v>1282</v>
      </c>
      <c r="B230" s="5" t="s">
        <v>1283</v>
      </c>
      <c r="C230" s="13"/>
      <c r="D230" s="13"/>
      <c r="E230" s="13"/>
      <c r="F230" s="13"/>
      <c r="G230" s="13"/>
    </row>
    <row r="231" spans="1:7">
      <c r="A231" s="5" t="s">
        <v>1284</v>
      </c>
      <c r="B231" s="5" t="s">
        <v>1285</v>
      </c>
      <c r="C231" s="13"/>
      <c r="D231" s="13"/>
      <c r="E231" s="13"/>
      <c r="F231" s="13"/>
      <c r="G231" s="13"/>
    </row>
    <row r="232" spans="1:7">
      <c r="A232" s="5" t="s">
        <v>1288</v>
      </c>
      <c r="B232" s="23" t="s">
        <v>1129</v>
      </c>
      <c r="C232" s="13"/>
      <c r="D232" s="13"/>
      <c r="E232" s="13"/>
      <c r="F232" s="13"/>
      <c r="G232" s="13"/>
    </row>
    <row r="233" spans="1:7">
      <c r="A233" s="5" t="s">
        <v>1290</v>
      </c>
      <c r="B233" s="23" t="s">
        <v>1158</v>
      </c>
      <c r="C233" s="13"/>
      <c r="D233" s="13"/>
      <c r="E233" s="13"/>
      <c r="F233" s="13"/>
      <c r="G233" s="13"/>
    </row>
    <row r="234" spans="1:7">
      <c r="A234" s="5" t="s">
        <v>1292</v>
      </c>
      <c r="B234" s="23" t="s">
        <v>1293</v>
      </c>
      <c r="C234" s="13"/>
      <c r="D234" s="13"/>
      <c r="E234" s="13"/>
      <c r="F234" s="13"/>
      <c r="G234" s="13"/>
    </row>
    <row r="235" spans="1:7">
      <c r="A235" s="5" t="s">
        <v>1294</v>
      </c>
      <c r="B235" s="23" t="s">
        <v>1295</v>
      </c>
      <c r="C235" s="13"/>
      <c r="D235" s="13"/>
      <c r="E235" s="13"/>
      <c r="F235" s="13"/>
      <c r="G235" s="13"/>
    </row>
    <row r="236" spans="1:7">
      <c r="A236" s="5" t="s">
        <v>1297</v>
      </c>
      <c r="B236" s="5" t="s">
        <v>1298</v>
      </c>
      <c r="C236" s="13"/>
      <c r="D236" s="13"/>
      <c r="E236" s="13"/>
      <c r="F236" s="13"/>
      <c r="G236" s="13"/>
    </row>
    <row r="237" spans="1:7">
      <c r="A237" s="5" t="s">
        <v>1301</v>
      </c>
      <c r="B237" s="5" t="s">
        <v>1302</v>
      </c>
      <c r="C237" s="13"/>
      <c r="D237" s="13"/>
      <c r="E237" s="13"/>
      <c r="F237" s="13"/>
      <c r="G237" s="13"/>
    </row>
    <row r="238" spans="1:7">
      <c r="A238" s="5" t="s">
        <v>1305</v>
      </c>
      <c r="B238" s="5" t="s">
        <v>1306</v>
      </c>
      <c r="C238" s="13"/>
      <c r="D238" s="13"/>
      <c r="E238" s="13"/>
      <c r="F238" s="13"/>
      <c r="G238" s="13"/>
    </row>
    <row r="239" spans="1:7">
      <c r="A239" s="5" t="s">
        <v>1307</v>
      </c>
      <c r="B239" s="5" t="s">
        <v>1308</v>
      </c>
      <c r="C239" s="13"/>
      <c r="D239" s="13"/>
      <c r="E239" s="13"/>
      <c r="F239" s="13"/>
      <c r="G239" s="13"/>
    </row>
    <row r="240" spans="1:7">
      <c r="A240" s="5" t="s">
        <v>1310</v>
      </c>
      <c r="B240" s="5" t="s">
        <v>1085</v>
      </c>
      <c r="C240" s="13"/>
      <c r="D240" s="13"/>
      <c r="E240" s="13"/>
      <c r="F240" s="13"/>
      <c r="G240" s="13"/>
    </row>
    <row r="241" spans="1:7">
      <c r="A241" s="5" t="s">
        <v>1313</v>
      </c>
      <c r="B241" s="5" t="s">
        <v>1314</v>
      </c>
      <c r="C241" s="13"/>
      <c r="D241" s="13"/>
      <c r="E241" s="13"/>
      <c r="F241" s="13"/>
      <c r="G241" s="13"/>
    </row>
    <row r="242" spans="1:7">
      <c r="A242" s="5" t="s">
        <v>1315</v>
      </c>
      <c r="B242" s="5" t="s">
        <v>1316</v>
      </c>
      <c r="C242" s="13"/>
      <c r="D242" s="13"/>
      <c r="E242" s="13"/>
      <c r="F242" s="13"/>
      <c r="G242" s="13"/>
    </row>
    <row r="243" spans="1:7">
      <c r="A243" s="5" t="s">
        <v>1319</v>
      </c>
      <c r="B243" s="5" t="s">
        <v>1320</v>
      </c>
      <c r="C243" s="13"/>
      <c r="D243" s="13"/>
      <c r="E243" s="13"/>
      <c r="F243" s="13"/>
      <c r="G243" s="13"/>
    </row>
    <row r="244" spans="1:7">
      <c r="A244" s="5" t="s">
        <v>1323</v>
      </c>
      <c r="B244" s="5" t="s">
        <v>1079</v>
      </c>
      <c r="C244" s="13"/>
      <c r="D244" s="13"/>
      <c r="E244" s="13"/>
      <c r="F244" s="13"/>
      <c r="G244" s="13"/>
    </row>
    <row r="245" spans="1:7">
      <c r="A245" s="5" t="s">
        <v>1324</v>
      </c>
      <c r="B245" s="23" t="s">
        <v>1091</v>
      </c>
      <c r="C245" s="13"/>
      <c r="D245" s="13"/>
      <c r="E245" s="13"/>
      <c r="F245" s="13"/>
      <c r="G245" s="13"/>
    </row>
    <row r="246" spans="1:7">
      <c r="A246" s="5" t="s">
        <v>1327</v>
      </c>
      <c r="B246" s="5" t="s">
        <v>726</v>
      </c>
      <c r="C246" s="13"/>
      <c r="D246" s="13"/>
      <c r="E246" s="13"/>
      <c r="F246" s="13"/>
      <c r="G246" s="13"/>
    </row>
    <row r="247" spans="1:7">
      <c r="A247" s="5" t="s">
        <v>1330</v>
      </c>
      <c r="B247" s="5" t="s">
        <v>1102</v>
      </c>
      <c r="C247" s="13"/>
      <c r="D247" s="13"/>
      <c r="E247" s="13"/>
      <c r="F247" s="13"/>
      <c r="G247" s="13"/>
    </row>
    <row r="248" spans="1:7">
      <c r="A248" s="5" t="s">
        <v>1331</v>
      </c>
      <c r="B248" s="5" t="s">
        <v>1332</v>
      </c>
      <c r="C248" s="13"/>
      <c r="D248" s="13"/>
      <c r="E248" s="13"/>
      <c r="F248" s="13"/>
      <c r="G248" s="13"/>
    </row>
    <row r="249" spans="1:7">
      <c r="A249" s="5" t="s">
        <v>1336</v>
      </c>
      <c r="B249" s="5" t="s">
        <v>1168</v>
      </c>
      <c r="C249" s="13"/>
      <c r="D249" s="13"/>
      <c r="E249" s="13"/>
      <c r="F249" s="13"/>
      <c r="G249" s="13"/>
    </row>
    <row r="250" spans="1:7">
      <c r="A250" s="5" t="s">
        <v>1339</v>
      </c>
      <c r="B250" s="23" t="s">
        <v>1340</v>
      </c>
      <c r="C250" s="13"/>
      <c r="D250" s="13"/>
      <c r="E250" s="13"/>
      <c r="F250" s="13"/>
      <c r="G250" s="13"/>
    </row>
    <row r="251" spans="1:7">
      <c r="A251" s="5" t="s">
        <v>1343</v>
      </c>
      <c r="B251" s="5" t="s">
        <v>1063</v>
      </c>
      <c r="C251" s="13"/>
      <c r="D251" s="13"/>
      <c r="E251" s="13"/>
      <c r="F251" s="13"/>
      <c r="G251" s="13"/>
    </row>
    <row r="252" spans="1:7">
      <c r="A252" s="5" t="s">
        <v>1346</v>
      </c>
      <c r="B252" s="5" t="s">
        <v>1347</v>
      </c>
      <c r="C252" s="13"/>
      <c r="D252" s="13"/>
      <c r="E252" s="13"/>
      <c r="F252" s="13"/>
      <c r="G252" s="13"/>
    </row>
    <row r="253" spans="1:7">
      <c r="A253" s="5" t="s">
        <v>1350</v>
      </c>
      <c r="B253" s="5" t="s">
        <v>601</v>
      </c>
      <c r="C253" s="13"/>
      <c r="D253" s="13"/>
      <c r="E253" s="13"/>
      <c r="F253" s="13"/>
      <c r="G253" s="13"/>
    </row>
    <row r="254" spans="1:7">
      <c r="A254" s="5" t="s">
        <v>1351</v>
      </c>
      <c r="B254" s="5" t="s">
        <v>1352</v>
      </c>
      <c r="C254" s="13"/>
      <c r="D254" s="13"/>
      <c r="E254" s="13"/>
      <c r="F254" s="13"/>
      <c r="G254" s="13"/>
    </row>
    <row r="255" spans="1:7">
      <c r="A255" s="5" t="s">
        <v>1355</v>
      </c>
      <c r="B255" s="5" t="s">
        <v>1356</v>
      </c>
      <c r="C255" s="13"/>
      <c r="D255" s="13"/>
      <c r="E255" s="13"/>
      <c r="F255" s="13"/>
      <c r="G255" s="13"/>
    </row>
    <row r="256" spans="1:7">
      <c r="A256" s="5" t="s">
        <v>1357</v>
      </c>
      <c r="B256" s="5" t="s">
        <v>1358</v>
      </c>
      <c r="C256" s="13"/>
      <c r="D256" s="13"/>
      <c r="E256" s="13"/>
      <c r="F256" s="13"/>
      <c r="G256" s="13"/>
    </row>
    <row r="257" spans="1:7">
      <c r="A257" s="5" t="s">
        <v>1361</v>
      </c>
      <c r="B257" s="23" t="s">
        <v>1097</v>
      </c>
      <c r="C257" s="13"/>
      <c r="D257" s="13"/>
      <c r="E257" s="13"/>
      <c r="F257" s="13"/>
      <c r="G257" s="13"/>
    </row>
    <row r="258" spans="1:7">
      <c r="A258" s="5" t="s">
        <v>1364</v>
      </c>
      <c r="B258" s="5" t="s">
        <v>1117</v>
      </c>
      <c r="C258" s="13"/>
      <c r="D258" s="13"/>
      <c r="E258" s="13"/>
      <c r="F258" s="13"/>
      <c r="G258" s="13"/>
    </row>
    <row r="259" spans="1:7">
      <c r="A259" s="5" t="s">
        <v>1367</v>
      </c>
      <c r="B259" s="5" t="s">
        <v>1368</v>
      </c>
      <c r="C259" s="13"/>
      <c r="D259" s="13"/>
      <c r="E259" s="13"/>
      <c r="F259" s="13"/>
      <c r="G259" s="13"/>
    </row>
    <row r="260" spans="1:7">
      <c r="A260" s="5" t="s">
        <v>1369</v>
      </c>
      <c r="B260" s="5" t="s">
        <v>1370</v>
      </c>
      <c r="C260" s="13"/>
      <c r="D260" s="13"/>
      <c r="E260" s="13"/>
      <c r="F260" s="13"/>
      <c r="G260" s="13"/>
    </row>
    <row r="261" spans="1:7">
      <c r="A261" s="5" t="s">
        <v>1373</v>
      </c>
      <c r="B261" s="5" t="s">
        <v>1180</v>
      </c>
      <c r="C261" s="13"/>
      <c r="D261" s="13"/>
      <c r="E261" s="13"/>
      <c r="F261" s="13"/>
      <c r="G261" s="13"/>
    </row>
    <row r="262" spans="1:7">
      <c r="A262" s="5" t="s">
        <v>1376</v>
      </c>
      <c r="B262" s="5" t="s">
        <v>1143</v>
      </c>
      <c r="C262" s="13"/>
      <c r="D262" s="13"/>
      <c r="E262" s="13"/>
      <c r="F262" s="13"/>
      <c r="G262" s="13"/>
    </row>
    <row r="263" spans="1:7">
      <c r="A263" s="5" t="s">
        <v>1379</v>
      </c>
      <c r="B263" s="5" t="s">
        <v>1380</v>
      </c>
      <c r="C263" s="13"/>
      <c r="D263" s="13"/>
      <c r="E263" s="13"/>
      <c r="F263" s="13"/>
      <c r="G263" s="13"/>
    </row>
    <row r="264" spans="1:7">
      <c r="A264" s="5" t="s">
        <v>1381</v>
      </c>
      <c r="B264" s="5" t="s">
        <v>1039</v>
      </c>
      <c r="C264" s="13"/>
      <c r="D264" s="13"/>
      <c r="E264" s="13"/>
      <c r="F264" s="13"/>
      <c r="G264" s="13"/>
    </row>
    <row r="265" spans="1:7">
      <c r="A265" s="5" t="s">
        <v>1382</v>
      </c>
      <c r="B265" s="5" t="s">
        <v>1213</v>
      </c>
      <c r="C265" s="13"/>
      <c r="D265" s="13"/>
      <c r="E265" s="13"/>
      <c r="F265" s="13"/>
      <c r="G265" s="13"/>
    </row>
    <row r="266" spans="1:7">
      <c r="A266" s="5" t="s">
        <v>1383</v>
      </c>
      <c r="B266" s="5" t="s">
        <v>1384</v>
      </c>
      <c r="C266" s="13"/>
      <c r="D266" s="13"/>
      <c r="E266" s="13"/>
      <c r="F266" s="13"/>
      <c r="G266" s="13"/>
    </row>
  </sheetData>
  <mergeCells count="6">
    <mergeCell ref="J2:Q2"/>
    <mergeCell ref="A2:H2"/>
    <mergeCell ref="A1:H1"/>
    <mergeCell ref="A106:H106"/>
    <mergeCell ref="A220:H220"/>
    <mergeCell ref="A179:H179"/>
  </mergeCells>
  <phoneticPr fontId="89" type="noConversion"/>
  <dataValidations count="1">
    <dataValidation type="list" allowBlank="1" showInputMessage="1" showErrorMessage="1" sqref="L4:P134 C4:G105 C222:G266 C181:G219 C108:G178" xr:uid="{00000000-0002-0000-1900-000000000000}">
      <formula1>"S,A+,A,B+,B,C+,C,D+,D,?,"</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星空ACSC"/>
  <dimension ref="A1:AB266"/>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8" width="41.5703125" style="1" customWidth="1"/>
    <col min="9" max="9" width="18.42578125" style="313" customWidth="1"/>
    <col min="10" max="10" width="6" style="313" customWidth="1"/>
    <col min="11" max="28" width="12.5703125" style="1" customWidth="1"/>
  </cols>
  <sheetData>
    <row r="1" spans="1:28" s="510" customFormat="1" ht="38.25" customHeight="1">
      <c r="A1" s="614" t="s">
        <v>4038</v>
      </c>
      <c r="B1" s="543"/>
      <c r="C1" s="543"/>
      <c r="D1" s="543"/>
      <c r="E1" s="543"/>
      <c r="F1" s="543"/>
      <c r="G1" s="543"/>
      <c r="H1" s="552"/>
      <c r="I1" s="362"/>
      <c r="J1" s="363"/>
      <c r="K1" s="363"/>
      <c r="L1" s="363"/>
      <c r="M1" s="363"/>
      <c r="N1" s="363"/>
      <c r="O1" s="363"/>
      <c r="P1" s="363"/>
      <c r="Q1" s="363"/>
      <c r="R1" s="363"/>
      <c r="S1" s="363"/>
      <c r="T1" s="363"/>
      <c r="U1" s="363"/>
      <c r="V1" s="363"/>
      <c r="W1" s="363"/>
      <c r="X1" s="363"/>
      <c r="Y1" s="363"/>
      <c r="Z1" s="363"/>
      <c r="AA1" s="363"/>
      <c r="AB1" s="363"/>
    </row>
    <row r="2" spans="1:28" ht="54" customHeight="1">
      <c r="A2" s="540" t="s">
        <v>1</v>
      </c>
      <c r="B2" s="543"/>
      <c r="C2" s="543"/>
      <c r="D2" s="543"/>
      <c r="E2" s="543"/>
      <c r="F2" s="543"/>
      <c r="G2" s="543"/>
      <c r="H2" s="550"/>
      <c r="I2" s="2" t="s">
        <v>4039</v>
      </c>
      <c r="J2" s="2"/>
      <c r="K2" s="581" t="s">
        <v>2</v>
      </c>
      <c r="L2" s="543"/>
      <c r="M2" s="543"/>
      <c r="N2" s="543"/>
      <c r="O2" s="543"/>
      <c r="P2" s="543"/>
      <c r="Q2" s="543"/>
      <c r="R2" s="543"/>
      <c r="S2" s="126"/>
      <c r="T2" s="14"/>
      <c r="U2" s="14"/>
      <c r="V2" s="14"/>
      <c r="W2" s="14"/>
      <c r="X2" s="14"/>
      <c r="Y2" s="14"/>
      <c r="Z2" s="14"/>
      <c r="AA2" s="14"/>
      <c r="AB2" s="14"/>
    </row>
    <row r="3" spans="1:28" ht="27" customHeight="1">
      <c r="A3" s="5" t="s">
        <v>4</v>
      </c>
      <c r="B3" s="6" t="s">
        <v>5</v>
      </c>
      <c r="C3" s="7" t="s">
        <v>6</v>
      </c>
      <c r="D3" s="7" t="s">
        <v>7</v>
      </c>
      <c r="E3" s="7" t="s">
        <v>8</v>
      </c>
      <c r="F3" s="7" t="s">
        <v>9</v>
      </c>
      <c r="G3" s="7" t="s">
        <v>10</v>
      </c>
      <c r="H3" s="7" t="s">
        <v>11</v>
      </c>
      <c r="I3" s="2"/>
      <c r="J3" s="2"/>
      <c r="K3" s="7" t="s">
        <v>4</v>
      </c>
      <c r="L3" s="89" t="s">
        <v>5</v>
      </c>
      <c r="M3" s="7" t="s">
        <v>6</v>
      </c>
      <c r="N3" s="7" t="s">
        <v>7</v>
      </c>
      <c r="O3" s="7" t="s">
        <v>8</v>
      </c>
      <c r="P3" s="7" t="s">
        <v>9</v>
      </c>
      <c r="Q3" s="7" t="s">
        <v>10</v>
      </c>
      <c r="R3" s="7" t="s">
        <v>11</v>
      </c>
      <c r="S3" s="7" t="s">
        <v>12</v>
      </c>
      <c r="T3" s="14"/>
      <c r="U3" s="14"/>
      <c r="V3" s="14"/>
      <c r="W3" s="14"/>
      <c r="X3" s="14"/>
      <c r="Y3" s="14"/>
      <c r="Z3" s="14"/>
      <c r="AA3" s="14"/>
      <c r="AB3" s="14"/>
    </row>
    <row r="4" spans="1:28" ht="21">
      <c r="A4" s="5" t="s">
        <v>14</v>
      </c>
      <c r="B4" s="5" t="s">
        <v>15</v>
      </c>
      <c r="C4" s="10" t="s">
        <v>1562</v>
      </c>
      <c r="D4" s="10" t="s">
        <v>1562</v>
      </c>
      <c r="E4" s="10" t="s">
        <v>1562</v>
      </c>
      <c r="F4" s="10" t="s">
        <v>1567</v>
      </c>
      <c r="G4" s="10" t="str">
        <f>IF(AND(ISNUMBER(MATCH(C4,{"F","E","D","D+","C","C+","B","B+","A","A+","S"},0)),ISNUMBER(MATCH(D4,{"F","E","D","D+","C","C+","B","B+","A","A+","S"},0)),ISNUMBER(MATCH(E4,{"F","E","D","D+","C","C+","B","B+","A","A+","S"},0)),ISNUMBER(MATCH(F4,{"F","E","D","D+","C","C+","B","B+","A","A+","S"},0))),LOOKUP(AVERAGE(_xlfn.SWITCH(C4,"F",0,"E",10,"D",20,"D+",30,"C",40,"C+",50,"B",60,"B+",70,"A",80,"A+",90,"S",100),_xlfn.SWITCH(D4,"F",0,"E",10,"D",20,"D+",30,"C",40,"C+",50,"B",60,"B+",70,"A",80,"A+",90,"S",100),_xlfn.SWITCH(E4,"F",0,"E",10,"D",20,"D+",30,"C",40,"C+",50,"B",60,"B+",70,"A",80,"A+",90,"S",100),_xlfn.SWITCH(F4,"F",0,"E",10,"D",20,"D+",30,"C",40,"C+",50,"B",60,"B+",70,"A",80,"A+",90,"S",100)),{0,15,25,35,45,55,65,75,85,95},{"D","D","D+","C","C+","B","B+","A","A+","S"}),"?")</f>
        <v>B</v>
      </c>
      <c r="H4" t="s">
        <v>4040</v>
      </c>
      <c r="I4" s="2" t="s">
        <v>4041</v>
      </c>
      <c r="J4" s="2"/>
      <c r="K4" s="14"/>
      <c r="L4" s="14"/>
      <c r="M4" s="14"/>
      <c r="N4" s="14"/>
      <c r="O4" s="14"/>
      <c r="P4" s="14"/>
      <c r="Q4" s="14"/>
      <c r="R4" s="14"/>
      <c r="S4" s="14"/>
      <c r="T4" s="14"/>
      <c r="U4" s="14"/>
      <c r="V4" s="14"/>
      <c r="W4" s="14"/>
      <c r="X4" s="14"/>
      <c r="Y4" s="14"/>
      <c r="Z4" s="14"/>
      <c r="AA4" s="14"/>
      <c r="AB4" s="14"/>
    </row>
    <row r="5" spans="1:28" ht="21">
      <c r="A5" s="5" t="s">
        <v>26</v>
      </c>
      <c r="B5" s="5" t="s">
        <v>27</v>
      </c>
      <c r="C5" s="10" t="s">
        <v>1567</v>
      </c>
      <c r="D5" s="10" t="s">
        <v>21</v>
      </c>
      <c r="E5" s="10" t="s">
        <v>1567</v>
      </c>
      <c r="F5" s="10" t="s">
        <v>28</v>
      </c>
      <c r="G5" s="10" t="str">
        <f>IF(AND(ISNUMBER(MATCH(C5,{"F","E","D","D+","C","C+","B","B+","A","A+","S"},0)),ISNUMBER(MATCH(D5,{"F","E","D","D+","C","C+","B","B+","A","A+","S"},0)),ISNUMBER(MATCH(E5,{"F","E","D","D+","C","C+","B","B+","A","A+","S"},0)),ISNUMBER(MATCH(F5,{"F","E","D","D+","C","C+","B","B+","A","A+","S"},0))),LOOKUP(AVERAGE(_xlfn.SWITCH(C5,"F",0,"E",10,"D",20,"D+",30,"C",40,"C+",50,"B",60,"B+",70,"A",80,"A+",90,"S",100),_xlfn.SWITCH(D5,"F",0,"E",10,"D",20,"D+",30,"C",40,"C+",50,"B",60,"B+",70,"A",80,"A+",90,"S",100),_xlfn.SWITCH(E5,"F",0,"E",10,"D",20,"D+",30,"C",40,"C+",50,"B",60,"B+",70,"A",80,"A+",90,"S",100),_xlfn.SWITCH(F5,"F",0,"E",10,"D",20,"D+",30,"C",40,"C+",50,"B",60,"B+",70,"A",80,"A+",90,"S",100)),{0,15,25,35,45,55,65,75,85,95},{"D","D","D+","C","C+","B","B+","A","A+","S"}),"?")</f>
        <v>A</v>
      </c>
      <c r="H5" t="s">
        <v>4042</v>
      </c>
      <c r="I5" s="2" t="s">
        <v>4043</v>
      </c>
      <c r="J5" s="2"/>
      <c r="K5" s="14"/>
      <c r="L5" s="14"/>
      <c r="M5" s="14"/>
      <c r="N5" s="14"/>
      <c r="O5" s="14"/>
      <c r="P5" s="14"/>
      <c r="Q5" s="14"/>
      <c r="R5" s="14"/>
      <c r="S5" s="14"/>
      <c r="T5" s="14"/>
      <c r="U5" s="14"/>
      <c r="V5" s="14"/>
      <c r="W5" s="14"/>
      <c r="X5" s="14"/>
      <c r="Y5" s="14"/>
      <c r="Z5" s="14"/>
      <c r="AA5" s="14"/>
      <c r="AB5" s="14"/>
    </row>
    <row r="6" spans="1:28" ht="21">
      <c r="A6" s="5" t="s">
        <v>34</v>
      </c>
      <c r="B6" s="5" t="s">
        <v>35</v>
      </c>
      <c r="C6" s="10" t="s">
        <v>1574</v>
      </c>
      <c r="D6" s="10" t="s">
        <v>1562</v>
      </c>
      <c r="E6" s="10" t="s">
        <v>18</v>
      </c>
      <c r="F6" s="10" t="s">
        <v>1562</v>
      </c>
      <c r="G6" s="10" t="str">
        <f>IF(AND(ISNUMBER(MATCH(C6,{"F","E","D","D+","C","C+","B","B+","A","A+","S"},0)),ISNUMBER(MATCH(D6,{"F","E","D","D+","C","C+","B","B+","A","A+","S"},0)),ISNUMBER(MATCH(E6,{"F","E","D","D+","C","C+","B","B+","A","A+","S"},0)),ISNUMBER(MATCH(F6,{"F","E","D","D+","C","C+","B","B+","A","A+","S"},0))),LOOKUP(AVERAGE(_xlfn.SWITCH(C6,"F",0,"E",10,"D",20,"D+",30,"C",40,"C+",50,"B",60,"B+",70,"A",80,"A+",90,"S",100),_xlfn.SWITCH(D6,"F",0,"E",10,"D",20,"D+",30,"C",40,"C+",50,"B",60,"B+",70,"A",80,"A+",90,"S",100),_xlfn.SWITCH(E6,"F",0,"E",10,"D",20,"D+",30,"C",40,"C+",50,"B",60,"B+",70,"A",80,"A+",90,"S",100),_xlfn.SWITCH(F6,"F",0,"E",10,"D",20,"D+",30,"C",40,"C+",50,"B",60,"B+",70,"A",80,"A+",90,"S",100)),{0,15,25,35,45,55,65,75,85,95},{"D","D","D+","C","C+","B","B+","A","A+","S"}),"?")</f>
        <v>C+</v>
      </c>
      <c r="H6" t="s">
        <v>4044</v>
      </c>
      <c r="I6" s="2" t="s">
        <v>4041</v>
      </c>
      <c r="J6" s="2"/>
      <c r="K6" s="14"/>
      <c r="L6" s="14"/>
      <c r="M6" s="14"/>
      <c r="N6" s="14"/>
      <c r="O6" s="14"/>
      <c r="P6" s="14"/>
      <c r="Q6" s="14"/>
      <c r="R6" s="14"/>
      <c r="S6" s="14"/>
      <c r="T6" s="14"/>
      <c r="U6" s="14"/>
      <c r="V6" s="14"/>
      <c r="W6" s="14"/>
      <c r="X6" s="14"/>
      <c r="Y6" s="14"/>
      <c r="Z6" s="14"/>
      <c r="AA6" s="14"/>
      <c r="AB6" s="14"/>
    </row>
    <row r="7" spans="1:28" ht="21">
      <c r="A7" s="5" t="s">
        <v>41</v>
      </c>
      <c r="B7" s="5" t="s">
        <v>42</v>
      </c>
      <c r="C7" s="10" t="s">
        <v>18</v>
      </c>
      <c r="D7" s="10" t="s">
        <v>28</v>
      </c>
      <c r="E7" s="10" t="s">
        <v>1567</v>
      </c>
      <c r="F7" s="10" t="s">
        <v>1567</v>
      </c>
      <c r="G7" s="10" t="str">
        <f>IF(AND(ISNUMBER(MATCH(C7,{"F","E","D","D+","C","C+","B","B+","A","A+","S"},0)),ISNUMBER(MATCH(D7,{"F","E","D","D+","C","C+","B","B+","A","A+","S"},0)),ISNUMBER(MATCH(E7,{"F","E","D","D+","C","C+","B","B+","A","A+","S"},0)),ISNUMBER(MATCH(F7,{"F","E","D","D+","C","C+","B","B+","A","A+","S"},0))),LOOKUP(AVERAGE(_xlfn.SWITCH(C7,"F",0,"E",10,"D",20,"D+",30,"C",40,"C+",50,"B",60,"B+",70,"A",80,"A+",90,"S",100),_xlfn.SWITCH(D7,"F",0,"E",10,"D",20,"D+",30,"C",40,"C+",50,"B",60,"B+",70,"A",80,"A+",90,"S",100),_xlfn.SWITCH(E7,"F",0,"E",10,"D",20,"D+",30,"C",40,"C+",50,"B",60,"B+",70,"A",80,"A+",90,"S",100),_xlfn.SWITCH(F7,"F",0,"E",10,"D",20,"D+",30,"C",40,"C+",50,"B",60,"B+",70,"A",80,"A+",90,"S",100)),{0,15,25,35,45,55,65,75,85,95},{"D","D","D+","C","C+","B","B+","A","A+","S"}),"?")</f>
        <v>B+</v>
      </c>
      <c r="H7" t="s">
        <v>4045</v>
      </c>
      <c r="I7" s="2" t="s">
        <v>4043</v>
      </c>
      <c r="J7" s="2"/>
      <c r="K7" s="14"/>
      <c r="L7" s="14"/>
      <c r="M7" s="14"/>
      <c r="N7" s="14"/>
      <c r="O7" s="14"/>
      <c r="P7" s="14"/>
      <c r="Q7" s="14"/>
      <c r="R7" s="14"/>
      <c r="S7" s="14"/>
      <c r="T7" s="14"/>
      <c r="U7" s="14"/>
      <c r="V7" s="14"/>
      <c r="W7" s="14"/>
      <c r="X7" s="14"/>
      <c r="Y7" s="14"/>
      <c r="Z7" s="14"/>
      <c r="AA7" s="14"/>
      <c r="AB7" s="14"/>
    </row>
    <row r="8" spans="1:28" ht="38.25" customHeight="1">
      <c r="A8" s="5" t="s">
        <v>48</v>
      </c>
      <c r="B8" s="5" t="s">
        <v>49</v>
      </c>
      <c r="C8" s="10" t="s">
        <v>17</v>
      </c>
      <c r="D8" s="10" t="s">
        <v>28</v>
      </c>
      <c r="E8" s="10" t="s">
        <v>17</v>
      </c>
      <c r="F8" s="10" t="s">
        <v>17</v>
      </c>
      <c r="G8" s="10" t="str">
        <f>IF(AND(ISNUMBER(MATCH(C8,{"F","E","D","D+","C","C+","B","B+","A","A+","S"},0)),ISNUMBER(MATCH(D8,{"F","E","D","D+","C","C+","B","B+","A","A+","S"},0)),ISNUMBER(MATCH(E8,{"F","E","D","D+","C","C+","B","B+","A","A+","S"},0)),ISNUMBER(MATCH(F8,{"F","E","D","D+","C","C+","B","B+","A","A+","S"},0))),LOOKUP(AVERAGE(_xlfn.SWITCH(C8,"F",0,"E",10,"D",20,"D+",30,"C",40,"C+",50,"B",60,"B+",70,"A",80,"A+",90,"S",100),_xlfn.SWITCH(D8,"F",0,"E",10,"D",20,"D+",30,"C",40,"C+",50,"B",60,"B+",70,"A",80,"A+",90,"S",100),_xlfn.SWITCH(E8,"F",0,"E",10,"D",20,"D+",30,"C",40,"C+",50,"B",60,"B+",70,"A",80,"A+",90,"S",100),_xlfn.SWITCH(F8,"F",0,"E",10,"D",20,"D+",30,"C",40,"C+",50,"B",60,"B+",70,"A",80,"A+",90,"S",100)),{0,15,25,35,45,55,65,75,85,95},{"D","D","D+","C","C+","B","B+","A","A+","S"}),"?")</f>
        <v>S</v>
      </c>
      <c r="H8" s="311" t="s">
        <v>4046</v>
      </c>
      <c r="I8" s="2" t="s">
        <v>4043</v>
      </c>
      <c r="J8" s="2"/>
      <c r="K8" s="14"/>
      <c r="L8" s="14"/>
      <c r="M8" s="14"/>
      <c r="N8" s="14"/>
      <c r="O8" s="14"/>
      <c r="P8" s="14"/>
      <c r="Q8" s="14"/>
      <c r="R8" s="14"/>
      <c r="S8" s="14"/>
      <c r="T8" s="14"/>
      <c r="U8" s="14"/>
      <c r="V8" s="14"/>
      <c r="W8" s="14"/>
      <c r="X8" s="14"/>
      <c r="Y8" s="14"/>
      <c r="Z8" s="14"/>
      <c r="AA8" s="14"/>
      <c r="AB8" s="14"/>
    </row>
    <row r="9" spans="1:28" ht="21">
      <c r="A9" s="5" t="s">
        <v>55</v>
      </c>
      <c r="B9" s="5" t="s">
        <v>56</v>
      </c>
      <c r="C9" s="10" t="s">
        <v>28</v>
      </c>
      <c r="D9" s="10" t="s">
        <v>21</v>
      </c>
      <c r="E9" s="10" t="s">
        <v>21</v>
      </c>
      <c r="F9" s="10" t="s">
        <v>28</v>
      </c>
      <c r="G9" s="10" t="str">
        <f>IF(AND(ISNUMBER(MATCH(C9,{"F","E","D","D+","C","C+","B","B+","A","A+","S"},0)),ISNUMBER(MATCH(D9,{"F","E","D","D+","C","C+","B","B+","A","A+","S"},0)),ISNUMBER(MATCH(E9,{"F","E","D","D+","C","C+","B","B+","A","A+","S"},0)),ISNUMBER(MATCH(F9,{"F","E","D","D+","C","C+","B","B+","A","A+","S"},0))),LOOKUP(AVERAGE(_xlfn.SWITCH(C9,"F",0,"E",10,"D",20,"D+",30,"C",40,"C+",50,"B",60,"B+",70,"A",80,"A+",90,"S",100),_xlfn.SWITCH(D9,"F",0,"E",10,"D",20,"D+",30,"C",40,"C+",50,"B",60,"B+",70,"A",80,"A+",90,"S",100),_xlfn.SWITCH(E9,"F",0,"E",10,"D",20,"D+",30,"C",40,"C+",50,"B",60,"B+",70,"A",80,"A+",90,"S",100),_xlfn.SWITCH(F9,"F",0,"E",10,"D",20,"D+",30,"C",40,"C+",50,"B",60,"B+",70,"A",80,"A+",90,"S",100)),{0,15,25,35,45,55,65,75,85,95},{"D","D","D+","C","C+","B","B+","A","A+","S"}),"?")</f>
        <v>A+</v>
      </c>
      <c r="H9" t="s">
        <v>4047</v>
      </c>
      <c r="I9" s="2" t="s">
        <v>2028</v>
      </c>
      <c r="J9" s="2"/>
      <c r="K9" s="14"/>
      <c r="L9" s="14"/>
      <c r="M9" s="14"/>
      <c r="N9" s="14"/>
      <c r="O9" s="14"/>
      <c r="P9" s="14"/>
      <c r="Q9" s="14"/>
      <c r="R9" s="14"/>
      <c r="S9" s="14"/>
      <c r="T9" s="14"/>
      <c r="U9" s="14"/>
      <c r="V9" s="14"/>
      <c r="W9" s="14"/>
      <c r="X9" s="14"/>
      <c r="Y9" s="14"/>
      <c r="Z9" s="14"/>
      <c r="AA9" s="14"/>
      <c r="AB9" s="14"/>
    </row>
    <row r="10" spans="1:28" ht="21">
      <c r="A10" s="5" t="s">
        <v>62</v>
      </c>
      <c r="B10" s="5" t="s">
        <v>63</v>
      </c>
      <c r="C10" s="10" t="s">
        <v>1562</v>
      </c>
      <c r="D10" s="10" t="s">
        <v>1562</v>
      </c>
      <c r="E10" s="10" t="s">
        <v>1562</v>
      </c>
      <c r="F10" s="10" t="s">
        <v>1562</v>
      </c>
      <c r="G10" s="10" t="str">
        <f>IF(AND(ISNUMBER(MATCH(C10,{"F","E","D","D+","C","C+","B","B+","A","A+","S"},0)),ISNUMBER(MATCH(D10,{"F","E","D","D+","C","C+","B","B+","A","A+","S"},0)),ISNUMBER(MATCH(E10,{"F","E","D","D+","C","C+","B","B+","A","A+","S"},0)),ISNUMBER(MATCH(F10,{"F","E","D","D+","C","C+","B","B+","A","A+","S"},0))),LOOKUP(AVERAGE(_xlfn.SWITCH(C10,"F",0,"E",10,"D",20,"D+",30,"C",40,"C+",50,"B",60,"B+",70,"A",80,"A+",90,"S",100),_xlfn.SWITCH(D10,"F",0,"E",10,"D",20,"D+",30,"C",40,"C+",50,"B",60,"B+",70,"A",80,"A+",90,"S",100),_xlfn.SWITCH(E10,"F",0,"E",10,"D",20,"D+",30,"C",40,"C+",50,"B",60,"B+",70,"A",80,"A+",90,"S",100),_xlfn.SWITCH(F10,"F",0,"E",10,"D",20,"D+",30,"C",40,"C+",50,"B",60,"B+",70,"A",80,"A+",90,"S",100)),{0,15,25,35,45,55,65,75,85,95},{"D","D","D+","C","C+","B","B+","A","A+","S"}),"?")</f>
        <v>C+</v>
      </c>
      <c r="I10" s="2" t="s">
        <v>4041</v>
      </c>
      <c r="J10" s="2"/>
      <c r="K10" s="14"/>
      <c r="L10" s="14"/>
      <c r="M10" s="14"/>
      <c r="N10" s="14"/>
      <c r="O10" s="14"/>
      <c r="P10" s="14"/>
      <c r="Q10" s="14"/>
      <c r="R10" s="14"/>
      <c r="S10" s="14"/>
      <c r="T10" s="14"/>
      <c r="U10" s="14"/>
      <c r="V10" s="14"/>
      <c r="W10" s="14"/>
      <c r="X10" s="14"/>
      <c r="Y10" s="14"/>
      <c r="Z10" s="14"/>
      <c r="AA10" s="14"/>
      <c r="AB10" s="14"/>
    </row>
    <row r="11" spans="1:28" ht="21">
      <c r="A11" s="5" t="s">
        <v>67</v>
      </c>
      <c r="B11" s="5" t="s">
        <v>68</v>
      </c>
      <c r="C11" s="10" t="s">
        <v>21</v>
      </c>
      <c r="D11" s="10" t="s">
        <v>28</v>
      </c>
      <c r="E11" s="10" t="s">
        <v>21</v>
      </c>
      <c r="F11" s="10" t="s">
        <v>18</v>
      </c>
      <c r="G11" s="10" t="str">
        <f>IF(AND(ISNUMBER(MATCH(C11,{"F","E","D","D+","C","C+","B","B+","A","A+","S"},0)),ISNUMBER(MATCH(D11,{"F","E","D","D+","C","C+","B","B+","A","A+","S"},0)),ISNUMBER(MATCH(E11,{"F","E","D","D+","C","C+","B","B+","A","A+","S"},0)),ISNUMBER(MATCH(F11,{"F","E","D","D+","C","C+","B","B+","A","A+","S"},0))),LOOKUP(AVERAGE(_xlfn.SWITCH(C11,"F",0,"E",10,"D",20,"D+",30,"C",40,"C+",50,"B",60,"B+",70,"A",80,"A+",90,"S",100),_xlfn.SWITCH(D11,"F",0,"E",10,"D",20,"D+",30,"C",40,"C+",50,"B",60,"B+",70,"A",80,"A+",90,"S",100),_xlfn.SWITCH(E11,"F",0,"E",10,"D",20,"D+",30,"C",40,"C+",50,"B",60,"B+",70,"A",80,"A+",90,"S",100),_xlfn.SWITCH(F11,"F",0,"E",10,"D",20,"D+",30,"C",40,"C+",50,"B",60,"B+",70,"A",80,"A+",90,"S",100)),{0,15,25,35,45,55,65,75,85,95},{"D","D","D+","C","C+","B","B+","A","A+","S"}),"?")</f>
        <v>A</v>
      </c>
      <c r="H11" t="s">
        <v>4048</v>
      </c>
      <c r="I11" s="2" t="s">
        <v>4041</v>
      </c>
      <c r="J11" s="2"/>
      <c r="K11" s="14"/>
      <c r="L11" s="14"/>
      <c r="M11" s="14"/>
      <c r="N11" s="14"/>
      <c r="O11" s="14"/>
      <c r="P11" s="14"/>
      <c r="Q11" s="14"/>
      <c r="R11" s="14"/>
      <c r="S11" s="14"/>
      <c r="T11" s="14"/>
      <c r="U11" s="14"/>
      <c r="V11" s="14"/>
      <c r="W11" s="14"/>
      <c r="X11" s="14"/>
      <c r="Y11" s="14"/>
      <c r="Z11" s="14"/>
      <c r="AA11" s="14"/>
      <c r="AB11" s="14"/>
    </row>
    <row r="12" spans="1:28" ht="21">
      <c r="A12" s="5" t="s">
        <v>74</v>
      </c>
      <c r="B12" s="5" t="s">
        <v>75</v>
      </c>
      <c r="C12" s="10" t="s">
        <v>1661</v>
      </c>
      <c r="D12" s="10" t="s">
        <v>1661</v>
      </c>
      <c r="E12" s="10" t="s">
        <v>1574</v>
      </c>
      <c r="F12" s="10" t="s">
        <v>16</v>
      </c>
      <c r="G12" s="10" t="str">
        <f>IF(AND(ISNUMBER(MATCH(C12,{"F","E","D","D+","C","C+","B","B+","A","A+","S"},0)),ISNUMBER(MATCH(D12,{"F","E","D","D+","C","C+","B","B+","A","A+","S"},0)),ISNUMBER(MATCH(E12,{"F","E","D","D+","C","C+","B","B+","A","A+","S"},0)),ISNUMBER(MATCH(F12,{"F","E","D","D+","C","C+","B","B+","A","A+","S"},0))),LOOKUP(AVERAGE(_xlfn.SWITCH(C12,"F",0,"E",10,"D",20,"D+",30,"C",40,"C+",50,"B",60,"B+",70,"A",80,"A+",90,"S",100),_xlfn.SWITCH(D12,"F",0,"E",10,"D",20,"D+",30,"C",40,"C+",50,"B",60,"B+",70,"A",80,"A+",90,"S",100),_xlfn.SWITCH(E12,"F",0,"E",10,"D",20,"D+",30,"C",40,"C+",50,"B",60,"B+",70,"A",80,"A+",90,"S",100),_xlfn.SWITCH(F12,"F",0,"E",10,"D",20,"D+",30,"C",40,"C+",50,"B",60,"B+",70,"A",80,"A+",90,"S",100)),{0,15,25,35,45,55,65,75,85,95},{"D","D","D+","C","C+","B","B+","A","A+","S"}),"?")</f>
        <v>D+</v>
      </c>
      <c r="H12" t="s">
        <v>4049</v>
      </c>
      <c r="I12" s="2" t="s">
        <v>4041</v>
      </c>
      <c r="J12" s="2"/>
      <c r="K12" s="14"/>
      <c r="L12" s="14"/>
      <c r="M12" s="14"/>
      <c r="N12" s="14"/>
      <c r="O12" s="14"/>
      <c r="P12" s="14"/>
      <c r="Q12" s="14"/>
      <c r="R12" s="14"/>
      <c r="S12" s="14"/>
      <c r="T12" s="14"/>
      <c r="U12" s="14"/>
      <c r="V12" s="14"/>
      <c r="W12" s="14"/>
      <c r="X12" s="14"/>
      <c r="Y12" s="14"/>
      <c r="Z12" s="14"/>
      <c r="AA12" s="14"/>
      <c r="AB12" s="14"/>
    </row>
    <row r="13" spans="1:28" ht="21">
      <c r="A13" s="5" t="s">
        <v>81</v>
      </c>
      <c r="B13" s="5" t="s">
        <v>82</v>
      </c>
      <c r="C13" s="10" t="s">
        <v>1574</v>
      </c>
      <c r="D13" s="10" t="s">
        <v>1574</v>
      </c>
      <c r="E13" s="10" t="s">
        <v>1574</v>
      </c>
      <c r="F13" s="10" t="s">
        <v>1574</v>
      </c>
      <c r="G13" s="10" t="str">
        <f>IF(AND(ISNUMBER(MATCH(C13,{"F","E","D","D+","C","C+","B","B+","A","A+","S"},0)),ISNUMBER(MATCH(D13,{"F","E","D","D+","C","C+","B","B+","A","A+","S"},0)),ISNUMBER(MATCH(E13,{"F","E","D","D+","C","C+","B","B+","A","A+","S"},0)),ISNUMBER(MATCH(F13,{"F","E","D","D+","C","C+","B","B+","A","A+","S"},0))),LOOKUP(AVERAGE(_xlfn.SWITCH(C13,"F",0,"E",10,"D",20,"D+",30,"C",40,"C+",50,"B",60,"B+",70,"A",80,"A+",90,"S",100),_xlfn.SWITCH(D13,"F",0,"E",10,"D",20,"D+",30,"C",40,"C+",50,"B",60,"B+",70,"A",80,"A+",90,"S",100),_xlfn.SWITCH(E13,"F",0,"E",10,"D",20,"D+",30,"C",40,"C+",50,"B",60,"B+",70,"A",80,"A+",90,"S",100),_xlfn.SWITCH(F13,"F",0,"E",10,"D",20,"D+",30,"C",40,"C+",50,"B",60,"B+",70,"A",80,"A+",90,"S",100)),{0,15,25,35,45,55,65,75,85,95},{"D","D","D+","C","C+","B","B+","A","A+","S"}),"?")</f>
        <v>C</v>
      </c>
      <c r="I13" s="2" t="s">
        <v>4043</v>
      </c>
      <c r="J13" s="2"/>
      <c r="K13" s="14"/>
      <c r="L13" s="14"/>
      <c r="M13" s="14"/>
      <c r="N13" s="14"/>
      <c r="O13" s="14"/>
      <c r="P13" s="14"/>
      <c r="Q13" s="14"/>
      <c r="R13" s="14"/>
      <c r="S13" s="14"/>
      <c r="T13" s="14"/>
      <c r="U13" s="14"/>
      <c r="V13" s="14"/>
      <c r="W13" s="14"/>
      <c r="X13" s="14"/>
      <c r="Y13" s="14"/>
      <c r="Z13" s="14"/>
      <c r="AA13" s="14"/>
      <c r="AB13" s="14"/>
    </row>
    <row r="14" spans="1:28" ht="21">
      <c r="A14" s="5" t="s">
        <v>88</v>
      </c>
      <c r="B14" s="5" t="s">
        <v>89</v>
      </c>
      <c r="C14" s="10" t="s">
        <v>28</v>
      </c>
      <c r="D14" s="10" t="s">
        <v>17</v>
      </c>
      <c r="E14" s="10" t="s">
        <v>28</v>
      </c>
      <c r="F14" s="10" t="s">
        <v>28</v>
      </c>
      <c r="G14" s="10" t="str">
        <f>IF(AND(ISNUMBER(MATCH(C14,{"F","E","D","D+","C","C+","B","B+","A","A+","S"},0)),ISNUMBER(MATCH(D14,{"F","E","D","D+","C","C+","B","B+","A","A+","S"},0)),ISNUMBER(MATCH(E14,{"F","E","D","D+","C","C+","B","B+","A","A+","S"},0)),ISNUMBER(MATCH(F14,{"F","E","D","D+","C","C+","B","B+","A","A+","S"},0))),LOOKUP(AVERAGE(_xlfn.SWITCH(C14,"F",0,"E",10,"D",20,"D+",30,"C",40,"C+",50,"B",60,"B+",70,"A",80,"A+",90,"S",100),_xlfn.SWITCH(D14,"F",0,"E",10,"D",20,"D+",30,"C",40,"C+",50,"B",60,"B+",70,"A",80,"A+",90,"S",100),_xlfn.SWITCH(E14,"F",0,"E",10,"D",20,"D+",30,"C",40,"C+",50,"B",60,"B+",70,"A",80,"A+",90,"S",100),_xlfn.SWITCH(F14,"F",0,"E",10,"D",20,"D+",30,"C",40,"C+",50,"B",60,"B+",70,"A",80,"A+",90,"S",100)),{0,15,25,35,45,55,65,75,85,95},{"D","D","D+","C","C+","B","B+","A","A+","S"}),"?")</f>
        <v>A+</v>
      </c>
      <c r="H14" t="s">
        <v>4050</v>
      </c>
      <c r="I14" s="2" t="s">
        <v>4043</v>
      </c>
      <c r="J14" s="2"/>
      <c r="K14" s="14"/>
      <c r="L14" s="14"/>
      <c r="M14" s="14"/>
      <c r="N14" s="14"/>
      <c r="O14" s="14"/>
      <c r="P14" s="14"/>
      <c r="Q14" s="14"/>
      <c r="R14" s="14"/>
      <c r="S14" s="14"/>
      <c r="T14" s="14"/>
      <c r="U14" s="14"/>
      <c r="V14" s="14"/>
      <c r="W14" s="14"/>
      <c r="X14" s="14"/>
      <c r="Y14" s="14"/>
      <c r="Z14" s="14"/>
      <c r="AA14" s="14"/>
      <c r="AB14" s="14"/>
    </row>
    <row r="15" spans="1:28" ht="28.5" customHeight="1">
      <c r="A15" s="5" t="s">
        <v>95</v>
      </c>
      <c r="B15" s="5" t="s">
        <v>96</v>
      </c>
      <c r="C15" s="10" t="s">
        <v>21</v>
      </c>
      <c r="D15" s="10" t="s">
        <v>28</v>
      </c>
      <c r="E15" s="10" t="s">
        <v>21</v>
      </c>
      <c r="F15" s="10" t="s">
        <v>21</v>
      </c>
      <c r="G15" s="10" t="str">
        <f>IF(AND(ISNUMBER(MATCH(C15,{"F","E","D","D+","C","C+","B","B+","A","A+","S"},0)),ISNUMBER(MATCH(D15,{"F","E","D","D+","C","C+","B","B+","A","A+","S"},0)),ISNUMBER(MATCH(E15,{"F","E","D","D+","C","C+","B","B+","A","A+","S"},0)),ISNUMBER(MATCH(F15,{"F","E","D","D+","C","C+","B","B+","A","A+","S"},0))),LOOKUP(AVERAGE(_xlfn.SWITCH(C15,"F",0,"E",10,"D",20,"D+",30,"C",40,"C+",50,"B",60,"B+",70,"A",80,"A+",90,"S",100),_xlfn.SWITCH(D15,"F",0,"E",10,"D",20,"D+",30,"C",40,"C+",50,"B",60,"B+",70,"A",80,"A+",90,"S",100),_xlfn.SWITCH(E15,"F",0,"E",10,"D",20,"D+",30,"C",40,"C+",50,"B",60,"B+",70,"A",80,"A+",90,"S",100),_xlfn.SWITCH(F15,"F",0,"E",10,"D",20,"D+",30,"C",40,"C+",50,"B",60,"B+",70,"A",80,"A+",90,"S",100)),{0,15,25,35,45,55,65,75,85,95},{"D","D","D+","C","C+","B","B+","A","A+","S"}),"?")</f>
        <v>A</v>
      </c>
      <c r="H15" s="311" t="s">
        <v>4051</v>
      </c>
      <c r="I15" s="2" t="s">
        <v>4041</v>
      </c>
      <c r="J15" s="2"/>
      <c r="K15" s="14"/>
      <c r="L15" s="14"/>
      <c r="M15" s="14"/>
      <c r="N15" s="14"/>
      <c r="O15" s="14"/>
      <c r="P15" s="14"/>
      <c r="Q15" s="14"/>
      <c r="R15" s="14"/>
      <c r="S15" s="14"/>
      <c r="T15" s="14"/>
      <c r="U15" s="14"/>
      <c r="V15" s="14"/>
      <c r="W15" s="14"/>
      <c r="X15" s="14"/>
      <c r="Y15" s="14"/>
      <c r="Z15" s="14"/>
      <c r="AA15" s="14"/>
      <c r="AB15" s="14"/>
    </row>
    <row r="16" spans="1:28" ht="21">
      <c r="A16" s="5" t="s">
        <v>102</v>
      </c>
      <c r="B16" s="5" t="s">
        <v>103</v>
      </c>
      <c r="C16" s="10" t="s">
        <v>21</v>
      </c>
      <c r="D16" s="10" t="s">
        <v>28</v>
      </c>
      <c r="E16" s="10" t="s">
        <v>1567</v>
      </c>
      <c r="F16" s="10" t="s">
        <v>28</v>
      </c>
      <c r="G16" s="10" t="str">
        <f>IF(AND(ISNUMBER(MATCH(C16,{"F","E","D","D+","C","C+","B","B+","A","A+","S"},0)),ISNUMBER(MATCH(D16,{"F","E","D","D+","C","C+","B","B+","A","A+","S"},0)),ISNUMBER(MATCH(E16,{"F","E","D","D+","C","C+","B","B+","A","A+","S"},0)),ISNUMBER(MATCH(F16,{"F","E","D","D+","C","C+","B","B+","A","A+","S"},0))),LOOKUP(AVERAGE(_xlfn.SWITCH(C16,"F",0,"E",10,"D",20,"D+",30,"C",40,"C+",50,"B",60,"B+",70,"A",80,"A+",90,"S",100),_xlfn.SWITCH(D16,"F",0,"E",10,"D",20,"D+",30,"C",40,"C+",50,"B",60,"B+",70,"A",80,"A+",90,"S",100),_xlfn.SWITCH(E16,"F",0,"E",10,"D",20,"D+",30,"C",40,"C+",50,"B",60,"B+",70,"A",80,"A+",90,"S",100),_xlfn.SWITCH(F16,"F",0,"E",10,"D",20,"D+",30,"C",40,"C+",50,"B",60,"B+",70,"A",80,"A+",90,"S",100)),{0,15,25,35,45,55,65,75,85,95},{"D","D","D+","C","C+","B","B+","A","A+","S"}),"?")</f>
        <v>A</v>
      </c>
      <c r="H16" t="s">
        <v>4052</v>
      </c>
      <c r="I16" s="2" t="s">
        <v>4043</v>
      </c>
      <c r="J16" s="2"/>
      <c r="K16" s="14"/>
      <c r="L16" s="14"/>
      <c r="M16" s="14"/>
      <c r="N16" s="14"/>
      <c r="O16" s="14"/>
      <c r="P16" s="14"/>
      <c r="Q16" s="14"/>
      <c r="R16" s="14"/>
      <c r="S16" s="14"/>
      <c r="T16" s="14"/>
      <c r="U16" s="14"/>
      <c r="V16" s="14"/>
      <c r="W16" s="14"/>
      <c r="X16" s="14"/>
      <c r="Y16" s="14"/>
      <c r="Z16" s="14"/>
      <c r="AA16" s="14"/>
      <c r="AB16" s="14"/>
    </row>
    <row r="17" spans="1:28" ht="21">
      <c r="A17" s="5" t="s">
        <v>109</v>
      </c>
      <c r="B17" s="5" t="s">
        <v>110</v>
      </c>
      <c r="C17" s="10" t="s">
        <v>1567</v>
      </c>
      <c r="D17" s="10" t="s">
        <v>21</v>
      </c>
      <c r="E17" s="10" t="s">
        <v>21</v>
      </c>
      <c r="F17" s="10" t="s">
        <v>1567</v>
      </c>
      <c r="G17" s="10" t="str">
        <f>IF(AND(ISNUMBER(MATCH(C17,{"F","E","D","D+","C","C+","B","B+","A","A+","S"},0)),ISNUMBER(MATCH(D17,{"F","E","D","D+","C","C+","B","B+","A","A+","S"},0)),ISNUMBER(MATCH(E17,{"F","E","D","D+","C","C+","B","B+","A","A+","S"},0)),ISNUMBER(MATCH(F17,{"F","E","D","D+","C","C+","B","B+","A","A+","S"},0))),LOOKUP(AVERAGE(_xlfn.SWITCH(C17,"F",0,"E",10,"D",20,"D+",30,"C",40,"C+",50,"B",60,"B+",70,"A",80,"A+",90,"S",100),_xlfn.SWITCH(D17,"F",0,"E",10,"D",20,"D+",30,"C",40,"C+",50,"B",60,"B+",70,"A",80,"A+",90,"S",100),_xlfn.SWITCH(E17,"F",0,"E",10,"D",20,"D+",30,"C",40,"C+",50,"B",60,"B+",70,"A",80,"A+",90,"S",100),_xlfn.SWITCH(F17,"F",0,"E",10,"D",20,"D+",30,"C",40,"C+",50,"B",60,"B+",70,"A",80,"A+",90,"S",100)),{0,15,25,35,45,55,65,75,85,95},{"D","D","D+","C","C+","B","B+","A","A+","S"}),"?")</f>
        <v>A</v>
      </c>
      <c r="H17" t="s">
        <v>4053</v>
      </c>
      <c r="I17" s="2" t="s">
        <v>4043</v>
      </c>
      <c r="J17" s="2"/>
      <c r="K17" s="14"/>
      <c r="L17" s="14"/>
      <c r="M17" s="14"/>
      <c r="N17" s="14"/>
      <c r="O17" s="14"/>
      <c r="P17" s="14"/>
      <c r="Q17" s="14"/>
      <c r="R17" s="14"/>
      <c r="S17" s="14"/>
      <c r="T17" s="14"/>
      <c r="U17" s="14"/>
      <c r="V17" s="14"/>
      <c r="W17" s="14"/>
      <c r="X17" s="14"/>
      <c r="Y17" s="14"/>
      <c r="Z17" s="14"/>
      <c r="AA17" s="14"/>
      <c r="AB17" s="14"/>
    </row>
    <row r="18" spans="1:28" ht="21">
      <c r="A18" s="5" t="s">
        <v>116</v>
      </c>
      <c r="B18" s="5" t="s">
        <v>117</v>
      </c>
      <c r="C18" s="10" t="s">
        <v>18</v>
      </c>
      <c r="D18" s="10" t="s">
        <v>1567</v>
      </c>
      <c r="E18" s="10" t="s">
        <v>21</v>
      </c>
      <c r="F18" s="10" t="s">
        <v>1567</v>
      </c>
      <c r="G18" s="10" t="str">
        <f>IF(AND(ISNUMBER(MATCH(C18,{"F","E","D","D+","C","C+","B","B+","A","A+","S"},0)),ISNUMBER(MATCH(D18,{"F","E","D","D+","C","C+","B","B+","A","A+","S"},0)),ISNUMBER(MATCH(E18,{"F","E","D","D+","C","C+","B","B+","A","A+","S"},0)),ISNUMBER(MATCH(F18,{"F","E","D","D+","C","C+","B","B+","A","A+","S"},0))),LOOKUP(AVERAGE(_xlfn.SWITCH(C18,"F",0,"E",10,"D",20,"D+",30,"C",40,"C+",50,"B",60,"B+",70,"A",80,"A+",90,"S",100),_xlfn.SWITCH(D18,"F",0,"E",10,"D",20,"D+",30,"C",40,"C+",50,"B",60,"B+",70,"A",80,"A+",90,"S",100),_xlfn.SWITCH(E18,"F",0,"E",10,"D",20,"D+",30,"C",40,"C+",50,"B",60,"B+",70,"A",80,"A+",90,"S",100),_xlfn.SWITCH(F18,"F",0,"E",10,"D",20,"D+",30,"C",40,"C+",50,"B",60,"B+",70,"A",80,"A+",90,"S",100)),{0,15,25,35,45,55,65,75,85,95},{"D","D","D+","C","C+","B","B+","A","A+","S"}),"?")</f>
        <v>B+</v>
      </c>
      <c r="H18" t="s">
        <v>4054</v>
      </c>
      <c r="I18" s="2" t="s">
        <v>2028</v>
      </c>
      <c r="J18" s="2"/>
      <c r="K18" s="14"/>
      <c r="L18" s="14"/>
      <c r="M18" s="14"/>
      <c r="N18" s="14"/>
      <c r="O18" s="14"/>
      <c r="P18" s="14"/>
      <c r="Q18" s="14"/>
      <c r="R18" s="14"/>
      <c r="S18" s="14"/>
      <c r="T18" s="14"/>
      <c r="U18" s="14"/>
      <c r="V18" s="14"/>
      <c r="W18" s="14"/>
      <c r="X18" s="14"/>
      <c r="Y18" s="14"/>
      <c r="Z18" s="14"/>
      <c r="AA18" s="14"/>
      <c r="AB18" s="14"/>
    </row>
    <row r="19" spans="1:28" ht="21">
      <c r="A19" s="5" t="s">
        <v>123</v>
      </c>
      <c r="B19" s="5" t="s">
        <v>124</v>
      </c>
      <c r="C19" s="10" t="s">
        <v>17</v>
      </c>
      <c r="D19" s="10" t="s">
        <v>17</v>
      </c>
      <c r="E19" s="10" t="s">
        <v>17</v>
      </c>
      <c r="F19" s="10" t="s">
        <v>17</v>
      </c>
      <c r="G19" s="10" t="str">
        <f>IF(AND(ISNUMBER(MATCH(C19,{"F","E","D","D+","C","C+","B","B+","A","A+","S"},0)),ISNUMBER(MATCH(D19,{"F","E","D","D+","C","C+","B","B+","A","A+","S"},0)),ISNUMBER(MATCH(E19,{"F","E","D","D+","C","C+","B","B+","A","A+","S"},0)),ISNUMBER(MATCH(F19,{"F","E","D","D+","C","C+","B","B+","A","A+","S"},0))),LOOKUP(AVERAGE(_xlfn.SWITCH(C19,"F",0,"E",10,"D",20,"D+",30,"C",40,"C+",50,"B",60,"B+",70,"A",80,"A+",90,"S",100),_xlfn.SWITCH(D19,"F",0,"E",10,"D",20,"D+",30,"C",40,"C+",50,"B",60,"B+",70,"A",80,"A+",90,"S",100),_xlfn.SWITCH(E19,"F",0,"E",10,"D",20,"D+",30,"C",40,"C+",50,"B",60,"B+",70,"A",80,"A+",90,"S",100),_xlfn.SWITCH(F19,"F",0,"E",10,"D",20,"D+",30,"C",40,"C+",50,"B",60,"B+",70,"A",80,"A+",90,"S",100)),{0,15,25,35,45,55,65,75,85,95},{"D","D","D+","C","C+","B","B+","A","A+","S"}),"?")</f>
        <v>S</v>
      </c>
      <c r="H19" t="s">
        <v>4055</v>
      </c>
      <c r="I19" s="2" t="s">
        <v>2028</v>
      </c>
      <c r="J19" s="2"/>
      <c r="K19" s="14"/>
      <c r="L19" s="14"/>
      <c r="M19" s="14"/>
      <c r="N19" s="14"/>
      <c r="O19" s="14"/>
      <c r="P19" s="14"/>
      <c r="Q19" s="14"/>
      <c r="R19" s="14"/>
      <c r="S19" s="14"/>
      <c r="T19" s="14"/>
      <c r="U19" s="14"/>
      <c r="V19" s="14"/>
      <c r="W19" s="14"/>
      <c r="X19" s="14"/>
      <c r="Y19" s="14"/>
      <c r="Z19" s="14"/>
      <c r="AA19" s="14"/>
      <c r="AB19" s="14"/>
    </row>
    <row r="20" spans="1:28" ht="21">
      <c r="A20" s="5" t="s">
        <v>130</v>
      </c>
      <c r="B20" s="5" t="s">
        <v>129</v>
      </c>
      <c r="C20" s="10" t="s">
        <v>28</v>
      </c>
      <c r="D20" s="10" t="s">
        <v>28</v>
      </c>
      <c r="E20" s="10" t="s">
        <v>17</v>
      </c>
      <c r="F20" s="10" t="s">
        <v>28</v>
      </c>
      <c r="G20" s="10" t="str">
        <f>IF(AND(ISNUMBER(MATCH(C20,{"F","E","D","D+","C","C+","B","B+","A","A+","S"},0)),ISNUMBER(MATCH(D20,{"F","E","D","D+","C","C+","B","B+","A","A+","S"},0)),ISNUMBER(MATCH(E20,{"F","E","D","D+","C","C+","B","B+","A","A+","S"},0)),ISNUMBER(MATCH(F20,{"F","E","D","D+","C","C+","B","B+","A","A+","S"},0))),LOOKUP(AVERAGE(_xlfn.SWITCH(C20,"F",0,"E",10,"D",20,"D+",30,"C",40,"C+",50,"B",60,"B+",70,"A",80,"A+",90,"S",100),_xlfn.SWITCH(D20,"F",0,"E",10,"D",20,"D+",30,"C",40,"C+",50,"B",60,"B+",70,"A",80,"A+",90,"S",100),_xlfn.SWITCH(E20,"F",0,"E",10,"D",20,"D+",30,"C",40,"C+",50,"B",60,"B+",70,"A",80,"A+",90,"S",100),_xlfn.SWITCH(F20,"F",0,"E",10,"D",20,"D+",30,"C",40,"C+",50,"B",60,"B+",70,"A",80,"A+",90,"S",100)),{0,15,25,35,45,55,65,75,85,95},{"D","D","D+","C","C+","B","B+","A","A+","S"}),"?")</f>
        <v>A+</v>
      </c>
      <c r="H20" t="s">
        <v>4056</v>
      </c>
      <c r="I20" s="2" t="s">
        <v>4041</v>
      </c>
      <c r="J20" s="2"/>
      <c r="K20" s="14"/>
      <c r="L20" s="14"/>
      <c r="M20" s="14"/>
      <c r="N20" s="14"/>
      <c r="O20" s="14"/>
      <c r="P20" s="14"/>
      <c r="Q20" s="14"/>
      <c r="R20" s="14"/>
      <c r="S20" s="14"/>
      <c r="T20" s="14"/>
      <c r="U20" s="14"/>
      <c r="V20" s="14"/>
      <c r="W20" s="14"/>
      <c r="X20" s="14"/>
      <c r="Y20" s="14"/>
      <c r="Z20" s="14"/>
      <c r="AA20" s="14"/>
      <c r="AB20" s="14"/>
    </row>
    <row r="21" spans="1:28" ht="21">
      <c r="A21" s="5" t="s">
        <v>136</v>
      </c>
      <c r="B21" s="5" t="s">
        <v>137</v>
      </c>
      <c r="C21" s="10" t="s">
        <v>21</v>
      </c>
      <c r="D21" s="10" t="s">
        <v>17</v>
      </c>
      <c r="E21" s="10" t="s">
        <v>21</v>
      </c>
      <c r="F21" s="10" t="s">
        <v>17</v>
      </c>
      <c r="G21" s="10" t="str">
        <f>IF(AND(ISNUMBER(MATCH(C21,{"F","E","D","D+","C","C+","B","B+","A","A+","S"},0)),ISNUMBER(MATCH(D21,{"F","E","D","D+","C","C+","B","B+","A","A+","S"},0)),ISNUMBER(MATCH(E21,{"F","E","D","D+","C","C+","B","B+","A","A+","S"},0)),ISNUMBER(MATCH(F21,{"F","E","D","D+","C","C+","B","B+","A","A+","S"},0))),LOOKUP(AVERAGE(_xlfn.SWITCH(C21,"F",0,"E",10,"D",20,"D+",30,"C",40,"C+",50,"B",60,"B+",70,"A",80,"A+",90,"S",100),_xlfn.SWITCH(D21,"F",0,"E",10,"D",20,"D+",30,"C",40,"C+",50,"B",60,"B+",70,"A",80,"A+",90,"S",100),_xlfn.SWITCH(E21,"F",0,"E",10,"D",20,"D+",30,"C",40,"C+",50,"B",60,"B+",70,"A",80,"A+",90,"S",100),_xlfn.SWITCH(F21,"F",0,"E",10,"D",20,"D+",30,"C",40,"C+",50,"B",60,"B+",70,"A",80,"A+",90,"S",100)),{0,15,25,35,45,55,65,75,85,95},{"D","D","D+","C","C+","B","B+","A","A+","S"}),"?")</f>
        <v>A+</v>
      </c>
      <c r="H21" t="s">
        <v>4057</v>
      </c>
      <c r="I21" s="2" t="s">
        <v>4041</v>
      </c>
      <c r="J21" s="2"/>
      <c r="K21" s="14"/>
      <c r="L21" s="14"/>
      <c r="M21" s="14"/>
      <c r="N21" s="14"/>
      <c r="O21" s="14"/>
      <c r="P21" s="14"/>
      <c r="Q21" s="14"/>
      <c r="R21" s="14"/>
      <c r="S21" s="14"/>
      <c r="T21" s="14"/>
      <c r="U21" s="14"/>
      <c r="V21" s="14"/>
      <c r="W21" s="14"/>
      <c r="X21" s="14"/>
      <c r="Y21" s="14"/>
      <c r="Z21" s="14"/>
      <c r="AA21" s="14"/>
      <c r="AB21" s="14"/>
    </row>
    <row r="22" spans="1:28" ht="21">
      <c r="A22" s="5" t="s">
        <v>143</v>
      </c>
      <c r="B22" s="5" t="s">
        <v>144</v>
      </c>
      <c r="C22" s="10" t="s">
        <v>18</v>
      </c>
      <c r="D22" s="10" t="s">
        <v>18</v>
      </c>
      <c r="E22" s="10" t="s">
        <v>18</v>
      </c>
      <c r="F22" s="10" t="s">
        <v>18</v>
      </c>
      <c r="G22" s="10" t="str">
        <f>IF(AND(ISNUMBER(MATCH(C22,{"F","E","D","D+","C","C+","B","B+","A","A+","S"},0)),ISNUMBER(MATCH(D22,{"F","E","D","D+","C","C+","B","B+","A","A+","S"},0)),ISNUMBER(MATCH(E22,{"F","E","D","D+","C","C+","B","B+","A","A+","S"},0)),ISNUMBER(MATCH(F22,{"F","E","D","D+","C","C+","B","B+","A","A+","S"},0))),LOOKUP(AVERAGE(_xlfn.SWITCH(C22,"F",0,"E",10,"D",20,"D+",30,"C",40,"C+",50,"B",60,"B+",70,"A",80,"A+",90,"S",100),_xlfn.SWITCH(D22,"F",0,"E",10,"D",20,"D+",30,"C",40,"C+",50,"B",60,"B+",70,"A",80,"A+",90,"S",100),_xlfn.SWITCH(E22,"F",0,"E",10,"D",20,"D+",30,"C",40,"C+",50,"B",60,"B+",70,"A",80,"A+",90,"S",100),_xlfn.SWITCH(F22,"F",0,"E",10,"D",20,"D+",30,"C",40,"C+",50,"B",60,"B+",70,"A",80,"A+",90,"S",100)),{0,15,25,35,45,55,65,75,85,95},{"D","D","D+","C","C+","B","B+","A","A+","S"}),"?")</f>
        <v>B</v>
      </c>
      <c r="H22" t="s">
        <v>4058</v>
      </c>
      <c r="I22" s="2"/>
      <c r="J22" s="2"/>
      <c r="K22" s="14"/>
      <c r="L22" s="14"/>
      <c r="M22" s="14"/>
      <c r="N22" s="14"/>
      <c r="O22" s="14"/>
      <c r="P22" s="14"/>
      <c r="Q22" s="14"/>
      <c r="R22" s="14"/>
      <c r="S22" s="14"/>
      <c r="T22" s="14"/>
      <c r="U22" s="14"/>
      <c r="V22" s="14"/>
      <c r="W22" s="14"/>
      <c r="X22" s="14"/>
      <c r="Y22" s="14"/>
      <c r="Z22" s="14"/>
      <c r="AA22" s="14"/>
      <c r="AB22" s="14"/>
    </row>
    <row r="23" spans="1:28" ht="21">
      <c r="A23" s="5" t="s">
        <v>150</v>
      </c>
      <c r="B23" s="5" t="s">
        <v>151</v>
      </c>
      <c r="C23" s="10" t="s">
        <v>1567</v>
      </c>
      <c r="D23" s="10" t="s">
        <v>18</v>
      </c>
      <c r="E23" s="10" t="s">
        <v>1567</v>
      </c>
      <c r="F23" s="10" t="s">
        <v>1567</v>
      </c>
      <c r="G23" s="10" t="str">
        <f>IF(AND(ISNUMBER(MATCH(C23,{"F","E","D","D+","C","C+","B","B+","A","A+","S"},0)),ISNUMBER(MATCH(D23,{"F","E","D","D+","C","C+","B","B+","A","A+","S"},0)),ISNUMBER(MATCH(E23,{"F","E","D","D+","C","C+","B","B+","A","A+","S"},0)),ISNUMBER(MATCH(F23,{"F","E","D","D+","C","C+","B","B+","A","A+","S"},0))),LOOKUP(AVERAGE(_xlfn.SWITCH(C23,"F",0,"E",10,"D",20,"D+",30,"C",40,"C+",50,"B",60,"B+",70,"A",80,"A+",90,"S",100),_xlfn.SWITCH(D23,"F",0,"E",10,"D",20,"D+",30,"C",40,"C+",50,"B",60,"B+",70,"A",80,"A+",90,"S",100),_xlfn.SWITCH(E23,"F",0,"E",10,"D",20,"D+",30,"C",40,"C+",50,"B",60,"B+",70,"A",80,"A+",90,"S",100),_xlfn.SWITCH(F23,"F",0,"E",10,"D",20,"D+",30,"C",40,"C+",50,"B",60,"B+",70,"A",80,"A+",90,"S",100)),{0,15,25,35,45,55,65,75,85,95},{"D","D","D+","C","C+","B","B+","A","A+","S"}),"?")</f>
        <v>B+</v>
      </c>
      <c r="I23" s="2" t="s">
        <v>4043</v>
      </c>
      <c r="J23" s="2"/>
      <c r="K23" s="14"/>
      <c r="L23" s="14"/>
      <c r="M23" s="14"/>
      <c r="N23" s="14"/>
      <c r="O23" s="14"/>
      <c r="P23" s="14"/>
      <c r="Q23" s="14"/>
      <c r="R23" s="14"/>
      <c r="S23" s="14"/>
      <c r="T23" s="14"/>
      <c r="U23" s="14"/>
      <c r="V23" s="14"/>
      <c r="W23" s="14"/>
      <c r="X23" s="14"/>
      <c r="Y23" s="14"/>
      <c r="Z23" s="14"/>
      <c r="AA23" s="14"/>
      <c r="AB23" s="14"/>
    </row>
    <row r="24" spans="1:28" ht="21">
      <c r="A24" s="5" t="s">
        <v>156</v>
      </c>
      <c r="B24" s="5" t="s">
        <v>157</v>
      </c>
      <c r="C24" s="10" t="s">
        <v>1562</v>
      </c>
      <c r="D24" s="10" t="s">
        <v>1562</v>
      </c>
      <c r="E24" s="10" t="s">
        <v>1562</v>
      </c>
      <c r="F24" s="10" t="s">
        <v>1562</v>
      </c>
      <c r="G24" s="10" t="str">
        <f>IF(AND(ISNUMBER(MATCH(C24,{"F","E","D","D+","C","C+","B","B+","A","A+","S"},0)),ISNUMBER(MATCH(D24,{"F","E","D","D+","C","C+","B","B+","A","A+","S"},0)),ISNUMBER(MATCH(E24,{"F","E","D","D+","C","C+","B","B+","A","A+","S"},0)),ISNUMBER(MATCH(F24,{"F","E","D","D+","C","C+","B","B+","A","A+","S"},0))),LOOKUP(AVERAGE(_xlfn.SWITCH(C24,"F",0,"E",10,"D",20,"D+",30,"C",40,"C+",50,"B",60,"B+",70,"A",80,"A+",90,"S",100),_xlfn.SWITCH(D24,"F",0,"E",10,"D",20,"D+",30,"C",40,"C+",50,"B",60,"B+",70,"A",80,"A+",90,"S",100),_xlfn.SWITCH(E24,"F",0,"E",10,"D",20,"D+",30,"C",40,"C+",50,"B",60,"B+",70,"A",80,"A+",90,"S",100),_xlfn.SWITCH(F24,"F",0,"E",10,"D",20,"D+",30,"C",40,"C+",50,"B",60,"B+",70,"A",80,"A+",90,"S",100)),{0,15,25,35,45,55,65,75,85,95},{"D","D","D+","C","C+","B","B+","A","A+","S"}),"?")</f>
        <v>C+</v>
      </c>
      <c r="H24" s="7"/>
      <c r="I24" s="2" t="s">
        <v>4043</v>
      </c>
      <c r="J24" s="2"/>
      <c r="K24" s="14"/>
      <c r="L24" s="14"/>
      <c r="M24" s="14"/>
      <c r="N24" s="14"/>
      <c r="O24" s="14"/>
      <c r="P24" s="14"/>
      <c r="Q24" s="14"/>
      <c r="R24" s="14"/>
      <c r="S24" s="14"/>
      <c r="T24" s="14"/>
      <c r="U24" s="14"/>
      <c r="V24" s="14"/>
      <c r="W24" s="14"/>
      <c r="X24" s="14"/>
      <c r="Y24" s="14"/>
      <c r="Z24" s="14"/>
      <c r="AA24" s="14"/>
      <c r="AB24" s="14"/>
    </row>
    <row r="25" spans="1:28" ht="21">
      <c r="A25" s="5" t="s">
        <v>163</v>
      </c>
      <c r="B25" s="5" t="s">
        <v>164</v>
      </c>
      <c r="C25" s="10" t="s">
        <v>28</v>
      </c>
      <c r="D25" s="10" t="s">
        <v>28</v>
      </c>
      <c r="E25" s="10" t="s">
        <v>28</v>
      </c>
      <c r="F25" s="10" t="s">
        <v>21</v>
      </c>
      <c r="G25" s="10" t="str">
        <f>IF(AND(ISNUMBER(MATCH(C25,{"F","E","D","D+","C","C+","B","B+","A","A+","S"},0)),ISNUMBER(MATCH(D25,{"F","E","D","D+","C","C+","B","B+","A","A+","S"},0)),ISNUMBER(MATCH(E25,{"F","E","D","D+","C","C+","B","B+","A","A+","S"},0)),ISNUMBER(MATCH(F25,{"F","E","D","D+","C","C+","B","B+","A","A+","S"},0))),LOOKUP(AVERAGE(_xlfn.SWITCH(C25,"F",0,"E",10,"D",20,"D+",30,"C",40,"C+",50,"B",60,"B+",70,"A",80,"A+",90,"S",100),_xlfn.SWITCH(D25,"F",0,"E",10,"D",20,"D+",30,"C",40,"C+",50,"B",60,"B+",70,"A",80,"A+",90,"S",100),_xlfn.SWITCH(E25,"F",0,"E",10,"D",20,"D+",30,"C",40,"C+",50,"B",60,"B+",70,"A",80,"A+",90,"S",100),_xlfn.SWITCH(F25,"F",0,"E",10,"D",20,"D+",30,"C",40,"C+",50,"B",60,"B+",70,"A",80,"A+",90,"S",100)),{0,15,25,35,45,55,65,75,85,95},{"D","D","D+","C","C+","B","B+","A","A+","S"}),"?")</f>
        <v>A+</v>
      </c>
      <c r="H25" s="7" t="s">
        <v>4059</v>
      </c>
      <c r="I25" s="2" t="s">
        <v>4041</v>
      </c>
      <c r="J25" s="2"/>
      <c r="K25" s="14"/>
      <c r="L25" s="14"/>
      <c r="M25" s="14"/>
      <c r="N25" s="14"/>
      <c r="O25" s="14"/>
      <c r="P25" s="14"/>
      <c r="Q25" s="14"/>
      <c r="R25" s="14"/>
      <c r="S25" s="14"/>
      <c r="T25" s="14"/>
      <c r="U25" s="14"/>
      <c r="V25" s="14"/>
      <c r="W25" s="14"/>
      <c r="X25" s="14"/>
      <c r="Y25" s="14"/>
      <c r="Z25" s="14"/>
      <c r="AA25" s="14"/>
      <c r="AB25" s="14"/>
    </row>
    <row r="26" spans="1:28" ht="21">
      <c r="A26" s="5" t="s">
        <v>170</v>
      </c>
      <c r="B26" s="5" t="s">
        <v>171</v>
      </c>
      <c r="C26" s="10" t="s">
        <v>21</v>
      </c>
      <c r="D26" s="10" t="s">
        <v>21</v>
      </c>
      <c r="E26" s="10" t="s">
        <v>21</v>
      </c>
      <c r="F26" s="10" t="s">
        <v>28</v>
      </c>
      <c r="G26" s="10" t="str">
        <f>IF(AND(ISNUMBER(MATCH(C26,{"F","E","D","D+","C","C+","B","B+","A","A+","S"},0)),ISNUMBER(MATCH(D26,{"F","E","D","D+","C","C+","B","B+","A","A+","S"},0)),ISNUMBER(MATCH(E26,{"F","E","D","D+","C","C+","B","B+","A","A+","S"},0)),ISNUMBER(MATCH(F26,{"F","E","D","D+","C","C+","B","B+","A","A+","S"},0))),LOOKUP(AVERAGE(_xlfn.SWITCH(C26,"F",0,"E",10,"D",20,"D+",30,"C",40,"C+",50,"B",60,"B+",70,"A",80,"A+",90,"S",100),_xlfn.SWITCH(D26,"F",0,"E",10,"D",20,"D+",30,"C",40,"C+",50,"B",60,"B+",70,"A",80,"A+",90,"S",100),_xlfn.SWITCH(E26,"F",0,"E",10,"D",20,"D+",30,"C",40,"C+",50,"B",60,"B+",70,"A",80,"A+",90,"S",100),_xlfn.SWITCH(F26,"F",0,"E",10,"D",20,"D+",30,"C",40,"C+",50,"B",60,"B+",70,"A",80,"A+",90,"S",100)),{0,15,25,35,45,55,65,75,85,95},{"D","D","D+","C","C+","B","B+","A","A+","S"}),"?")</f>
        <v>A</v>
      </c>
      <c r="H26" s="7" t="s">
        <v>4060</v>
      </c>
      <c r="I26" s="2" t="s">
        <v>4043</v>
      </c>
      <c r="J26" s="2"/>
      <c r="K26" s="14"/>
      <c r="L26" s="14"/>
      <c r="M26" s="14"/>
      <c r="N26" s="14"/>
      <c r="O26" s="14"/>
      <c r="P26" s="14"/>
      <c r="Q26" s="14"/>
      <c r="R26" s="14"/>
      <c r="S26" s="14"/>
      <c r="T26" s="14"/>
      <c r="U26" s="14"/>
      <c r="V26" s="14"/>
      <c r="W26" s="14"/>
      <c r="X26" s="14"/>
      <c r="Y26" s="14"/>
      <c r="Z26" s="14"/>
      <c r="AA26" s="14"/>
      <c r="AB26" s="14"/>
    </row>
    <row r="27" spans="1:28" ht="21">
      <c r="A27" s="5" t="s">
        <v>177</v>
      </c>
      <c r="B27" s="5" t="s">
        <v>178</v>
      </c>
      <c r="C27" s="10"/>
      <c r="D27" s="10"/>
      <c r="E27" s="10"/>
      <c r="F27" s="10"/>
      <c r="G27" s="10" t="str">
        <f>IF(AND(ISNUMBER(MATCH(C27,{"F","E","D","D+","C","C+","B","B+","A","A+","S"},0)),ISNUMBER(MATCH(D27,{"F","E","D","D+","C","C+","B","B+","A","A+","S"},0)),ISNUMBER(MATCH(E27,{"F","E","D","D+","C","C+","B","B+","A","A+","S"},0)),ISNUMBER(MATCH(F27,{"F","E","D","D+","C","C+","B","B+","A","A+","S"},0))),LOOKUP(AVERAGE(_xlfn.SWITCH(C27,"F",0,"E",10,"D",20,"D+",30,"C",40,"C+",50,"B",60,"B+",70,"A",80,"A+",90,"S",100),_xlfn.SWITCH(D27,"F",0,"E",10,"D",20,"D+",30,"C",40,"C+",50,"B",60,"B+",70,"A",80,"A+",90,"S",100),_xlfn.SWITCH(E27,"F",0,"E",10,"D",20,"D+",30,"C",40,"C+",50,"B",60,"B+",70,"A",80,"A+",90,"S",100),_xlfn.SWITCH(F27,"F",0,"E",10,"D",20,"D+",30,"C",40,"C+",50,"B",60,"B+",70,"A",80,"A+",90,"S",100)),{0,15,25,35,45,55,65,75,85,95},{"D","D","D+","C","C+","B","B+","A","A+","S"}),"?")</f>
        <v>?</v>
      </c>
      <c r="H27" s="7"/>
      <c r="I27" s="2"/>
      <c r="J27" s="2"/>
      <c r="K27" s="14"/>
      <c r="L27" s="14"/>
      <c r="M27" s="14"/>
      <c r="N27" s="14"/>
      <c r="O27" s="14"/>
      <c r="P27" s="14"/>
      <c r="Q27" s="14"/>
      <c r="R27" s="14"/>
      <c r="S27" s="14"/>
      <c r="T27" s="14"/>
      <c r="U27" s="14"/>
      <c r="V27" s="14"/>
      <c r="W27" s="14"/>
      <c r="X27" s="14"/>
      <c r="Y27" s="14"/>
      <c r="Z27" s="14"/>
      <c r="AA27" s="14"/>
      <c r="AB27" s="14"/>
    </row>
    <row r="28" spans="1:28" ht="21">
      <c r="A28" s="5" t="s">
        <v>184</v>
      </c>
      <c r="B28" s="5" t="s">
        <v>185</v>
      </c>
      <c r="C28" s="10"/>
      <c r="D28" s="10"/>
      <c r="E28" s="10"/>
      <c r="F28" s="10"/>
      <c r="G28" s="10" t="str">
        <f>IF(AND(ISNUMBER(MATCH(C28,{"F","E","D","D+","C","C+","B","B+","A","A+","S"},0)),ISNUMBER(MATCH(D28,{"F","E","D","D+","C","C+","B","B+","A","A+","S"},0)),ISNUMBER(MATCH(E28,{"F","E","D","D+","C","C+","B","B+","A","A+","S"},0)),ISNUMBER(MATCH(F28,{"F","E","D","D+","C","C+","B","B+","A","A+","S"},0))),LOOKUP(AVERAGE(_xlfn.SWITCH(C28,"F",0,"E",10,"D",20,"D+",30,"C",40,"C+",50,"B",60,"B+",70,"A",80,"A+",90,"S",100),_xlfn.SWITCH(D28,"F",0,"E",10,"D",20,"D+",30,"C",40,"C+",50,"B",60,"B+",70,"A",80,"A+",90,"S",100),_xlfn.SWITCH(E28,"F",0,"E",10,"D",20,"D+",30,"C",40,"C+",50,"B",60,"B+",70,"A",80,"A+",90,"S",100),_xlfn.SWITCH(F28,"F",0,"E",10,"D",20,"D+",30,"C",40,"C+",50,"B",60,"B+",70,"A",80,"A+",90,"S",100)),{0,15,25,35,45,55,65,75,85,95},{"D","D","D+","C","C+","B","B+","A","A+","S"}),"?")</f>
        <v>?</v>
      </c>
      <c r="H28" s="7"/>
      <c r="I28" s="2"/>
      <c r="J28" s="2"/>
      <c r="K28" s="14"/>
      <c r="L28" s="14"/>
      <c r="M28" s="14"/>
      <c r="N28" s="14"/>
      <c r="O28" s="14"/>
      <c r="P28" s="14"/>
      <c r="Q28" s="14"/>
      <c r="R28" s="14"/>
      <c r="S28" s="14"/>
      <c r="T28" s="14"/>
      <c r="U28" s="14"/>
      <c r="V28" s="14"/>
      <c r="W28" s="14"/>
      <c r="X28" s="14"/>
      <c r="Y28" s="14"/>
      <c r="Z28" s="14"/>
      <c r="AA28" s="14"/>
      <c r="AB28" s="14"/>
    </row>
    <row r="29" spans="1:28" ht="21">
      <c r="A29" s="5" t="s">
        <v>191</v>
      </c>
      <c r="B29" s="5" t="s">
        <v>192</v>
      </c>
      <c r="C29" s="10"/>
      <c r="D29" s="10"/>
      <c r="E29" s="10"/>
      <c r="F29" s="10"/>
      <c r="G29" s="10" t="str">
        <f>IF(AND(ISNUMBER(MATCH(C29,{"F","E","D","D+","C","C+","B","B+","A","A+","S"},0)),ISNUMBER(MATCH(D29,{"F","E","D","D+","C","C+","B","B+","A","A+","S"},0)),ISNUMBER(MATCH(E29,{"F","E","D","D+","C","C+","B","B+","A","A+","S"},0)),ISNUMBER(MATCH(F29,{"F","E","D","D+","C","C+","B","B+","A","A+","S"},0))),LOOKUP(AVERAGE(_xlfn.SWITCH(C29,"F",0,"E",10,"D",20,"D+",30,"C",40,"C+",50,"B",60,"B+",70,"A",80,"A+",90,"S",100),_xlfn.SWITCH(D29,"F",0,"E",10,"D",20,"D+",30,"C",40,"C+",50,"B",60,"B+",70,"A",80,"A+",90,"S",100),_xlfn.SWITCH(E29,"F",0,"E",10,"D",20,"D+",30,"C",40,"C+",50,"B",60,"B+",70,"A",80,"A+",90,"S",100),_xlfn.SWITCH(F29,"F",0,"E",10,"D",20,"D+",30,"C",40,"C+",50,"B",60,"B+",70,"A",80,"A+",90,"S",100)),{0,15,25,35,45,55,65,75,85,95},{"D","D","D+","C","C+","B","B+","A","A+","S"}),"?")</f>
        <v>?</v>
      </c>
      <c r="H29" s="7"/>
      <c r="I29" s="2"/>
      <c r="J29" s="2"/>
      <c r="K29" s="14"/>
      <c r="L29" s="14"/>
      <c r="M29" s="14"/>
      <c r="N29" s="14"/>
      <c r="O29" s="14"/>
      <c r="P29" s="14"/>
      <c r="Q29" s="14"/>
      <c r="R29" s="14"/>
      <c r="S29" s="14"/>
      <c r="T29" s="14"/>
      <c r="U29" s="14"/>
      <c r="V29" s="14"/>
      <c r="W29" s="14"/>
      <c r="X29" s="14"/>
      <c r="Y29" s="14"/>
      <c r="Z29" s="14"/>
      <c r="AA29" s="14"/>
      <c r="AB29" s="14"/>
    </row>
    <row r="30" spans="1:28" ht="21">
      <c r="A30" s="5" t="s">
        <v>198</v>
      </c>
      <c r="B30" s="5" t="s">
        <v>199</v>
      </c>
      <c r="C30" s="10"/>
      <c r="D30" s="10"/>
      <c r="E30" s="10"/>
      <c r="F30" s="10"/>
      <c r="G30" s="10" t="str">
        <f>IF(AND(ISNUMBER(MATCH(C30,{"F","E","D","D+","C","C+","B","B+","A","A+","S"},0)),ISNUMBER(MATCH(D30,{"F","E","D","D+","C","C+","B","B+","A","A+","S"},0)),ISNUMBER(MATCH(E30,{"F","E","D","D+","C","C+","B","B+","A","A+","S"},0)),ISNUMBER(MATCH(F30,{"F","E","D","D+","C","C+","B","B+","A","A+","S"},0))),LOOKUP(AVERAGE(_xlfn.SWITCH(C30,"F",0,"E",10,"D",20,"D+",30,"C",40,"C+",50,"B",60,"B+",70,"A",80,"A+",90,"S",100),_xlfn.SWITCH(D30,"F",0,"E",10,"D",20,"D+",30,"C",40,"C+",50,"B",60,"B+",70,"A",80,"A+",90,"S",100),_xlfn.SWITCH(E30,"F",0,"E",10,"D",20,"D+",30,"C",40,"C+",50,"B",60,"B+",70,"A",80,"A+",90,"S",100),_xlfn.SWITCH(F30,"F",0,"E",10,"D",20,"D+",30,"C",40,"C+",50,"B",60,"B+",70,"A",80,"A+",90,"S",100)),{0,15,25,35,45,55,65,75,85,95},{"D","D","D+","C","C+","B","B+","A","A+","S"}),"?")</f>
        <v>?</v>
      </c>
      <c r="H30" s="7"/>
      <c r="I30" s="2"/>
      <c r="J30" s="2"/>
      <c r="K30" s="14"/>
      <c r="L30" s="14"/>
      <c r="M30" s="14"/>
      <c r="N30" s="14"/>
      <c r="O30" s="14"/>
      <c r="P30" s="14"/>
      <c r="Q30" s="14"/>
      <c r="R30" s="14"/>
      <c r="S30" s="14"/>
      <c r="T30" s="14"/>
      <c r="U30" s="14"/>
      <c r="V30" s="14"/>
      <c r="W30" s="14"/>
      <c r="X30" s="14"/>
      <c r="Y30" s="14"/>
      <c r="Z30" s="14"/>
      <c r="AA30" s="14"/>
      <c r="AB30" s="14"/>
    </row>
    <row r="31" spans="1:28" ht="21">
      <c r="A31" s="5" t="s">
        <v>205</v>
      </c>
      <c r="B31" s="5" t="s">
        <v>206</v>
      </c>
      <c r="C31" s="10"/>
      <c r="D31" s="10"/>
      <c r="E31" s="10"/>
      <c r="F31" s="10"/>
      <c r="G31" s="10" t="str">
        <f>IF(AND(ISNUMBER(MATCH(C31,{"F","E","D","D+","C","C+","B","B+","A","A+","S"},0)),ISNUMBER(MATCH(D31,{"F","E","D","D+","C","C+","B","B+","A","A+","S"},0)),ISNUMBER(MATCH(E31,{"F","E","D","D+","C","C+","B","B+","A","A+","S"},0)),ISNUMBER(MATCH(F31,{"F","E","D","D+","C","C+","B","B+","A","A+","S"},0))),LOOKUP(AVERAGE(_xlfn.SWITCH(C31,"F",0,"E",10,"D",20,"D+",30,"C",40,"C+",50,"B",60,"B+",70,"A",80,"A+",90,"S",100),_xlfn.SWITCH(D31,"F",0,"E",10,"D",20,"D+",30,"C",40,"C+",50,"B",60,"B+",70,"A",80,"A+",90,"S",100),_xlfn.SWITCH(E31,"F",0,"E",10,"D",20,"D+",30,"C",40,"C+",50,"B",60,"B+",70,"A",80,"A+",90,"S",100),_xlfn.SWITCH(F31,"F",0,"E",10,"D",20,"D+",30,"C",40,"C+",50,"B",60,"B+",70,"A",80,"A+",90,"S",100)),{0,15,25,35,45,55,65,75,85,95},{"D","D","D+","C","C+","B","B+","A","A+","S"}),"?")</f>
        <v>?</v>
      </c>
      <c r="H31" s="7"/>
      <c r="I31" s="2"/>
      <c r="J31" s="2"/>
      <c r="K31" s="14"/>
      <c r="L31" s="14"/>
      <c r="M31" s="14"/>
      <c r="N31" s="14"/>
      <c r="O31" s="14"/>
      <c r="P31" s="14"/>
      <c r="Q31" s="14"/>
      <c r="R31" s="14"/>
      <c r="S31" s="14"/>
      <c r="T31" s="14"/>
      <c r="U31" s="14"/>
      <c r="V31" s="14"/>
      <c r="W31" s="14"/>
      <c r="X31" s="14"/>
      <c r="Y31" s="14"/>
      <c r="Z31" s="14"/>
      <c r="AA31" s="14"/>
      <c r="AB31" s="14"/>
    </row>
    <row r="32" spans="1:28" ht="21">
      <c r="A32" s="5" t="s">
        <v>212</v>
      </c>
      <c r="B32" s="5" t="s">
        <v>213</v>
      </c>
      <c r="C32" s="10"/>
      <c r="D32" s="10"/>
      <c r="E32" s="10"/>
      <c r="F32" s="10"/>
      <c r="G32" s="10" t="str">
        <f>IF(AND(ISNUMBER(MATCH(C32,{"F","E","D","D+","C","C+","B","B+","A","A+","S"},0)),ISNUMBER(MATCH(D32,{"F","E","D","D+","C","C+","B","B+","A","A+","S"},0)),ISNUMBER(MATCH(E32,{"F","E","D","D+","C","C+","B","B+","A","A+","S"},0)),ISNUMBER(MATCH(F32,{"F","E","D","D+","C","C+","B","B+","A","A+","S"},0))),LOOKUP(AVERAGE(_xlfn.SWITCH(C32,"F",0,"E",10,"D",20,"D+",30,"C",40,"C+",50,"B",60,"B+",70,"A",80,"A+",90,"S",100),_xlfn.SWITCH(D32,"F",0,"E",10,"D",20,"D+",30,"C",40,"C+",50,"B",60,"B+",70,"A",80,"A+",90,"S",100),_xlfn.SWITCH(E32,"F",0,"E",10,"D",20,"D+",30,"C",40,"C+",50,"B",60,"B+",70,"A",80,"A+",90,"S",100),_xlfn.SWITCH(F32,"F",0,"E",10,"D",20,"D+",30,"C",40,"C+",50,"B",60,"B+",70,"A",80,"A+",90,"S",100)),{0,15,25,35,45,55,65,75,85,95},{"D","D","D+","C","C+","B","B+","A","A+","S"}),"?")</f>
        <v>?</v>
      </c>
      <c r="H32" s="7"/>
      <c r="I32" s="2"/>
      <c r="J32" s="2"/>
      <c r="K32" s="14"/>
      <c r="L32" s="14"/>
      <c r="M32" s="14"/>
      <c r="N32" s="14"/>
      <c r="O32" s="14"/>
      <c r="P32" s="14"/>
      <c r="Q32" s="14"/>
      <c r="R32" s="14"/>
      <c r="S32" s="14"/>
      <c r="T32" s="14"/>
      <c r="U32" s="14"/>
      <c r="V32" s="14"/>
      <c r="W32" s="14"/>
      <c r="X32" s="14"/>
      <c r="Y32" s="14"/>
      <c r="Z32" s="14"/>
      <c r="AA32" s="14"/>
      <c r="AB32" s="14"/>
    </row>
    <row r="33" spans="1:28" ht="21">
      <c r="A33" s="5" t="s">
        <v>218</v>
      </c>
      <c r="B33" s="5" t="s">
        <v>219</v>
      </c>
      <c r="C33" s="10"/>
      <c r="D33" s="10"/>
      <c r="E33" s="10"/>
      <c r="F33" s="10"/>
      <c r="G33" s="10" t="str">
        <f>IF(AND(ISNUMBER(MATCH(C33,{"F","E","D","D+","C","C+","B","B+","A","A+","S"},0)),ISNUMBER(MATCH(D33,{"F","E","D","D+","C","C+","B","B+","A","A+","S"},0)),ISNUMBER(MATCH(E33,{"F","E","D","D+","C","C+","B","B+","A","A+","S"},0)),ISNUMBER(MATCH(F33,{"F","E","D","D+","C","C+","B","B+","A","A+","S"},0))),LOOKUP(AVERAGE(_xlfn.SWITCH(C33,"F",0,"E",10,"D",20,"D+",30,"C",40,"C+",50,"B",60,"B+",70,"A",80,"A+",90,"S",100),_xlfn.SWITCH(D33,"F",0,"E",10,"D",20,"D+",30,"C",40,"C+",50,"B",60,"B+",70,"A",80,"A+",90,"S",100),_xlfn.SWITCH(E33,"F",0,"E",10,"D",20,"D+",30,"C",40,"C+",50,"B",60,"B+",70,"A",80,"A+",90,"S",100),_xlfn.SWITCH(F33,"F",0,"E",10,"D",20,"D+",30,"C",40,"C+",50,"B",60,"B+",70,"A",80,"A+",90,"S",100)),{0,15,25,35,45,55,65,75,85,95},{"D","D","D+","C","C+","B","B+","A","A+","S"}),"?")</f>
        <v>?</v>
      </c>
      <c r="H33" s="7"/>
      <c r="I33" s="2"/>
      <c r="J33" s="2"/>
      <c r="K33" s="14"/>
      <c r="L33" s="14"/>
      <c r="M33" s="14"/>
      <c r="N33" s="14"/>
      <c r="O33" s="14"/>
      <c r="P33" s="14"/>
      <c r="Q33" s="14"/>
      <c r="R33" s="14"/>
      <c r="S33" s="14"/>
      <c r="T33" s="14"/>
      <c r="U33" s="14"/>
      <c r="V33" s="14"/>
      <c r="W33" s="14"/>
      <c r="X33" s="14"/>
      <c r="Y33" s="14"/>
      <c r="Z33" s="14"/>
      <c r="AA33" s="14"/>
      <c r="AB33" s="14"/>
    </row>
    <row r="34" spans="1:28" ht="21">
      <c r="A34" s="5" t="s">
        <v>225</v>
      </c>
      <c r="B34" s="5" t="s">
        <v>226</v>
      </c>
      <c r="C34" s="10"/>
      <c r="D34" s="10"/>
      <c r="E34" s="10"/>
      <c r="F34" s="10"/>
      <c r="G34" s="10" t="str">
        <f>IF(AND(ISNUMBER(MATCH(C34,{"F","E","D","D+","C","C+","B","B+","A","A+","S"},0)),ISNUMBER(MATCH(D34,{"F","E","D","D+","C","C+","B","B+","A","A+","S"},0)),ISNUMBER(MATCH(E34,{"F","E","D","D+","C","C+","B","B+","A","A+","S"},0)),ISNUMBER(MATCH(F34,{"F","E","D","D+","C","C+","B","B+","A","A+","S"},0))),LOOKUP(AVERAGE(_xlfn.SWITCH(C34,"F",0,"E",10,"D",20,"D+",30,"C",40,"C+",50,"B",60,"B+",70,"A",80,"A+",90,"S",100),_xlfn.SWITCH(D34,"F",0,"E",10,"D",20,"D+",30,"C",40,"C+",50,"B",60,"B+",70,"A",80,"A+",90,"S",100),_xlfn.SWITCH(E34,"F",0,"E",10,"D",20,"D+",30,"C",40,"C+",50,"B",60,"B+",70,"A",80,"A+",90,"S",100),_xlfn.SWITCH(F34,"F",0,"E",10,"D",20,"D+",30,"C",40,"C+",50,"B",60,"B+",70,"A",80,"A+",90,"S",100)),{0,15,25,35,45,55,65,75,85,95},{"D","D","D+","C","C+","B","B+","A","A+","S"}),"?")</f>
        <v>?</v>
      </c>
      <c r="H34" s="7"/>
      <c r="I34" s="2"/>
      <c r="J34" s="2"/>
      <c r="K34" s="14"/>
      <c r="L34" s="14"/>
      <c r="M34" s="14"/>
      <c r="N34" s="14"/>
      <c r="O34" s="14"/>
      <c r="P34" s="14"/>
      <c r="Q34" s="14"/>
      <c r="R34" s="14"/>
      <c r="S34" s="14"/>
      <c r="T34" s="14"/>
      <c r="U34" s="14"/>
      <c r="V34" s="14"/>
      <c r="W34" s="14"/>
      <c r="X34" s="14"/>
      <c r="Y34" s="14"/>
      <c r="Z34" s="14"/>
      <c r="AA34" s="14"/>
      <c r="AB34" s="14"/>
    </row>
    <row r="35" spans="1:28" ht="21">
      <c r="A35" s="5" t="s">
        <v>232</v>
      </c>
      <c r="B35" s="5" t="s">
        <v>233</v>
      </c>
      <c r="C35" s="10"/>
      <c r="D35" s="10"/>
      <c r="E35" s="10"/>
      <c r="F35" s="10"/>
      <c r="G35" s="10" t="str">
        <f>IF(AND(ISNUMBER(MATCH(C35,{"F","E","D","D+","C","C+","B","B+","A","A+","S"},0)),ISNUMBER(MATCH(D35,{"F","E","D","D+","C","C+","B","B+","A","A+","S"},0)),ISNUMBER(MATCH(E35,{"F","E","D","D+","C","C+","B","B+","A","A+","S"},0)),ISNUMBER(MATCH(F35,{"F","E","D","D+","C","C+","B","B+","A","A+","S"},0))),LOOKUP(AVERAGE(_xlfn.SWITCH(C35,"F",0,"E",10,"D",20,"D+",30,"C",40,"C+",50,"B",60,"B+",70,"A",80,"A+",90,"S",100),_xlfn.SWITCH(D35,"F",0,"E",10,"D",20,"D+",30,"C",40,"C+",50,"B",60,"B+",70,"A",80,"A+",90,"S",100),_xlfn.SWITCH(E35,"F",0,"E",10,"D",20,"D+",30,"C",40,"C+",50,"B",60,"B+",70,"A",80,"A+",90,"S",100),_xlfn.SWITCH(F35,"F",0,"E",10,"D",20,"D+",30,"C",40,"C+",50,"B",60,"B+",70,"A",80,"A+",90,"S",100)),{0,15,25,35,45,55,65,75,85,95},{"D","D","D+","C","C+","B","B+","A","A+","S"}),"?")</f>
        <v>?</v>
      </c>
      <c r="H35" s="7"/>
      <c r="I35" s="2"/>
      <c r="J35" s="2"/>
      <c r="K35" s="14"/>
      <c r="L35" s="14"/>
      <c r="M35" s="14"/>
      <c r="N35" s="14"/>
      <c r="O35" s="14"/>
      <c r="P35" s="14"/>
      <c r="Q35" s="14"/>
      <c r="R35" s="14"/>
      <c r="S35" s="14"/>
      <c r="T35" s="14"/>
      <c r="U35" s="14"/>
      <c r="V35" s="14"/>
      <c r="W35" s="14"/>
      <c r="X35" s="14"/>
      <c r="Y35" s="14"/>
      <c r="Z35" s="14"/>
      <c r="AA35" s="14"/>
      <c r="AB35" s="14"/>
    </row>
    <row r="36" spans="1:28" ht="21">
      <c r="A36" s="5" t="s">
        <v>238</v>
      </c>
      <c r="B36" s="5" t="s">
        <v>239</v>
      </c>
      <c r="C36" s="10"/>
      <c r="D36" s="10"/>
      <c r="E36" s="10"/>
      <c r="F36" s="10"/>
      <c r="G36" s="10" t="str">
        <f>IF(AND(ISNUMBER(MATCH(C36,{"F","E","D","D+","C","C+","B","B+","A","A+","S"},0)),ISNUMBER(MATCH(D36,{"F","E","D","D+","C","C+","B","B+","A","A+","S"},0)),ISNUMBER(MATCH(E36,{"F","E","D","D+","C","C+","B","B+","A","A+","S"},0)),ISNUMBER(MATCH(F36,{"F","E","D","D+","C","C+","B","B+","A","A+","S"},0))),LOOKUP(AVERAGE(_xlfn.SWITCH(C36,"F",0,"E",10,"D",20,"D+",30,"C",40,"C+",50,"B",60,"B+",70,"A",80,"A+",90,"S",100),_xlfn.SWITCH(D36,"F",0,"E",10,"D",20,"D+",30,"C",40,"C+",50,"B",60,"B+",70,"A",80,"A+",90,"S",100),_xlfn.SWITCH(E36,"F",0,"E",10,"D",20,"D+",30,"C",40,"C+",50,"B",60,"B+",70,"A",80,"A+",90,"S",100),_xlfn.SWITCH(F36,"F",0,"E",10,"D",20,"D+",30,"C",40,"C+",50,"B",60,"B+",70,"A",80,"A+",90,"S",100)),{0,15,25,35,45,55,65,75,85,95},{"D","D","D+","C","C+","B","B+","A","A+","S"}),"?")</f>
        <v>?</v>
      </c>
      <c r="H36" s="7"/>
      <c r="I36" s="2"/>
      <c r="J36" s="2"/>
      <c r="K36" s="14"/>
      <c r="L36" s="14"/>
      <c r="M36" s="14"/>
      <c r="N36" s="14"/>
      <c r="O36" s="14"/>
      <c r="P36" s="14"/>
      <c r="Q36" s="14"/>
      <c r="R36" s="14"/>
      <c r="S36" s="14"/>
      <c r="T36" s="14"/>
      <c r="U36" s="14"/>
      <c r="V36" s="14"/>
      <c r="W36" s="14"/>
      <c r="X36" s="14"/>
      <c r="Y36" s="14"/>
      <c r="Z36" s="14"/>
      <c r="AA36" s="14"/>
      <c r="AB36" s="14"/>
    </row>
    <row r="37" spans="1:28" ht="21">
      <c r="A37" s="5" t="s">
        <v>243</v>
      </c>
      <c r="B37" s="5" t="s">
        <v>244</v>
      </c>
      <c r="C37" s="10"/>
      <c r="D37" s="10"/>
      <c r="E37" s="10"/>
      <c r="F37" s="10"/>
      <c r="G37" s="10" t="str">
        <f>IF(AND(ISNUMBER(MATCH(C37,{"F","E","D","D+","C","C+","B","B+","A","A+","S"},0)),ISNUMBER(MATCH(D37,{"F","E","D","D+","C","C+","B","B+","A","A+","S"},0)),ISNUMBER(MATCH(E37,{"F","E","D","D+","C","C+","B","B+","A","A+","S"},0)),ISNUMBER(MATCH(F37,{"F","E","D","D+","C","C+","B","B+","A","A+","S"},0))),LOOKUP(AVERAGE(_xlfn.SWITCH(C37,"F",0,"E",10,"D",20,"D+",30,"C",40,"C+",50,"B",60,"B+",70,"A",80,"A+",90,"S",100),_xlfn.SWITCH(D37,"F",0,"E",10,"D",20,"D+",30,"C",40,"C+",50,"B",60,"B+",70,"A",80,"A+",90,"S",100),_xlfn.SWITCH(E37,"F",0,"E",10,"D",20,"D+",30,"C",40,"C+",50,"B",60,"B+",70,"A",80,"A+",90,"S",100),_xlfn.SWITCH(F37,"F",0,"E",10,"D",20,"D+",30,"C",40,"C+",50,"B",60,"B+",70,"A",80,"A+",90,"S",100)),{0,15,25,35,45,55,65,75,85,95},{"D","D","D+","C","C+","B","B+","A","A+","S"}),"?")</f>
        <v>?</v>
      </c>
      <c r="H37" s="7"/>
      <c r="I37" s="2"/>
      <c r="J37" s="2"/>
      <c r="K37" s="14"/>
      <c r="L37" s="14"/>
      <c r="M37" s="14"/>
      <c r="N37" s="14"/>
      <c r="O37" s="14"/>
      <c r="P37" s="14"/>
      <c r="Q37" s="14"/>
      <c r="R37" s="14"/>
      <c r="S37" s="14"/>
      <c r="T37" s="14"/>
      <c r="U37" s="14"/>
      <c r="V37" s="14"/>
      <c r="W37" s="14"/>
      <c r="X37" s="14"/>
      <c r="Y37" s="14"/>
      <c r="Z37" s="14"/>
      <c r="AA37" s="14"/>
      <c r="AB37" s="14"/>
    </row>
    <row r="38" spans="1:28" ht="21">
      <c r="A38" s="5" t="s">
        <v>250</v>
      </c>
      <c r="B38" s="5" t="s">
        <v>80</v>
      </c>
      <c r="C38" s="10"/>
      <c r="D38" s="10"/>
      <c r="E38" s="10"/>
      <c r="F38" s="10"/>
      <c r="G38" s="10" t="str">
        <f>IF(AND(ISNUMBER(MATCH(C38,{"F","E","D","D+","C","C+","B","B+","A","A+","S"},0)),ISNUMBER(MATCH(D38,{"F","E","D","D+","C","C+","B","B+","A","A+","S"},0)),ISNUMBER(MATCH(E38,{"F","E","D","D+","C","C+","B","B+","A","A+","S"},0)),ISNUMBER(MATCH(F38,{"F","E","D","D+","C","C+","B","B+","A","A+","S"},0))),LOOKUP(AVERAGE(_xlfn.SWITCH(C38,"F",0,"E",10,"D",20,"D+",30,"C",40,"C+",50,"B",60,"B+",70,"A",80,"A+",90,"S",100),_xlfn.SWITCH(D38,"F",0,"E",10,"D",20,"D+",30,"C",40,"C+",50,"B",60,"B+",70,"A",80,"A+",90,"S",100),_xlfn.SWITCH(E38,"F",0,"E",10,"D",20,"D+",30,"C",40,"C+",50,"B",60,"B+",70,"A",80,"A+",90,"S",100),_xlfn.SWITCH(F38,"F",0,"E",10,"D",20,"D+",30,"C",40,"C+",50,"B",60,"B+",70,"A",80,"A+",90,"S",100)),{0,15,25,35,45,55,65,75,85,95},{"D","D","D+","C","C+","B","B+","A","A+","S"}),"?")</f>
        <v>?</v>
      </c>
      <c r="H38" s="7"/>
      <c r="I38" s="2"/>
      <c r="J38" s="2"/>
      <c r="K38" s="14"/>
      <c r="L38" s="14"/>
      <c r="M38" s="14"/>
      <c r="N38" s="14"/>
      <c r="O38" s="14"/>
      <c r="P38" s="14"/>
      <c r="Q38" s="14"/>
      <c r="R38" s="14"/>
      <c r="S38" s="14"/>
      <c r="T38" s="14"/>
      <c r="U38" s="14"/>
      <c r="V38" s="14"/>
      <c r="W38" s="14"/>
      <c r="X38" s="14"/>
      <c r="Y38" s="14"/>
      <c r="Z38" s="14"/>
      <c r="AA38" s="14"/>
      <c r="AB38" s="14"/>
    </row>
    <row r="39" spans="1:28" ht="21">
      <c r="A39" s="5" t="s">
        <v>256</v>
      </c>
      <c r="B39" s="5" t="s">
        <v>257</v>
      </c>
      <c r="C39" s="10"/>
      <c r="D39" s="10"/>
      <c r="E39" s="10"/>
      <c r="F39" s="10"/>
      <c r="G39" s="10" t="str">
        <f>IF(AND(ISNUMBER(MATCH(C39,{"F","E","D","D+","C","C+","B","B+","A","A+","S"},0)),ISNUMBER(MATCH(D39,{"F","E","D","D+","C","C+","B","B+","A","A+","S"},0)),ISNUMBER(MATCH(E39,{"F","E","D","D+","C","C+","B","B+","A","A+","S"},0)),ISNUMBER(MATCH(F39,{"F","E","D","D+","C","C+","B","B+","A","A+","S"},0))),LOOKUP(AVERAGE(_xlfn.SWITCH(C39,"F",0,"E",10,"D",20,"D+",30,"C",40,"C+",50,"B",60,"B+",70,"A",80,"A+",90,"S",100),_xlfn.SWITCH(D39,"F",0,"E",10,"D",20,"D+",30,"C",40,"C+",50,"B",60,"B+",70,"A",80,"A+",90,"S",100),_xlfn.SWITCH(E39,"F",0,"E",10,"D",20,"D+",30,"C",40,"C+",50,"B",60,"B+",70,"A",80,"A+",90,"S",100),_xlfn.SWITCH(F39,"F",0,"E",10,"D",20,"D+",30,"C",40,"C+",50,"B",60,"B+",70,"A",80,"A+",90,"S",100)),{0,15,25,35,45,55,65,75,85,95},{"D","D","D+","C","C+","B","B+","A","A+","S"}),"?")</f>
        <v>?</v>
      </c>
      <c r="H39" s="7"/>
      <c r="I39" s="2"/>
      <c r="J39" s="2"/>
      <c r="K39" s="14"/>
      <c r="L39" s="14"/>
      <c r="M39" s="14"/>
      <c r="N39" s="14"/>
      <c r="O39" s="14"/>
      <c r="P39" s="14"/>
      <c r="Q39" s="14"/>
      <c r="R39" s="14"/>
      <c r="S39" s="14"/>
      <c r="T39" s="14"/>
      <c r="U39" s="14"/>
      <c r="V39" s="14"/>
      <c r="W39" s="14"/>
      <c r="X39" s="14"/>
      <c r="Y39" s="14"/>
      <c r="Z39" s="14"/>
      <c r="AA39" s="14"/>
      <c r="AB39" s="14"/>
    </row>
    <row r="40" spans="1:28" ht="21">
      <c r="A40" s="5" t="s">
        <v>263</v>
      </c>
      <c r="B40" s="5" t="s">
        <v>264</v>
      </c>
      <c r="C40" s="10"/>
      <c r="D40" s="10"/>
      <c r="E40" s="10"/>
      <c r="F40" s="10"/>
      <c r="G40" s="10" t="str">
        <f>IF(AND(ISNUMBER(MATCH(C40,{"F","E","D","D+","C","C+","B","B+","A","A+","S"},0)),ISNUMBER(MATCH(D40,{"F","E","D","D+","C","C+","B","B+","A","A+","S"},0)),ISNUMBER(MATCH(E40,{"F","E","D","D+","C","C+","B","B+","A","A+","S"},0)),ISNUMBER(MATCH(F40,{"F","E","D","D+","C","C+","B","B+","A","A+","S"},0))),LOOKUP(AVERAGE(_xlfn.SWITCH(C40,"F",0,"E",10,"D",20,"D+",30,"C",40,"C+",50,"B",60,"B+",70,"A",80,"A+",90,"S",100),_xlfn.SWITCH(D40,"F",0,"E",10,"D",20,"D+",30,"C",40,"C+",50,"B",60,"B+",70,"A",80,"A+",90,"S",100),_xlfn.SWITCH(E40,"F",0,"E",10,"D",20,"D+",30,"C",40,"C+",50,"B",60,"B+",70,"A",80,"A+",90,"S",100),_xlfn.SWITCH(F40,"F",0,"E",10,"D",20,"D+",30,"C",40,"C+",50,"B",60,"B+",70,"A",80,"A+",90,"S",100)),{0,15,25,35,45,55,65,75,85,95},{"D","D","D+","C","C+","B","B+","A","A+","S"}),"?")</f>
        <v>?</v>
      </c>
      <c r="H40" s="7"/>
      <c r="I40" s="2"/>
      <c r="J40" s="2"/>
      <c r="K40" s="14"/>
      <c r="L40" s="14"/>
      <c r="M40" s="14"/>
      <c r="N40" s="14"/>
      <c r="O40" s="14"/>
      <c r="P40" s="14"/>
      <c r="Q40" s="14"/>
      <c r="R40" s="14"/>
      <c r="S40" s="14"/>
      <c r="T40" s="14"/>
      <c r="U40" s="14"/>
      <c r="V40" s="14"/>
      <c r="W40" s="14"/>
      <c r="X40" s="14"/>
      <c r="Y40" s="14"/>
      <c r="Z40" s="14"/>
      <c r="AA40" s="14"/>
      <c r="AB40" s="14"/>
    </row>
    <row r="41" spans="1:28" ht="21">
      <c r="A41" s="5" t="s">
        <v>269</v>
      </c>
      <c r="B41" s="8" t="s">
        <v>270</v>
      </c>
      <c r="C41" s="10"/>
      <c r="D41" s="10"/>
      <c r="E41" s="10"/>
      <c r="F41" s="10"/>
      <c r="G41" s="10" t="str">
        <f>IF(AND(ISNUMBER(MATCH(C41,{"F","E","D","D+","C","C+","B","B+","A","A+","S"},0)),ISNUMBER(MATCH(D41,{"F","E","D","D+","C","C+","B","B+","A","A+","S"},0)),ISNUMBER(MATCH(E41,{"F","E","D","D+","C","C+","B","B+","A","A+","S"},0)),ISNUMBER(MATCH(F41,{"F","E","D","D+","C","C+","B","B+","A","A+","S"},0))),LOOKUP(AVERAGE(_xlfn.SWITCH(C41,"F",0,"E",10,"D",20,"D+",30,"C",40,"C+",50,"B",60,"B+",70,"A",80,"A+",90,"S",100),_xlfn.SWITCH(D41,"F",0,"E",10,"D",20,"D+",30,"C",40,"C+",50,"B",60,"B+",70,"A",80,"A+",90,"S",100),_xlfn.SWITCH(E41,"F",0,"E",10,"D",20,"D+",30,"C",40,"C+",50,"B",60,"B+",70,"A",80,"A+",90,"S",100),_xlfn.SWITCH(F41,"F",0,"E",10,"D",20,"D+",30,"C",40,"C+",50,"B",60,"B+",70,"A",80,"A+",90,"S",100)),{0,15,25,35,45,55,65,75,85,95},{"D","D","D+","C","C+","B","B+","A","A+","S"}),"?")</f>
        <v>?</v>
      </c>
      <c r="H41" s="7"/>
      <c r="I41" s="2"/>
      <c r="J41" s="2"/>
      <c r="K41" s="14"/>
      <c r="L41" s="14"/>
      <c r="M41" s="14"/>
      <c r="N41" s="14"/>
      <c r="O41" s="14"/>
      <c r="P41" s="14"/>
      <c r="Q41" s="14"/>
      <c r="R41" s="14"/>
      <c r="S41" s="14"/>
      <c r="T41" s="14"/>
      <c r="U41" s="14"/>
      <c r="V41" s="14"/>
      <c r="W41" s="14"/>
      <c r="X41" s="14"/>
      <c r="Y41" s="14"/>
      <c r="Z41" s="14"/>
      <c r="AA41" s="14"/>
      <c r="AB41" s="14"/>
    </row>
    <row r="42" spans="1:28" ht="21">
      <c r="A42" s="5" t="s">
        <v>274</v>
      </c>
      <c r="B42" s="5" t="s">
        <v>275</v>
      </c>
      <c r="C42" s="10"/>
      <c r="D42" s="10"/>
      <c r="E42" s="10"/>
      <c r="F42" s="10"/>
      <c r="G42" s="10" t="str">
        <f>IF(AND(ISNUMBER(MATCH(C42,{"F","E","D","D+","C","C+","B","B+","A","A+","S"},0)),ISNUMBER(MATCH(D42,{"F","E","D","D+","C","C+","B","B+","A","A+","S"},0)),ISNUMBER(MATCH(E42,{"F","E","D","D+","C","C+","B","B+","A","A+","S"},0)),ISNUMBER(MATCH(F42,{"F","E","D","D+","C","C+","B","B+","A","A+","S"},0))),LOOKUP(AVERAGE(_xlfn.SWITCH(C42,"F",0,"E",10,"D",20,"D+",30,"C",40,"C+",50,"B",60,"B+",70,"A",80,"A+",90,"S",100),_xlfn.SWITCH(D42,"F",0,"E",10,"D",20,"D+",30,"C",40,"C+",50,"B",60,"B+",70,"A",80,"A+",90,"S",100),_xlfn.SWITCH(E42,"F",0,"E",10,"D",20,"D+",30,"C",40,"C+",50,"B",60,"B+",70,"A",80,"A+",90,"S",100),_xlfn.SWITCH(F42,"F",0,"E",10,"D",20,"D+",30,"C",40,"C+",50,"B",60,"B+",70,"A",80,"A+",90,"S",100)),{0,15,25,35,45,55,65,75,85,95},{"D","D","D+","C","C+","B","B+","A","A+","S"}),"?")</f>
        <v>?</v>
      </c>
      <c r="H42" s="7"/>
      <c r="I42" s="2"/>
      <c r="J42" s="2"/>
      <c r="K42" s="14"/>
      <c r="L42" s="14"/>
      <c r="M42" s="14"/>
      <c r="N42" s="14"/>
      <c r="O42" s="14"/>
      <c r="P42" s="14"/>
      <c r="Q42" s="14"/>
      <c r="R42" s="14"/>
      <c r="S42" s="14"/>
      <c r="T42" s="14"/>
      <c r="U42" s="14"/>
      <c r="V42" s="14"/>
      <c r="W42" s="14"/>
      <c r="X42" s="14"/>
      <c r="Y42" s="14"/>
      <c r="Z42" s="14"/>
      <c r="AA42" s="14"/>
      <c r="AB42" s="14"/>
    </row>
    <row r="43" spans="1:28" ht="21">
      <c r="A43" s="5" t="s">
        <v>279</v>
      </c>
      <c r="B43" s="5" t="s">
        <v>280</v>
      </c>
      <c r="C43" s="10"/>
      <c r="D43" s="10"/>
      <c r="E43" s="10"/>
      <c r="F43" s="10"/>
      <c r="G43" s="10" t="str">
        <f>IF(AND(ISNUMBER(MATCH(C43,{"F","E","D","D+","C","C+","B","B+","A","A+","S"},0)),ISNUMBER(MATCH(D43,{"F","E","D","D+","C","C+","B","B+","A","A+","S"},0)),ISNUMBER(MATCH(E43,{"F","E","D","D+","C","C+","B","B+","A","A+","S"},0)),ISNUMBER(MATCH(F43,{"F","E","D","D+","C","C+","B","B+","A","A+","S"},0))),LOOKUP(AVERAGE(_xlfn.SWITCH(C43,"F",0,"E",10,"D",20,"D+",30,"C",40,"C+",50,"B",60,"B+",70,"A",80,"A+",90,"S",100),_xlfn.SWITCH(D43,"F",0,"E",10,"D",20,"D+",30,"C",40,"C+",50,"B",60,"B+",70,"A",80,"A+",90,"S",100),_xlfn.SWITCH(E43,"F",0,"E",10,"D",20,"D+",30,"C",40,"C+",50,"B",60,"B+",70,"A",80,"A+",90,"S",100),_xlfn.SWITCH(F43,"F",0,"E",10,"D",20,"D+",30,"C",40,"C+",50,"B",60,"B+",70,"A",80,"A+",90,"S",100)),{0,15,25,35,45,55,65,75,85,95},{"D","D","D+","C","C+","B","B+","A","A+","S"}),"?")</f>
        <v>?</v>
      </c>
      <c r="H43" s="7"/>
      <c r="I43" s="2"/>
      <c r="J43" s="2"/>
      <c r="K43" s="14"/>
      <c r="L43" s="14"/>
      <c r="M43" s="14"/>
      <c r="N43" s="14"/>
      <c r="O43" s="14"/>
      <c r="P43" s="14"/>
      <c r="Q43" s="14"/>
      <c r="R43" s="14"/>
      <c r="S43" s="14"/>
      <c r="T43" s="14"/>
      <c r="U43" s="14"/>
      <c r="V43" s="14"/>
      <c r="W43" s="14"/>
      <c r="X43" s="14"/>
      <c r="Y43" s="14"/>
      <c r="Z43" s="14"/>
      <c r="AA43" s="14"/>
      <c r="AB43" s="14"/>
    </row>
    <row r="44" spans="1:28" ht="21">
      <c r="A44" s="5" t="s">
        <v>286</v>
      </c>
      <c r="B44" s="5" t="s">
        <v>54</v>
      </c>
      <c r="C44" s="10"/>
      <c r="D44" s="10"/>
      <c r="E44" s="10"/>
      <c r="F44" s="10"/>
      <c r="G44" s="10" t="str">
        <f>IF(AND(ISNUMBER(MATCH(C44,{"F","E","D","D+","C","C+","B","B+","A","A+","S"},0)),ISNUMBER(MATCH(D44,{"F","E","D","D+","C","C+","B","B+","A","A+","S"},0)),ISNUMBER(MATCH(E44,{"F","E","D","D+","C","C+","B","B+","A","A+","S"},0)),ISNUMBER(MATCH(F44,{"F","E","D","D+","C","C+","B","B+","A","A+","S"},0))),LOOKUP(AVERAGE(_xlfn.SWITCH(C44,"F",0,"E",10,"D",20,"D+",30,"C",40,"C+",50,"B",60,"B+",70,"A",80,"A+",90,"S",100),_xlfn.SWITCH(D44,"F",0,"E",10,"D",20,"D+",30,"C",40,"C+",50,"B",60,"B+",70,"A",80,"A+",90,"S",100),_xlfn.SWITCH(E44,"F",0,"E",10,"D",20,"D+",30,"C",40,"C+",50,"B",60,"B+",70,"A",80,"A+",90,"S",100),_xlfn.SWITCH(F44,"F",0,"E",10,"D",20,"D+",30,"C",40,"C+",50,"B",60,"B+",70,"A",80,"A+",90,"S",100)),{0,15,25,35,45,55,65,75,85,95},{"D","D","D+","C","C+","B","B+","A","A+","S"}),"?")</f>
        <v>?</v>
      </c>
      <c r="H44" s="7"/>
      <c r="I44" s="2"/>
      <c r="J44" s="2"/>
      <c r="K44" s="14"/>
      <c r="L44" s="14"/>
      <c r="M44" s="14"/>
      <c r="N44" s="14"/>
      <c r="O44" s="14"/>
      <c r="P44" s="14"/>
      <c r="Q44" s="14"/>
      <c r="R44" s="14"/>
      <c r="S44" s="14"/>
      <c r="T44" s="14"/>
      <c r="U44" s="14"/>
      <c r="V44" s="14"/>
      <c r="W44" s="14"/>
      <c r="X44" s="14"/>
      <c r="Y44" s="14"/>
      <c r="Z44" s="14"/>
      <c r="AA44" s="14"/>
      <c r="AB44" s="14"/>
    </row>
    <row r="45" spans="1:28" ht="21">
      <c r="A45" s="5" t="s">
        <v>292</v>
      </c>
      <c r="B45" s="5" t="s">
        <v>293</v>
      </c>
      <c r="C45" s="10"/>
      <c r="D45" s="10"/>
      <c r="E45" s="10"/>
      <c r="F45" s="10"/>
      <c r="G45" s="10" t="str">
        <f>IF(AND(ISNUMBER(MATCH(C45,{"F","E","D","D+","C","C+","B","B+","A","A+","S"},0)),ISNUMBER(MATCH(D45,{"F","E","D","D+","C","C+","B","B+","A","A+","S"},0)),ISNUMBER(MATCH(E45,{"F","E","D","D+","C","C+","B","B+","A","A+","S"},0)),ISNUMBER(MATCH(F45,{"F","E","D","D+","C","C+","B","B+","A","A+","S"},0))),LOOKUP(AVERAGE(_xlfn.SWITCH(C45,"F",0,"E",10,"D",20,"D+",30,"C",40,"C+",50,"B",60,"B+",70,"A",80,"A+",90,"S",100),_xlfn.SWITCH(D45,"F",0,"E",10,"D",20,"D+",30,"C",40,"C+",50,"B",60,"B+",70,"A",80,"A+",90,"S",100),_xlfn.SWITCH(E45,"F",0,"E",10,"D",20,"D+",30,"C",40,"C+",50,"B",60,"B+",70,"A",80,"A+",90,"S",100),_xlfn.SWITCH(F45,"F",0,"E",10,"D",20,"D+",30,"C",40,"C+",50,"B",60,"B+",70,"A",80,"A+",90,"S",100)),{0,15,25,35,45,55,65,75,85,95},{"D","D","D+","C","C+","B","B+","A","A+","S"}),"?")</f>
        <v>?</v>
      </c>
      <c r="H45" s="7"/>
      <c r="I45" s="2"/>
      <c r="J45" s="2"/>
      <c r="K45" s="14"/>
      <c r="L45" s="14"/>
      <c r="M45" s="14"/>
      <c r="N45" s="14"/>
      <c r="O45" s="14"/>
      <c r="P45" s="14"/>
      <c r="Q45" s="14"/>
      <c r="R45" s="14"/>
      <c r="S45" s="14"/>
      <c r="T45" s="14"/>
      <c r="U45" s="14"/>
      <c r="V45" s="14"/>
      <c r="W45" s="14"/>
      <c r="X45" s="14"/>
      <c r="Y45" s="14"/>
      <c r="Z45" s="14"/>
      <c r="AA45" s="14"/>
      <c r="AB45" s="14"/>
    </row>
    <row r="46" spans="1:28" ht="21">
      <c r="A46" s="5" t="s">
        <v>298</v>
      </c>
      <c r="B46" s="5" t="s">
        <v>299</v>
      </c>
      <c r="C46" s="10"/>
      <c r="D46" s="10"/>
      <c r="E46" s="10"/>
      <c r="F46" s="10"/>
      <c r="G46" s="10" t="str">
        <f>IF(AND(ISNUMBER(MATCH(C46,{"F","E","D","D+","C","C+","B","B+","A","A+","S"},0)),ISNUMBER(MATCH(D46,{"F","E","D","D+","C","C+","B","B+","A","A+","S"},0)),ISNUMBER(MATCH(E46,{"F","E","D","D+","C","C+","B","B+","A","A+","S"},0)),ISNUMBER(MATCH(F46,{"F","E","D","D+","C","C+","B","B+","A","A+","S"},0))),LOOKUP(AVERAGE(_xlfn.SWITCH(C46,"F",0,"E",10,"D",20,"D+",30,"C",40,"C+",50,"B",60,"B+",70,"A",80,"A+",90,"S",100),_xlfn.SWITCH(D46,"F",0,"E",10,"D",20,"D+",30,"C",40,"C+",50,"B",60,"B+",70,"A",80,"A+",90,"S",100),_xlfn.SWITCH(E46,"F",0,"E",10,"D",20,"D+",30,"C",40,"C+",50,"B",60,"B+",70,"A",80,"A+",90,"S",100),_xlfn.SWITCH(F46,"F",0,"E",10,"D",20,"D+",30,"C",40,"C+",50,"B",60,"B+",70,"A",80,"A+",90,"S",100)),{0,15,25,35,45,55,65,75,85,95},{"D","D","D+","C","C+","B","B+","A","A+","S"}),"?")</f>
        <v>?</v>
      </c>
      <c r="H46" s="7"/>
      <c r="I46" s="2"/>
      <c r="J46" s="2"/>
      <c r="K46" s="14"/>
      <c r="L46" s="14"/>
      <c r="M46" s="14"/>
      <c r="N46" s="14"/>
      <c r="O46" s="14"/>
      <c r="P46" s="14"/>
      <c r="Q46" s="14"/>
      <c r="R46" s="14"/>
      <c r="S46" s="14"/>
      <c r="T46" s="14"/>
      <c r="U46" s="14"/>
      <c r="V46" s="14"/>
      <c r="W46" s="14"/>
      <c r="X46" s="14"/>
      <c r="Y46" s="14"/>
      <c r="Z46" s="14"/>
      <c r="AA46" s="14"/>
      <c r="AB46" s="14"/>
    </row>
    <row r="47" spans="1:28" ht="21">
      <c r="A47" s="5" t="s">
        <v>302</v>
      </c>
      <c r="B47" s="5" t="s">
        <v>303</v>
      </c>
      <c r="C47" s="10"/>
      <c r="D47" s="10"/>
      <c r="E47" s="10"/>
      <c r="F47" s="10"/>
      <c r="G47" s="10" t="str">
        <f>IF(AND(ISNUMBER(MATCH(C47,{"F","E","D","D+","C","C+","B","B+","A","A+","S"},0)),ISNUMBER(MATCH(D47,{"F","E","D","D+","C","C+","B","B+","A","A+","S"},0)),ISNUMBER(MATCH(E47,{"F","E","D","D+","C","C+","B","B+","A","A+","S"},0)),ISNUMBER(MATCH(F47,{"F","E","D","D+","C","C+","B","B+","A","A+","S"},0))),LOOKUP(AVERAGE(_xlfn.SWITCH(C47,"F",0,"E",10,"D",20,"D+",30,"C",40,"C+",50,"B",60,"B+",70,"A",80,"A+",90,"S",100),_xlfn.SWITCH(D47,"F",0,"E",10,"D",20,"D+",30,"C",40,"C+",50,"B",60,"B+",70,"A",80,"A+",90,"S",100),_xlfn.SWITCH(E47,"F",0,"E",10,"D",20,"D+",30,"C",40,"C+",50,"B",60,"B+",70,"A",80,"A+",90,"S",100),_xlfn.SWITCH(F47,"F",0,"E",10,"D",20,"D+",30,"C",40,"C+",50,"B",60,"B+",70,"A",80,"A+",90,"S",100)),{0,15,25,35,45,55,65,75,85,95},{"D","D","D+","C","C+","B","B+","A","A+","S"}),"?")</f>
        <v>?</v>
      </c>
      <c r="H47" s="7"/>
      <c r="I47" s="2"/>
      <c r="J47" s="2"/>
      <c r="K47" s="14"/>
      <c r="L47" s="14"/>
      <c r="M47" s="14"/>
      <c r="N47" s="14"/>
      <c r="O47" s="14"/>
      <c r="P47" s="14"/>
      <c r="Q47" s="14"/>
      <c r="R47" s="14"/>
      <c r="S47" s="14"/>
      <c r="T47" s="14"/>
      <c r="U47" s="14"/>
      <c r="V47" s="14"/>
      <c r="W47" s="14"/>
      <c r="X47" s="14"/>
      <c r="Y47" s="14"/>
      <c r="Z47" s="14"/>
      <c r="AA47" s="14"/>
      <c r="AB47" s="14"/>
    </row>
    <row r="48" spans="1:28" ht="21">
      <c r="A48" s="5" t="s">
        <v>309</v>
      </c>
      <c r="B48" s="5" t="s">
        <v>310</v>
      </c>
      <c r="C48" s="10"/>
      <c r="D48" s="10"/>
      <c r="E48" s="10"/>
      <c r="F48" s="10"/>
      <c r="G48" s="10" t="str">
        <f>IF(AND(ISNUMBER(MATCH(C48,{"F","E","D","D+","C","C+","B","B+","A","A+","S"},0)),ISNUMBER(MATCH(D48,{"F","E","D","D+","C","C+","B","B+","A","A+","S"},0)),ISNUMBER(MATCH(E48,{"F","E","D","D+","C","C+","B","B+","A","A+","S"},0)),ISNUMBER(MATCH(F48,{"F","E","D","D+","C","C+","B","B+","A","A+","S"},0))),LOOKUP(AVERAGE(_xlfn.SWITCH(C48,"F",0,"E",10,"D",20,"D+",30,"C",40,"C+",50,"B",60,"B+",70,"A",80,"A+",90,"S",100),_xlfn.SWITCH(D48,"F",0,"E",10,"D",20,"D+",30,"C",40,"C+",50,"B",60,"B+",70,"A",80,"A+",90,"S",100),_xlfn.SWITCH(E48,"F",0,"E",10,"D",20,"D+",30,"C",40,"C+",50,"B",60,"B+",70,"A",80,"A+",90,"S",100),_xlfn.SWITCH(F48,"F",0,"E",10,"D",20,"D+",30,"C",40,"C+",50,"B",60,"B+",70,"A",80,"A+",90,"S",100)),{0,15,25,35,45,55,65,75,85,95},{"D","D","D+","C","C+","B","B+","A","A+","S"}),"?")</f>
        <v>?</v>
      </c>
      <c r="H48" s="7"/>
      <c r="I48" s="2"/>
      <c r="J48" s="2"/>
      <c r="K48" s="14"/>
      <c r="L48" s="14"/>
      <c r="M48" s="14"/>
      <c r="N48" s="14"/>
      <c r="O48" s="14"/>
      <c r="P48" s="14"/>
      <c r="Q48" s="14"/>
      <c r="R48" s="14"/>
      <c r="S48" s="14"/>
      <c r="T48" s="14"/>
      <c r="U48" s="14"/>
      <c r="V48" s="14"/>
      <c r="W48" s="14"/>
      <c r="X48" s="14"/>
      <c r="Y48" s="14"/>
      <c r="Z48" s="14"/>
      <c r="AA48" s="14"/>
      <c r="AB48" s="14"/>
    </row>
    <row r="49" spans="1:28" ht="21">
      <c r="A49" s="5" t="s">
        <v>315</v>
      </c>
      <c r="B49" s="5" t="s">
        <v>316</v>
      </c>
      <c r="C49" s="10"/>
      <c r="D49" s="10"/>
      <c r="E49" s="10"/>
      <c r="F49" s="10"/>
      <c r="G49" s="10" t="str">
        <f>IF(AND(ISNUMBER(MATCH(C49,{"F","E","D","D+","C","C+","B","B+","A","A+","S"},0)),ISNUMBER(MATCH(D49,{"F","E","D","D+","C","C+","B","B+","A","A+","S"},0)),ISNUMBER(MATCH(E49,{"F","E","D","D+","C","C+","B","B+","A","A+","S"},0)),ISNUMBER(MATCH(F49,{"F","E","D","D+","C","C+","B","B+","A","A+","S"},0))),LOOKUP(AVERAGE(_xlfn.SWITCH(C49,"F",0,"E",10,"D",20,"D+",30,"C",40,"C+",50,"B",60,"B+",70,"A",80,"A+",90,"S",100),_xlfn.SWITCH(D49,"F",0,"E",10,"D",20,"D+",30,"C",40,"C+",50,"B",60,"B+",70,"A",80,"A+",90,"S",100),_xlfn.SWITCH(E49,"F",0,"E",10,"D",20,"D+",30,"C",40,"C+",50,"B",60,"B+",70,"A",80,"A+",90,"S",100),_xlfn.SWITCH(F49,"F",0,"E",10,"D",20,"D+",30,"C",40,"C+",50,"B",60,"B+",70,"A",80,"A+",90,"S",100)),{0,15,25,35,45,55,65,75,85,95},{"D","D","D+","C","C+","B","B+","A","A+","S"}),"?")</f>
        <v>?</v>
      </c>
      <c r="H49" s="7"/>
      <c r="I49" s="2"/>
      <c r="J49" s="2"/>
      <c r="K49" s="14"/>
      <c r="L49" s="14"/>
      <c r="M49" s="14"/>
      <c r="N49" s="14"/>
      <c r="O49" s="14"/>
      <c r="P49" s="14"/>
      <c r="Q49" s="14"/>
      <c r="R49" s="14"/>
      <c r="S49" s="14"/>
      <c r="T49" s="14"/>
      <c r="U49" s="14"/>
      <c r="V49" s="14"/>
      <c r="W49" s="14"/>
      <c r="X49" s="14"/>
      <c r="Y49" s="14"/>
      <c r="Z49" s="14"/>
      <c r="AA49" s="14"/>
      <c r="AB49" s="14"/>
    </row>
    <row r="50" spans="1:28" ht="21">
      <c r="A50" s="5" t="s">
        <v>322</v>
      </c>
      <c r="B50" s="5" t="s">
        <v>162</v>
      </c>
      <c r="C50" s="10"/>
      <c r="D50" s="10"/>
      <c r="E50" s="10"/>
      <c r="F50" s="10"/>
      <c r="G50" s="10" t="str">
        <f>IF(AND(ISNUMBER(MATCH(C50,{"F","E","D","D+","C","C+","B","B+","A","A+","S"},0)),ISNUMBER(MATCH(D50,{"F","E","D","D+","C","C+","B","B+","A","A+","S"},0)),ISNUMBER(MATCH(E50,{"F","E","D","D+","C","C+","B","B+","A","A+","S"},0)),ISNUMBER(MATCH(F50,{"F","E","D","D+","C","C+","B","B+","A","A+","S"},0))),LOOKUP(AVERAGE(_xlfn.SWITCH(C50,"F",0,"E",10,"D",20,"D+",30,"C",40,"C+",50,"B",60,"B+",70,"A",80,"A+",90,"S",100),_xlfn.SWITCH(D50,"F",0,"E",10,"D",20,"D+",30,"C",40,"C+",50,"B",60,"B+",70,"A",80,"A+",90,"S",100),_xlfn.SWITCH(E50,"F",0,"E",10,"D",20,"D+",30,"C",40,"C+",50,"B",60,"B+",70,"A",80,"A+",90,"S",100),_xlfn.SWITCH(F50,"F",0,"E",10,"D",20,"D+",30,"C",40,"C+",50,"B",60,"B+",70,"A",80,"A+",90,"S",100)),{0,15,25,35,45,55,65,75,85,95},{"D","D","D+","C","C+","B","B+","A","A+","S"}),"?")</f>
        <v>?</v>
      </c>
      <c r="H50" s="7"/>
      <c r="I50" s="2"/>
      <c r="J50" s="2"/>
      <c r="K50" s="14"/>
      <c r="L50" s="14"/>
      <c r="M50" s="14"/>
      <c r="N50" s="14"/>
      <c r="O50" s="14"/>
      <c r="P50" s="14"/>
      <c r="Q50" s="14"/>
      <c r="R50" s="14"/>
      <c r="S50" s="14"/>
      <c r="T50" s="14"/>
      <c r="U50" s="14"/>
      <c r="V50" s="14"/>
      <c r="W50" s="14"/>
      <c r="X50" s="14"/>
      <c r="Y50" s="14"/>
      <c r="Z50" s="14"/>
      <c r="AA50" s="14"/>
      <c r="AB50" s="14"/>
    </row>
    <row r="51" spans="1:28" ht="21">
      <c r="A51" s="5" t="s">
        <v>326</v>
      </c>
      <c r="B51" s="5" t="s">
        <v>94</v>
      </c>
      <c r="C51" s="10"/>
      <c r="D51" s="10"/>
      <c r="E51" s="10"/>
      <c r="F51" s="10"/>
      <c r="G51" s="10" t="str">
        <f>IF(AND(ISNUMBER(MATCH(C51,{"F","E","D","D+","C","C+","B","B+","A","A+","S"},0)),ISNUMBER(MATCH(D51,{"F","E","D","D+","C","C+","B","B+","A","A+","S"},0)),ISNUMBER(MATCH(E51,{"F","E","D","D+","C","C+","B","B+","A","A+","S"},0)),ISNUMBER(MATCH(F51,{"F","E","D","D+","C","C+","B","B+","A","A+","S"},0))),LOOKUP(AVERAGE(_xlfn.SWITCH(C51,"F",0,"E",10,"D",20,"D+",30,"C",40,"C+",50,"B",60,"B+",70,"A",80,"A+",90,"S",100),_xlfn.SWITCH(D51,"F",0,"E",10,"D",20,"D+",30,"C",40,"C+",50,"B",60,"B+",70,"A",80,"A+",90,"S",100),_xlfn.SWITCH(E51,"F",0,"E",10,"D",20,"D+",30,"C",40,"C+",50,"B",60,"B+",70,"A",80,"A+",90,"S",100),_xlfn.SWITCH(F51,"F",0,"E",10,"D",20,"D+",30,"C",40,"C+",50,"B",60,"B+",70,"A",80,"A+",90,"S",100)),{0,15,25,35,45,55,65,75,85,95},{"D","D","D+","C","C+","B","B+","A","A+","S"}),"?")</f>
        <v>?</v>
      </c>
      <c r="H51" s="7"/>
      <c r="I51" s="2"/>
      <c r="J51" s="2"/>
      <c r="K51" s="14"/>
      <c r="L51" s="14"/>
      <c r="M51" s="14"/>
      <c r="N51" s="14"/>
      <c r="O51" s="14"/>
      <c r="P51" s="14"/>
      <c r="Q51" s="14"/>
      <c r="R51" s="14"/>
      <c r="S51" s="14"/>
      <c r="T51" s="14"/>
      <c r="U51" s="14"/>
      <c r="V51" s="14"/>
      <c r="W51" s="14"/>
      <c r="X51" s="14"/>
      <c r="Y51" s="14"/>
      <c r="Z51" s="14"/>
      <c r="AA51" s="14"/>
      <c r="AB51" s="14"/>
    </row>
    <row r="52" spans="1:28" ht="21">
      <c r="A52" s="5" t="s">
        <v>331</v>
      </c>
      <c r="B52" s="5" t="s">
        <v>332</v>
      </c>
      <c r="C52" s="10"/>
      <c r="D52" s="10"/>
      <c r="E52" s="10"/>
      <c r="F52" s="10"/>
      <c r="G52" s="10" t="str">
        <f>IF(AND(ISNUMBER(MATCH(C52,{"F","E","D","D+","C","C+","B","B+","A","A+","S"},0)),ISNUMBER(MATCH(D52,{"F","E","D","D+","C","C+","B","B+","A","A+","S"},0)),ISNUMBER(MATCH(E52,{"F","E","D","D+","C","C+","B","B+","A","A+","S"},0)),ISNUMBER(MATCH(F52,{"F","E","D","D+","C","C+","B","B+","A","A+","S"},0))),LOOKUP(AVERAGE(_xlfn.SWITCH(C52,"F",0,"E",10,"D",20,"D+",30,"C",40,"C+",50,"B",60,"B+",70,"A",80,"A+",90,"S",100),_xlfn.SWITCH(D52,"F",0,"E",10,"D",20,"D+",30,"C",40,"C+",50,"B",60,"B+",70,"A",80,"A+",90,"S",100),_xlfn.SWITCH(E52,"F",0,"E",10,"D",20,"D+",30,"C",40,"C+",50,"B",60,"B+",70,"A",80,"A+",90,"S",100),_xlfn.SWITCH(F52,"F",0,"E",10,"D",20,"D+",30,"C",40,"C+",50,"B",60,"B+",70,"A",80,"A+",90,"S",100)),{0,15,25,35,45,55,65,75,85,95},{"D","D","D+","C","C+","B","B+","A","A+","S"}),"?")</f>
        <v>?</v>
      </c>
      <c r="H52" s="7"/>
      <c r="I52" s="2"/>
      <c r="J52" s="2"/>
      <c r="K52" s="14"/>
      <c r="L52" s="14"/>
      <c r="M52" s="14"/>
      <c r="N52" s="14"/>
      <c r="O52" s="14"/>
      <c r="P52" s="14"/>
      <c r="Q52" s="14"/>
      <c r="R52" s="14"/>
      <c r="S52" s="14"/>
      <c r="T52" s="14"/>
      <c r="U52" s="14"/>
      <c r="V52" s="14"/>
      <c r="W52" s="14"/>
      <c r="X52" s="14"/>
      <c r="Y52" s="14"/>
      <c r="Z52" s="14"/>
      <c r="AA52" s="14"/>
      <c r="AB52" s="14"/>
    </row>
    <row r="53" spans="1:28" ht="21">
      <c r="A53" s="5" t="s">
        <v>334</v>
      </c>
      <c r="B53" s="5" t="s">
        <v>335</v>
      </c>
      <c r="C53" s="10"/>
      <c r="D53" s="10"/>
      <c r="E53" s="10"/>
      <c r="F53" s="10"/>
      <c r="G53" s="10" t="str">
        <f>IF(AND(ISNUMBER(MATCH(C53,{"F","E","D","D+","C","C+","B","B+","A","A+","S"},0)),ISNUMBER(MATCH(D53,{"F","E","D","D+","C","C+","B","B+","A","A+","S"},0)),ISNUMBER(MATCH(E53,{"F","E","D","D+","C","C+","B","B+","A","A+","S"},0)),ISNUMBER(MATCH(F53,{"F","E","D","D+","C","C+","B","B+","A","A+","S"},0))),LOOKUP(AVERAGE(_xlfn.SWITCH(C53,"F",0,"E",10,"D",20,"D+",30,"C",40,"C+",50,"B",60,"B+",70,"A",80,"A+",90,"S",100),_xlfn.SWITCH(D53,"F",0,"E",10,"D",20,"D+",30,"C",40,"C+",50,"B",60,"B+",70,"A",80,"A+",90,"S",100),_xlfn.SWITCH(E53,"F",0,"E",10,"D",20,"D+",30,"C",40,"C+",50,"B",60,"B+",70,"A",80,"A+",90,"S",100),_xlfn.SWITCH(F53,"F",0,"E",10,"D",20,"D+",30,"C",40,"C+",50,"B",60,"B+",70,"A",80,"A+",90,"S",100)),{0,15,25,35,45,55,65,75,85,95},{"D","D","D+","C","C+","B","B+","A","A+","S"}),"?")</f>
        <v>?</v>
      </c>
      <c r="H53" s="7"/>
      <c r="I53" s="2"/>
      <c r="J53" s="2"/>
      <c r="K53" s="14"/>
      <c r="L53" s="14"/>
      <c r="M53" s="14"/>
      <c r="N53" s="14"/>
      <c r="O53" s="14"/>
      <c r="P53" s="14"/>
      <c r="Q53" s="14"/>
      <c r="R53" s="14"/>
      <c r="S53" s="14"/>
      <c r="T53" s="14"/>
      <c r="U53" s="14"/>
      <c r="V53" s="14"/>
      <c r="W53" s="14"/>
      <c r="X53" s="14"/>
      <c r="Y53" s="14"/>
      <c r="Z53" s="14"/>
      <c r="AA53" s="14"/>
      <c r="AB53" s="14"/>
    </row>
    <row r="54" spans="1:28" ht="21">
      <c r="A54" s="5" t="s">
        <v>339</v>
      </c>
      <c r="B54" s="5" t="s">
        <v>340</v>
      </c>
      <c r="C54" s="10"/>
      <c r="D54" s="10"/>
      <c r="E54" s="10"/>
      <c r="F54" s="10"/>
      <c r="G54" s="10" t="str">
        <f>IF(AND(ISNUMBER(MATCH(C54,{"F","E","D","D+","C","C+","B","B+","A","A+","S"},0)),ISNUMBER(MATCH(D54,{"F","E","D","D+","C","C+","B","B+","A","A+","S"},0)),ISNUMBER(MATCH(E54,{"F","E","D","D+","C","C+","B","B+","A","A+","S"},0)),ISNUMBER(MATCH(F54,{"F","E","D","D+","C","C+","B","B+","A","A+","S"},0))),LOOKUP(AVERAGE(_xlfn.SWITCH(C54,"F",0,"E",10,"D",20,"D+",30,"C",40,"C+",50,"B",60,"B+",70,"A",80,"A+",90,"S",100),_xlfn.SWITCH(D54,"F",0,"E",10,"D",20,"D+",30,"C",40,"C+",50,"B",60,"B+",70,"A",80,"A+",90,"S",100),_xlfn.SWITCH(E54,"F",0,"E",10,"D",20,"D+",30,"C",40,"C+",50,"B",60,"B+",70,"A",80,"A+",90,"S",100),_xlfn.SWITCH(F54,"F",0,"E",10,"D",20,"D+",30,"C",40,"C+",50,"B",60,"B+",70,"A",80,"A+",90,"S",100)),{0,15,25,35,45,55,65,75,85,95},{"D","D","D+","C","C+","B","B+","A","A+","S"}),"?")</f>
        <v>?</v>
      </c>
      <c r="H54" s="7"/>
      <c r="I54" s="2"/>
      <c r="J54" s="2"/>
      <c r="K54" s="14"/>
      <c r="L54" s="14"/>
      <c r="M54" s="14"/>
      <c r="N54" s="14"/>
      <c r="O54" s="14"/>
      <c r="P54" s="14"/>
      <c r="Q54" s="14"/>
      <c r="R54" s="14"/>
      <c r="S54" s="14"/>
      <c r="T54" s="14"/>
      <c r="U54" s="14"/>
      <c r="V54" s="14"/>
      <c r="W54" s="14"/>
      <c r="X54" s="14"/>
      <c r="Y54" s="14"/>
      <c r="Z54" s="14"/>
      <c r="AA54" s="14"/>
      <c r="AB54" s="14"/>
    </row>
    <row r="55" spans="1:28" ht="21">
      <c r="A55" s="5" t="s">
        <v>346</v>
      </c>
      <c r="B55" s="5" t="s">
        <v>347</v>
      </c>
      <c r="C55" s="10"/>
      <c r="D55" s="10"/>
      <c r="E55" s="10"/>
      <c r="F55" s="10"/>
      <c r="G55" s="10" t="str">
        <f>IF(AND(ISNUMBER(MATCH(C55,{"F","E","D","D+","C","C+","B","B+","A","A+","S"},0)),ISNUMBER(MATCH(D55,{"F","E","D","D+","C","C+","B","B+","A","A+","S"},0)),ISNUMBER(MATCH(E55,{"F","E","D","D+","C","C+","B","B+","A","A+","S"},0)),ISNUMBER(MATCH(F55,{"F","E","D","D+","C","C+","B","B+","A","A+","S"},0))),LOOKUP(AVERAGE(_xlfn.SWITCH(C55,"F",0,"E",10,"D",20,"D+",30,"C",40,"C+",50,"B",60,"B+",70,"A",80,"A+",90,"S",100),_xlfn.SWITCH(D55,"F",0,"E",10,"D",20,"D+",30,"C",40,"C+",50,"B",60,"B+",70,"A",80,"A+",90,"S",100),_xlfn.SWITCH(E55,"F",0,"E",10,"D",20,"D+",30,"C",40,"C+",50,"B",60,"B+",70,"A",80,"A+",90,"S",100),_xlfn.SWITCH(F55,"F",0,"E",10,"D",20,"D+",30,"C",40,"C+",50,"B",60,"B+",70,"A",80,"A+",90,"S",100)),{0,15,25,35,45,55,65,75,85,95},{"D","D","D+","C","C+","B","B+","A","A+","S"}),"?")</f>
        <v>?</v>
      </c>
      <c r="H55" s="7"/>
      <c r="I55" s="2"/>
      <c r="J55" s="2"/>
      <c r="K55" s="14"/>
      <c r="L55" s="14"/>
      <c r="M55" s="14"/>
      <c r="N55" s="14"/>
      <c r="O55" s="14"/>
      <c r="P55" s="14"/>
      <c r="Q55" s="14"/>
      <c r="R55" s="14"/>
      <c r="S55" s="14"/>
      <c r="T55" s="14"/>
      <c r="U55" s="14"/>
      <c r="V55" s="14"/>
      <c r="W55" s="14"/>
      <c r="X55" s="14"/>
      <c r="Y55" s="14"/>
      <c r="Z55" s="14"/>
      <c r="AA55" s="14"/>
      <c r="AB55" s="14"/>
    </row>
    <row r="56" spans="1:28" ht="21">
      <c r="A56" s="5" t="s">
        <v>353</v>
      </c>
      <c r="B56" s="5" t="s">
        <v>354</v>
      </c>
      <c r="C56" s="10"/>
      <c r="D56" s="10"/>
      <c r="E56" s="10"/>
      <c r="F56" s="10"/>
      <c r="G56" s="10" t="str">
        <f>IF(AND(ISNUMBER(MATCH(C56,{"F","E","D","D+","C","C+","B","B+","A","A+","S"},0)),ISNUMBER(MATCH(D56,{"F","E","D","D+","C","C+","B","B+","A","A+","S"},0)),ISNUMBER(MATCH(E56,{"F","E","D","D+","C","C+","B","B+","A","A+","S"},0)),ISNUMBER(MATCH(F56,{"F","E","D","D+","C","C+","B","B+","A","A+","S"},0))),LOOKUP(AVERAGE(_xlfn.SWITCH(C56,"F",0,"E",10,"D",20,"D+",30,"C",40,"C+",50,"B",60,"B+",70,"A",80,"A+",90,"S",100),_xlfn.SWITCH(D56,"F",0,"E",10,"D",20,"D+",30,"C",40,"C+",50,"B",60,"B+",70,"A",80,"A+",90,"S",100),_xlfn.SWITCH(E56,"F",0,"E",10,"D",20,"D+",30,"C",40,"C+",50,"B",60,"B+",70,"A",80,"A+",90,"S",100),_xlfn.SWITCH(F56,"F",0,"E",10,"D",20,"D+",30,"C",40,"C+",50,"B",60,"B+",70,"A",80,"A+",90,"S",100)),{0,15,25,35,45,55,65,75,85,95},{"D","D","D+","C","C+","B","B+","A","A+","S"}),"?")</f>
        <v>?</v>
      </c>
      <c r="H56" s="7"/>
      <c r="I56" s="2"/>
      <c r="J56" s="2"/>
      <c r="K56" s="14"/>
      <c r="L56" s="14"/>
      <c r="M56" s="14"/>
      <c r="N56" s="14"/>
      <c r="O56" s="14"/>
      <c r="P56" s="14"/>
      <c r="Q56" s="14"/>
      <c r="R56" s="14"/>
      <c r="S56" s="14"/>
      <c r="T56" s="14"/>
      <c r="U56" s="14"/>
      <c r="V56" s="14"/>
      <c r="W56" s="14"/>
      <c r="X56" s="14"/>
      <c r="Y56" s="14"/>
      <c r="Z56" s="14"/>
      <c r="AA56" s="14"/>
      <c r="AB56" s="14"/>
    </row>
    <row r="57" spans="1:28" ht="21">
      <c r="A57" s="5" t="s">
        <v>358</v>
      </c>
      <c r="B57" s="5" t="s">
        <v>359</v>
      </c>
      <c r="C57" s="10"/>
      <c r="D57" s="10"/>
      <c r="E57" s="10"/>
      <c r="F57" s="10"/>
      <c r="G57" s="10" t="str">
        <f>IF(AND(ISNUMBER(MATCH(C57,{"F","E","D","D+","C","C+","B","B+","A","A+","S"},0)),ISNUMBER(MATCH(D57,{"F","E","D","D+","C","C+","B","B+","A","A+","S"},0)),ISNUMBER(MATCH(E57,{"F","E","D","D+","C","C+","B","B+","A","A+","S"},0)),ISNUMBER(MATCH(F57,{"F","E","D","D+","C","C+","B","B+","A","A+","S"},0))),LOOKUP(AVERAGE(_xlfn.SWITCH(C57,"F",0,"E",10,"D",20,"D+",30,"C",40,"C+",50,"B",60,"B+",70,"A",80,"A+",90,"S",100),_xlfn.SWITCH(D57,"F",0,"E",10,"D",20,"D+",30,"C",40,"C+",50,"B",60,"B+",70,"A",80,"A+",90,"S",100),_xlfn.SWITCH(E57,"F",0,"E",10,"D",20,"D+",30,"C",40,"C+",50,"B",60,"B+",70,"A",80,"A+",90,"S",100),_xlfn.SWITCH(F57,"F",0,"E",10,"D",20,"D+",30,"C",40,"C+",50,"B",60,"B+",70,"A",80,"A+",90,"S",100)),{0,15,25,35,45,55,65,75,85,95},{"D","D","D+","C","C+","B","B+","A","A+","S"}),"?")</f>
        <v>?</v>
      </c>
      <c r="H57" s="7"/>
      <c r="I57" s="2"/>
      <c r="J57" s="2"/>
      <c r="K57" s="14"/>
      <c r="L57" s="14"/>
      <c r="M57" s="14"/>
      <c r="N57" s="14"/>
      <c r="O57" s="14"/>
      <c r="P57" s="14"/>
      <c r="Q57" s="14"/>
      <c r="R57" s="14"/>
      <c r="S57" s="14"/>
      <c r="T57" s="14"/>
      <c r="U57" s="14"/>
      <c r="V57" s="14"/>
      <c r="W57" s="14"/>
      <c r="X57" s="14"/>
      <c r="Y57" s="14"/>
      <c r="Z57" s="14"/>
      <c r="AA57" s="14"/>
      <c r="AB57" s="14"/>
    </row>
    <row r="58" spans="1:28" ht="21">
      <c r="A58" s="5" t="s">
        <v>365</v>
      </c>
      <c r="B58" s="5" t="s">
        <v>366</v>
      </c>
      <c r="C58" s="10"/>
      <c r="D58" s="10"/>
      <c r="E58" s="10"/>
      <c r="F58" s="10"/>
      <c r="G58" s="10" t="str">
        <f>IF(AND(ISNUMBER(MATCH(C58,{"F","E","D","D+","C","C+","B","B+","A","A+","S"},0)),ISNUMBER(MATCH(D58,{"F","E","D","D+","C","C+","B","B+","A","A+","S"},0)),ISNUMBER(MATCH(E58,{"F","E","D","D+","C","C+","B","B+","A","A+","S"},0)),ISNUMBER(MATCH(F58,{"F","E","D","D+","C","C+","B","B+","A","A+","S"},0))),LOOKUP(AVERAGE(_xlfn.SWITCH(C58,"F",0,"E",10,"D",20,"D+",30,"C",40,"C+",50,"B",60,"B+",70,"A",80,"A+",90,"S",100),_xlfn.SWITCH(D58,"F",0,"E",10,"D",20,"D+",30,"C",40,"C+",50,"B",60,"B+",70,"A",80,"A+",90,"S",100),_xlfn.SWITCH(E58,"F",0,"E",10,"D",20,"D+",30,"C",40,"C+",50,"B",60,"B+",70,"A",80,"A+",90,"S",100),_xlfn.SWITCH(F58,"F",0,"E",10,"D",20,"D+",30,"C",40,"C+",50,"B",60,"B+",70,"A",80,"A+",90,"S",100)),{0,15,25,35,45,55,65,75,85,95},{"D","D","D+","C","C+","B","B+","A","A+","S"}),"?")</f>
        <v>?</v>
      </c>
      <c r="H58" s="7"/>
      <c r="I58" s="2"/>
      <c r="J58" s="2"/>
      <c r="K58" s="14"/>
      <c r="L58" s="14"/>
      <c r="M58" s="14"/>
      <c r="N58" s="14"/>
      <c r="O58" s="14"/>
      <c r="P58" s="14"/>
      <c r="Q58" s="14"/>
      <c r="R58" s="14"/>
      <c r="S58" s="14"/>
      <c r="T58" s="14"/>
      <c r="U58" s="14"/>
      <c r="V58" s="14"/>
      <c r="W58" s="14"/>
      <c r="X58" s="14"/>
      <c r="Y58" s="14"/>
      <c r="Z58" s="14"/>
      <c r="AA58" s="14"/>
      <c r="AB58" s="14"/>
    </row>
    <row r="59" spans="1:28" ht="21">
      <c r="A59" s="5" t="s">
        <v>371</v>
      </c>
      <c r="B59" s="5" t="s">
        <v>372</v>
      </c>
      <c r="C59" s="10"/>
      <c r="D59" s="10"/>
      <c r="E59" s="10"/>
      <c r="F59" s="10"/>
      <c r="G59" s="10" t="str">
        <f>IF(AND(ISNUMBER(MATCH(C59,{"F","E","D","D+","C","C+","B","B+","A","A+","S"},0)),ISNUMBER(MATCH(D59,{"F","E","D","D+","C","C+","B","B+","A","A+","S"},0)),ISNUMBER(MATCH(E59,{"F","E","D","D+","C","C+","B","B+","A","A+","S"},0)),ISNUMBER(MATCH(F59,{"F","E","D","D+","C","C+","B","B+","A","A+","S"},0))),LOOKUP(AVERAGE(_xlfn.SWITCH(C59,"F",0,"E",10,"D",20,"D+",30,"C",40,"C+",50,"B",60,"B+",70,"A",80,"A+",90,"S",100),_xlfn.SWITCH(D59,"F",0,"E",10,"D",20,"D+",30,"C",40,"C+",50,"B",60,"B+",70,"A",80,"A+",90,"S",100),_xlfn.SWITCH(E59,"F",0,"E",10,"D",20,"D+",30,"C",40,"C+",50,"B",60,"B+",70,"A",80,"A+",90,"S",100),_xlfn.SWITCH(F59,"F",0,"E",10,"D",20,"D+",30,"C",40,"C+",50,"B",60,"B+",70,"A",80,"A+",90,"S",100)),{0,15,25,35,45,55,65,75,85,95},{"D","D","D+","C","C+","B","B+","A","A+","S"}),"?")</f>
        <v>?</v>
      </c>
      <c r="H59" s="7"/>
      <c r="I59" s="2"/>
      <c r="J59" s="2"/>
      <c r="K59" s="14"/>
      <c r="L59" s="14"/>
      <c r="M59" s="14"/>
      <c r="N59" s="14"/>
      <c r="O59" s="14"/>
      <c r="P59" s="14"/>
      <c r="Q59" s="14"/>
      <c r="R59" s="14"/>
      <c r="S59" s="14"/>
      <c r="T59" s="14"/>
      <c r="U59" s="14"/>
      <c r="V59" s="14"/>
      <c r="W59" s="14"/>
      <c r="X59" s="14"/>
      <c r="Y59" s="14"/>
      <c r="Z59" s="14"/>
      <c r="AA59" s="14"/>
      <c r="AB59" s="14"/>
    </row>
    <row r="60" spans="1:28" ht="21">
      <c r="A60" s="5" t="s">
        <v>376</v>
      </c>
      <c r="B60" s="5" t="s">
        <v>278</v>
      </c>
      <c r="C60" s="10"/>
      <c r="D60" s="10"/>
      <c r="E60" s="10"/>
      <c r="F60" s="10"/>
      <c r="G60" s="10" t="str">
        <f>IF(AND(ISNUMBER(MATCH(C60,{"F","E","D","D+","C","C+","B","B+","A","A+","S"},0)),ISNUMBER(MATCH(D60,{"F","E","D","D+","C","C+","B","B+","A","A+","S"},0)),ISNUMBER(MATCH(E60,{"F","E","D","D+","C","C+","B","B+","A","A+","S"},0)),ISNUMBER(MATCH(F60,{"F","E","D","D+","C","C+","B","B+","A","A+","S"},0))),LOOKUP(AVERAGE(_xlfn.SWITCH(C60,"F",0,"E",10,"D",20,"D+",30,"C",40,"C+",50,"B",60,"B+",70,"A",80,"A+",90,"S",100),_xlfn.SWITCH(D60,"F",0,"E",10,"D",20,"D+",30,"C",40,"C+",50,"B",60,"B+",70,"A",80,"A+",90,"S",100),_xlfn.SWITCH(E60,"F",0,"E",10,"D",20,"D+",30,"C",40,"C+",50,"B",60,"B+",70,"A",80,"A+",90,"S",100),_xlfn.SWITCH(F60,"F",0,"E",10,"D",20,"D+",30,"C",40,"C+",50,"B",60,"B+",70,"A",80,"A+",90,"S",100)),{0,15,25,35,45,55,65,75,85,95},{"D","D","D+","C","C+","B","B+","A","A+","S"}),"?")</f>
        <v>?</v>
      </c>
      <c r="H60" s="7"/>
      <c r="I60" s="2"/>
      <c r="J60" s="2"/>
      <c r="K60" s="14"/>
      <c r="L60" s="14"/>
      <c r="M60" s="14"/>
      <c r="N60" s="14"/>
      <c r="O60" s="14"/>
      <c r="P60" s="14"/>
      <c r="Q60" s="14"/>
      <c r="R60" s="14"/>
      <c r="S60" s="14"/>
      <c r="T60" s="14"/>
      <c r="U60" s="14"/>
      <c r="V60" s="14"/>
      <c r="W60" s="14"/>
      <c r="X60" s="14"/>
      <c r="Y60" s="14"/>
      <c r="Z60" s="14"/>
      <c r="AA60" s="14"/>
      <c r="AB60" s="14"/>
    </row>
    <row r="61" spans="1:28" ht="21">
      <c r="A61" s="5" t="s">
        <v>382</v>
      </c>
      <c r="B61" s="5" t="s">
        <v>383</v>
      </c>
      <c r="C61" s="10"/>
      <c r="D61" s="10"/>
      <c r="E61" s="10"/>
      <c r="F61" s="10"/>
      <c r="G61" s="10" t="str">
        <f>IF(AND(ISNUMBER(MATCH(C61,{"F","E","D","D+","C","C+","B","B+","A","A+","S"},0)),ISNUMBER(MATCH(D61,{"F","E","D","D+","C","C+","B","B+","A","A+","S"},0)),ISNUMBER(MATCH(E61,{"F","E","D","D+","C","C+","B","B+","A","A+","S"},0)),ISNUMBER(MATCH(F61,{"F","E","D","D+","C","C+","B","B+","A","A+","S"},0))),LOOKUP(AVERAGE(_xlfn.SWITCH(C61,"F",0,"E",10,"D",20,"D+",30,"C",40,"C+",50,"B",60,"B+",70,"A",80,"A+",90,"S",100),_xlfn.SWITCH(D61,"F",0,"E",10,"D",20,"D+",30,"C",40,"C+",50,"B",60,"B+",70,"A",80,"A+",90,"S",100),_xlfn.SWITCH(E61,"F",0,"E",10,"D",20,"D+",30,"C",40,"C+",50,"B",60,"B+",70,"A",80,"A+",90,"S",100),_xlfn.SWITCH(F61,"F",0,"E",10,"D",20,"D+",30,"C",40,"C+",50,"B",60,"B+",70,"A",80,"A+",90,"S",100)),{0,15,25,35,45,55,65,75,85,95},{"D","D","D+","C","C+","B","B+","A","A+","S"}),"?")</f>
        <v>?</v>
      </c>
      <c r="H61" s="7"/>
      <c r="I61" s="2"/>
      <c r="J61" s="2"/>
      <c r="K61" s="14"/>
      <c r="L61" s="14"/>
      <c r="M61" s="14"/>
      <c r="N61" s="14"/>
      <c r="O61" s="14"/>
      <c r="P61" s="14"/>
      <c r="Q61" s="14"/>
      <c r="R61" s="14"/>
      <c r="S61" s="14"/>
      <c r="T61" s="14"/>
      <c r="U61" s="14"/>
      <c r="V61" s="14"/>
      <c r="W61" s="14"/>
      <c r="X61" s="14"/>
      <c r="Y61" s="14"/>
      <c r="Z61" s="14"/>
      <c r="AA61" s="14"/>
      <c r="AB61" s="14"/>
    </row>
    <row r="62" spans="1:28" ht="21">
      <c r="A62" s="5" t="s">
        <v>387</v>
      </c>
      <c r="B62" s="5" t="s">
        <v>388</v>
      </c>
      <c r="C62" s="10"/>
      <c r="D62" s="10"/>
      <c r="E62" s="10"/>
      <c r="F62" s="10"/>
      <c r="G62" s="10" t="str">
        <f>IF(AND(ISNUMBER(MATCH(C62,{"F","E","D","D+","C","C+","B","B+","A","A+","S"},0)),ISNUMBER(MATCH(D62,{"F","E","D","D+","C","C+","B","B+","A","A+","S"},0)),ISNUMBER(MATCH(E62,{"F","E","D","D+","C","C+","B","B+","A","A+","S"},0)),ISNUMBER(MATCH(F62,{"F","E","D","D+","C","C+","B","B+","A","A+","S"},0))),LOOKUP(AVERAGE(_xlfn.SWITCH(C62,"F",0,"E",10,"D",20,"D+",30,"C",40,"C+",50,"B",60,"B+",70,"A",80,"A+",90,"S",100),_xlfn.SWITCH(D62,"F",0,"E",10,"D",20,"D+",30,"C",40,"C+",50,"B",60,"B+",70,"A",80,"A+",90,"S",100),_xlfn.SWITCH(E62,"F",0,"E",10,"D",20,"D+",30,"C",40,"C+",50,"B",60,"B+",70,"A",80,"A+",90,"S",100),_xlfn.SWITCH(F62,"F",0,"E",10,"D",20,"D+",30,"C",40,"C+",50,"B",60,"B+",70,"A",80,"A+",90,"S",100)),{0,15,25,35,45,55,65,75,85,95},{"D","D","D+","C","C+","B","B+","A","A+","S"}),"?")</f>
        <v>?</v>
      </c>
      <c r="H62" s="7"/>
      <c r="I62" s="2"/>
      <c r="J62" s="2"/>
      <c r="K62" s="14"/>
      <c r="L62" s="14"/>
      <c r="M62" s="14"/>
      <c r="N62" s="14"/>
      <c r="O62" s="14"/>
      <c r="P62" s="14"/>
      <c r="Q62" s="14"/>
      <c r="R62" s="14"/>
      <c r="S62" s="14"/>
      <c r="T62" s="14"/>
      <c r="U62" s="14"/>
      <c r="V62" s="14"/>
      <c r="W62" s="14"/>
      <c r="X62" s="14"/>
      <c r="Y62" s="14"/>
      <c r="Z62" s="14"/>
      <c r="AA62" s="14"/>
      <c r="AB62" s="14"/>
    </row>
    <row r="63" spans="1:28" ht="21">
      <c r="A63" s="5" t="s">
        <v>393</v>
      </c>
      <c r="B63" s="5" t="s">
        <v>394</v>
      </c>
      <c r="C63" s="10"/>
      <c r="D63" s="10"/>
      <c r="E63" s="10"/>
      <c r="F63" s="10"/>
      <c r="G63" s="10" t="str">
        <f>IF(AND(ISNUMBER(MATCH(C63,{"F","E","D","D+","C","C+","B","B+","A","A+","S"},0)),ISNUMBER(MATCH(D63,{"F","E","D","D+","C","C+","B","B+","A","A+","S"},0)),ISNUMBER(MATCH(E63,{"F","E","D","D+","C","C+","B","B+","A","A+","S"},0)),ISNUMBER(MATCH(F63,{"F","E","D","D+","C","C+","B","B+","A","A+","S"},0))),LOOKUP(AVERAGE(_xlfn.SWITCH(C63,"F",0,"E",10,"D",20,"D+",30,"C",40,"C+",50,"B",60,"B+",70,"A",80,"A+",90,"S",100),_xlfn.SWITCH(D63,"F",0,"E",10,"D",20,"D+",30,"C",40,"C+",50,"B",60,"B+",70,"A",80,"A+",90,"S",100),_xlfn.SWITCH(E63,"F",0,"E",10,"D",20,"D+",30,"C",40,"C+",50,"B",60,"B+",70,"A",80,"A+",90,"S",100),_xlfn.SWITCH(F63,"F",0,"E",10,"D",20,"D+",30,"C",40,"C+",50,"B",60,"B+",70,"A",80,"A+",90,"S",100)),{0,15,25,35,45,55,65,75,85,95},{"D","D","D+","C","C+","B","B+","A","A+","S"}),"?")</f>
        <v>?</v>
      </c>
      <c r="H63" s="7"/>
      <c r="I63" s="2"/>
      <c r="J63" s="2"/>
      <c r="K63" s="14"/>
      <c r="L63" s="14"/>
      <c r="M63" s="14"/>
      <c r="N63" s="14"/>
      <c r="O63" s="14"/>
      <c r="P63" s="14"/>
      <c r="Q63" s="14"/>
      <c r="R63" s="14"/>
      <c r="S63" s="14"/>
      <c r="T63" s="14"/>
      <c r="U63" s="14"/>
      <c r="V63" s="14"/>
      <c r="W63" s="14"/>
      <c r="X63" s="14"/>
      <c r="Y63" s="14"/>
      <c r="Z63" s="14"/>
      <c r="AA63" s="14"/>
      <c r="AB63" s="14"/>
    </row>
    <row r="64" spans="1:28" ht="21">
      <c r="A64" s="5" t="s">
        <v>399</v>
      </c>
      <c r="B64" s="5" t="s">
        <v>400</v>
      </c>
      <c r="C64" s="10"/>
      <c r="D64" s="10"/>
      <c r="E64" s="10"/>
      <c r="F64" s="10"/>
      <c r="G64" s="10" t="str">
        <f>IF(AND(ISNUMBER(MATCH(C64,{"F","E","D","D+","C","C+","B","B+","A","A+","S"},0)),ISNUMBER(MATCH(D64,{"F","E","D","D+","C","C+","B","B+","A","A+","S"},0)),ISNUMBER(MATCH(E64,{"F","E","D","D+","C","C+","B","B+","A","A+","S"},0)),ISNUMBER(MATCH(F64,{"F","E","D","D+","C","C+","B","B+","A","A+","S"},0))),LOOKUP(AVERAGE(_xlfn.SWITCH(C64,"F",0,"E",10,"D",20,"D+",30,"C",40,"C+",50,"B",60,"B+",70,"A",80,"A+",90,"S",100),_xlfn.SWITCH(D64,"F",0,"E",10,"D",20,"D+",30,"C",40,"C+",50,"B",60,"B+",70,"A",80,"A+",90,"S",100),_xlfn.SWITCH(E64,"F",0,"E",10,"D",20,"D+",30,"C",40,"C+",50,"B",60,"B+",70,"A",80,"A+",90,"S",100),_xlfn.SWITCH(F64,"F",0,"E",10,"D",20,"D+",30,"C",40,"C+",50,"B",60,"B+",70,"A",80,"A+",90,"S",100)),{0,15,25,35,45,55,65,75,85,95},{"D","D","D+","C","C+","B","B+","A","A+","S"}),"?")</f>
        <v>?</v>
      </c>
      <c r="H64" s="7"/>
      <c r="I64" s="2"/>
      <c r="J64" s="2"/>
      <c r="K64" s="14"/>
      <c r="L64" s="14"/>
      <c r="M64" s="14"/>
      <c r="N64" s="14"/>
      <c r="O64" s="14"/>
      <c r="P64" s="14"/>
      <c r="Q64" s="14"/>
      <c r="R64" s="14"/>
      <c r="S64" s="14"/>
      <c r="T64" s="14"/>
      <c r="U64" s="14"/>
      <c r="V64" s="14"/>
      <c r="W64" s="14"/>
      <c r="X64" s="14"/>
      <c r="Y64" s="14"/>
      <c r="Z64" s="14"/>
      <c r="AA64" s="14"/>
      <c r="AB64" s="14"/>
    </row>
    <row r="65" spans="1:28" ht="21">
      <c r="A65" s="5" t="s">
        <v>404</v>
      </c>
      <c r="B65" s="5" t="s">
        <v>405</v>
      </c>
      <c r="C65" s="10"/>
      <c r="D65" s="10"/>
      <c r="E65" s="10"/>
      <c r="F65" s="10"/>
      <c r="G65" s="10" t="str">
        <f>IF(AND(ISNUMBER(MATCH(C65,{"F","E","D","D+","C","C+","B","B+","A","A+","S"},0)),ISNUMBER(MATCH(D65,{"F","E","D","D+","C","C+","B","B+","A","A+","S"},0)),ISNUMBER(MATCH(E65,{"F","E","D","D+","C","C+","B","B+","A","A+","S"},0)),ISNUMBER(MATCH(F65,{"F","E","D","D+","C","C+","B","B+","A","A+","S"},0))),LOOKUP(AVERAGE(_xlfn.SWITCH(C65,"F",0,"E",10,"D",20,"D+",30,"C",40,"C+",50,"B",60,"B+",70,"A",80,"A+",90,"S",100),_xlfn.SWITCH(D65,"F",0,"E",10,"D",20,"D+",30,"C",40,"C+",50,"B",60,"B+",70,"A",80,"A+",90,"S",100),_xlfn.SWITCH(E65,"F",0,"E",10,"D",20,"D+",30,"C",40,"C+",50,"B",60,"B+",70,"A",80,"A+",90,"S",100),_xlfn.SWITCH(F65,"F",0,"E",10,"D",20,"D+",30,"C",40,"C+",50,"B",60,"B+",70,"A",80,"A+",90,"S",100)),{0,15,25,35,45,55,65,75,85,95},{"D","D","D+","C","C+","B","B+","A","A+","S"}),"?")</f>
        <v>?</v>
      </c>
      <c r="H65" s="7"/>
      <c r="I65" s="2"/>
      <c r="J65" s="2"/>
      <c r="K65" s="14"/>
      <c r="L65" s="14"/>
      <c r="M65" s="14"/>
      <c r="N65" s="14"/>
      <c r="O65" s="14"/>
      <c r="P65" s="14"/>
      <c r="Q65" s="14"/>
      <c r="R65" s="14"/>
      <c r="S65" s="14"/>
      <c r="T65" s="14"/>
      <c r="U65" s="14"/>
      <c r="V65" s="14"/>
      <c r="W65" s="14"/>
      <c r="X65" s="14"/>
      <c r="Y65" s="14"/>
      <c r="Z65" s="14"/>
      <c r="AA65" s="14"/>
      <c r="AB65" s="14"/>
    </row>
    <row r="66" spans="1:28" ht="21">
      <c r="A66" s="5" t="s">
        <v>409</v>
      </c>
      <c r="B66" s="5" t="s">
        <v>308</v>
      </c>
      <c r="C66" s="10"/>
      <c r="D66" s="10"/>
      <c r="E66" s="10"/>
      <c r="F66" s="10"/>
      <c r="G66" s="10" t="str">
        <f>IF(AND(ISNUMBER(MATCH(C66,{"F","E","D","D+","C","C+","B","B+","A","A+","S"},0)),ISNUMBER(MATCH(D66,{"F","E","D","D+","C","C+","B","B+","A","A+","S"},0)),ISNUMBER(MATCH(E66,{"F","E","D","D+","C","C+","B","B+","A","A+","S"},0)),ISNUMBER(MATCH(F66,{"F","E","D","D+","C","C+","B","B+","A","A+","S"},0))),LOOKUP(AVERAGE(_xlfn.SWITCH(C66,"F",0,"E",10,"D",20,"D+",30,"C",40,"C+",50,"B",60,"B+",70,"A",80,"A+",90,"S",100),_xlfn.SWITCH(D66,"F",0,"E",10,"D",20,"D+",30,"C",40,"C+",50,"B",60,"B+",70,"A",80,"A+",90,"S",100),_xlfn.SWITCH(E66,"F",0,"E",10,"D",20,"D+",30,"C",40,"C+",50,"B",60,"B+",70,"A",80,"A+",90,"S",100),_xlfn.SWITCH(F66,"F",0,"E",10,"D",20,"D+",30,"C",40,"C+",50,"B",60,"B+",70,"A",80,"A+",90,"S",100)),{0,15,25,35,45,55,65,75,85,95},{"D","D","D+","C","C+","B","B+","A","A+","S"}),"?")</f>
        <v>?</v>
      </c>
      <c r="H66" s="7"/>
      <c r="I66" s="2"/>
      <c r="J66" s="2"/>
      <c r="K66" s="14"/>
      <c r="L66" s="14"/>
      <c r="M66" s="14"/>
      <c r="N66" s="14"/>
      <c r="O66" s="14"/>
      <c r="P66" s="14"/>
      <c r="Q66" s="14"/>
      <c r="R66" s="14"/>
      <c r="S66" s="14"/>
      <c r="T66" s="14"/>
      <c r="U66" s="14"/>
      <c r="V66" s="14"/>
      <c r="W66" s="14"/>
      <c r="X66" s="14"/>
      <c r="Y66" s="14"/>
      <c r="Z66" s="14"/>
      <c r="AA66" s="14"/>
      <c r="AB66" s="14"/>
    </row>
    <row r="67" spans="1:28" ht="21">
      <c r="A67" s="5" t="s">
        <v>413</v>
      </c>
      <c r="B67" s="5" t="s">
        <v>414</v>
      </c>
      <c r="C67" s="10"/>
      <c r="D67" s="10"/>
      <c r="E67" s="10"/>
      <c r="F67" s="10"/>
      <c r="G67" s="10" t="str">
        <f>IF(AND(ISNUMBER(MATCH(C67,{"F","E","D","D+","C","C+","B","B+","A","A+","S"},0)),ISNUMBER(MATCH(D67,{"F","E","D","D+","C","C+","B","B+","A","A+","S"},0)),ISNUMBER(MATCH(E67,{"F","E","D","D+","C","C+","B","B+","A","A+","S"},0)),ISNUMBER(MATCH(F67,{"F","E","D","D+","C","C+","B","B+","A","A+","S"},0))),LOOKUP(AVERAGE(_xlfn.SWITCH(C67,"F",0,"E",10,"D",20,"D+",30,"C",40,"C+",50,"B",60,"B+",70,"A",80,"A+",90,"S",100),_xlfn.SWITCH(D67,"F",0,"E",10,"D",20,"D+",30,"C",40,"C+",50,"B",60,"B+",70,"A",80,"A+",90,"S",100),_xlfn.SWITCH(E67,"F",0,"E",10,"D",20,"D+",30,"C",40,"C+",50,"B",60,"B+",70,"A",80,"A+",90,"S",100),_xlfn.SWITCH(F67,"F",0,"E",10,"D",20,"D+",30,"C",40,"C+",50,"B",60,"B+",70,"A",80,"A+",90,"S",100)),{0,15,25,35,45,55,65,75,85,95},{"D","D","D+","C","C+","B","B+","A","A+","S"}),"?")</f>
        <v>?</v>
      </c>
      <c r="H67" s="7"/>
      <c r="I67" s="2"/>
      <c r="J67" s="2"/>
      <c r="K67" s="14"/>
      <c r="L67" s="14"/>
      <c r="M67" s="14"/>
      <c r="N67" s="14"/>
      <c r="O67" s="14"/>
      <c r="P67" s="14"/>
      <c r="Q67" s="14"/>
      <c r="R67" s="14"/>
      <c r="S67" s="14"/>
      <c r="T67" s="14"/>
      <c r="U67" s="14"/>
      <c r="V67" s="14"/>
      <c r="W67" s="14"/>
      <c r="X67" s="14"/>
      <c r="Y67" s="14"/>
      <c r="Z67" s="14"/>
      <c r="AA67" s="14"/>
      <c r="AB67" s="14"/>
    </row>
    <row r="68" spans="1:28" ht="21">
      <c r="A68" s="5" t="s">
        <v>416</v>
      </c>
      <c r="B68" s="5" t="s">
        <v>417</v>
      </c>
      <c r="C68" s="10"/>
      <c r="D68" s="10"/>
      <c r="E68" s="10"/>
      <c r="F68" s="10"/>
      <c r="G68" s="10" t="str">
        <f>IF(AND(ISNUMBER(MATCH(C68,{"F","E","D","D+","C","C+","B","B+","A","A+","S"},0)),ISNUMBER(MATCH(D68,{"F","E","D","D+","C","C+","B","B+","A","A+","S"},0)),ISNUMBER(MATCH(E68,{"F","E","D","D+","C","C+","B","B+","A","A+","S"},0)),ISNUMBER(MATCH(F68,{"F","E","D","D+","C","C+","B","B+","A","A+","S"},0))),LOOKUP(AVERAGE(_xlfn.SWITCH(C68,"F",0,"E",10,"D",20,"D+",30,"C",40,"C+",50,"B",60,"B+",70,"A",80,"A+",90,"S",100),_xlfn.SWITCH(D68,"F",0,"E",10,"D",20,"D+",30,"C",40,"C+",50,"B",60,"B+",70,"A",80,"A+",90,"S",100),_xlfn.SWITCH(E68,"F",0,"E",10,"D",20,"D+",30,"C",40,"C+",50,"B",60,"B+",70,"A",80,"A+",90,"S",100),_xlfn.SWITCH(F68,"F",0,"E",10,"D",20,"D+",30,"C",40,"C+",50,"B",60,"B+",70,"A",80,"A+",90,"S",100)),{0,15,25,35,45,55,65,75,85,95},{"D","D","D+","C","C+","B","B+","A","A+","S"}),"?")</f>
        <v>?</v>
      </c>
      <c r="H68" s="7"/>
      <c r="I68" s="2"/>
      <c r="J68" s="2"/>
      <c r="K68" s="14"/>
      <c r="L68" s="14"/>
      <c r="M68" s="14"/>
      <c r="N68" s="14"/>
      <c r="O68" s="14"/>
      <c r="P68" s="14"/>
      <c r="Q68" s="14"/>
      <c r="R68" s="14"/>
      <c r="S68" s="14"/>
      <c r="T68" s="14"/>
      <c r="U68" s="14"/>
      <c r="V68" s="14"/>
      <c r="W68" s="14"/>
      <c r="X68" s="14"/>
      <c r="Y68" s="14"/>
      <c r="Z68" s="14"/>
      <c r="AA68" s="14"/>
      <c r="AB68" s="14"/>
    </row>
    <row r="69" spans="1:28" ht="21">
      <c r="A69" s="5" t="s">
        <v>421</v>
      </c>
      <c r="B69" s="5" t="s">
        <v>422</v>
      </c>
      <c r="C69" s="10"/>
      <c r="D69" s="10"/>
      <c r="E69" s="10"/>
      <c r="F69" s="10"/>
      <c r="G69" s="10" t="str">
        <f>IF(AND(ISNUMBER(MATCH(C69,{"F","E","D","D+","C","C+","B","B+","A","A+","S"},0)),ISNUMBER(MATCH(D69,{"F","E","D","D+","C","C+","B","B+","A","A+","S"},0)),ISNUMBER(MATCH(E69,{"F","E","D","D+","C","C+","B","B+","A","A+","S"},0)),ISNUMBER(MATCH(F69,{"F","E","D","D+","C","C+","B","B+","A","A+","S"},0))),LOOKUP(AVERAGE(_xlfn.SWITCH(C69,"F",0,"E",10,"D",20,"D+",30,"C",40,"C+",50,"B",60,"B+",70,"A",80,"A+",90,"S",100),_xlfn.SWITCH(D69,"F",0,"E",10,"D",20,"D+",30,"C",40,"C+",50,"B",60,"B+",70,"A",80,"A+",90,"S",100),_xlfn.SWITCH(E69,"F",0,"E",10,"D",20,"D+",30,"C",40,"C+",50,"B",60,"B+",70,"A",80,"A+",90,"S",100),_xlfn.SWITCH(F69,"F",0,"E",10,"D",20,"D+",30,"C",40,"C+",50,"B",60,"B+",70,"A",80,"A+",90,"S",100)),{0,15,25,35,45,55,65,75,85,95},{"D","D","D+","C","C+","B","B+","A","A+","S"}),"?")</f>
        <v>?</v>
      </c>
      <c r="H69" s="7"/>
      <c r="I69" s="2"/>
      <c r="J69" s="2"/>
      <c r="K69" s="14"/>
      <c r="L69" s="14"/>
      <c r="M69" s="14"/>
      <c r="N69" s="14"/>
      <c r="O69" s="14"/>
      <c r="P69" s="14"/>
      <c r="Q69" s="14"/>
      <c r="R69" s="14"/>
      <c r="S69" s="14"/>
      <c r="T69" s="14"/>
      <c r="U69" s="14"/>
      <c r="V69" s="14"/>
      <c r="W69" s="14"/>
      <c r="X69" s="14"/>
      <c r="Y69" s="14"/>
      <c r="Z69" s="14"/>
      <c r="AA69" s="14"/>
      <c r="AB69" s="14"/>
    </row>
    <row r="70" spans="1:28" ht="21">
      <c r="A70" s="5" t="s">
        <v>426</v>
      </c>
      <c r="B70" s="5" t="s">
        <v>427</v>
      </c>
      <c r="C70" s="10"/>
      <c r="D70" s="10"/>
      <c r="E70" s="10"/>
      <c r="F70" s="10"/>
      <c r="G70" s="10" t="str">
        <f>IF(AND(ISNUMBER(MATCH(C70,{"F","E","D","D+","C","C+","B","B+","A","A+","S"},0)),ISNUMBER(MATCH(D70,{"F","E","D","D+","C","C+","B","B+","A","A+","S"},0)),ISNUMBER(MATCH(E70,{"F","E","D","D+","C","C+","B","B+","A","A+","S"},0)),ISNUMBER(MATCH(F70,{"F","E","D","D+","C","C+","B","B+","A","A+","S"},0))),LOOKUP(AVERAGE(_xlfn.SWITCH(C70,"F",0,"E",10,"D",20,"D+",30,"C",40,"C+",50,"B",60,"B+",70,"A",80,"A+",90,"S",100),_xlfn.SWITCH(D70,"F",0,"E",10,"D",20,"D+",30,"C",40,"C+",50,"B",60,"B+",70,"A",80,"A+",90,"S",100),_xlfn.SWITCH(E70,"F",0,"E",10,"D",20,"D+",30,"C",40,"C+",50,"B",60,"B+",70,"A",80,"A+",90,"S",100),_xlfn.SWITCH(F70,"F",0,"E",10,"D",20,"D+",30,"C",40,"C+",50,"B",60,"B+",70,"A",80,"A+",90,"S",100)),{0,15,25,35,45,55,65,75,85,95},{"D","D","D+","C","C+","B","B+","A","A+","S"}),"?")</f>
        <v>?</v>
      </c>
      <c r="H70" s="7"/>
      <c r="I70" s="2"/>
      <c r="J70" s="2"/>
      <c r="K70" s="14"/>
      <c r="L70" s="14"/>
      <c r="M70" s="14"/>
      <c r="N70" s="14"/>
      <c r="O70" s="14"/>
      <c r="P70" s="14"/>
      <c r="Q70" s="14"/>
      <c r="R70" s="14"/>
      <c r="S70" s="14"/>
      <c r="T70" s="14"/>
      <c r="U70" s="14"/>
      <c r="V70" s="14"/>
      <c r="W70" s="14"/>
      <c r="X70" s="14"/>
      <c r="Y70" s="14"/>
      <c r="Z70" s="14"/>
      <c r="AA70" s="14"/>
      <c r="AB70" s="14"/>
    </row>
    <row r="71" spans="1:28" ht="21">
      <c r="A71" s="5" t="s">
        <v>432</v>
      </c>
      <c r="B71" s="5" t="s">
        <v>149</v>
      </c>
      <c r="C71" s="10"/>
      <c r="D71" s="10"/>
      <c r="E71" s="10"/>
      <c r="F71" s="10"/>
      <c r="G71" s="10" t="str">
        <f>IF(AND(ISNUMBER(MATCH(C71,{"F","E","D","D+","C","C+","B","B+","A","A+","S"},0)),ISNUMBER(MATCH(D71,{"F","E","D","D+","C","C+","B","B+","A","A+","S"},0)),ISNUMBER(MATCH(E71,{"F","E","D","D+","C","C+","B","B+","A","A+","S"},0)),ISNUMBER(MATCH(F71,{"F","E","D","D+","C","C+","B","B+","A","A+","S"},0))),LOOKUP(AVERAGE(_xlfn.SWITCH(C71,"F",0,"E",10,"D",20,"D+",30,"C",40,"C+",50,"B",60,"B+",70,"A",80,"A+",90,"S",100),_xlfn.SWITCH(D71,"F",0,"E",10,"D",20,"D+",30,"C",40,"C+",50,"B",60,"B+",70,"A",80,"A+",90,"S",100),_xlfn.SWITCH(E71,"F",0,"E",10,"D",20,"D+",30,"C",40,"C+",50,"B",60,"B+",70,"A",80,"A+",90,"S",100),_xlfn.SWITCH(F71,"F",0,"E",10,"D",20,"D+",30,"C",40,"C+",50,"B",60,"B+",70,"A",80,"A+",90,"S",100)),{0,15,25,35,45,55,65,75,85,95},{"D","D","D+","C","C+","B","B+","A","A+","S"}),"?")</f>
        <v>?</v>
      </c>
      <c r="H71" s="7"/>
      <c r="I71" s="2"/>
      <c r="J71" s="2"/>
      <c r="K71" s="14"/>
      <c r="L71" s="14"/>
      <c r="M71" s="14"/>
      <c r="N71" s="14"/>
      <c r="O71" s="14"/>
      <c r="P71" s="14"/>
      <c r="Q71" s="14"/>
      <c r="R71" s="14"/>
      <c r="S71" s="14"/>
      <c r="T71" s="14"/>
      <c r="U71" s="14"/>
      <c r="V71" s="14"/>
      <c r="W71" s="14"/>
      <c r="X71" s="14"/>
      <c r="Y71" s="14"/>
      <c r="Z71" s="14"/>
      <c r="AA71" s="14"/>
      <c r="AB71" s="14"/>
    </row>
    <row r="72" spans="1:28" ht="21">
      <c r="A72" s="5" t="s">
        <v>435</v>
      </c>
      <c r="B72" s="5" t="s">
        <v>436</v>
      </c>
      <c r="C72" s="10"/>
      <c r="D72" s="10"/>
      <c r="E72" s="10"/>
      <c r="F72" s="10"/>
      <c r="G72" s="10" t="str">
        <f>IF(AND(ISNUMBER(MATCH(C72,{"F","E","D","D+","C","C+","B","B+","A","A+","S"},0)),ISNUMBER(MATCH(D72,{"F","E","D","D+","C","C+","B","B+","A","A+","S"},0)),ISNUMBER(MATCH(E72,{"F","E","D","D+","C","C+","B","B+","A","A+","S"},0)),ISNUMBER(MATCH(F72,{"F","E","D","D+","C","C+","B","B+","A","A+","S"},0))),LOOKUP(AVERAGE(_xlfn.SWITCH(C72,"F",0,"E",10,"D",20,"D+",30,"C",40,"C+",50,"B",60,"B+",70,"A",80,"A+",90,"S",100),_xlfn.SWITCH(D72,"F",0,"E",10,"D",20,"D+",30,"C",40,"C+",50,"B",60,"B+",70,"A",80,"A+",90,"S",100),_xlfn.SWITCH(E72,"F",0,"E",10,"D",20,"D+",30,"C",40,"C+",50,"B",60,"B+",70,"A",80,"A+",90,"S",100),_xlfn.SWITCH(F72,"F",0,"E",10,"D",20,"D+",30,"C",40,"C+",50,"B",60,"B+",70,"A",80,"A+",90,"S",100)),{0,15,25,35,45,55,65,75,85,95},{"D","D","D+","C","C+","B","B+","A","A+","S"}),"?")</f>
        <v>?</v>
      </c>
      <c r="H72" s="7"/>
      <c r="I72" s="2"/>
      <c r="J72" s="2"/>
      <c r="K72" s="14"/>
      <c r="L72" s="14"/>
      <c r="M72" s="14"/>
      <c r="N72" s="14"/>
      <c r="O72" s="14"/>
      <c r="P72" s="14"/>
      <c r="Q72" s="14"/>
      <c r="R72" s="14"/>
      <c r="S72" s="14"/>
      <c r="T72" s="14"/>
      <c r="U72" s="14"/>
      <c r="V72" s="14"/>
      <c r="W72" s="14"/>
      <c r="X72" s="14"/>
      <c r="Y72" s="14"/>
      <c r="Z72" s="14"/>
      <c r="AA72" s="14"/>
      <c r="AB72" s="14"/>
    </row>
    <row r="73" spans="1:28" ht="21">
      <c r="A73" s="5" t="s">
        <v>442</v>
      </c>
      <c r="B73" s="5" t="s">
        <v>443</v>
      </c>
      <c r="C73" s="10"/>
      <c r="D73" s="10"/>
      <c r="E73" s="10"/>
      <c r="F73" s="10"/>
      <c r="G73" s="10" t="str">
        <f>IF(AND(ISNUMBER(MATCH(C73,{"F","E","D","D+","C","C+","B","B+","A","A+","S"},0)),ISNUMBER(MATCH(D73,{"F","E","D","D+","C","C+","B","B+","A","A+","S"},0)),ISNUMBER(MATCH(E73,{"F","E","D","D+","C","C+","B","B+","A","A+","S"},0)),ISNUMBER(MATCH(F73,{"F","E","D","D+","C","C+","B","B+","A","A+","S"},0))),LOOKUP(AVERAGE(_xlfn.SWITCH(C73,"F",0,"E",10,"D",20,"D+",30,"C",40,"C+",50,"B",60,"B+",70,"A",80,"A+",90,"S",100),_xlfn.SWITCH(D73,"F",0,"E",10,"D",20,"D+",30,"C",40,"C+",50,"B",60,"B+",70,"A",80,"A+",90,"S",100),_xlfn.SWITCH(E73,"F",0,"E",10,"D",20,"D+",30,"C",40,"C+",50,"B",60,"B+",70,"A",80,"A+",90,"S",100),_xlfn.SWITCH(F73,"F",0,"E",10,"D",20,"D+",30,"C",40,"C+",50,"B",60,"B+",70,"A",80,"A+",90,"S",100)),{0,15,25,35,45,55,65,75,85,95},{"D","D","D+","C","C+","B","B+","A","A+","S"}),"?")</f>
        <v>?</v>
      </c>
      <c r="H73" s="7"/>
      <c r="I73" s="2"/>
      <c r="J73" s="2"/>
      <c r="K73" s="14"/>
      <c r="L73" s="14"/>
      <c r="M73" s="14"/>
      <c r="N73" s="14"/>
      <c r="O73" s="14"/>
      <c r="P73" s="14"/>
      <c r="Q73" s="14"/>
      <c r="R73" s="14"/>
      <c r="S73" s="14"/>
      <c r="T73" s="14"/>
      <c r="U73" s="14"/>
      <c r="V73" s="14"/>
      <c r="W73" s="14"/>
      <c r="X73" s="14"/>
      <c r="Y73" s="14"/>
      <c r="Z73" s="14"/>
      <c r="AA73" s="14"/>
      <c r="AB73" s="14"/>
    </row>
    <row r="74" spans="1:28" ht="21">
      <c r="A74" s="5" t="s">
        <v>447</v>
      </c>
      <c r="B74" s="5" t="s">
        <v>47</v>
      </c>
      <c r="C74" s="10"/>
      <c r="D74" s="10"/>
      <c r="E74" s="10"/>
      <c r="F74" s="10"/>
      <c r="G74" s="10" t="str">
        <f>IF(AND(ISNUMBER(MATCH(C74,{"F","E","D","D+","C","C+","B","B+","A","A+","S"},0)),ISNUMBER(MATCH(D74,{"F","E","D","D+","C","C+","B","B+","A","A+","S"},0)),ISNUMBER(MATCH(E74,{"F","E","D","D+","C","C+","B","B+","A","A+","S"},0)),ISNUMBER(MATCH(F74,{"F","E","D","D+","C","C+","B","B+","A","A+","S"},0))),LOOKUP(AVERAGE(_xlfn.SWITCH(C74,"F",0,"E",10,"D",20,"D+",30,"C",40,"C+",50,"B",60,"B+",70,"A",80,"A+",90,"S",100),_xlfn.SWITCH(D74,"F",0,"E",10,"D",20,"D+",30,"C",40,"C+",50,"B",60,"B+",70,"A",80,"A+",90,"S",100),_xlfn.SWITCH(E74,"F",0,"E",10,"D",20,"D+",30,"C",40,"C+",50,"B",60,"B+",70,"A",80,"A+",90,"S",100),_xlfn.SWITCH(F74,"F",0,"E",10,"D",20,"D+",30,"C",40,"C+",50,"B",60,"B+",70,"A",80,"A+",90,"S",100)),{0,15,25,35,45,55,65,75,85,95},{"D","D","D+","C","C+","B","B+","A","A+","S"}),"?")</f>
        <v>?</v>
      </c>
      <c r="H74" s="7"/>
      <c r="I74" s="2"/>
      <c r="J74" s="2"/>
      <c r="K74" s="14"/>
      <c r="L74" s="14"/>
      <c r="M74" s="14"/>
      <c r="N74" s="14"/>
      <c r="O74" s="14"/>
      <c r="P74" s="14"/>
      <c r="Q74" s="14"/>
      <c r="R74" s="14"/>
      <c r="S74" s="14"/>
      <c r="T74" s="14"/>
      <c r="U74" s="14"/>
      <c r="V74" s="14"/>
      <c r="W74" s="14"/>
      <c r="X74" s="14"/>
      <c r="Y74" s="14"/>
      <c r="Z74" s="14"/>
      <c r="AA74" s="14"/>
      <c r="AB74" s="14"/>
    </row>
    <row r="75" spans="1:28" ht="21">
      <c r="A75" s="5" t="s">
        <v>451</v>
      </c>
      <c r="B75" s="5" t="s">
        <v>169</v>
      </c>
      <c r="C75" s="10"/>
      <c r="D75" s="10"/>
      <c r="E75" s="10"/>
      <c r="F75" s="10"/>
      <c r="G75" s="10" t="str">
        <f>IF(AND(ISNUMBER(MATCH(C75,{"F","E","D","D+","C","C+","B","B+","A","A+","S"},0)),ISNUMBER(MATCH(D75,{"F","E","D","D+","C","C+","B","B+","A","A+","S"},0)),ISNUMBER(MATCH(E75,{"F","E","D","D+","C","C+","B","B+","A","A+","S"},0)),ISNUMBER(MATCH(F75,{"F","E","D","D+","C","C+","B","B+","A","A+","S"},0))),LOOKUP(AVERAGE(_xlfn.SWITCH(C75,"F",0,"E",10,"D",20,"D+",30,"C",40,"C+",50,"B",60,"B+",70,"A",80,"A+",90,"S",100),_xlfn.SWITCH(D75,"F",0,"E",10,"D",20,"D+",30,"C",40,"C+",50,"B",60,"B+",70,"A",80,"A+",90,"S",100),_xlfn.SWITCH(E75,"F",0,"E",10,"D",20,"D+",30,"C",40,"C+",50,"B",60,"B+",70,"A",80,"A+",90,"S",100),_xlfn.SWITCH(F75,"F",0,"E",10,"D",20,"D+",30,"C",40,"C+",50,"B",60,"B+",70,"A",80,"A+",90,"S",100)),{0,15,25,35,45,55,65,75,85,95},{"D","D","D+","C","C+","B","B+","A","A+","S"}),"?")</f>
        <v>?</v>
      </c>
      <c r="H75" s="7"/>
      <c r="I75" s="2"/>
      <c r="J75" s="2"/>
      <c r="K75" s="14"/>
      <c r="L75" s="14"/>
      <c r="M75" s="14"/>
      <c r="N75" s="14"/>
      <c r="O75" s="14"/>
      <c r="P75" s="14"/>
      <c r="Q75" s="14"/>
      <c r="R75" s="14"/>
      <c r="S75" s="14"/>
      <c r="T75" s="14"/>
      <c r="U75" s="14"/>
      <c r="V75" s="14"/>
      <c r="W75" s="14"/>
      <c r="X75" s="14"/>
      <c r="Y75" s="14"/>
      <c r="Z75" s="14"/>
      <c r="AA75" s="14"/>
      <c r="AB75" s="14"/>
    </row>
    <row r="76" spans="1:28" ht="21">
      <c r="A76" s="5" t="s">
        <v>455</v>
      </c>
      <c r="B76" s="5" t="s">
        <v>197</v>
      </c>
      <c r="C76" s="10"/>
      <c r="D76" s="10"/>
      <c r="E76" s="10"/>
      <c r="F76" s="10"/>
      <c r="G76" s="10" t="str">
        <f>IF(AND(ISNUMBER(MATCH(C76,{"F","E","D","D+","C","C+","B","B+","A","A+","S"},0)),ISNUMBER(MATCH(D76,{"F","E","D","D+","C","C+","B","B+","A","A+","S"},0)),ISNUMBER(MATCH(E76,{"F","E","D","D+","C","C+","B","B+","A","A+","S"},0)),ISNUMBER(MATCH(F76,{"F","E","D","D+","C","C+","B","B+","A","A+","S"},0))),LOOKUP(AVERAGE(_xlfn.SWITCH(C76,"F",0,"E",10,"D",20,"D+",30,"C",40,"C+",50,"B",60,"B+",70,"A",80,"A+",90,"S",100),_xlfn.SWITCH(D76,"F",0,"E",10,"D",20,"D+",30,"C",40,"C+",50,"B",60,"B+",70,"A",80,"A+",90,"S",100),_xlfn.SWITCH(E76,"F",0,"E",10,"D",20,"D+",30,"C",40,"C+",50,"B",60,"B+",70,"A",80,"A+",90,"S",100),_xlfn.SWITCH(F76,"F",0,"E",10,"D",20,"D+",30,"C",40,"C+",50,"B",60,"B+",70,"A",80,"A+",90,"S",100)),{0,15,25,35,45,55,65,75,85,95},{"D","D","D+","C","C+","B","B+","A","A+","S"}),"?")</f>
        <v>?</v>
      </c>
      <c r="H76" s="7"/>
      <c r="I76" s="2"/>
      <c r="J76" s="2"/>
      <c r="K76" s="14"/>
      <c r="L76" s="14"/>
      <c r="M76" s="14"/>
      <c r="N76" s="14"/>
      <c r="O76" s="14"/>
      <c r="P76" s="14"/>
      <c r="Q76" s="14"/>
      <c r="R76" s="14"/>
      <c r="S76" s="14"/>
      <c r="T76" s="14"/>
      <c r="U76" s="14"/>
      <c r="V76" s="14"/>
      <c r="W76" s="14"/>
      <c r="X76" s="14"/>
      <c r="Y76" s="14"/>
      <c r="Z76" s="14"/>
      <c r="AA76" s="14"/>
      <c r="AB76" s="14"/>
    </row>
    <row r="77" spans="1:28" ht="21">
      <c r="A77" s="5" t="s">
        <v>461</v>
      </c>
      <c r="B77" s="6" t="s">
        <v>378</v>
      </c>
      <c r="C77" s="10"/>
      <c r="D77" s="10"/>
      <c r="E77" s="10"/>
      <c r="F77" s="10"/>
      <c r="G77" s="10" t="str">
        <f>IF(AND(ISNUMBER(MATCH(C77,{"F","E","D","D+","C","C+","B","B+","A","A+","S"},0)),ISNUMBER(MATCH(D77,{"F","E","D","D+","C","C+","B","B+","A","A+","S"},0)),ISNUMBER(MATCH(E77,{"F","E","D","D+","C","C+","B","B+","A","A+","S"},0)),ISNUMBER(MATCH(F77,{"F","E","D","D+","C","C+","B","B+","A","A+","S"},0))),LOOKUP(AVERAGE(_xlfn.SWITCH(C77,"F",0,"E",10,"D",20,"D+",30,"C",40,"C+",50,"B",60,"B+",70,"A",80,"A+",90,"S",100),_xlfn.SWITCH(D77,"F",0,"E",10,"D",20,"D+",30,"C",40,"C+",50,"B",60,"B+",70,"A",80,"A+",90,"S",100),_xlfn.SWITCH(E77,"F",0,"E",10,"D",20,"D+",30,"C",40,"C+",50,"B",60,"B+",70,"A",80,"A+",90,"S",100),_xlfn.SWITCH(F77,"F",0,"E",10,"D",20,"D+",30,"C",40,"C+",50,"B",60,"B+",70,"A",80,"A+",90,"S",100)),{0,15,25,35,45,55,65,75,85,95},{"D","D","D+","C","C+","B","B+","A","A+","S"}),"?")</f>
        <v>?</v>
      </c>
      <c r="H77" s="7"/>
      <c r="I77" s="2"/>
      <c r="J77" s="2"/>
      <c r="K77" s="14"/>
      <c r="L77" s="14"/>
      <c r="M77" s="14"/>
      <c r="N77" s="14"/>
      <c r="O77" s="14"/>
      <c r="P77" s="14"/>
      <c r="Q77" s="14"/>
      <c r="R77" s="14"/>
      <c r="S77" s="14"/>
      <c r="T77" s="14"/>
      <c r="U77" s="14"/>
      <c r="V77" s="14"/>
      <c r="W77" s="14"/>
      <c r="X77" s="14"/>
      <c r="Y77" s="14"/>
      <c r="Z77" s="14"/>
      <c r="AA77" s="14"/>
      <c r="AB77" s="14"/>
    </row>
    <row r="78" spans="1:28" ht="21">
      <c r="A78" s="5" t="s">
        <v>467</v>
      </c>
      <c r="B78" s="5" t="s">
        <v>30</v>
      </c>
      <c r="C78" s="10"/>
      <c r="D78" s="10"/>
      <c r="E78" s="10"/>
      <c r="F78" s="10"/>
      <c r="G78" s="10" t="str">
        <f>IF(AND(ISNUMBER(MATCH(C78,{"F","E","D","D+","C","C+","B","B+","A","A+","S"},0)),ISNUMBER(MATCH(D78,{"F","E","D","D+","C","C+","B","B+","A","A+","S"},0)),ISNUMBER(MATCH(E78,{"F","E","D","D+","C","C+","B","B+","A","A+","S"},0)),ISNUMBER(MATCH(F78,{"F","E","D","D+","C","C+","B","B+","A","A+","S"},0))),LOOKUP(AVERAGE(_xlfn.SWITCH(C78,"F",0,"E",10,"D",20,"D+",30,"C",40,"C+",50,"B",60,"B+",70,"A",80,"A+",90,"S",100),_xlfn.SWITCH(D78,"F",0,"E",10,"D",20,"D+",30,"C",40,"C+",50,"B",60,"B+",70,"A",80,"A+",90,"S",100),_xlfn.SWITCH(E78,"F",0,"E",10,"D",20,"D+",30,"C",40,"C+",50,"B",60,"B+",70,"A",80,"A+",90,"S",100),_xlfn.SWITCH(F78,"F",0,"E",10,"D",20,"D+",30,"C",40,"C+",50,"B",60,"B+",70,"A",80,"A+",90,"S",100)),{0,15,25,35,45,55,65,75,85,95},{"D","D","D+","C","C+","B","B+","A","A+","S"}),"?")</f>
        <v>?</v>
      </c>
      <c r="H78" s="7"/>
      <c r="I78" s="2"/>
      <c r="J78" s="2"/>
      <c r="K78" s="14"/>
      <c r="L78" s="14"/>
      <c r="M78" s="14"/>
      <c r="N78" s="14"/>
      <c r="O78" s="14"/>
      <c r="P78" s="14"/>
      <c r="Q78" s="14"/>
      <c r="R78" s="14"/>
      <c r="S78" s="14"/>
      <c r="T78" s="14"/>
      <c r="U78" s="14"/>
      <c r="V78" s="14"/>
      <c r="W78" s="14"/>
      <c r="X78" s="14"/>
      <c r="Y78" s="14"/>
      <c r="Z78" s="14"/>
      <c r="AA78" s="14"/>
      <c r="AB78" s="14"/>
    </row>
    <row r="79" spans="1:28" ht="21">
      <c r="A79" s="5" t="s">
        <v>472</v>
      </c>
      <c r="B79" s="5" t="s">
        <v>473</v>
      </c>
      <c r="C79" s="10"/>
      <c r="D79" s="10"/>
      <c r="E79" s="10"/>
      <c r="F79" s="10"/>
      <c r="G79" s="10" t="str">
        <f>IF(AND(ISNUMBER(MATCH(C79,{"F","E","D","D+","C","C+","B","B+","A","A+","S"},0)),ISNUMBER(MATCH(D79,{"F","E","D","D+","C","C+","B","B+","A","A+","S"},0)),ISNUMBER(MATCH(E79,{"F","E","D","D+","C","C+","B","B+","A","A+","S"},0)),ISNUMBER(MATCH(F79,{"F","E","D","D+","C","C+","B","B+","A","A+","S"},0))),LOOKUP(AVERAGE(_xlfn.SWITCH(C79,"F",0,"E",10,"D",20,"D+",30,"C",40,"C+",50,"B",60,"B+",70,"A",80,"A+",90,"S",100),_xlfn.SWITCH(D79,"F",0,"E",10,"D",20,"D+",30,"C",40,"C+",50,"B",60,"B+",70,"A",80,"A+",90,"S",100),_xlfn.SWITCH(E79,"F",0,"E",10,"D",20,"D+",30,"C",40,"C+",50,"B",60,"B+",70,"A",80,"A+",90,"S",100),_xlfn.SWITCH(F79,"F",0,"E",10,"D",20,"D+",30,"C",40,"C+",50,"B",60,"B+",70,"A",80,"A+",90,"S",100)),{0,15,25,35,45,55,65,75,85,95},{"D","D","D+","C","C+","B","B+","A","A+","S"}),"?")</f>
        <v>?</v>
      </c>
      <c r="H79" s="7"/>
      <c r="I79" s="2"/>
      <c r="J79" s="2"/>
      <c r="K79" s="14"/>
      <c r="L79" s="14"/>
      <c r="M79" s="14"/>
      <c r="N79" s="14"/>
      <c r="O79" s="14"/>
      <c r="P79" s="14"/>
      <c r="Q79" s="14"/>
      <c r="R79" s="14"/>
      <c r="S79" s="14"/>
      <c r="T79" s="14"/>
      <c r="U79" s="14"/>
      <c r="V79" s="14"/>
      <c r="W79" s="14"/>
      <c r="X79" s="14"/>
      <c r="Y79" s="14"/>
      <c r="Z79" s="14"/>
      <c r="AA79" s="14"/>
      <c r="AB79" s="14"/>
    </row>
    <row r="80" spans="1:28" ht="21">
      <c r="A80" s="5" t="s">
        <v>475</v>
      </c>
      <c r="B80" s="5" t="s">
        <v>476</v>
      </c>
      <c r="C80" s="10"/>
      <c r="D80" s="10"/>
      <c r="E80" s="10"/>
      <c r="F80" s="10"/>
      <c r="G80" s="10" t="str">
        <f>IF(AND(ISNUMBER(MATCH(C80,{"F","E","D","D+","C","C+","B","B+","A","A+","S"},0)),ISNUMBER(MATCH(D80,{"F","E","D","D+","C","C+","B","B+","A","A+","S"},0)),ISNUMBER(MATCH(E80,{"F","E","D","D+","C","C+","B","B+","A","A+","S"},0)),ISNUMBER(MATCH(F80,{"F","E","D","D+","C","C+","B","B+","A","A+","S"},0))),LOOKUP(AVERAGE(_xlfn.SWITCH(C80,"F",0,"E",10,"D",20,"D+",30,"C",40,"C+",50,"B",60,"B+",70,"A",80,"A+",90,"S",100),_xlfn.SWITCH(D80,"F",0,"E",10,"D",20,"D+",30,"C",40,"C+",50,"B",60,"B+",70,"A",80,"A+",90,"S",100),_xlfn.SWITCH(E80,"F",0,"E",10,"D",20,"D+",30,"C",40,"C+",50,"B",60,"B+",70,"A",80,"A+",90,"S",100),_xlfn.SWITCH(F80,"F",0,"E",10,"D",20,"D+",30,"C",40,"C+",50,"B",60,"B+",70,"A",80,"A+",90,"S",100)),{0,15,25,35,45,55,65,75,85,95},{"D","D","D+","C","C+","B","B+","A","A+","S"}),"?")</f>
        <v>?</v>
      </c>
      <c r="H80" s="7"/>
      <c r="I80" s="2"/>
      <c r="J80" s="2"/>
      <c r="K80" s="14"/>
      <c r="L80" s="14"/>
      <c r="M80" s="14"/>
      <c r="N80" s="14"/>
      <c r="O80" s="14"/>
      <c r="P80" s="14"/>
      <c r="Q80" s="14"/>
      <c r="R80" s="14"/>
      <c r="S80" s="14"/>
      <c r="T80" s="14"/>
      <c r="U80" s="14"/>
      <c r="V80" s="14"/>
      <c r="W80" s="14"/>
      <c r="X80" s="14"/>
      <c r="Y80" s="14"/>
      <c r="Z80" s="14"/>
      <c r="AA80" s="14"/>
      <c r="AB80" s="14"/>
    </row>
    <row r="81" spans="1:28" ht="21">
      <c r="A81" s="5" t="s">
        <v>478</v>
      </c>
      <c r="B81" s="5" t="s">
        <v>321</v>
      </c>
      <c r="C81" s="10"/>
      <c r="D81" s="10"/>
      <c r="E81" s="10"/>
      <c r="F81" s="10"/>
      <c r="G81" s="10" t="str">
        <f>IF(AND(ISNUMBER(MATCH(C81,{"F","E","D","D+","C","C+","B","B+","A","A+","S"},0)),ISNUMBER(MATCH(D81,{"F","E","D","D+","C","C+","B","B+","A","A+","S"},0)),ISNUMBER(MATCH(E81,{"F","E","D","D+","C","C+","B","B+","A","A+","S"},0)),ISNUMBER(MATCH(F81,{"F","E","D","D+","C","C+","B","B+","A","A+","S"},0))),LOOKUP(AVERAGE(_xlfn.SWITCH(C81,"F",0,"E",10,"D",20,"D+",30,"C",40,"C+",50,"B",60,"B+",70,"A",80,"A+",90,"S",100),_xlfn.SWITCH(D81,"F",0,"E",10,"D",20,"D+",30,"C",40,"C+",50,"B",60,"B+",70,"A",80,"A+",90,"S",100),_xlfn.SWITCH(E81,"F",0,"E",10,"D",20,"D+",30,"C",40,"C+",50,"B",60,"B+",70,"A",80,"A+",90,"S",100),_xlfn.SWITCH(F81,"F",0,"E",10,"D",20,"D+",30,"C",40,"C+",50,"B",60,"B+",70,"A",80,"A+",90,"S",100)),{0,15,25,35,45,55,65,75,85,95},{"D","D","D+","C","C+","B","B+","A","A+","S"}),"?")</f>
        <v>?</v>
      </c>
      <c r="H81" s="7"/>
      <c r="I81" s="2"/>
      <c r="J81" s="2"/>
      <c r="K81" s="14"/>
      <c r="L81" s="14"/>
      <c r="M81" s="14"/>
      <c r="N81" s="14"/>
      <c r="O81" s="14"/>
      <c r="P81" s="14"/>
      <c r="Q81" s="14"/>
      <c r="R81" s="14"/>
      <c r="S81" s="14"/>
      <c r="T81" s="14"/>
      <c r="U81" s="14"/>
      <c r="V81" s="14"/>
      <c r="W81" s="14"/>
      <c r="X81" s="14"/>
      <c r="Y81" s="14"/>
      <c r="Z81" s="14"/>
      <c r="AA81" s="14"/>
      <c r="AB81" s="14"/>
    </row>
    <row r="82" spans="1:28" ht="21">
      <c r="A82" s="5" t="s">
        <v>483</v>
      </c>
      <c r="B82" s="5" t="s">
        <v>484</v>
      </c>
      <c r="C82" s="10"/>
      <c r="D82" s="10"/>
      <c r="E82" s="10"/>
      <c r="F82" s="10"/>
      <c r="G82" s="10" t="str">
        <f>IF(AND(ISNUMBER(MATCH(C82,{"F","E","D","D+","C","C+","B","B+","A","A+","S"},0)),ISNUMBER(MATCH(D82,{"F","E","D","D+","C","C+","B","B+","A","A+","S"},0)),ISNUMBER(MATCH(E82,{"F","E","D","D+","C","C+","B","B+","A","A+","S"},0)),ISNUMBER(MATCH(F82,{"F","E","D","D+","C","C+","B","B+","A","A+","S"},0))),LOOKUP(AVERAGE(_xlfn.SWITCH(C82,"F",0,"E",10,"D",20,"D+",30,"C",40,"C+",50,"B",60,"B+",70,"A",80,"A+",90,"S",100),_xlfn.SWITCH(D82,"F",0,"E",10,"D",20,"D+",30,"C",40,"C+",50,"B",60,"B+",70,"A",80,"A+",90,"S",100),_xlfn.SWITCH(E82,"F",0,"E",10,"D",20,"D+",30,"C",40,"C+",50,"B",60,"B+",70,"A",80,"A+",90,"S",100),_xlfn.SWITCH(F82,"F",0,"E",10,"D",20,"D+",30,"C",40,"C+",50,"B",60,"B+",70,"A",80,"A+",90,"S",100)),{0,15,25,35,45,55,65,75,85,95},{"D","D","D+","C","C+","B","B+","A","A+","S"}),"?")</f>
        <v>?</v>
      </c>
      <c r="H82" s="7"/>
      <c r="I82" s="2"/>
      <c r="J82" s="2"/>
      <c r="K82" s="14"/>
      <c r="L82" s="14"/>
      <c r="M82" s="14"/>
      <c r="N82" s="14"/>
      <c r="O82" s="14"/>
      <c r="P82" s="14"/>
      <c r="Q82" s="14"/>
      <c r="R82" s="14"/>
      <c r="S82" s="14"/>
      <c r="T82" s="14"/>
      <c r="U82" s="14"/>
      <c r="V82" s="14"/>
      <c r="W82" s="14"/>
      <c r="X82" s="14"/>
      <c r="Y82" s="14"/>
      <c r="Z82" s="14"/>
      <c r="AA82" s="14"/>
      <c r="AB82" s="14"/>
    </row>
    <row r="83" spans="1:28" ht="21">
      <c r="A83" s="5" t="s">
        <v>488</v>
      </c>
      <c r="B83" s="5" t="s">
        <v>489</v>
      </c>
      <c r="C83" s="10"/>
      <c r="D83" s="10"/>
      <c r="E83" s="10"/>
      <c r="F83" s="10"/>
      <c r="G83" s="10" t="str">
        <f>IF(AND(ISNUMBER(MATCH(C83,{"F","E","D","D+","C","C+","B","B+","A","A+","S"},0)),ISNUMBER(MATCH(D83,{"F","E","D","D+","C","C+","B","B+","A","A+","S"},0)),ISNUMBER(MATCH(E83,{"F","E","D","D+","C","C+","B","B+","A","A+","S"},0)),ISNUMBER(MATCH(F83,{"F","E","D","D+","C","C+","B","B+","A","A+","S"},0))),LOOKUP(AVERAGE(_xlfn.SWITCH(C83,"F",0,"E",10,"D",20,"D+",30,"C",40,"C+",50,"B",60,"B+",70,"A",80,"A+",90,"S",100),_xlfn.SWITCH(D83,"F",0,"E",10,"D",20,"D+",30,"C",40,"C+",50,"B",60,"B+",70,"A",80,"A+",90,"S",100),_xlfn.SWITCH(E83,"F",0,"E",10,"D",20,"D+",30,"C",40,"C+",50,"B",60,"B+",70,"A",80,"A+",90,"S",100),_xlfn.SWITCH(F83,"F",0,"E",10,"D",20,"D+",30,"C",40,"C+",50,"B",60,"B+",70,"A",80,"A+",90,"S",100)),{0,15,25,35,45,55,65,75,85,95},{"D","D","D+","C","C+","B","B+","A","A+","S"}),"?")</f>
        <v>?</v>
      </c>
      <c r="H83" s="7"/>
      <c r="I83" s="2"/>
      <c r="J83" s="2"/>
      <c r="K83" s="14"/>
      <c r="L83" s="14"/>
      <c r="M83" s="14"/>
      <c r="N83" s="14"/>
      <c r="O83" s="14"/>
      <c r="P83" s="14"/>
      <c r="Q83" s="14"/>
      <c r="R83" s="14"/>
      <c r="S83" s="14"/>
      <c r="T83" s="14"/>
      <c r="U83" s="14"/>
      <c r="V83" s="14"/>
      <c r="W83" s="14"/>
      <c r="X83" s="14"/>
      <c r="Y83" s="14"/>
      <c r="Z83" s="14"/>
      <c r="AA83" s="14"/>
      <c r="AB83" s="14"/>
    </row>
    <row r="84" spans="1:28" ht="21">
      <c r="A84" s="5" t="s">
        <v>494</v>
      </c>
      <c r="B84" s="5" t="s">
        <v>495</v>
      </c>
      <c r="C84" s="10"/>
      <c r="D84" s="10"/>
      <c r="E84" s="10"/>
      <c r="F84" s="10"/>
      <c r="G84" s="10" t="str">
        <f>IF(AND(ISNUMBER(MATCH(C84,{"F","E","D","D+","C","C+","B","B+","A","A+","S"},0)),ISNUMBER(MATCH(D84,{"F","E","D","D+","C","C+","B","B+","A","A+","S"},0)),ISNUMBER(MATCH(E84,{"F","E","D","D+","C","C+","B","B+","A","A+","S"},0)),ISNUMBER(MATCH(F84,{"F","E","D","D+","C","C+","B","B+","A","A+","S"},0))),LOOKUP(AVERAGE(_xlfn.SWITCH(C84,"F",0,"E",10,"D",20,"D+",30,"C",40,"C+",50,"B",60,"B+",70,"A",80,"A+",90,"S",100),_xlfn.SWITCH(D84,"F",0,"E",10,"D",20,"D+",30,"C",40,"C+",50,"B",60,"B+",70,"A",80,"A+",90,"S",100),_xlfn.SWITCH(E84,"F",0,"E",10,"D",20,"D+",30,"C",40,"C+",50,"B",60,"B+",70,"A",80,"A+",90,"S",100),_xlfn.SWITCH(F84,"F",0,"E",10,"D",20,"D+",30,"C",40,"C+",50,"B",60,"B+",70,"A",80,"A+",90,"S",100)),{0,15,25,35,45,55,65,75,85,95},{"D","D","D+","C","C+","B","B+","A","A+","S"}),"?")</f>
        <v>?</v>
      </c>
      <c r="H84" s="7"/>
      <c r="I84" s="2"/>
      <c r="J84" s="2"/>
      <c r="K84" s="14"/>
      <c r="L84" s="14"/>
      <c r="M84" s="14"/>
      <c r="N84" s="14"/>
      <c r="O84" s="14"/>
      <c r="P84" s="14"/>
      <c r="Q84" s="14"/>
      <c r="R84" s="14"/>
      <c r="S84" s="14"/>
      <c r="T84" s="14"/>
      <c r="U84" s="14"/>
      <c r="V84" s="14"/>
      <c r="W84" s="14"/>
      <c r="X84" s="14"/>
      <c r="Y84" s="14"/>
      <c r="Z84" s="14"/>
      <c r="AA84" s="14"/>
      <c r="AB84" s="14"/>
    </row>
    <row r="85" spans="1:28" ht="21">
      <c r="A85" s="5" t="s">
        <v>500</v>
      </c>
      <c r="B85" s="5" t="s">
        <v>501</v>
      </c>
      <c r="C85" s="10"/>
      <c r="D85" s="10"/>
      <c r="E85" s="10"/>
      <c r="F85" s="10"/>
      <c r="G85" s="10" t="str">
        <f>IF(AND(ISNUMBER(MATCH(C85,{"F","E","D","D+","C","C+","B","B+","A","A+","S"},0)),ISNUMBER(MATCH(D85,{"F","E","D","D+","C","C+","B","B+","A","A+","S"},0)),ISNUMBER(MATCH(E85,{"F","E","D","D+","C","C+","B","B+","A","A+","S"},0)),ISNUMBER(MATCH(F85,{"F","E","D","D+","C","C+","B","B+","A","A+","S"},0))),LOOKUP(AVERAGE(_xlfn.SWITCH(C85,"F",0,"E",10,"D",20,"D+",30,"C",40,"C+",50,"B",60,"B+",70,"A",80,"A+",90,"S",100),_xlfn.SWITCH(D85,"F",0,"E",10,"D",20,"D+",30,"C",40,"C+",50,"B",60,"B+",70,"A",80,"A+",90,"S",100),_xlfn.SWITCH(E85,"F",0,"E",10,"D",20,"D+",30,"C",40,"C+",50,"B",60,"B+",70,"A",80,"A+",90,"S",100),_xlfn.SWITCH(F85,"F",0,"E",10,"D",20,"D+",30,"C",40,"C+",50,"B",60,"B+",70,"A",80,"A+",90,"S",100)),{0,15,25,35,45,55,65,75,85,95},{"D","D","D+","C","C+","B","B+","A","A+","S"}),"?")</f>
        <v>?</v>
      </c>
      <c r="H85" s="7"/>
      <c r="I85" s="2"/>
      <c r="J85" s="2"/>
      <c r="K85" s="14"/>
      <c r="L85" s="14"/>
      <c r="M85" s="14"/>
      <c r="N85" s="14"/>
      <c r="O85" s="14"/>
      <c r="P85" s="14"/>
      <c r="Q85" s="14"/>
      <c r="R85" s="14"/>
      <c r="S85" s="14"/>
      <c r="T85" s="14"/>
      <c r="U85" s="14"/>
      <c r="V85" s="14"/>
      <c r="W85" s="14"/>
      <c r="X85" s="14"/>
      <c r="Y85" s="14"/>
      <c r="Z85" s="14"/>
      <c r="AA85" s="14"/>
      <c r="AB85" s="14"/>
    </row>
    <row r="86" spans="1:28" ht="21">
      <c r="A86" s="5" t="s">
        <v>505</v>
      </c>
      <c r="B86" s="5" t="s">
        <v>506</v>
      </c>
      <c r="C86" s="10"/>
      <c r="D86" s="10"/>
      <c r="E86" s="10"/>
      <c r="F86" s="10"/>
      <c r="G86" s="10" t="str">
        <f>IF(AND(ISNUMBER(MATCH(C86,{"F","E","D","D+","C","C+","B","B+","A","A+","S"},0)),ISNUMBER(MATCH(D86,{"F","E","D","D+","C","C+","B","B+","A","A+","S"},0)),ISNUMBER(MATCH(E86,{"F","E","D","D+","C","C+","B","B+","A","A+","S"},0)),ISNUMBER(MATCH(F86,{"F","E","D","D+","C","C+","B","B+","A","A+","S"},0))),LOOKUP(AVERAGE(_xlfn.SWITCH(C86,"F",0,"E",10,"D",20,"D+",30,"C",40,"C+",50,"B",60,"B+",70,"A",80,"A+",90,"S",100),_xlfn.SWITCH(D86,"F",0,"E",10,"D",20,"D+",30,"C",40,"C+",50,"B",60,"B+",70,"A",80,"A+",90,"S",100),_xlfn.SWITCH(E86,"F",0,"E",10,"D",20,"D+",30,"C",40,"C+",50,"B",60,"B+",70,"A",80,"A+",90,"S",100),_xlfn.SWITCH(F86,"F",0,"E",10,"D",20,"D+",30,"C",40,"C+",50,"B",60,"B+",70,"A",80,"A+",90,"S",100)),{0,15,25,35,45,55,65,75,85,95},{"D","D","D+","C","C+","B","B+","A","A+","S"}),"?")</f>
        <v>?</v>
      </c>
      <c r="H86" s="7"/>
      <c r="I86" s="2"/>
      <c r="J86" s="2"/>
      <c r="K86" s="14"/>
      <c r="L86" s="14"/>
      <c r="M86" s="14"/>
      <c r="N86" s="14"/>
      <c r="O86" s="14"/>
      <c r="P86" s="14"/>
      <c r="Q86" s="14"/>
      <c r="R86" s="14"/>
      <c r="S86" s="14"/>
      <c r="T86" s="14"/>
      <c r="U86" s="14"/>
      <c r="V86" s="14"/>
      <c r="W86" s="14"/>
      <c r="X86" s="14"/>
      <c r="Y86" s="14"/>
      <c r="Z86" s="14"/>
      <c r="AA86" s="14"/>
      <c r="AB86" s="14"/>
    </row>
    <row r="87" spans="1:28" ht="21">
      <c r="A87" s="5" t="s">
        <v>509</v>
      </c>
      <c r="B87" s="5" t="s">
        <v>237</v>
      </c>
      <c r="C87" s="10"/>
      <c r="D87" s="10"/>
      <c r="E87" s="10"/>
      <c r="F87" s="10"/>
      <c r="G87" s="10" t="str">
        <f>IF(AND(ISNUMBER(MATCH(C87,{"F","E","D","D+","C","C+","B","B+","A","A+","S"},0)),ISNUMBER(MATCH(D87,{"F","E","D","D+","C","C+","B","B+","A","A+","S"},0)),ISNUMBER(MATCH(E87,{"F","E","D","D+","C","C+","B","B+","A","A+","S"},0)),ISNUMBER(MATCH(F87,{"F","E","D","D+","C","C+","B","B+","A","A+","S"},0))),LOOKUP(AVERAGE(_xlfn.SWITCH(C87,"F",0,"E",10,"D",20,"D+",30,"C",40,"C+",50,"B",60,"B+",70,"A",80,"A+",90,"S",100),_xlfn.SWITCH(D87,"F",0,"E",10,"D",20,"D+",30,"C",40,"C+",50,"B",60,"B+",70,"A",80,"A+",90,"S",100),_xlfn.SWITCH(E87,"F",0,"E",10,"D",20,"D+",30,"C",40,"C+",50,"B",60,"B+",70,"A",80,"A+",90,"S",100),_xlfn.SWITCH(F87,"F",0,"E",10,"D",20,"D+",30,"C",40,"C+",50,"B",60,"B+",70,"A",80,"A+",90,"S",100)),{0,15,25,35,45,55,65,75,85,95},{"D","D","D+","C","C+","B","B+","A","A+","S"}),"?")</f>
        <v>?</v>
      </c>
      <c r="H87" s="7"/>
      <c r="I87" s="2"/>
      <c r="J87" s="2"/>
      <c r="K87" s="14"/>
      <c r="L87" s="14"/>
      <c r="M87" s="14"/>
      <c r="N87" s="14"/>
      <c r="O87" s="14"/>
      <c r="P87" s="14"/>
      <c r="Q87" s="14"/>
      <c r="R87" s="14"/>
      <c r="S87" s="14"/>
      <c r="T87" s="14"/>
      <c r="U87" s="14"/>
      <c r="V87" s="14"/>
      <c r="W87" s="14"/>
      <c r="X87" s="14"/>
      <c r="Y87" s="14"/>
      <c r="Z87" s="14"/>
      <c r="AA87" s="14"/>
      <c r="AB87" s="14"/>
    </row>
    <row r="88" spans="1:28" ht="21">
      <c r="A88" s="5" t="s">
        <v>510</v>
      </c>
      <c r="B88" s="5" t="s">
        <v>511</v>
      </c>
      <c r="C88" s="10"/>
      <c r="D88" s="10"/>
      <c r="E88" s="10"/>
      <c r="F88" s="10"/>
      <c r="G88" s="10" t="str">
        <f>IF(AND(ISNUMBER(MATCH(C88,{"F","E","D","D+","C","C+","B","B+","A","A+","S"},0)),ISNUMBER(MATCH(D88,{"F","E","D","D+","C","C+","B","B+","A","A+","S"},0)),ISNUMBER(MATCH(E88,{"F","E","D","D+","C","C+","B","B+","A","A+","S"},0)),ISNUMBER(MATCH(F88,{"F","E","D","D+","C","C+","B","B+","A","A+","S"},0))),LOOKUP(AVERAGE(_xlfn.SWITCH(C88,"F",0,"E",10,"D",20,"D+",30,"C",40,"C+",50,"B",60,"B+",70,"A",80,"A+",90,"S",100),_xlfn.SWITCH(D88,"F",0,"E",10,"D",20,"D+",30,"C",40,"C+",50,"B",60,"B+",70,"A",80,"A+",90,"S",100),_xlfn.SWITCH(E88,"F",0,"E",10,"D",20,"D+",30,"C",40,"C+",50,"B",60,"B+",70,"A",80,"A+",90,"S",100),_xlfn.SWITCH(F88,"F",0,"E",10,"D",20,"D+",30,"C",40,"C+",50,"B",60,"B+",70,"A",80,"A+",90,"S",100)),{0,15,25,35,45,55,65,75,85,95},{"D","D","D+","C","C+","B","B+","A","A+","S"}),"?")</f>
        <v>?</v>
      </c>
      <c r="H88" s="7"/>
      <c r="I88" s="2"/>
      <c r="J88" s="2"/>
      <c r="K88" s="14"/>
      <c r="L88" s="14"/>
      <c r="M88" s="14"/>
      <c r="N88" s="14"/>
      <c r="O88" s="14"/>
      <c r="P88" s="14"/>
      <c r="Q88" s="14"/>
      <c r="R88" s="14"/>
      <c r="S88" s="14"/>
      <c r="T88" s="14"/>
      <c r="U88" s="14"/>
      <c r="V88" s="14"/>
      <c r="W88" s="14"/>
      <c r="X88" s="14"/>
      <c r="Y88" s="14"/>
      <c r="Z88" s="14"/>
      <c r="AA88" s="14"/>
      <c r="AB88" s="14"/>
    </row>
    <row r="89" spans="1:28" ht="21">
      <c r="A89" s="5" t="s">
        <v>517</v>
      </c>
      <c r="B89" s="5" t="s">
        <v>224</v>
      </c>
      <c r="C89" s="10"/>
      <c r="D89" s="10"/>
      <c r="E89" s="10"/>
      <c r="F89" s="10"/>
      <c r="G89" s="10" t="str">
        <f>IF(AND(ISNUMBER(MATCH(C89,{"F","E","D","D+","C","C+","B","B+","A","A+","S"},0)),ISNUMBER(MATCH(D89,{"F","E","D","D+","C","C+","B","B+","A","A+","S"},0)),ISNUMBER(MATCH(E89,{"F","E","D","D+","C","C+","B","B+","A","A+","S"},0)),ISNUMBER(MATCH(F89,{"F","E","D","D+","C","C+","B","B+","A","A+","S"},0))),LOOKUP(AVERAGE(_xlfn.SWITCH(C89,"F",0,"E",10,"D",20,"D+",30,"C",40,"C+",50,"B",60,"B+",70,"A",80,"A+",90,"S",100),_xlfn.SWITCH(D89,"F",0,"E",10,"D",20,"D+",30,"C",40,"C+",50,"B",60,"B+",70,"A",80,"A+",90,"S",100),_xlfn.SWITCH(E89,"F",0,"E",10,"D",20,"D+",30,"C",40,"C+",50,"B",60,"B+",70,"A",80,"A+",90,"S",100),_xlfn.SWITCH(F89,"F",0,"E",10,"D",20,"D+",30,"C",40,"C+",50,"B",60,"B+",70,"A",80,"A+",90,"S",100)),{0,15,25,35,45,55,65,75,85,95},{"D","D","D+","C","C+","B","B+","A","A+","S"}),"?")</f>
        <v>?</v>
      </c>
      <c r="H89" s="7"/>
      <c r="I89" s="2"/>
      <c r="J89" s="2"/>
      <c r="K89" s="14"/>
      <c r="L89" s="14"/>
      <c r="M89" s="14"/>
      <c r="N89" s="14"/>
      <c r="O89" s="14"/>
      <c r="P89" s="14"/>
      <c r="Q89" s="14"/>
      <c r="R89" s="14"/>
      <c r="S89" s="14"/>
      <c r="T89" s="14"/>
      <c r="U89" s="14"/>
      <c r="V89" s="14"/>
      <c r="W89" s="14"/>
      <c r="X89" s="14"/>
      <c r="Y89" s="14"/>
      <c r="Z89" s="14"/>
      <c r="AA89" s="14"/>
      <c r="AB89" s="14"/>
    </row>
    <row r="90" spans="1:28" ht="21">
      <c r="A90" s="5" t="s">
        <v>523</v>
      </c>
      <c r="B90" s="5" t="s">
        <v>460</v>
      </c>
      <c r="C90" s="10"/>
      <c r="D90" s="10"/>
      <c r="E90" s="10"/>
      <c r="F90" s="10"/>
      <c r="G90" s="10" t="str">
        <f>IF(AND(ISNUMBER(MATCH(C90,{"F","E","D","D+","C","C+","B","B+","A","A+","S"},0)),ISNUMBER(MATCH(D90,{"F","E","D","D+","C","C+","B","B+","A","A+","S"},0)),ISNUMBER(MATCH(E90,{"F","E","D","D+","C","C+","B","B+","A","A+","S"},0)),ISNUMBER(MATCH(F90,{"F","E","D","D+","C","C+","B","B+","A","A+","S"},0))),LOOKUP(AVERAGE(_xlfn.SWITCH(C90,"F",0,"E",10,"D",20,"D+",30,"C",40,"C+",50,"B",60,"B+",70,"A",80,"A+",90,"S",100),_xlfn.SWITCH(D90,"F",0,"E",10,"D",20,"D+",30,"C",40,"C+",50,"B",60,"B+",70,"A",80,"A+",90,"S",100),_xlfn.SWITCH(E90,"F",0,"E",10,"D",20,"D+",30,"C",40,"C+",50,"B",60,"B+",70,"A",80,"A+",90,"S",100),_xlfn.SWITCH(F90,"F",0,"E",10,"D",20,"D+",30,"C",40,"C+",50,"B",60,"B+",70,"A",80,"A+",90,"S",100)),{0,15,25,35,45,55,65,75,85,95},{"D","D","D+","C","C+","B","B+","A","A+","S"}),"?")</f>
        <v>?</v>
      </c>
      <c r="H90" s="7"/>
      <c r="I90" s="2"/>
      <c r="J90" s="2"/>
      <c r="K90" s="14"/>
      <c r="L90" s="14"/>
      <c r="M90" s="14"/>
      <c r="N90" s="14"/>
      <c r="O90" s="14"/>
      <c r="P90" s="14"/>
      <c r="Q90" s="14"/>
      <c r="R90" s="14"/>
      <c r="S90" s="14"/>
      <c r="T90" s="14"/>
      <c r="U90" s="14"/>
      <c r="V90" s="14"/>
      <c r="W90" s="14"/>
      <c r="X90" s="14"/>
      <c r="Y90" s="14"/>
      <c r="Z90" s="14"/>
      <c r="AA90" s="14"/>
      <c r="AB90" s="14"/>
    </row>
    <row r="91" spans="1:28" ht="21">
      <c r="A91" s="5" t="s">
        <v>529</v>
      </c>
      <c r="B91" s="5" t="s">
        <v>530</v>
      </c>
      <c r="C91" s="10"/>
      <c r="D91" s="10"/>
      <c r="E91" s="10"/>
      <c r="F91" s="10"/>
      <c r="G91" s="10" t="str">
        <f>IF(AND(ISNUMBER(MATCH(C91,{"F","E","D","D+","C","C+","B","B+","A","A+","S"},0)),ISNUMBER(MATCH(D91,{"F","E","D","D+","C","C+","B","B+","A","A+","S"},0)),ISNUMBER(MATCH(E91,{"F","E","D","D+","C","C+","B","B+","A","A+","S"},0)),ISNUMBER(MATCH(F91,{"F","E","D","D+","C","C+","B","B+","A","A+","S"},0))),LOOKUP(AVERAGE(_xlfn.SWITCH(C91,"F",0,"E",10,"D",20,"D+",30,"C",40,"C+",50,"B",60,"B+",70,"A",80,"A+",90,"S",100),_xlfn.SWITCH(D91,"F",0,"E",10,"D",20,"D+",30,"C",40,"C+",50,"B",60,"B+",70,"A",80,"A+",90,"S",100),_xlfn.SWITCH(E91,"F",0,"E",10,"D",20,"D+",30,"C",40,"C+",50,"B",60,"B+",70,"A",80,"A+",90,"S",100),_xlfn.SWITCH(F91,"F",0,"E",10,"D",20,"D+",30,"C",40,"C+",50,"B",60,"B+",70,"A",80,"A+",90,"S",100)),{0,15,25,35,45,55,65,75,85,95},{"D","D","D+","C","C+","B","B+","A","A+","S"}),"?")</f>
        <v>?</v>
      </c>
      <c r="H91" s="7"/>
      <c r="I91" s="2"/>
      <c r="J91" s="2"/>
      <c r="K91" s="14"/>
      <c r="L91" s="14"/>
      <c r="M91" s="14"/>
      <c r="N91" s="14"/>
      <c r="O91" s="14"/>
      <c r="P91" s="14"/>
      <c r="Q91" s="14"/>
      <c r="R91" s="14"/>
      <c r="S91" s="14"/>
      <c r="T91" s="14"/>
      <c r="U91" s="14"/>
      <c r="V91" s="14"/>
      <c r="W91" s="14"/>
      <c r="X91" s="14"/>
      <c r="Y91" s="14"/>
      <c r="Z91" s="14"/>
      <c r="AA91" s="14"/>
      <c r="AB91" s="14"/>
    </row>
    <row r="92" spans="1:28" ht="21">
      <c r="A92" s="5" t="s">
        <v>534</v>
      </c>
      <c r="B92" s="5" t="s">
        <v>535</v>
      </c>
      <c r="C92" s="10"/>
      <c r="D92" s="10"/>
      <c r="E92" s="10"/>
      <c r="F92" s="10"/>
      <c r="G92" s="10" t="str">
        <f>IF(AND(ISNUMBER(MATCH(C92,{"F","E","D","D+","C","C+","B","B+","A","A+","S"},0)),ISNUMBER(MATCH(D92,{"F","E","D","D+","C","C+","B","B+","A","A+","S"},0)),ISNUMBER(MATCH(E92,{"F","E","D","D+","C","C+","B","B+","A","A+","S"},0)),ISNUMBER(MATCH(F92,{"F","E","D","D+","C","C+","B","B+","A","A+","S"},0))),LOOKUP(AVERAGE(_xlfn.SWITCH(C92,"F",0,"E",10,"D",20,"D+",30,"C",40,"C+",50,"B",60,"B+",70,"A",80,"A+",90,"S",100),_xlfn.SWITCH(D92,"F",0,"E",10,"D",20,"D+",30,"C",40,"C+",50,"B",60,"B+",70,"A",80,"A+",90,"S",100),_xlfn.SWITCH(E92,"F",0,"E",10,"D",20,"D+",30,"C",40,"C+",50,"B",60,"B+",70,"A",80,"A+",90,"S",100),_xlfn.SWITCH(F92,"F",0,"E",10,"D",20,"D+",30,"C",40,"C+",50,"B",60,"B+",70,"A",80,"A+",90,"S",100)),{0,15,25,35,45,55,65,75,85,95},{"D","D","D+","C","C+","B","B+","A","A+","S"}),"?")</f>
        <v>?</v>
      </c>
      <c r="H92" s="7"/>
      <c r="I92" s="2"/>
      <c r="J92" s="2"/>
      <c r="K92" s="14"/>
      <c r="L92" s="14"/>
      <c r="M92" s="14"/>
      <c r="N92" s="14"/>
      <c r="O92" s="14"/>
      <c r="P92" s="14"/>
      <c r="Q92" s="14"/>
      <c r="R92" s="14"/>
      <c r="S92" s="14"/>
      <c r="T92" s="14"/>
      <c r="U92" s="14"/>
      <c r="V92" s="14"/>
      <c r="W92" s="14"/>
      <c r="X92" s="14"/>
      <c r="Y92" s="14"/>
      <c r="Z92" s="14"/>
      <c r="AA92" s="14"/>
      <c r="AB92" s="14"/>
    </row>
    <row r="93" spans="1:28" ht="21">
      <c r="A93" s="5" t="s">
        <v>541</v>
      </c>
      <c r="B93" s="5" t="s">
        <v>542</v>
      </c>
      <c r="C93" s="10"/>
      <c r="D93" s="10"/>
      <c r="E93" s="10"/>
      <c r="F93" s="10"/>
      <c r="G93" s="10" t="str">
        <f>IF(AND(ISNUMBER(MATCH(C93,{"F","E","D","D+","C","C+","B","B+","A","A+","S"},0)),ISNUMBER(MATCH(D93,{"F","E","D","D+","C","C+","B","B+","A","A+","S"},0)),ISNUMBER(MATCH(E93,{"F","E","D","D+","C","C+","B","B+","A","A+","S"},0)),ISNUMBER(MATCH(F93,{"F","E","D","D+","C","C+","B","B+","A","A+","S"},0))),LOOKUP(AVERAGE(_xlfn.SWITCH(C93,"F",0,"E",10,"D",20,"D+",30,"C",40,"C+",50,"B",60,"B+",70,"A",80,"A+",90,"S",100),_xlfn.SWITCH(D93,"F",0,"E",10,"D",20,"D+",30,"C",40,"C+",50,"B",60,"B+",70,"A",80,"A+",90,"S",100),_xlfn.SWITCH(E93,"F",0,"E",10,"D",20,"D+",30,"C",40,"C+",50,"B",60,"B+",70,"A",80,"A+",90,"S",100),_xlfn.SWITCH(F93,"F",0,"E",10,"D",20,"D+",30,"C",40,"C+",50,"B",60,"B+",70,"A",80,"A+",90,"S",100)),{0,15,25,35,45,55,65,75,85,95},{"D","D","D+","C","C+","B","B+","A","A+","S"}),"?")</f>
        <v>?</v>
      </c>
      <c r="H93" s="7"/>
      <c r="I93" s="2"/>
      <c r="J93" s="2"/>
      <c r="K93" s="14"/>
      <c r="L93" s="14"/>
      <c r="M93" s="14"/>
      <c r="N93" s="14"/>
      <c r="O93" s="14"/>
      <c r="P93" s="14"/>
      <c r="Q93" s="14"/>
      <c r="R93" s="14"/>
      <c r="S93" s="14"/>
      <c r="T93" s="14"/>
      <c r="U93" s="14"/>
      <c r="V93" s="14"/>
      <c r="W93" s="14"/>
      <c r="X93" s="14"/>
      <c r="Y93" s="14"/>
      <c r="Z93" s="14"/>
      <c r="AA93" s="14"/>
      <c r="AB93" s="14"/>
    </row>
    <row r="94" spans="1:28" ht="21">
      <c r="A94" s="5" t="s">
        <v>548</v>
      </c>
      <c r="B94" s="5" t="s">
        <v>549</v>
      </c>
      <c r="C94" s="10"/>
      <c r="D94" s="10"/>
      <c r="E94" s="10"/>
      <c r="F94" s="10"/>
      <c r="G94" s="10" t="str">
        <f>IF(AND(ISNUMBER(MATCH(C94,{"F","E","D","D+","C","C+","B","B+","A","A+","S"},0)),ISNUMBER(MATCH(D94,{"F","E","D","D+","C","C+","B","B+","A","A+","S"},0)),ISNUMBER(MATCH(E94,{"F","E","D","D+","C","C+","B","B+","A","A+","S"},0)),ISNUMBER(MATCH(F94,{"F","E","D","D+","C","C+","B","B+","A","A+","S"},0))),LOOKUP(AVERAGE(_xlfn.SWITCH(C94,"F",0,"E",10,"D",20,"D+",30,"C",40,"C+",50,"B",60,"B+",70,"A",80,"A+",90,"S",100),_xlfn.SWITCH(D94,"F",0,"E",10,"D",20,"D+",30,"C",40,"C+",50,"B",60,"B+",70,"A",80,"A+",90,"S",100),_xlfn.SWITCH(E94,"F",0,"E",10,"D",20,"D+",30,"C",40,"C+",50,"B",60,"B+",70,"A",80,"A+",90,"S",100),_xlfn.SWITCH(F94,"F",0,"E",10,"D",20,"D+",30,"C",40,"C+",50,"B",60,"B+",70,"A",80,"A+",90,"S",100)),{0,15,25,35,45,55,65,75,85,95},{"D","D","D+","C","C+","B","B+","A","A+","S"}),"?")</f>
        <v>?</v>
      </c>
      <c r="H94" s="7"/>
      <c r="I94" s="2"/>
      <c r="J94" s="2"/>
      <c r="K94" s="14"/>
      <c r="L94" s="14"/>
      <c r="M94" s="14"/>
      <c r="N94" s="14"/>
      <c r="O94" s="14"/>
      <c r="P94" s="14"/>
      <c r="Q94" s="14"/>
      <c r="R94" s="14"/>
      <c r="S94" s="14"/>
      <c r="T94" s="14"/>
      <c r="U94" s="14"/>
      <c r="V94" s="14"/>
      <c r="W94" s="14"/>
      <c r="X94" s="14"/>
      <c r="Y94" s="14"/>
      <c r="Z94" s="14"/>
      <c r="AA94" s="14"/>
      <c r="AB94" s="14"/>
    </row>
    <row r="95" spans="1:28" ht="21">
      <c r="A95" s="5" t="s">
        <v>553</v>
      </c>
      <c r="B95" s="5" t="s">
        <v>352</v>
      </c>
      <c r="C95" s="10"/>
      <c r="D95" s="10"/>
      <c r="E95" s="10"/>
      <c r="F95" s="10"/>
      <c r="G95" s="10" t="str">
        <f>IF(AND(ISNUMBER(MATCH(C95,{"F","E","D","D+","C","C+","B","B+","A","A+","S"},0)),ISNUMBER(MATCH(D95,{"F","E","D","D+","C","C+","B","B+","A","A+","S"},0)),ISNUMBER(MATCH(E95,{"F","E","D","D+","C","C+","B","B+","A","A+","S"},0)),ISNUMBER(MATCH(F95,{"F","E","D","D+","C","C+","B","B+","A","A+","S"},0))),LOOKUP(AVERAGE(_xlfn.SWITCH(C95,"F",0,"E",10,"D",20,"D+",30,"C",40,"C+",50,"B",60,"B+",70,"A",80,"A+",90,"S",100),_xlfn.SWITCH(D95,"F",0,"E",10,"D",20,"D+",30,"C",40,"C+",50,"B",60,"B+",70,"A",80,"A+",90,"S",100),_xlfn.SWITCH(E95,"F",0,"E",10,"D",20,"D+",30,"C",40,"C+",50,"B",60,"B+",70,"A",80,"A+",90,"S",100),_xlfn.SWITCH(F95,"F",0,"E",10,"D",20,"D+",30,"C",40,"C+",50,"B",60,"B+",70,"A",80,"A+",90,"S",100)),{0,15,25,35,45,55,65,75,85,95},{"D","D","D+","C","C+","B","B+","A","A+","S"}),"?")</f>
        <v>?</v>
      </c>
      <c r="H95" s="7"/>
      <c r="I95" s="2"/>
      <c r="J95" s="2"/>
      <c r="K95" s="14"/>
      <c r="L95" s="14"/>
      <c r="M95" s="14"/>
      <c r="N95" s="14"/>
      <c r="O95" s="14"/>
      <c r="P95" s="14"/>
      <c r="Q95" s="14"/>
      <c r="R95" s="14"/>
      <c r="S95" s="14"/>
      <c r="T95" s="14"/>
      <c r="U95" s="14"/>
      <c r="V95" s="14"/>
      <c r="W95" s="14"/>
      <c r="X95" s="14"/>
      <c r="Y95" s="14"/>
      <c r="Z95" s="14"/>
      <c r="AA95" s="14"/>
      <c r="AB95" s="14"/>
    </row>
    <row r="96" spans="1:28" ht="21">
      <c r="A96" s="5" t="s">
        <v>559</v>
      </c>
      <c r="B96" s="5" t="s">
        <v>560</v>
      </c>
      <c r="C96" s="10"/>
      <c r="D96" s="10"/>
      <c r="E96" s="10"/>
      <c r="F96" s="10"/>
      <c r="G96" s="10" t="str">
        <f>IF(AND(ISNUMBER(MATCH(C96,{"F","E","D","D+","C","C+","B","B+","A","A+","S"},0)),ISNUMBER(MATCH(D96,{"F","E","D","D+","C","C+","B","B+","A","A+","S"},0)),ISNUMBER(MATCH(E96,{"F","E","D","D+","C","C+","B","B+","A","A+","S"},0)),ISNUMBER(MATCH(F96,{"F","E","D","D+","C","C+","B","B+","A","A+","S"},0))),LOOKUP(AVERAGE(_xlfn.SWITCH(C96,"F",0,"E",10,"D",20,"D+",30,"C",40,"C+",50,"B",60,"B+",70,"A",80,"A+",90,"S",100),_xlfn.SWITCH(D96,"F",0,"E",10,"D",20,"D+",30,"C",40,"C+",50,"B",60,"B+",70,"A",80,"A+",90,"S",100),_xlfn.SWITCH(E96,"F",0,"E",10,"D",20,"D+",30,"C",40,"C+",50,"B",60,"B+",70,"A",80,"A+",90,"S",100),_xlfn.SWITCH(F96,"F",0,"E",10,"D",20,"D+",30,"C",40,"C+",50,"B",60,"B+",70,"A",80,"A+",90,"S",100)),{0,15,25,35,45,55,65,75,85,95},{"D","D","D+","C","C+","B","B+","A","A+","S"}),"?")</f>
        <v>?</v>
      </c>
      <c r="H96" s="7"/>
      <c r="I96" s="2"/>
      <c r="J96" s="2"/>
      <c r="K96" s="14"/>
      <c r="L96" s="14"/>
      <c r="M96" s="14"/>
      <c r="N96" s="14"/>
      <c r="O96" s="14"/>
      <c r="P96" s="14"/>
      <c r="Q96" s="14"/>
      <c r="R96" s="14"/>
      <c r="S96" s="14"/>
      <c r="T96" s="14"/>
      <c r="U96" s="14"/>
      <c r="V96" s="14"/>
      <c r="W96" s="14"/>
      <c r="X96" s="14"/>
      <c r="Y96" s="14"/>
      <c r="Z96" s="14"/>
      <c r="AA96" s="14"/>
      <c r="AB96" s="14"/>
    </row>
    <row r="97" spans="1:28" ht="21">
      <c r="A97" s="5" t="s">
        <v>565</v>
      </c>
      <c r="B97" s="5" t="s">
        <v>441</v>
      </c>
      <c r="C97" s="10"/>
      <c r="D97" s="10"/>
      <c r="E97" s="10"/>
      <c r="F97" s="10"/>
      <c r="G97" s="10" t="str">
        <f>IF(AND(ISNUMBER(MATCH(C97,{"F","E","D","D+","C","C+","B","B+","A","A+","S"},0)),ISNUMBER(MATCH(D97,{"F","E","D","D+","C","C+","B","B+","A","A+","S"},0)),ISNUMBER(MATCH(E97,{"F","E","D","D+","C","C+","B","B+","A","A+","S"},0)),ISNUMBER(MATCH(F97,{"F","E","D","D+","C","C+","B","B+","A","A+","S"},0))),LOOKUP(AVERAGE(_xlfn.SWITCH(C97,"F",0,"E",10,"D",20,"D+",30,"C",40,"C+",50,"B",60,"B+",70,"A",80,"A+",90,"S",100),_xlfn.SWITCH(D97,"F",0,"E",10,"D",20,"D+",30,"C",40,"C+",50,"B",60,"B+",70,"A",80,"A+",90,"S",100),_xlfn.SWITCH(E97,"F",0,"E",10,"D",20,"D+",30,"C",40,"C+",50,"B",60,"B+",70,"A",80,"A+",90,"S",100),_xlfn.SWITCH(F97,"F",0,"E",10,"D",20,"D+",30,"C",40,"C+",50,"B",60,"B+",70,"A",80,"A+",90,"S",100)),{0,15,25,35,45,55,65,75,85,95},{"D","D","D+","C","C+","B","B+","A","A+","S"}),"?")</f>
        <v>?</v>
      </c>
      <c r="H97" s="7"/>
      <c r="I97" s="2"/>
      <c r="J97" s="2"/>
      <c r="K97" s="14"/>
      <c r="L97" s="14"/>
      <c r="M97" s="14"/>
      <c r="N97" s="14"/>
      <c r="O97" s="14"/>
      <c r="P97" s="14"/>
      <c r="Q97" s="14"/>
      <c r="R97" s="14"/>
      <c r="S97" s="14"/>
      <c r="T97" s="14"/>
      <c r="U97" s="14"/>
      <c r="V97" s="14"/>
      <c r="W97" s="14"/>
      <c r="X97" s="14"/>
      <c r="Y97" s="14"/>
      <c r="Z97" s="14"/>
      <c r="AA97" s="14"/>
      <c r="AB97" s="14"/>
    </row>
    <row r="98" spans="1:28" ht="21">
      <c r="A98" s="5" t="s">
        <v>571</v>
      </c>
      <c r="B98" s="5" t="s">
        <v>572</v>
      </c>
      <c r="C98" s="10"/>
      <c r="D98" s="10"/>
      <c r="E98" s="10"/>
      <c r="F98" s="10"/>
      <c r="G98" s="10" t="str">
        <f>IF(AND(ISNUMBER(MATCH(C98,{"F","E","D","D+","C","C+","B","B+","A","A+","S"},0)),ISNUMBER(MATCH(D98,{"F","E","D","D+","C","C+","B","B+","A","A+","S"},0)),ISNUMBER(MATCH(E98,{"F","E","D","D+","C","C+","B","B+","A","A+","S"},0)),ISNUMBER(MATCH(F98,{"F","E","D","D+","C","C+","B","B+","A","A+","S"},0))),LOOKUP(AVERAGE(_xlfn.SWITCH(C98,"F",0,"E",10,"D",20,"D+",30,"C",40,"C+",50,"B",60,"B+",70,"A",80,"A+",90,"S",100),_xlfn.SWITCH(D98,"F",0,"E",10,"D",20,"D+",30,"C",40,"C+",50,"B",60,"B+",70,"A",80,"A+",90,"S",100),_xlfn.SWITCH(E98,"F",0,"E",10,"D",20,"D+",30,"C",40,"C+",50,"B",60,"B+",70,"A",80,"A+",90,"S",100),_xlfn.SWITCH(F98,"F",0,"E",10,"D",20,"D+",30,"C",40,"C+",50,"B",60,"B+",70,"A",80,"A+",90,"S",100)),{0,15,25,35,45,55,65,75,85,95},{"D","D","D+","C","C+","B","B+","A","A+","S"}),"?")</f>
        <v>?</v>
      </c>
      <c r="H98" s="7"/>
      <c r="I98" s="2"/>
      <c r="J98" s="2"/>
      <c r="K98" s="14"/>
      <c r="L98" s="14"/>
      <c r="M98" s="14"/>
      <c r="N98" s="14"/>
      <c r="O98" s="14"/>
      <c r="P98" s="14"/>
      <c r="Q98" s="14"/>
      <c r="R98" s="14"/>
      <c r="S98" s="14"/>
      <c r="T98" s="14"/>
      <c r="U98" s="14"/>
      <c r="V98" s="14"/>
      <c r="W98" s="14"/>
      <c r="X98" s="14"/>
      <c r="Y98" s="14"/>
      <c r="Z98" s="14"/>
      <c r="AA98" s="14"/>
      <c r="AB98" s="14"/>
    </row>
    <row r="99" spans="1:28" ht="21">
      <c r="A99" s="5" t="s">
        <v>578</v>
      </c>
      <c r="B99" s="5" t="s">
        <v>579</v>
      </c>
      <c r="C99" s="10"/>
      <c r="D99" s="10"/>
      <c r="E99" s="10"/>
      <c r="F99" s="10"/>
      <c r="G99" s="10" t="str">
        <f>IF(AND(ISNUMBER(MATCH(C99,{"F","E","D","D+","C","C+","B","B+","A","A+","S"},0)),ISNUMBER(MATCH(D99,{"F","E","D","D+","C","C+","B","B+","A","A+","S"},0)),ISNUMBER(MATCH(E99,{"F","E","D","D+","C","C+","B","B+","A","A+","S"},0)),ISNUMBER(MATCH(F99,{"F","E","D","D+","C","C+","B","B+","A","A+","S"},0))),LOOKUP(AVERAGE(_xlfn.SWITCH(C99,"F",0,"E",10,"D",20,"D+",30,"C",40,"C+",50,"B",60,"B+",70,"A",80,"A+",90,"S",100),_xlfn.SWITCH(D99,"F",0,"E",10,"D",20,"D+",30,"C",40,"C+",50,"B",60,"B+",70,"A",80,"A+",90,"S",100),_xlfn.SWITCH(E99,"F",0,"E",10,"D",20,"D+",30,"C",40,"C+",50,"B",60,"B+",70,"A",80,"A+",90,"S",100),_xlfn.SWITCH(F99,"F",0,"E",10,"D",20,"D+",30,"C",40,"C+",50,"B",60,"B+",70,"A",80,"A+",90,"S",100)),{0,15,25,35,45,55,65,75,85,95},{"D","D","D+","C","C+","B","B+","A","A+","S"}),"?")</f>
        <v>?</v>
      </c>
      <c r="H99" s="7"/>
      <c r="I99" s="2"/>
      <c r="J99" s="2"/>
      <c r="K99" s="14"/>
      <c r="L99" s="14"/>
      <c r="M99" s="14"/>
      <c r="N99" s="14"/>
      <c r="O99" s="14"/>
      <c r="P99" s="14"/>
      <c r="Q99" s="14"/>
      <c r="R99" s="14"/>
      <c r="S99" s="14"/>
      <c r="T99" s="14"/>
      <c r="U99" s="14"/>
      <c r="V99" s="14"/>
      <c r="W99" s="14"/>
      <c r="X99" s="14"/>
      <c r="Y99" s="14"/>
      <c r="Z99" s="14"/>
      <c r="AA99" s="14"/>
      <c r="AB99" s="14"/>
    </row>
    <row r="100" spans="1:28" ht="21">
      <c r="A100" s="5" t="s">
        <v>585</v>
      </c>
      <c r="B100" s="5" t="s">
        <v>586</v>
      </c>
      <c r="C100" s="10"/>
      <c r="D100" s="10"/>
      <c r="E100" s="10"/>
      <c r="F100" s="10"/>
      <c r="G100" s="10" t="str">
        <f>IF(AND(ISNUMBER(MATCH(C100,{"F","E","D","D+","C","C+","B","B+","A","A+","S"},0)),ISNUMBER(MATCH(D100,{"F","E","D","D+","C","C+","B","B+","A","A+","S"},0)),ISNUMBER(MATCH(E100,{"F","E","D","D+","C","C+","B","B+","A","A+","S"},0)),ISNUMBER(MATCH(F100,{"F","E","D","D+","C","C+","B","B+","A","A+","S"},0))),LOOKUP(AVERAGE(_xlfn.SWITCH(C100,"F",0,"E",10,"D",20,"D+",30,"C",40,"C+",50,"B",60,"B+",70,"A",80,"A+",90,"S",100),_xlfn.SWITCH(D100,"F",0,"E",10,"D",20,"D+",30,"C",40,"C+",50,"B",60,"B+",70,"A",80,"A+",90,"S",100),_xlfn.SWITCH(E100,"F",0,"E",10,"D",20,"D+",30,"C",40,"C+",50,"B",60,"B+",70,"A",80,"A+",90,"S",100),_xlfn.SWITCH(F100,"F",0,"E",10,"D",20,"D+",30,"C",40,"C+",50,"B",60,"B+",70,"A",80,"A+",90,"S",100)),{0,15,25,35,45,55,65,75,85,95},{"D","D","D+","C","C+","B","B+","A","A+","S"}),"?")</f>
        <v>?</v>
      </c>
      <c r="H100" s="7"/>
      <c r="I100" s="2"/>
      <c r="J100" s="2"/>
      <c r="K100" s="14"/>
      <c r="L100" s="14"/>
      <c r="M100" s="14"/>
      <c r="N100" s="14"/>
      <c r="O100" s="14"/>
      <c r="P100" s="14"/>
      <c r="Q100" s="14"/>
      <c r="R100" s="14"/>
      <c r="S100" s="14"/>
      <c r="T100" s="14"/>
      <c r="U100" s="14"/>
      <c r="V100" s="14"/>
      <c r="W100" s="14"/>
      <c r="X100" s="14"/>
      <c r="Y100" s="14"/>
      <c r="Z100" s="14"/>
      <c r="AA100" s="14"/>
      <c r="AB100" s="14"/>
    </row>
    <row r="101" spans="1:28" ht="21">
      <c r="A101" s="5" t="s">
        <v>590</v>
      </c>
      <c r="B101" s="5" t="s">
        <v>591</v>
      </c>
      <c r="C101" s="10"/>
      <c r="D101" s="10"/>
      <c r="E101" s="10"/>
      <c r="F101" s="10"/>
      <c r="G101" s="10" t="str">
        <f>IF(AND(ISNUMBER(MATCH(C101,{"F","E","D","D+","C","C+","B","B+","A","A+","S"},0)),ISNUMBER(MATCH(D101,{"F","E","D","D+","C","C+","B","B+","A","A+","S"},0)),ISNUMBER(MATCH(E101,{"F","E","D","D+","C","C+","B","B+","A","A+","S"},0)),ISNUMBER(MATCH(F101,{"F","E","D","D+","C","C+","B","B+","A","A+","S"},0))),LOOKUP(AVERAGE(_xlfn.SWITCH(C101,"F",0,"E",10,"D",20,"D+",30,"C",40,"C+",50,"B",60,"B+",70,"A",80,"A+",90,"S",100),_xlfn.SWITCH(D101,"F",0,"E",10,"D",20,"D+",30,"C",40,"C+",50,"B",60,"B+",70,"A",80,"A+",90,"S",100),_xlfn.SWITCH(E101,"F",0,"E",10,"D",20,"D+",30,"C",40,"C+",50,"B",60,"B+",70,"A",80,"A+",90,"S",100),_xlfn.SWITCH(F101,"F",0,"E",10,"D",20,"D+",30,"C",40,"C+",50,"B",60,"B+",70,"A",80,"A+",90,"S",100)),{0,15,25,35,45,55,65,75,85,95},{"D","D","D+","C","C+","B","B+","A","A+","S"}),"?")</f>
        <v>?</v>
      </c>
      <c r="H101" s="7"/>
      <c r="I101" s="2"/>
      <c r="J101" s="2"/>
      <c r="K101" s="14"/>
      <c r="L101" s="14"/>
      <c r="M101" s="14"/>
      <c r="N101" s="14"/>
      <c r="O101" s="14"/>
      <c r="P101" s="14"/>
      <c r="Q101" s="14"/>
      <c r="R101" s="14"/>
      <c r="S101" s="14"/>
      <c r="T101" s="14"/>
      <c r="U101" s="14"/>
      <c r="V101" s="14"/>
      <c r="W101" s="14"/>
      <c r="X101" s="14"/>
      <c r="Y101" s="14"/>
      <c r="Z101" s="14"/>
      <c r="AA101" s="14"/>
      <c r="AB101" s="14"/>
    </row>
    <row r="102" spans="1:28" ht="21">
      <c r="A102" s="5" t="s">
        <v>595</v>
      </c>
      <c r="B102" s="5" t="s">
        <v>596</v>
      </c>
      <c r="C102" s="10"/>
      <c r="D102" s="10"/>
      <c r="E102" s="10"/>
      <c r="F102" s="10"/>
      <c r="G102" s="10" t="str">
        <f>IF(AND(ISNUMBER(MATCH(C102,{"F","E","D","D+","C","C+","B","B+","A","A+","S"},0)),ISNUMBER(MATCH(D102,{"F","E","D","D+","C","C+","B","B+","A","A+","S"},0)),ISNUMBER(MATCH(E102,{"F","E","D","D+","C","C+","B","B+","A","A+","S"},0)),ISNUMBER(MATCH(F102,{"F","E","D","D+","C","C+","B","B+","A","A+","S"},0))),LOOKUP(AVERAGE(_xlfn.SWITCH(C102,"F",0,"E",10,"D",20,"D+",30,"C",40,"C+",50,"B",60,"B+",70,"A",80,"A+",90,"S",100),_xlfn.SWITCH(D102,"F",0,"E",10,"D",20,"D+",30,"C",40,"C+",50,"B",60,"B+",70,"A",80,"A+",90,"S",100),_xlfn.SWITCH(E102,"F",0,"E",10,"D",20,"D+",30,"C",40,"C+",50,"B",60,"B+",70,"A",80,"A+",90,"S",100),_xlfn.SWITCH(F102,"F",0,"E",10,"D",20,"D+",30,"C",40,"C+",50,"B",60,"B+",70,"A",80,"A+",90,"S",100)),{0,15,25,35,45,55,65,75,85,95},{"D","D","D+","C","C+","B","B+","A","A+","S"}),"?")</f>
        <v>?</v>
      </c>
      <c r="H102" s="7"/>
      <c r="I102" s="2"/>
      <c r="J102" s="2"/>
      <c r="K102" s="14"/>
      <c r="L102" s="14"/>
      <c r="M102" s="14"/>
      <c r="N102" s="14"/>
      <c r="O102" s="14"/>
      <c r="P102" s="14"/>
      <c r="Q102" s="14"/>
      <c r="R102" s="14"/>
      <c r="S102" s="14"/>
      <c r="T102" s="14"/>
      <c r="U102" s="14"/>
      <c r="V102" s="14"/>
      <c r="W102" s="14"/>
      <c r="X102" s="14"/>
      <c r="Y102" s="14"/>
      <c r="Z102" s="14"/>
      <c r="AA102" s="14"/>
      <c r="AB102" s="14"/>
    </row>
    <row r="103" spans="1:28" ht="21">
      <c r="A103" s="5" t="s">
        <v>602</v>
      </c>
      <c r="B103" s="5" t="s">
        <v>603</v>
      </c>
      <c r="C103" s="10"/>
      <c r="D103" s="10"/>
      <c r="E103" s="10"/>
      <c r="F103" s="10"/>
      <c r="G103" s="10" t="str">
        <f>IF(AND(ISNUMBER(MATCH(C103,{"F","E","D","D+","C","C+","B","B+","A","A+","S"},0)),ISNUMBER(MATCH(D103,{"F","E","D","D+","C","C+","B","B+","A","A+","S"},0)),ISNUMBER(MATCH(E103,{"F","E","D","D+","C","C+","B","B+","A","A+","S"},0)),ISNUMBER(MATCH(F103,{"F","E","D","D+","C","C+","B","B+","A","A+","S"},0))),LOOKUP(AVERAGE(_xlfn.SWITCH(C103,"F",0,"E",10,"D",20,"D+",30,"C",40,"C+",50,"B",60,"B+",70,"A",80,"A+",90,"S",100),_xlfn.SWITCH(D103,"F",0,"E",10,"D",20,"D+",30,"C",40,"C+",50,"B",60,"B+",70,"A",80,"A+",90,"S",100),_xlfn.SWITCH(E103,"F",0,"E",10,"D",20,"D+",30,"C",40,"C+",50,"B",60,"B+",70,"A",80,"A+",90,"S",100),_xlfn.SWITCH(F103,"F",0,"E",10,"D",20,"D+",30,"C",40,"C+",50,"B",60,"B+",70,"A",80,"A+",90,"S",100)),{0,15,25,35,45,55,65,75,85,95},{"D","D","D+","C","C+","B","B+","A","A+","S"}),"?")</f>
        <v>?</v>
      </c>
      <c r="H103" s="7"/>
      <c r="I103" s="2"/>
      <c r="J103" s="2"/>
      <c r="K103" s="14"/>
      <c r="L103" s="14"/>
      <c r="M103" s="14"/>
      <c r="N103" s="14"/>
      <c r="O103" s="14"/>
      <c r="P103" s="14"/>
      <c r="Q103" s="14"/>
      <c r="R103" s="14"/>
      <c r="S103" s="14"/>
      <c r="T103" s="14"/>
      <c r="U103" s="14"/>
      <c r="V103" s="14"/>
      <c r="W103" s="14"/>
      <c r="X103" s="14"/>
      <c r="Y103" s="14"/>
      <c r="Z103" s="14"/>
      <c r="AA103" s="14"/>
      <c r="AB103" s="14"/>
    </row>
    <row r="104" spans="1:28" ht="21">
      <c r="A104" s="5" t="s">
        <v>607</v>
      </c>
      <c r="B104" s="5" t="s">
        <v>381</v>
      </c>
      <c r="C104" s="10"/>
      <c r="D104" s="10"/>
      <c r="E104" s="10"/>
      <c r="F104" s="10"/>
      <c r="G104" s="10" t="str">
        <f>IF(AND(ISNUMBER(MATCH(C104,{"F","E","D","D+","C","C+","B","B+","A","A+","S"},0)),ISNUMBER(MATCH(D104,{"F","E","D","D+","C","C+","B","B+","A","A+","S"},0)),ISNUMBER(MATCH(E104,{"F","E","D","D+","C","C+","B","B+","A","A+","S"},0)),ISNUMBER(MATCH(F104,{"F","E","D","D+","C","C+","B","B+","A","A+","S"},0))),LOOKUP(AVERAGE(_xlfn.SWITCH(C104,"F",0,"E",10,"D",20,"D+",30,"C",40,"C+",50,"B",60,"B+",70,"A",80,"A+",90,"S",100),_xlfn.SWITCH(D104,"F",0,"E",10,"D",20,"D+",30,"C",40,"C+",50,"B",60,"B+",70,"A",80,"A+",90,"S",100),_xlfn.SWITCH(E104,"F",0,"E",10,"D",20,"D+",30,"C",40,"C+",50,"B",60,"B+",70,"A",80,"A+",90,"S",100),_xlfn.SWITCH(F104,"F",0,"E",10,"D",20,"D+",30,"C",40,"C+",50,"B",60,"B+",70,"A",80,"A+",90,"S",100)),{0,15,25,35,45,55,65,75,85,95},{"D","D","D+","C","C+","B","B+","A","A+","S"}),"?")</f>
        <v>?</v>
      </c>
      <c r="H104" s="7"/>
      <c r="I104" s="2"/>
      <c r="J104" s="2"/>
      <c r="K104" s="14"/>
      <c r="L104" s="14"/>
      <c r="M104" s="14"/>
      <c r="N104" s="14"/>
      <c r="O104" s="14"/>
      <c r="P104" s="14"/>
      <c r="Q104" s="14"/>
      <c r="R104" s="14"/>
      <c r="S104" s="14"/>
      <c r="T104" s="14"/>
      <c r="U104" s="14"/>
      <c r="V104" s="14"/>
      <c r="W104" s="14"/>
      <c r="X104" s="14"/>
      <c r="Y104" s="14"/>
      <c r="Z104" s="14"/>
      <c r="AA104" s="14"/>
      <c r="AB104" s="14"/>
    </row>
    <row r="105" spans="1:28" ht="21">
      <c r="A105" s="5" t="s">
        <v>613</v>
      </c>
      <c r="B105" s="5" t="s">
        <v>108</v>
      </c>
      <c r="C105" s="10"/>
      <c r="D105" s="10"/>
      <c r="E105" s="10"/>
      <c r="F105" s="10"/>
      <c r="G105" s="10" t="str">
        <f>IF(AND(ISNUMBER(MATCH(C105,{"F","E","D","D+","C","C+","B","B+","A","A+","S"},0)),ISNUMBER(MATCH(D105,{"F","E","D","D+","C","C+","B","B+","A","A+","S"},0)),ISNUMBER(MATCH(E105,{"F","E","D","D+","C","C+","B","B+","A","A+","S"},0)),ISNUMBER(MATCH(F105,{"F","E","D","D+","C","C+","B","B+","A","A+","S"},0))),LOOKUP(AVERAGE(_xlfn.SWITCH(C105,"F",0,"E",10,"D",20,"D+",30,"C",40,"C+",50,"B",60,"B+",70,"A",80,"A+",90,"S",100),_xlfn.SWITCH(D105,"F",0,"E",10,"D",20,"D+",30,"C",40,"C+",50,"B",60,"B+",70,"A",80,"A+",90,"S",100),_xlfn.SWITCH(E105,"F",0,"E",10,"D",20,"D+",30,"C",40,"C+",50,"B",60,"B+",70,"A",80,"A+",90,"S",100),_xlfn.SWITCH(F105,"F",0,"E",10,"D",20,"D+",30,"C",40,"C+",50,"B",60,"B+",70,"A",80,"A+",90,"S",100)),{0,15,25,35,45,55,65,75,85,95},{"D","D","D+","C","C+","B","B+","A","A+","S"}),"?")</f>
        <v>?</v>
      </c>
      <c r="H105" s="7"/>
      <c r="I105" s="2"/>
      <c r="J105" s="2"/>
      <c r="K105" s="14"/>
      <c r="L105" s="14"/>
      <c r="M105" s="14"/>
      <c r="N105" s="14"/>
      <c r="O105" s="14"/>
      <c r="P105" s="14"/>
      <c r="Q105" s="14"/>
      <c r="R105" s="14"/>
      <c r="S105" s="14"/>
      <c r="T105" s="14"/>
      <c r="U105" s="14"/>
      <c r="V105" s="14"/>
      <c r="W105" s="14"/>
      <c r="X105" s="14"/>
      <c r="Y105" s="14"/>
      <c r="Z105" s="14"/>
      <c r="AA105" s="14"/>
      <c r="AB105" s="14"/>
    </row>
    <row r="106" spans="1:28" ht="35.25" customHeight="1">
      <c r="A106" s="540" t="s">
        <v>619</v>
      </c>
      <c r="B106" s="543"/>
      <c r="C106" s="543"/>
      <c r="D106" s="543"/>
      <c r="E106" s="543"/>
      <c r="F106" s="543"/>
      <c r="G106" s="543"/>
      <c r="H106" s="550"/>
      <c r="I106" s="2"/>
      <c r="J106" s="2"/>
      <c r="K106" s="14"/>
      <c r="L106" s="14"/>
      <c r="M106" s="14"/>
      <c r="N106" s="14"/>
      <c r="O106" s="14"/>
      <c r="P106" s="14"/>
      <c r="Q106" s="14"/>
      <c r="R106" s="14"/>
      <c r="S106" s="14"/>
      <c r="T106" s="14"/>
      <c r="U106" s="14"/>
      <c r="V106" s="14"/>
      <c r="W106" s="14"/>
      <c r="X106" s="14"/>
      <c r="Y106" s="14"/>
      <c r="Z106" s="14"/>
      <c r="AA106" s="14"/>
      <c r="AB106" s="14"/>
    </row>
    <row r="107" spans="1:28" ht="21">
      <c r="A107" s="5" t="s">
        <v>4</v>
      </c>
      <c r="B107" s="6" t="s">
        <v>5</v>
      </c>
      <c r="C107" s="7" t="s">
        <v>6</v>
      </c>
      <c r="D107" s="7" t="s">
        <v>7</v>
      </c>
      <c r="E107" s="7" t="s">
        <v>8</v>
      </c>
      <c r="F107" s="7" t="s">
        <v>9</v>
      </c>
      <c r="G107" s="7" t="s">
        <v>10</v>
      </c>
      <c r="H107" s="7" t="s">
        <v>11</v>
      </c>
      <c r="I107" s="2"/>
      <c r="J107" s="2"/>
      <c r="K107" s="14"/>
      <c r="L107" s="14"/>
      <c r="M107" s="14"/>
      <c r="N107" s="14"/>
      <c r="O107" s="14"/>
      <c r="P107" s="14"/>
      <c r="Q107" s="14"/>
      <c r="R107" s="14"/>
      <c r="S107" s="14"/>
      <c r="T107" s="14"/>
      <c r="U107" s="14"/>
      <c r="V107" s="14"/>
      <c r="W107" s="14"/>
      <c r="X107" s="14"/>
      <c r="Y107" s="14"/>
      <c r="Z107" s="14"/>
      <c r="AA107" s="14"/>
      <c r="AB107" s="14"/>
    </row>
    <row r="108" spans="1:28" ht="21">
      <c r="A108" s="5" t="s">
        <v>633</v>
      </c>
      <c r="B108" s="5" t="s">
        <v>594</v>
      </c>
      <c r="C108" s="13"/>
      <c r="D108" s="13"/>
      <c r="E108" s="13"/>
      <c r="F108" s="13"/>
      <c r="G108" s="13"/>
      <c r="H108" s="7"/>
      <c r="I108" s="2"/>
      <c r="J108" s="2"/>
      <c r="K108" s="14"/>
      <c r="L108" s="14"/>
      <c r="M108" s="14"/>
      <c r="N108" s="14"/>
      <c r="O108" s="14"/>
      <c r="P108" s="14"/>
      <c r="Q108" s="14"/>
      <c r="R108" s="14"/>
      <c r="S108" s="14"/>
      <c r="T108" s="14"/>
      <c r="U108" s="14"/>
      <c r="V108" s="14"/>
      <c r="W108" s="14"/>
      <c r="X108" s="14"/>
      <c r="Y108" s="14"/>
      <c r="Z108" s="14"/>
      <c r="AA108" s="14"/>
      <c r="AB108" s="14"/>
    </row>
    <row r="109" spans="1:28" ht="21">
      <c r="A109" s="5" t="s">
        <v>639</v>
      </c>
      <c r="B109" s="5" t="s">
        <v>640</v>
      </c>
      <c r="C109" s="13"/>
      <c r="D109" s="13"/>
      <c r="E109" s="13"/>
      <c r="F109" s="13"/>
      <c r="G109" s="13"/>
      <c r="H109" s="7"/>
      <c r="I109" s="2"/>
      <c r="J109" s="2"/>
      <c r="K109" s="14"/>
      <c r="L109" s="14"/>
      <c r="M109" s="14"/>
      <c r="N109" s="14"/>
      <c r="O109" s="14"/>
      <c r="P109" s="14"/>
      <c r="Q109" s="14"/>
      <c r="R109" s="14"/>
      <c r="S109" s="14"/>
      <c r="T109" s="14"/>
      <c r="U109" s="14"/>
      <c r="V109" s="14"/>
      <c r="W109" s="14"/>
      <c r="X109" s="14"/>
      <c r="Y109" s="14"/>
      <c r="Z109" s="14"/>
      <c r="AA109" s="14"/>
      <c r="AB109" s="14"/>
    </row>
    <row r="110" spans="1:28" ht="21">
      <c r="A110" s="5" t="s">
        <v>644</v>
      </c>
      <c r="B110" s="5" t="s">
        <v>645</v>
      </c>
      <c r="C110" s="13"/>
      <c r="D110" s="13"/>
      <c r="E110" s="13"/>
      <c r="F110" s="13"/>
      <c r="G110" s="13"/>
      <c r="H110" s="7"/>
      <c r="I110" s="2"/>
      <c r="J110" s="2"/>
      <c r="K110" s="14"/>
      <c r="L110" s="14"/>
      <c r="M110" s="14"/>
      <c r="N110" s="14"/>
      <c r="O110" s="14"/>
      <c r="P110" s="14"/>
      <c r="Q110" s="14"/>
      <c r="R110" s="14"/>
      <c r="S110" s="14"/>
      <c r="T110" s="14"/>
      <c r="U110" s="14"/>
      <c r="V110" s="14"/>
      <c r="W110" s="14"/>
      <c r="X110" s="14"/>
      <c r="Y110" s="14"/>
      <c r="Z110" s="14"/>
      <c r="AA110" s="14"/>
      <c r="AB110" s="14"/>
    </row>
    <row r="111" spans="1:28" ht="21">
      <c r="A111" s="5" t="s">
        <v>651</v>
      </c>
      <c r="B111" s="5" t="s">
        <v>652</v>
      </c>
      <c r="C111" s="13"/>
      <c r="D111" s="13"/>
      <c r="E111" s="13"/>
      <c r="F111" s="13"/>
      <c r="G111" s="13"/>
      <c r="H111" s="7"/>
      <c r="I111" s="2"/>
      <c r="J111" s="2"/>
      <c r="K111" s="14"/>
      <c r="L111" s="14"/>
      <c r="M111" s="14"/>
      <c r="N111" s="14"/>
      <c r="O111" s="14"/>
      <c r="P111" s="14"/>
      <c r="Q111" s="14"/>
      <c r="R111" s="14"/>
      <c r="S111" s="14"/>
      <c r="T111" s="14"/>
      <c r="U111" s="14"/>
      <c r="V111" s="14"/>
      <c r="W111" s="14"/>
      <c r="X111" s="14"/>
      <c r="Y111" s="14"/>
      <c r="Z111" s="14"/>
      <c r="AA111" s="14"/>
      <c r="AB111" s="14"/>
    </row>
    <row r="112" spans="1:28" ht="21">
      <c r="A112" s="5" t="s">
        <v>658</v>
      </c>
      <c r="B112" s="5" t="s">
        <v>659</v>
      </c>
      <c r="C112" s="13"/>
      <c r="D112" s="13"/>
      <c r="E112" s="13"/>
      <c r="F112" s="13"/>
      <c r="G112" s="13"/>
      <c r="H112" s="7"/>
      <c r="I112" s="2"/>
      <c r="J112" s="2"/>
      <c r="K112" s="14"/>
      <c r="L112" s="14"/>
      <c r="M112" s="14"/>
      <c r="N112" s="14"/>
      <c r="O112" s="14"/>
      <c r="P112" s="14"/>
      <c r="Q112" s="14"/>
      <c r="R112" s="14"/>
      <c r="S112" s="14"/>
      <c r="T112" s="14"/>
      <c r="U112" s="14"/>
      <c r="V112" s="14"/>
      <c r="W112" s="14"/>
      <c r="X112" s="14"/>
      <c r="Y112" s="14"/>
      <c r="Z112" s="14"/>
      <c r="AA112" s="14"/>
      <c r="AB112" s="14"/>
    </row>
    <row r="113" spans="1:28" ht="21">
      <c r="A113" s="5" t="s">
        <v>663</v>
      </c>
      <c r="B113" s="5" t="s">
        <v>5246</v>
      </c>
      <c r="C113" s="13"/>
      <c r="D113" s="13"/>
      <c r="E113" s="13"/>
      <c r="F113" s="13"/>
      <c r="G113" s="13"/>
      <c r="H113" s="7"/>
      <c r="I113" s="2"/>
      <c r="J113" s="2"/>
      <c r="K113" s="14"/>
      <c r="L113" s="14"/>
      <c r="M113" s="14"/>
      <c r="N113" s="14"/>
      <c r="O113" s="14"/>
      <c r="P113" s="14"/>
      <c r="Q113" s="14"/>
      <c r="R113" s="14"/>
      <c r="S113" s="14"/>
      <c r="T113" s="14"/>
      <c r="U113" s="14"/>
      <c r="V113" s="14"/>
      <c r="W113" s="14"/>
      <c r="X113" s="14"/>
      <c r="Y113" s="14"/>
      <c r="Z113" s="14"/>
      <c r="AA113" s="14"/>
      <c r="AB113" s="14"/>
    </row>
    <row r="114" spans="1:28" ht="21">
      <c r="A114" s="5" t="s">
        <v>667</v>
      </c>
      <c r="B114" s="23" t="s">
        <v>668</v>
      </c>
      <c r="C114" s="13"/>
      <c r="D114" s="13"/>
      <c r="E114" s="13"/>
      <c r="F114" s="13"/>
      <c r="G114" s="13"/>
      <c r="H114" s="7"/>
      <c r="I114" s="2"/>
      <c r="J114" s="2"/>
      <c r="K114" s="14"/>
      <c r="L114" s="14"/>
      <c r="M114" s="14"/>
      <c r="N114" s="14"/>
      <c r="O114" s="14"/>
      <c r="P114" s="14"/>
      <c r="Q114" s="14"/>
      <c r="R114" s="14"/>
      <c r="S114" s="14"/>
      <c r="T114" s="14"/>
      <c r="U114" s="14"/>
      <c r="V114" s="14"/>
      <c r="W114" s="14"/>
      <c r="X114" s="14"/>
      <c r="Y114" s="14"/>
      <c r="Z114" s="14"/>
      <c r="AA114" s="14"/>
      <c r="AB114" s="14"/>
    </row>
    <row r="115" spans="1:28" ht="21">
      <c r="A115" s="5" t="s">
        <v>674</v>
      </c>
      <c r="B115" s="23" t="s">
        <v>675</v>
      </c>
      <c r="C115" s="13"/>
      <c r="D115" s="13"/>
      <c r="E115" s="13"/>
      <c r="F115" s="13"/>
      <c r="G115" s="13"/>
      <c r="H115" s="7"/>
      <c r="I115" s="2"/>
      <c r="J115" s="2"/>
      <c r="K115" s="14"/>
      <c r="L115" s="14"/>
      <c r="M115" s="14"/>
      <c r="N115" s="14"/>
      <c r="O115" s="14"/>
      <c r="P115" s="14"/>
      <c r="Q115" s="14"/>
      <c r="R115" s="14"/>
      <c r="S115" s="14"/>
      <c r="T115" s="14"/>
      <c r="U115" s="14"/>
      <c r="V115" s="14"/>
      <c r="W115" s="14"/>
      <c r="X115" s="14"/>
      <c r="Y115" s="14"/>
      <c r="Z115" s="14"/>
      <c r="AA115" s="14"/>
      <c r="AB115" s="14"/>
    </row>
    <row r="116" spans="1:28" ht="21">
      <c r="A116" s="5" t="s">
        <v>681</v>
      </c>
      <c r="B116" s="5" t="s">
        <v>666</v>
      </c>
      <c r="C116" s="13"/>
      <c r="D116" s="13"/>
      <c r="E116" s="13"/>
      <c r="F116" s="13"/>
      <c r="G116" s="13"/>
      <c r="H116" s="7"/>
      <c r="I116" s="2"/>
      <c r="J116" s="2"/>
      <c r="K116" s="14"/>
      <c r="L116" s="14"/>
      <c r="M116" s="14"/>
      <c r="N116" s="14"/>
      <c r="O116" s="14"/>
      <c r="P116" s="14"/>
      <c r="Q116" s="14"/>
      <c r="R116" s="14"/>
      <c r="S116" s="14"/>
      <c r="T116" s="14"/>
      <c r="U116" s="14"/>
      <c r="V116" s="14"/>
      <c r="W116" s="14"/>
      <c r="X116" s="14"/>
      <c r="Y116" s="14"/>
      <c r="Z116" s="14"/>
      <c r="AA116" s="14"/>
      <c r="AB116" s="14"/>
    </row>
    <row r="117" spans="1:28" ht="21">
      <c r="A117" s="5" t="s">
        <v>687</v>
      </c>
      <c r="B117" s="5" t="s">
        <v>688</v>
      </c>
      <c r="C117" s="13"/>
      <c r="D117" s="13"/>
      <c r="E117" s="13"/>
      <c r="F117" s="13"/>
      <c r="G117" s="13"/>
      <c r="H117" s="7"/>
      <c r="I117" s="2"/>
      <c r="J117" s="2"/>
      <c r="K117" s="14"/>
      <c r="L117" s="14"/>
      <c r="M117" s="14"/>
      <c r="N117" s="14"/>
      <c r="O117" s="14"/>
      <c r="P117" s="14"/>
      <c r="Q117" s="14"/>
      <c r="R117" s="14"/>
      <c r="S117" s="14"/>
      <c r="T117" s="14"/>
      <c r="U117" s="14"/>
      <c r="V117" s="14"/>
      <c r="W117" s="14"/>
      <c r="X117" s="14"/>
      <c r="Y117" s="14"/>
      <c r="Z117" s="14"/>
      <c r="AA117" s="14"/>
      <c r="AB117" s="14"/>
    </row>
    <row r="118" spans="1:28" ht="21">
      <c r="A118" s="5" t="s">
        <v>694</v>
      </c>
      <c r="B118" s="5" t="s">
        <v>695</v>
      </c>
      <c r="C118" s="13"/>
      <c r="D118" s="13"/>
      <c r="E118" s="13"/>
      <c r="F118" s="13"/>
      <c r="G118" s="13"/>
      <c r="H118" s="7"/>
      <c r="I118" s="2"/>
      <c r="J118" s="2"/>
      <c r="K118" s="14"/>
      <c r="L118" s="14"/>
      <c r="M118" s="14"/>
      <c r="N118" s="14"/>
      <c r="O118" s="14"/>
      <c r="P118" s="14"/>
      <c r="Q118" s="14"/>
      <c r="R118" s="14"/>
      <c r="S118" s="14"/>
      <c r="T118" s="14"/>
      <c r="U118" s="14"/>
      <c r="V118" s="14"/>
      <c r="W118" s="14"/>
      <c r="X118" s="14"/>
      <c r="Y118" s="14"/>
      <c r="Z118" s="14"/>
      <c r="AA118" s="14"/>
      <c r="AB118" s="14"/>
    </row>
    <row r="119" spans="1:28" ht="21">
      <c r="A119" s="5" t="s">
        <v>701</v>
      </c>
      <c r="B119" s="5" t="s">
        <v>702</v>
      </c>
      <c r="C119" s="13"/>
      <c r="D119" s="13"/>
      <c r="E119" s="13"/>
      <c r="F119" s="13"/>
      <c r="G119" s="13"/>
      <c r="H119" s="7"/>
      <c r="I119" s="2"/>
      <c r="J119" s="2"/>
      <c r="K119" s="14"/>
      <c r="L119" s="14"/>
      <c r="M119" s="14"/>
      <c r="N119" s="14"/>
      <c r="O119" s="14"/>
      <c r="P119" s="14"/>
      <c r="Q119" s="14"/>
      <c r="R119" s="14"/>
      <c r="S119" s="14"/>
      <c r="T119" s="14"/>
      <c r="U119" s="14"/>
      <c r="V119" s="14"/>
      <c r="W119" s="14"/>
      <c r="X119" s="14"/>
      <c r="Y119" s="14"/>
      <c r="Z119" s="14"/>
      <c r="AA119" s="14"/>
      <c r="AB119" s="14"/>
    </row>
    <row r="120" spans="1:28" ht="21">
      <c r="A120" s="5" t="s">
        <v>708</v>
      </c>
      <c r="B120" s="5" t="s">
        <v>709</v>
      </c>
      <c r="C120" s="13"/>
      <c r="D120" s="13"/>
      <c r="E120" s="13"/>
      <c r="F120" s="13"/>
      <c r="G120" s="13"/>
      <c r="H120" s="7"/>
      <c r="I120" s="2"/>
      <c r="J120" s="2"/>
      <c r="K120" s="14"/>
      <c r="L120" s="14"/>
      <c r="M120" s="14"/>
      <c r="N120" s="14"/>
      <c r="O120" s="14"/>
      <c r="P120" s="14"/>
      <c r="Q120" s="14"/>
      <c r="R120" s="14"/>
      <c r="S120" s="14"/>
      <c r="T120" s="14"/>
      <c r="U120" s="14"/>
      <c r="V120" s="14"/>
      <c r="W120" s="14"/>
      <c r="X120" s="14"/>
      <c r="Y120" s="14"/>
      <c r="Z120" s="14"/>
      <c r="AA120" s="14"/>
      <c r="AB120" s="14"/>
    </row>
    <row r="121" spans="1:28" ht="21">
      <c r="A121" s="5" t="s">
        <v>715</v>
      </c>
      <c r="B121" s="5" t="s">
        <v>716</v>
      </c>
      <c r="C121" s="13"/>
      <c r="D121" s="13"/>
      <c r="E121" s="13"/>
      <c r="F121" s="13"/>
      <c r="G121" s="13"/>
      <c r="H121" s="7"/>
      <c r="I121" s="2"/>
      <c r="J121" s="2"/>
      <c r="K121" s="14"/>
      <c r="L121" s="14"/>
      <c r="M121" s="14"/>
      <c r="N121" s="14"/>
      <c r="O121" s="14"/>
      <c r="P121" s="14"/>
      <c r="Q121" s="14"/>
      <c r="R121" s="14"/>
      <c r="S121" s="14"/>
      <c r="T121" s="14"/>
      <c r="U121" s="14"/>
      <c r="V121" s="14"/>
      <c r="W121" s="14"/>
      <c r="X121" s="14"/>
      <c r="Y121" s="14"/>
      <c r="Z121" s="14"/>
      <c r="AA121" s="14"/>
      <c r="AB121" s="14"/>
    </row>
    <row r="122" spans="1:28" ht="21">
      <c r="A122" s="5" t="s">
        <v>722</v>
      </c>
      <c r="B122" s="5" t="s">
        <v>723</v>
      </c>
      <c r="C122" s="13"/>
      <c r="D122" s="13"/>
      <c r="E122" s="13"/>
      <c r="F122" s="13"/>
      <c r="G122" s="13"/>
      <c r="H122" s="7"/>
      <c r="I122" s="2"/>
      <c r="J122" s="2"/>
      <c r="K122" s="14"/>
      <c r="L122" s="14"/>
      <c r="M122" s="14"/>
      <c r="N122" s="14"/>
      <c r="O122" s="14"/>
      <c r="P122" s="14"/>
      <c r="Q122" s="14"/>
      <c r="R122" s="14"/>
      <c r="S122" s="14"/>
      <c r="T122" s="14"/>
      <c r="U122" s="14"/>
      <c r="V122" s="14"/>
      <c r="W122" s="14"/>
      <c r="X122" s="14"/>
      <c r="Y122" s="14"/>
      <c r="Z122" s="14"/>
      <c r="AA122" s="14"/>
      <c r="AB122" s="14"/>
    </row>
    <row r="123" spans="1:28" ht="21">
      <c r="A123" s="5" t="s">
        <v>727</v>
      </c>
      <c r="B123" s="23" t="s">
        <v>558</v>
      </c>
      <c r="C123" s="13"/>
      <c r="D123" s="13"/>
      <c r="E123" s="13"/>
      <c r="F123" s="13"/>
      <c r="G123" s="13"/>
      <c r="H123" s="7"/>
      <c r="I123" s="2"/>
      <c r="J123" s="2"/>
      <c r="K123" s="14"/>
      <c r="L123" s="14"/>
      <c r="M123" s="14"/>
      <c r="N123" s="14"/>
      <c r="O123" s="14"/>
      <c r="P123" s="14"/>
      <c r="Q123" s="14"/>
      <c r="R123" s="14"/>
      <c r="S123" s="14"/>
      <c r="T123" s="14"/>
      <c r="U123" s="14"/>
      <c r="V123" s="14"/>
      <c r="W123" s="14"/>
      <c r="X123" s="14"/>
      <c r="Y123" s="14"/>
      <c r="Z123" s="14"/>
      <c r="AA123" s="14"/>
      <c r="AB123" s="14"/>
    </row>
    <row r="124" spans="1:28" ht="21">
      <c r="A124" s="5" t="s">
        <v>733</v>
      </c>
      <c r="B124" s="5" t="s">
        <v>686</v>
      </c>
      <c r="C124" s="13"/>
      <c r="D124" s="13"/>
      <c r="E124" s="13"/>
      <c r="F124" s="13"/>
      <c r="G124" s="13"/>
      <c r="H124" s="7"/>
      <c r="I124" s="2"/>
      <c r="J124" s="2"/>
      <c r="K124" s="14"/>
      <c r="L124" s="14"/>
      <c r="M124" s="14"/>
      <c r="N124" s="14"/>
      <c r="O124" s="14"/>
      <c r="P124" s="14"/>
      <c r="Q124" s="14"/>
      <c r="R124" s="14"/>
      <c r="S124" s="14"/>
      <c r="T124" s="14"/>
      <c r="U124" s="14"/>
      <c r="V124" s="14"/>
      <c r="W124" s="14"/>
      <c r="X124" s="14"/>
      <c r="Y124" s="14"/>
      <c r="Z124" s="14"/>
      <c r="AA124" s="14"/>
      <c r="AB124" s="14"/>
    </row>
    <row r="125" spans="1:28" ht="21">
      <c r="A125" s="5" t="s">
        <v>737</v>
      </c>
      <c r="B125" s="5" t="s">
        <v>700</v>
      </c>
      <c r="C125" s="13"/>
      <c r="D125" s="13"/>
      <c r="E125" s="13"/>
      <c r="F125" s="13"/>
      <c r="G125" s="13"/>
      <c r="H125" s="7"/>
      <c r="I125" s="2"/>
      <c r="J125" s="2"/>
      <c r="K125" s="14"/>
      <c r="L125" s="14"/>
      <c r="M125" s="14"/>
      <c r="N125" s="14"/>
      <c r="O125" s="14"/>
      <c r="P125" s="14"/>
      <c r="Q125" s="14"/>
      <c r="R125" s="14"/>
      <c r="S125" s="14"/>
      <c r="T125" s="14"/>
      <c r="U125" s="14"/>
      <c r="V125" s="14"/>
      <c r="W125" s="14"/>
      <c r="X125" s="14"/>
      <c r="Y125" s="14"/>
      <c r="Z125" s="14"/>
      <c r="AA125" s="14"/>
      <c r="AB125" s="14"/>
    </row>
    <row r="126" spans="1:28">
      <c r="A126" s="5" t="s">
        <v>741</v>
      </c>
      <c r="B126" s="5" t="s">
        <v>742</v>
      </c>
      <c r="C126" s="13"/>
      <c r="D126" s="13"/>
      <c r="E126" s="13"/>
      <c r="F126" s="13"/>
      <c r="G126" s="13"/>
      <c r="H126" s="7"/>
    </row>
    <row r="127" spans="1:28">
      <c r="A127" s="5" t="s">
        <v>746</v>
      </c>
      <c r="B127" s="5" t="s">
        <v>693</v>
      </c>
      <c r="C127" s="13"/>
      <c r="D127" s="13"/>
      <c r="E127" s="13"/>
      <c r="F127" s="13"/>
      <c r="G127" s="13"/>
      <c r="H127" s="7"/>
    </row>
    <row r="128" spans="1:28">
      <c r="A128" s="5" t="s">
        <v>752</v>
      </c>
      <c r="B128" s="23" t="s">
        <v>753</v>
      </c>
      <c r="C128" s="13"/>
      <c r="D128" s="13"/>
      <c r="E128" s="13"/>
      <c r="F128" s="13"/>
      <c r="G128" s="13"/>
      <c r="H128" s="7"/>
    </row>
    <row r="129" spans="1:8">
      <c r="A129" s="5" t="s">
        <v>757</v>
      </c>
      <c r="B129" s="5" t="s">
        <v>758</v>
      </c>
      <c r="C129" s="13"/>
      <c r="D129" s="13"/>
      <c r="E129" s="13"/>
      <c r="F129" s="13"/>
      <c r="G129" s="13"/>
      <c r="H129" s="7"/>
    </row>
    <row r="130" spans="1:8">
      <c r="A130" s="5" t="s">
        <v>762</v>
      </c>
      <c r="B130" s="5" t="s">
        <v>763</v>
      </c>
      <c r="C130" s="13"/>
      <c r="D130" s="13"/>
      <c r="E130" s="13"/>
      <c r="F130" s="13"/>
      <c r="G130" s="13"/>
      <c r="H130" s="7"/>
    </row>
    <row r="131" spans="1:8">
      <c r="A131" s="5" t="s">
        <v>767</v>
      </c>
      <c r="B131" s="5" t="s">
        <v>768</v>
      </c>
      <c r="C131" s="13"/>
      <c r="D131" s="13"/>
      <c r="E131" s="13"/>
      <c r="F131" s="13"/>
      <c r="G131" s="13"/>
      <c r="H131" s="7"/>
    </row>
    <row r="132" spans="1:8">
      <c r="A132" s="5" t="s">
        <v>772</v>
      </c>
      <c r="B132" s="5" t="s">
        <v>773</v>
      </c>
      <c r="C132" s="13"/>
      <c r="D132" s="13"/>
      <c r="E132" s="13"/>
      <c r="F132" s="13"/>
      <c r="G132" s="13"/>
      <c r="H132" s="7"/>
    </row>
    <row r="133" spans="1:8">
      <c r="A133" s="5" t="s">
        <v>779</v>
      </c>
      <c r="B133" s="5" t="s">
        <v>780</v>
      </c>
      <c r="C133" s="13"/>
      <c r="D133" s="13"/>
      <c r="E133" s="13"/>
      <c r="F133" s="13"/>
      <c r="G133" s="13"/>
      <c r="H133" s="7"/>
    </row>
    <row r="134" spans="1:8">
      <c r="A134" s="5" t="s">
        <v>785</v>
      </c>
      <c r="B134" s="23" t="s">
        <v>786</v>
      </c>
      <c r="C134" s="13"/>
      <c r="D134" s="13"/>
      <c r="E134" s="13"/>
      <c r="F134" s="13"/>
      <c r="G134" s="13"/>
      <c r="H134" s="7"/>
    </row>
    <row r="135" spans="1:8">
      <c r="A135" s="5" t="s">
        <v>791</v>
      </c>
      <c r="B135" s="5" t="s">
        <v>792</v>
      </c>
      <c r="C135" s="13"/>
      <c r="D135" s="13"/>
      <c r="E135" s="13"/>
      <c r="F135" s="13"/>
      <c r="G135" s="13"/>
      <c r="H135" s="7"/>
    </row>
    <row r="136" spans="1:8">
      <c r="A136" s="5" t="s">
        <v>796</v>
      </c>
      <c r="B136" s="5" t="s">
        <v>797</v>
      </c>
      <c r="C136" s="13"/>
      <c r="D136" s="13"/>
      <c r="E136" s="13"/>
      <c r="F136" s="13"/>
      <c r="G136" s="13"/>
      <c r="H136" s="7"/>
    </row>
    <row r="137" spans="1:8">
      <c r="A137" s="5" t="s">
        <v>800</v>
      </c>
      <c r="B137" s="23" t="s">
        <v>801</v>
      </c>
      <c r="C137" s="13"/>
      <c r="D137" s="13"/>
      <c r="E137" s="13"/>
      <c r="F137" s="13"/>
      <c r="G137" s="13"/>
      <c r="H137" s="7"/>
    </row>
    <row r="138" spans="1:8">
      <c r="A138" s="5" t="s">
        <v>807</v>
      </c>
      <c r="B138" s="5" t="s">
        <v>808</v>
      </c>
      <c r="C138" s="13"/>
      <c r="D138" s="13"/>
      <c r="E138" s="13"/>
      <c r="F138" s="13"/>
      <c r="G138" s="13"/>
      <c r="H138" s="7"/>
    </row>
    <row r="139" spans="1:8">
      <c r="A139" s="5" t="s">
        <v>814</v>
      </c>
      <c r="B139" s="5" t="s">
        <v>736</v>
      </c>
      <c r="C139" s="13"/>
      <c r="D139" s="13"/>
      <c r="E139" s="13"/>
      <c r="F139" s="13"/>
      <c r="G139" s="13"/>
      <c r="H139" s="7"/>
    </row>
    <row r="140" spans="1:8">
      <c r="A140" s="5" t="s">
        <v>818</v>
      </c>
      <c r="B140" s="5" t="s">
        <v>819</v>
      </c>
      <c r="C140" s="13"/>
      <c r="D140" s="13"/>
      <c r="E140" s="13"/>
      <c r="F140" s="13"/>
      <c r="G140" s="13"/>
      <c r="H140" s="7"/>
    </row>
    <row r="141" spans="1:8">
      <c r="A141" s="5" t="s">
        <v>825</v>
      </c>
      <c r="B141" s="23" t="s">
        <v>826</v>
      </c>
      <c r="C141" s="13"/>
      <c r="D141" s="13"/>
      <c r="E141" s="13"/>
      <c r="F141" s="13"/>
      <c r="G141" s="13"/>
      <c r="H141" s="7"/>
    </row>
    <row r="142" spans="1:8">
      <c r="A142" s="5" t="s">
        <v>832</v>
      </c>
      <c r="B142" s="5" t="s">
        <v>833</v>
      </c>
      <c r="C142" s="13"/>
      <c r="D142" s="13"/>
      <c r="E142" s="13"/>
      <c r="F142" s="13"/>
      <c r="G142" s="13"/>
      <c r="H142" s="7"/>
    </row>
    <row r="143" spans="1:8">
      <c r="A143" s="5" t="s">
        <v>837</v>
      </c>
      <c r="B143" s="5" t="s">
        <v>838</v>
      </c>
      <c r="C143" s="13"/>
      <c r="D143" s="13"/>
      <c r="E143" s="13"/>
      <c r="F143" s="13"/>
      <c r="G143" s="13"/>
      <c r="H143" s="7"/>
    </row>
    <row r="144" spans="1:8">
      <c r="A144" s="5" t="s">
        <v>844</v>
      </c>
      <c r="B144" s="23" t="s">
        <v>627</v>
      </c>
      <c r="C144" s="13"/>
      <c r="D144" s="13"/>
      <c r="E144" s="13"/>
      <c r="F144" s="13"/>
      <c r="G144" s="13"/>
      <c r="H144" s="7"/>
    </row>
    <row r="145" spans="1:8">
      <c r="A145" s="5" t="s">
        <v>850</v>
      </c>
      <c r="B145" s="5" t="s">
        <v>851</v>
      </c>
      <c r="C145" s="13"/>
      <c r="D145" s="13"/>
      <c r="E145" s="13"/>
      <c r="F145" s="13"/>
      <c r="G145" s="13"/>
      <c r="H145" s="7"/>
    </row>
    <row r="146" spans="1:8">
      <c r="A146" s="5" t="s">
        <v>855</v>
      </c>
      <c r="B146" s="23" t="s">
        <v>662</v>
      </c>
      <c r="C146" s="13"/>
      <c r="D146" s="13"/>
      <c r="E146" s="13"/>
      <c r="F146" s="13"/>
      <c r="G146" s="13"/>
      <c r="H146" s="7"/>
    </row>
    <row r="147" spans="1:8">
      <c r="A147" s="5" t="s">
        <v>859</v>
      </c>
      <c r="B147" s="5" t="s">
        <v>860</v>
      </c>
      <c r="C147" s="13"/>
      <c r="D147" s="13"/>
      <c r="E147" s="13"/>
      <c r="F147" s="13"/>
      <c r="G147" s="13"/>
      <c r="H147" s="7"/>
    </row>
    <row r="148" spans="1:8">
      <c r="A148" s="5" t="s">
        <v>861</v>
      </c>
      <c r="B148" s="5" t="s">
        <v>862</v>
      </c>
      <c r="C148" s="13"/>
      <c r="D148" s="13"/>
      <c r="E148" s="13"/>
      <c r="F148" s="13"/>
      <c r="G148" s="13"/>
      <c r="H148" s="7"/>
    </row>
    <row r="149" spans="1:8">
      <c r="A149" s="5" t="s">
        <v>865</v>
      </c>
      <c r="B149" s="5" t="s">
        <v>866</v>
      </c>
      <c r="C149" s="13"/>
      <c r="D149" s="13"/>
      <c r="E149" s="13"/>
      <c r="F149" s="13"/>
      <c r="G149" s="13"/>
      <c r="H149" s="7"/>
    </row>
    <row r="150" spans="1:8">
      <c r="A150" s="5" t="s">
        <v>870</v>
      </c>
      <c r="B150" s="5" t="s">
        <v>843</v>
      </c>
      <c r="C150" s="13"/>
      <c r="D150" s="13"/>
      <c r="E150" s="13"/>
      <c r="F150" s="13"/>
      <c r="G150" s="13"/>
      <c r="H150" s="7"/>
    </row>
    <row r="151" spans="1:8">
      <c r="A151" s="5" t="s">
        <v>876</v>
      </c>
      <c r="B151" s="23" t="s">
        <v>877</v>
      </c>
      <c r="C151" s="13"/>
      <c r="D151" s="13"/>
      <c r="E151" s="13"/>
      <c r="F151" s="13"/>
      <c r="G151" s="13"/>
      <c r="H151" s="7"/>
    </row>
    <row r="152" spans="1:8">
      <c r="A152" s="5" t="s">
        <v>881</v>
      </c>
      <c r="B152" s="23" t="s">
        <v>882</v>
      </c>
      <c r="C152" s="13"/>
      <c r="D152" s="13"/>
      <c r="E152" s="13"/>
      <c r="F152" s="13"/>
      <c r="G152" s="13"/>
      <c r="H152" s="7"/>
    </row>
    <row r="153" spans="1:8">
      <c r="A153" s="5" t="s">
        <v>888</v>
      </c>
      <c r="B153" s="23" t="s">
        <v>889</v>
      </c>
      <c r="C153" s="13"/>
      <c r="D153" s="13"/>
      <c r="E153" s="13"/>
      <c r="F153" s="13"/>
      <c r="G153" s="13"/>
      <c r="H153" s="7"/>
    </row>
    <row r="154" spans="1:8">
      <c r="A154" s="5" t="s">
        <v>895</v>
      </c>
      <c r="B154" s="23" t="s">
        <v>849</v>
      </c>
      <c r="C154" s="13"/>
      <c r="D154" s="13"/>
      <c r="E154" s="13"/>
      <c r="F154" s="13"/>
      <c r="G154" s="13"/>
      <c r="H154" s="7"/>
    </row>
    <row r="155" spans="1:8">
      <c r="A155" s="5" t="s">
        <v>898</v>
      </c>
      <c r="B155" s="23" t="s">
        <v>899</v>
      </c>
      <c r="C155" s="13"/>
      <c r="D155" s="13"/>
      <c r="E155" s="13"/>
      <c r="F155" s="13"/>
      <c r="G155" s="13"/>
      <c r="H155" s="7"/>
    </row>
    <row r="156" spans="1:8">
      <c r="A156" s="5" t="s">
        <v>905</v>
      </c>
      <c r="B156" s="5" t="s">
        <v>906</v>
      </c>
      <c r="C156" s="13"/>
      <c r="D156" s="13"/>
      <c r="E156" s="13"/>
      <c r="F156" s="13"/>
      <c r="G156" s="13"/>
      <c r="H156" s="7"/>
    </row>
    <row r="157" spans="1:8">
      <c r="A157" s="5" t="s">
        <v>912</v>
      </c>
      <c r="B157" s="5" t="s">
        <v>913</v>
      </c>
      <c r="C157" s="13"/>
      <c r="D157" s="13"/>
      <c r="E157" s="13"/>
      <c r="F157" s="13"/>
      <c r="G157" s="13"/>
      <c r="H157" s="7"/>
    </row>
    <row r="158" spans="1:8">
      <c r="A158" s="5" t="s">
        <v>919</v>
      </c>
      <c r="B158" s="5" t="s">
        <v>920</v>
      </c>
      <c r="C158" s="13"/>
      <c r="D158" s="13"/>
      <c r="E158" s="13"/>
      <c r="F158" s="13"/>
      <c r="G158" s="13"/>
      <c r="H158" s="7"/>
    </row>
    <row r="159" spans="1:8">
      <c r="A159" s="5" t="s">
        <v>924</v>
      </c>
      <c r="B159" s="5" t="s">
        <v>925</v>
      </c>
      <c r="C159" s="13"/>
      <c r="D159" s="13"/>
      <c r="E159" s="13"/>
      <c r="F159" s="13"/>
      <c r="G159" s="13"/>
      <c r="H159" s="7"/>
    </row>
    <row r="160" spans="1:8">
      <c r="A160" s="5" t="s">
        <v>929</v>
      </c>
      <c r="B160" s="5" t="s">
        <v>930</v>
      </c>
      <c r="C160" s="13"/>
      <c r="D160" s="13"/>
      <c r="E160" s="13"/>
      <c r="F160" s="13"/>
      <c r="G160" s="13"/>
      <c r="H160" s="7"/>
    </row>
    <row r="161" spans="1:8">
      <c r="A161" s="5" t="s">
        <v>934</v>
      </c>
      <c r="B161" s="5" t="s">
        <v>522</v>
      </c>
      <c r="C161" s="13"/>
      <c r="D161" s="13"/>
      <c r="E161" s="13"/>
      <c r="F161" s="13"/>
      <c r="G161" s="13"/>
      <c r="H161" s="7"/>
    </row>
    <row r="162" spans="1:8">
      <c r="A162" s="5" t="s">
        <v>937</v>
      </c>
      <c r="B162" s="5" t="s">
        <v>547</v>
      </c>
      <c r="C162" s="13"/>
      <c r="D162" s="13"/>
      <c r="E162" s="13"/>
      <c r="F162" s="13"/>
      <c r="G162" s="13"/>
      <c r="H162" s="7"/>
    </row>
    <row r="163" spans="1:8">
      <c r="A163" s="5" t="s">
        <v>943</v>
      </c>
      <c r="B163" s="5" t="s">
        <v>944</v>
      </c>
      <c r="C163" s="13"/>
      <c r="D163" s="13"/>
      <c r="E163" s="13"/>
      <c r="F163" s="13"/>
      <c r="G163" s="13"/>
      <c r="H163" s="7"/>
    </row>
    <row r="164" spans="1:8">
      <c r="A164" s="5" t="s">
        <v>950</v>
      </c>
      <c r="B164" s="5" t="s">
        <v>951</v>
      </c>
      <c r="C164" s="13"/>
      <c r="D164" s="13"/>
      <c r="E164" s="13"/>
      <c r="F164" s="13"/>
      <c r="G164" s="13"/>
      <c r="H164" s="7"/>
    </row>
    <row r="165" spans="1:8">
      <c r="A165" s="5" t="s">
        <v>957</v>
      </c>
      <c r="B165" s="5" t="s">
        <v>958</v>
      </c>
      <c r="C165" s="13"/>
      <c r="D165" s="13"/>
      <c r="E165" s="13"/>
      <c r="F165" s="13"/>
      <c r="G165" s="13"/>
      <c r="H165" s="7"/>
    </row>
    <row r="166" spans="1:8">
      <c r="A166" s="5" t="s">
        <v>964</v>
      </c>
      <c r="B166" s="5" t="s">
        <v>965</v>
      </c>
      <c r="C166" s="13"/>
      <c r="D166" s="13"/>
      <c r="E166" s="13"/>
      <c r="F166" s="13"/>
      <c r="G166" s="13"/>
      <c r="H166" s="7"/>
    </row>
    <row r="167" spans="1:8">
      <c r="A167" s="5" t="s">
        <v>971</v>
      </c>
      <c r="B167" s="23" t="s">
        <v>972</v>
      </c>
      <c r="C167" s="13"/>
      <c r="D167" s="13"/>
      <c r="E167" s="13"/>
      <c r="F167" s="13"/>
      <c r="G167" s="13"/>
      <c r="H167" s="7"/>
    </row>
    <row r="168" spans="1:8">
      <c r="A168" s="5" t="s">
        <v>976</v>
      </c>
      <c r="B168" s="5" t="s">
        <v>977</v>
      </c>
      <c r="C168" s="13"/>
      <c r="D168" s="13"/>
      <c r="E168" s="13"/>
      <c r="F168" s="13"/>
      <c r="G168" s="13"/>
      <c r="H168" s="7"/>
    </row>
    <row r="169" spans="1:8">
      <c r="A169" s="5" t="s">
        <v>981</v>
      </c>
      <c r="B169" s="23" t="s">
        <v>624</v>
      </c>
      <c r="C169" s="13"/>
      <c r="D169" s="13"/>
      <c r="E169" s="13"/>
      <c r="F169" s="13"/>
      <c r="G169" s="13"/>
      <c r="H169" s="7"/>
    </row>
    <row r="170" spans="1:8">
      <c r="A170" s="5" t="s">
        <v>986</v>
      </c>
      <c r="B170" s="23" t="s">
        <v>657</v>
      </c>
      <c r="C170" s="13"/>
      <c r="D170" s="13"/>
      <c r="E170" s="13"/>
      <c r="F170" s="13"/>
      <c r="G170" s="13"/>
      <c r="H170" s="7"/>
    </row>
    <row r="171" spans="1:8">
      <c r="A171" s="5" t="s">
        <v>990</v>
      </c>
      <c r="B171" s="23" t="s">
        <v>836</v>
      </c>
      <c r="C171" s="13"/>
      <c r="D171" s="13"/>
      <c r="E171" s="13"/>
      <c r="F171" s="13"/>
      <c r="G171" s="13"/>
      <c r="H171" s="7"/>
    </row>
    <row r="172" spans="1:8">
      <c r="A172" s="5" t="s">
        <v>996</v>
      </c>
      <c r="B172" s="5" t="s">
        <v>806</v>
      </c>
      <c r="C172" s="13"/>
      <c r="D172" s="13"/>
      <c r="E172" s="13"/>
      <c r="F172" s="13"/>
      <c r="G172" s="13"/>
      <c r="H172" s="7"/>
    </row>
    <row r="173" spans="1:8">
      <c r="A173" s="5" t="s">
        <v>1002</v>
      </c>
      <c r="B173" s="23" t="s">
        <v>1003</v>
      </c>
      <c r="C173" s="13"/>
      <c r="D173" s="13"/>
      <c r="E173" s="13"/>
      <c r="F173" s="13"/>
      <c r="G173" s="13"/>
      <c r="H173" s="7"/>
    </row>
    <row r="174" spans="1:8">
      <c r="A174" s="5" t="s">
        <v>1009</v>
      </c>
      <c r="B174" s="5" t="s">
        <v>795</v>
      </c>
      <c r="C174" s="13"/>
      <c r="D174" s="13"/>
      <c r="E174" s="13"/>
      <c r="F174" s="13"/>
      <c r="G174" s="13"/>
      <c r="H174" s="7"/>
    </row>
    <row r="175" spans="1:8">
      <c r="A175" s="5" t="s">
        <v>1013</v>
      </c>
      <c r="B175" s="23" t="s">
        <v>1014</v>
      </c>
      <c r="C175" s="13"/>
      <c r="D175" s="13"/>
      <c r="E175" s="13"/>
      <c r="F175" s="13"/>
      <c r="G175" s="13"/>
      <c r="H175" s="7"/>
    </row>
    <row r="176" spans="1:8">
      <c r="A176" s="5" t="s">
        <v>1018</v>
      </c>
      <c r="B176" s="5" t="s">
        <v>1019</v>
      </c>
      <c r="C176" s="13"/>
      <c r="D176" s="13"/>
      <c r="E176" s="13"/>
      <c r="F176" s="13"/>
      <c r="G176" s="13"/>
      <c r="H176" s="7"/>
    </row>
    <row r="177" spans="1:8">
      <c r="A177" s="5" t="s">
        <v>1023</v>
      </c>
      <c r="B177" s="5" t="s">
        <v>540</v>
      </c>
      <c r="C177" s="13"/>
      <c r="D177" s="13"/>
      <c r="E177" s="13"/>
      <c r="F177" s="13"/>
      <c r="G177" s="13"/>
      <c r="H177" s="7"/>
    </row>
    <row r="178" spans="1:8">
      <c r="A178" s="5" t="s">
        <v>1029</v>
      </c>
      <c r="B178" s="5" t="s">
        <v>1030</v>
      </c>
      <c r="C178" s="13"/>
      <c r="D178" s="13"/>
      <c r="E178" s="13"/>
      <c r="F178" s="13"/>
      <c r="G178" s="13"/>
      <c r="H178" s="7"/>
    </row>
    <row r="179" spans="1:8" ht="39" customHeight="1">
      <c r="A179" s="540" t="s">
        <v>1034</v>
      </c>
      <c r="B179" s="543"/>
      <c r="C179" s="543"/>
      <c r="D179" s="543"/>
      <c r="E179" s="543"/>
      <c r="F179" s="543"/>
      <c r="G179" s="543"/>
      <c r="H179" s="550"/>
    </row>
    <row r="180" spans="1:8">
      <c r="A180" s="5" t="s">
        <v>4</v>
      </c>
      <c r="B180" s="6" t="s">
        <v>5</v>
      </c>
      <c r="C180" s="7" t="s">
        <v>6</v>
      </c>
      <c r="D180" s="7" t="s">
        <v>7</v>
      </c>
      <c r="E180" s="7" t="s">
        <v>8</v>
      </c>
      <c r="F180" s="7" t="s">
        <v>9</v>
      </c>
      <c r="G180" s="7" t="s">
        <v>10</v>
      </c>
      <c r="H180" s="7" t="s">
        <v>11</v>
      </c>
    </row>
    <row r="181" spans="1:8">
      <c r="A181" s="5" t="s">
        <v>1040</v>
      </c>
      <c r="B181" s="5" t="s">
        <v>1041</v>
      </c>
      <c r="C181" s="13"/>
      <c r="D181" s="13"/>
      <c r="E181" s="13"/>
      <c r="F181" s="13"/>
      <c r="G181" s="13"/>
      <c r="H181" s="7"/>
    </row>
    <row r="182" spans="1:8">
      <c r="A182" s="5" t="s">
        <v>1046</v>
      </c>
      <c r="B182" s="5" t="s">
        <v>1047</v>
      </c>
      <c r="C182" s="13"/>
      <c r="D182" s="13"/>
      <c r="E182" s="13"/>
      <c r="F182" s="13"/>
      <c r="G182" s="13"/>
      <c r="H182" s="7"/>
    </row>
    <row r="183" spans="1:8">
      <c r="A183" s="5" t="s">
        <v>1053</v>
      </c>
      <c r="B183" s="5" t="s">
        <v>975</v>
      </c>
      <c r="C183" s="13"/>
      <c r="D183" s="13"/>
      <c r="E183" s="13"/>
      <c r="F183" s="13"/>
      <c r="G183" s="13"/>
      <c r="H183" s="7"/>
    </row>
    <row r="184" spans="1:8">
      <c r="A184" s="5" t="s">
        <v>1059</v>
      </c>
      <c r="B184" s="5" t="s">
        <v>1060</v>
      </c>
      <c r="C184" s="13"/>
      <c r="D184" s="13"/>
      <c r="E184" s="13"/>
      <c r="F184" s="13"/>
      <c r="G184" s="13"/>
      <c r="H184" s="7"/>
    </row>
    <row r="185" spans="1:8">
      <c r="A185" s="5" t="s">
        <v>1064</v>
      </c>
      <c r="B185" s="34" t="s">
        <v>1017</v>
      </c>
      <c r="C185" s="13"/>
      <c r="D185" s="13"/>
      <c r="E185" s="13"/>
      <c r="F185" s="13"/>
      <c r="G185" s="13"/>
      <c r="H185" s="7"/>
    </row>
    <row r="186" spans="1:8">
      <c r="A186" s="5" t="s">
        <v>1069</v>
      </c>
      <c r="B186" s="34" t="s">
        <v>1017</v>
      </c>
      <c r="C186" s="13"/>
      <c r="D186" s="13"/>
      <c r="E186" s="13"/>
      <c r="F186" s="13"/>
      <c r="G186" s="13"/>
      <c r="H186" s="7"/>
    </row>
    <row r="187" spans="1:8">
      <c r="A187" s="5" t="s">
        <v>1075</v>
      </c>
      <c r="B187" s="5" t="s">
        <v>1076</v>
      </c>
      <c r="C187" s="13"/>
      <c r="D187" s="13"/>
      <c r="E187" s="13"/>
      <c r="F187" s="13"/>
      <c r="G187" s="13"/>
      <c r="H187" s="7"/>
    </row>
    <row r="188" spans="1:8">
      <c r="A188" s="5" t="s">
        <v>1080</v>
      </c>
      <c r="B188" s="5" t="s">
        <v>923</v>
      </c>
      <c r="C188" s="13"/>
      <c r="D188" s="13"/>
      <c r="E188" s="13"/>
      <c r="F188" s="13"/>
      <c r="G188" s="13"/>
      <c r="H188" s="7"/>
    </row>
    <row r="189" spans="1:8">
      <c r="A189" s="5" t="s">
        <v>1086</v>
      </c>
      <c r="B189" s="5" t="s">
        <v>918</v>
      </c>
      <c r="C189" s="13"/>
      <c r="D189" s="13"/>
      <c r="E189" s="13"/>
      <c r="F189" s="13"/>
      <c r="G189" s="13"/>
      <c r="H189" s="7"/>
    </row>
    <row r="190" spans="1:8">
      <c r="A190" s="5" t="s">
        <v>1092</v>
      </c>
      <c r="B190" s="5" t="s">
        <v>151</v>
      </c>
      <c r="C190" s="13"/>
      <c r="D190" s="13"/>
      <c r="E190" s="13"/>
      <c r="F190" s="13"/>
      <c r="G190" s="13"/>
      <c r="H190" s="7"/>
    </row>
    <row r="191" spans="1:8">
      <c r="A191" s="5" t="s">
        <v>1098</v>
      </c>
      <c r="B191" s="5" t="s">
        <v>1099</v>
      </c>
      <c r="C191" s="13"/>
      <c r="D191" s="13"/>
      <c r="E191" s="13"/>
      <c r="F191" s="13"/>
      <c r="G191" s="13"/>
      <c r="H191" s="7"/>
    </row>
    <row r="192" spans="1:8">
      <c r="A192" s="5" t="s">
        <v>1103</v>
      </c>
      <c r="B192" s="5" t="s">
        <v>1104</v>
      </c>
      <c r="C192" s="13"/>
      <c r="D192" s="13"/>
      <c r="E192" s="13"/>
      <c r="F192" s="13"/>
      <c r="G192" s="13"/>
      <c r="H192" s="7"/>
    </row>
    <row r="193" spans="1:8">
      <c r="A193" s="5" t="s">
        <v>1108</v>
      </c>
      <c r="B193" s="5" t="s">
        <v>970</v>
      </c>
      <c r="C193" s="13"/>
      <c r="D193" s="13"/>
      <c r="E193" s="13"/>
      <c r="F193" s="13"/>
      <c r="G193" s="13"/>
      <c r="H193" s="7"/>
    </row>
    <row r="194" spans="1:8">
      <c r="A194" s="5" t="s">
        <v>1111</v>
      </c>
      <c r="B194" s="5" t="s">
        <v>1112</v>
      </c>
      <c r="C194" s="13"/>
      <c r="D194" s="13"/>
      <c r="E194" s="13"/>
      <c r="F194" s="13"/>
      <c r="G194" s="13"/>
      <c r="H194" s="7"/>
    </row>
    <row r="195" spans="1:8">
      <c r="A195" s="5" t="s">
        <v>1118</v>
      </c>
      <c r="B195" s="5" t="s">
        <v>1119</v>
      </c>
      <c r="C195" s="13"/>
      <c r="D195" s="13"/>
      <c r="E195" s="13"/>
      <c r="F195" s="13"/>
      <c r="G195" s="13"/>
      <c r="H195" s="7"/>
    </row>
    <row r="196" spans="1:8">
      <c r="A196" s="5" t="s">
        <v>1123</v>
      </c>
      <c r="B196" s="5" t="s">
        <v>1124</v>
      </c>
      <c r="C196" s="13"/>
      <c r="D196" s="13"/>
      <c r="E196" s="13"/>
      <c r="F196" s="13"/>
      <c r="G196" s="13"/>
      <c r="H196" s="7"/>
    </row>
    <row r="197" spans="1:8">
      <c r="A197" s="5" t="s">
        <v>1130</v>
      </c>
      <c r="B197" s="5" t="s">
        <v>1131</v>
      </c>
      <c r="C197" s="13"/>
      <c r="D197" s="13"/>
      <c r="E197" s="13"/>
      <c r="F197" s="13"/>
      <c r="G197" s="13"/>
      <c r="H197" s="7"/>
    </row>
    <row r="198" spans="1:8">
      <c r="A198" s="5" t="s">
        <v>1137</v>
      </c>
      <c r="B198" s="5" t="s">
        <v>1138</v>
      </c>
      <c r="C198" s="13"/>
      <c r="D198" s="13"/>
      <c r="E198" s="13"/>
      <c r="F198" s="13"/>
      <c r="G198" s="13"/>
      <c r="H198" s="7"/>
    </row>
    <row r="199" spans="1:8">
      <c r="A199" s="5" t="s">
        <v>1144</v>
      </c>
      <c r="B199" s="5" t="s">
        <v>1145</v>
      </c>
      <c r="C199" s="13"/>
      <c r="D199" s="13"/>
      <c r="E199" s="13"/>
      <c r="F199" s="13"/>
      <c r="G199" s="13"/>
      <c r="H199" s="7"/>
    </row>
    <row r="200" spans="1:8">
      <c r="A200" s="5" t="s">
        <v>1149</v>
      </c>
      <c r="B200" s="5" t="s">
        <v>918</v>
      </c>
      <c r="C200" s="13"/>
      <c r="D200" s="13"/>
      <c r="E200" s="13"/>
      <c r="F200" s="13"/>
      <c r="G200" s="13"/>
      <c r="H200" s="7"/>
    </row>
    <row r="201" spans="1:8">
      <c r="A201" s="5" t="s">
        <v>1155</v>
      </c>
      <c r="B201" s="5" t="s">
        <v>942</v>
      </c>
      <c r="C201" s="13"/>
      <c r="D201" s="13"/>
      <c r="E201" s="13"/>
      <c r="F201" s="13"/>
      <c r="G201" s="13"/>
      <c r="H201" s="7"/>
    </row>
    <row r="202" spans="1:8">
      <c r="A202" s="5" t="s">
        <v>1159</v>
      </c>
      <c r="B202" s="5" t="s">
        <v>159</v>
      </c>
      <c r="C202" s="13"/>
      <c r="D202" s="13"/>
      <c r="E202" s="13"/>
      <c r="F202" s="13"/>
      <c r="G202" s="13"/>
      <c r="H202" s="7"/>
    </row>
    <row r="203" spans="1:8">
      <c r="A203" s="5" t="s">
        <v>1165</v>
      </c>
      <c r="B203" s="5" t="s">
        <v>288</v>
      </c>
      <c r="C203" s="13"/>
      <c r="D203" s="13"/>
      <c r="E203" s="13"/>
      <c r="F203" s="13"/>
      <c r="G203" s="13"/>
      <c r="H203" s="7"/>
    </row>
    <row r="204" spans="1:8">
      <c r="A204" s="5" t="s">
        <v>1169</v>
      </c>
      <c r="B204" s="5" t="s">
        <v>933</v>
      </c>
      <c r="C204" s="13"/>
      <c r="D204" s="13"/>
      <c r="E204" s="13"/>
      <c r="F204" s="13"/>
      <c r="G204" s="13"/>
      <c r="H204" s="7"/>
    </row>
    <row r="205" spans="1:8">
      <c r="A205" s="5" t="s">
        <v>1175</v>
      </c>
      <c r="B205" s="5" t="s">
        <v>875</v>
      </c>
      <c r="C205" s="13"/>
      <c r="D205" s="13"/>
      <c r="E205" s="13"/>
      <c r="F205" s="13"/>
      <c r="G205" s="13"/>
      <c r="H205" s="7"/>
    </row>
    <row r="206" spans="1:8">
      <c r="A206" s="5" t="s">
        <v>1181</v>
      </c>
      <c r="B206" s="5" t="s">
        <v>1182</v>
      </c>
      <c r="C206" s="13"/>
      <c r="D206" s="13"/>
      <c r="E206" s="13"/>
      <c r="F206" s="13"/>
      <c r="G206" s="13"/>
      <c r="H206" s="7"/>
    </row>
    <row r="207" spans="1:8">
      <c r="A207" s="5" t="s">
        <v>1188</v>
      </c>
      <c r="B207" s="5" t="s">
        <v>911</v>
      </c>
      <c r="C207" s="13"/>
      <c r="D207" s="13"/>
      <c r="E207" s="13"/>
      <c r="F207" s="13"/>
      <c r="G207" s="13"/>
      <c r="H207" s="7"/>
    </row>
    <row r="208" spans="1:8">
      <c r="A208" s="5" t="s">
        <v>1192</v>
      </c>
      <c r="B208" s="5" t="s">
        <v>1193</v>
      </c>
      <c r="C208" s="13"/>
      <c r="D208" s="13"/>
      <c r="E208" s="13"/>
      <c r="F208" s="13"/>
      <c r="G208" s="13"/>
      <c r="H208" s="7"/>
    </row>
    <row r="209" spans="1:8">
      <c r="A209" s="5" t="s">
        <v>1197</v>
      </c>
      <c r="B209" s="5" t="s">
        <v>1198</v>
      </c>
      <c r="C209" s="13"/>
      <c r="D209" s="13"/>
      <c r="E209" s="13"/>
      <c r="F209" s="13"/>
      <c r="G209" s="13"/>
      <c r="H209" s="7"/>
    </row>
    <row r="210" spans="1:8">
      <c r="A210" s="5" t="s">
        <v>1202</v>
      </c>
      <c r="B210" s="5" t="s">
        <v>869</v>
      </c>
      <c r="C210" s="13"/>
      <c r="D210" s="13"/>
      <c r="E210" s="13"/>
      <c r="F210" s="13"/>
      <c r="G210" s="13"/>
      <c r="H210" s="7"/>
    </row>
    <row r="211" spans="1:8">
      <c r="A211" s="5" t="s">
        <v>1208</v>
      </c>
      <c r="B211" s="5" t="s">
        <v>1012</v>
      </c>
      <c r="C211" s="13"/>
      <c r="D211" s="13"/>
      <c r="E211" s="13"/>
      <c r="F211" s="13"/>
      <c r="G211" s="13"/>
      <c r="H211" s="7"/>
    </row>
    <row r="212" spans="1:8">
      <c r="A212" s="5" t="s">
        <v>1214</v>
      </c>
      <c r="B212" s="5" t="s">
        <v>108</v>
      </c>
      <c r="C212" s="13"/>
      <c r="D212" s="13"/>
      <c r="E212" s="13"/>
      <c r="F212" s="13"/>
      <c r="G212" s="13"/>
      <c r="H212" s="7"/>
    </row>
    <row r="213" spans="1:8">
      <c r="A213" s="5" t="s">
        <v>1217</v>
      </c>
      <c r="B213" s="5" t="s">
        <v>1218</v>
      </c>
      <c r="C213" s="13"/>
      <c r="D213" s="13"/>
      <c r="E213" s="13"/>
      <c r="F213" s="13"/>
      <c r="G213" s="13"/>
      <c r="H213" s="7"/>
    </row>
    <row r="214" spans="1:8">
      <c r="A214" s="5" t="s">
        <v>1223</v>
      </c>
      <c r="B214" s="5" t="s">
        <v>1224</v>
      </c>
      <c r="C214" s="13"/>
      <c r="D214" s="13"/>
      <c r="E214" s="13"/>
      <c r="F214" s="13"/>
      <c r="G214" s="13"/>
      <c r="H214" s="7"/>
    </row>
    <row r="215" spans="1:8">
      <c r="A215" s="5" t="s">
        <v>1230</v>
      </c>
      <c r="B215" s="5" t="s">
        <v>1231</v>
      </c>
      <c r="C215" s="13"/>
      <c r="D215" s="13"/>
      <c r="E215" s="13"/>
      <c r="F215" s="13"/>
      <c r="G215" s="13"/>
      <c r="H215" s="7"/>
    </row>
    <row r="216" spans="1:8">
      <c r="A216" s="5" t="s">
        <v>1237</v>
      </c>
      <c r="B216" s="5" t="s">
        <v>1238</v>
      </c>
      <c r="C216" s="13"/>
      <c r="D216" s="13"/>
      <c r="E216" s="13"/>
      <c r="F216" s="13"/>
      <c r="G216" s="13"/>
      <c r="H216" s="7"/>
    </row>
    <row r="217" spans="1:8">
      <c r="A217" s="5" t="s">
        <v>1241</v>
      </c>
      <c r="B217" s="5" t="s">
        <v>1242</v>
      </c>
      <c r="C217" s="13"/>
      <c r="D217" s="13"/>
      <c r="E217" s="13"/>
      <c r="F217" s="13"/>
      <c r="G217" s="13"/>
      <c r="H217" s="7"/>
    </row>
    <row r="218" spans="1:8">
      <c r="A218" s="5" t="s">
        <v>1245</v>
      </c>
      <c r="B218" s="5" t="s">
        <v>1246</v>
      </c>
      <c r="C218" s="13"/>
      <c r="D218" s="13"/>
      <c r="E218" s="13"/>
      <c r="F218" s="13"/>
      <c r="G218" s="13"/>
      <c r="H218" s="7"/>
    </row>
    <row r="219" spans="1:8">
      <c r="A219" s="5" t="s">
        <v>1249</v>
      </c>
      <c r="B219" s="5" t="s">
        <v>1250</v>
      </c>
      <c r="C219" s="13"/>
      <c r="D219" s="13"/>
      <c r="E219" s="13"/>
      <c r="F219" s="13"/>
      <c r="G219" s="13"/>
      <c r="H219" s="7"/>
    </row>
    <row r="220" spans="1:8" ht="37.5" customHeight="1">
      <c r="A220" s="536" t="s">
        <v>1253</v>
      </c>
      <c r="B220" s="543"/>
      <c r="C220" s="543"/>
      <c r="D220" s="543"/>
      <c r="E220" s="543"/>
      <c r="F220" s="543"/>
      <c r="G220" s="543"/>
      <c r="H220" s="550"/>
    </row>
    <row r="221" spans="1:8">
      <c r="A221" s="5" t="s">
        <v>4</v>
      </c>
      <c r="B221" s="6" t="s">
        <v>5</v>
      </c>
      <c r="C221" s="7" t="s">
        <v>6</v>
      </c>
      <c r="D221" s="7" t="s">
        <v>7</v>
      </c>
      <c r="E221" s="7" t="s">
        <v>8</v>
      </c>
      <c r="F221" s="7" t="s">
        <v>9</v>
      </c>
      <c r="G221" s="7" t="s">
        <v>10</v>
      </c>
      <c r="H221" s="7" t="s">
        <v>11</v>
      </c>
    </row>
    <row r="222" spans="1:8">
      <c r="A222" s="5" t="s">
        <v>1259</v>
      </c>
      <c r="B222" s="5" t="s">
        <v>1201</v>
      </c>
      <c r="C222" s="13"/>
      <c r="D222" s="13"/>
      <c r="E222" s="13"/>
      <c r="F222" s="13"/>
      <c r="G222" s="13"/>
      <c r="H222" s="7"/>
    </row>
    <row r="223" spans="1:8">
      <c r="A223" s="5" t="s">
        <v>1262</v>
      </c>
      <c r="B223" s="5" t="s">
        <v>1263</v>
      </c>
      <c r="C223" s="13"/>
      <c r="D223" s="13"/>
      <c r="E223" s="13"/>
      <c r="F223" s="13"/>
      <c r="G223" s="13"/>
      <c r="H223" s="7"/>
    </row>
    <row r="224" spans="1:8">
      <c r="A224" s="5" t="s">
        <v>1266</v>
      </c>
      <c r="B224" s="23" t="s">
        <v>1267</v>
      </c>
      <c r="C224" s="13"/>
      <c r="D224" s="13"/>
      <c r="E224" s="13"/>
      <c r="F224" s="13"/>
      <c r="G224" s="13"/>
      <c r="H224" s="7"/>
    </row>
    <row r="225" spans="1:8">
      <c r="A225" s="5" t="s">
        <v>1268</v>
      </c>
      <c r="B225" s="5" t="s">
        <v>1269</v>
      </c>
      <c r="C225" s="13"/>
      <c r="D225" s="13"/>
      <c r="E225" s="13"/>
      <c r="F225" s="13"/>
      <c r="G225" s="13"/>
      <c r="H225" s="7"/>
    </row>
    <row r="226" spans="1:8">
      <c r="A226" s="5" t="s">
        <v>1271</v>
      </c>
      <c r="B226" s="5" t="s">
        <v>1272</v>
      </c>
      <c r="C226" s="13"/>
      <c r="D226" s="13"/>
      <c r="E226" s="13"/>
      <c r="F226" s="13"/>
      <c r="G226" s="13"/>
      <c r="H226" s="7"/>
    </row>
    <row r="227" spans="1:8">
      <c r="A227" s="5" t="s">
        <v>1273</v>
      </c>
      <c r="B227" s="23" t="s">
        <v>1274</v>
      </c>
      <c r="C227" s="13"/>
      <c r="D227" s="13"/>
      <c r="E227" s="13"/>
      <c r="F227" s="13"/>
      <c r="G227" s="13"/>
      <c r="H227" s="7"/>
    </row>
    <row r="228" spans="1:8">
      <c r="A228" s="5" t="s">
        <v>1275</v>
      </c>
      <c r="B228" s="5" t="s">
        <v>939</v>
      </c>
      <c r="C228" s="13"/>
      <c r="D228" s="13"/>
      <c r="E228" s="13"/>
      <c r="F228" s="13"/>
      <c r="G228" s="13"/>
      <c r="H228" s="7"/>
    </row>
    <row r="229" spans="1:8">
      <c r="A229" s="5" t="s">
        <v>1278</v>
      </c>
      <c r="B229" s="5" t="s">
        <v>1279</v>
      </c>
      <c r="C229" s="13"/>
      <c r="D229" s="13"/>
      <c r="E229" s="13"/>
      <c r="F229" s="13"/>
      <c r="G229" s="13"/>
      <c r="H229" s="7"/>
    </row>
    <row r="230" spans="1:8">
      <c r="A230" s="5" t="s">
        <v>1282</v>
      </c>
      <c r="B230" s="5" t="s">
        <v>1283</v>
      </c>
      <c r="C230" s="13"/>
      <c r="D230" s="13"/>
      <c r="E230" s="13"/>
      <c r="F230" s="13"/>
      <c r="G230" s="13"/>
      <c r="H230" s="7"/>
    </row>
    <row r="231" spans="1:8">
      <c r="A231" s="5" t="s">
        <v>1284</v>
      </c>
      <c r="B231" s="5" t="s">
        <v>1285</v>
      </c>
      <c r="C231" s="13"/>
      <c r="D231" s="13"/>
      <c r="E231" s="13"/>
      <c r="F231" s="13"/>
      <c r="G231" s="13"/>
      <c r="H231" s="7"/>
    </row>
    <row r="232" spans="1:8">
      <c r="A232" s="5" t="s">
        <v>1288</v>
      </c>
      <c r="B232" s="23" t="s">
        <v>1129</v>
      </c>
      <c r="C232" s="13"/>
      <c r="D232" s="13"/>
      <c r="E232" s="13"/>
      <c r="F232" s="13"/>
      <c r="G232" s="13"/>
      <c r="H232" s="7"/>
    </row>
    <row r="233" spans="1:8">
      <c r="A233" s="5" t="s">
        <v>1290</v>
      </c>
      <c r="B233" s="23" t="s">
        <v>1158</v>
      </c>
      <c r="C233" s="13"/>
      <c r="D233" s="13"/>
      <c r="E233" s="13"/>
      <c r="F233" s="13"/>
      <c r="G233" s="13"/>
      <c r="H233" s="7"/>
    </row>
    <row r="234" spans="1:8">
      <c r="A234" s="5" t="s">
        <v>1292</v>
      </c>
      <c r="B234" s="23" t="s">
        <v>1293</v>
      </c>
      <c r="C234" s="13"/>
      <c r="D234" s="13"/>
      <c r="E234" s="13"/>
      <c r="F234" s="13"/>
      <c r="G234" s="13"/>
      <c r="H234" s="7"/>
    </row>
    <row r="235" spans="1:8">
      <c r="A235" s="5" t="s">
        <v>1294</v>
      </c>
      <c r="B235" s="23" t="s">
        <v>1295</v>
      </c>
      <c r="C235" s="13"/>
      <c r="D235" s="13"/>
      <c r="E235" s="13"/>
      <c r="F235" s="13"/>
      <c r="G235" s="13"/>
      <c r="H235" s="7"/>
    </row>
    <row r="236" spans="1:8">
      <c r="A236" s="5" t="s">
        <v>1297</v>
      </c>
      <c r="B236" s="5" t="s">
        <v>1298</v>
      </c>
      <c r="C236" s="13"/>
      <c r="D236" s="13"/>
      <c r="E236" s="13"/>
      <c r="F236" s="13"/>
      <c r="G236" s="13"/>
      <c r="H236" s="7"/>
    </row>
    <row r="237" spans="1:8">
      <c r="A237" s="5" t="s">
        <v>1301</v>
      </c>
      <c r="B237" s="5" t="s">
        <v>1302</v>
      </c>
      <c r="C237" s="13"/>
      <c r="D237" s="13"/>
      <c r="E237" s="13"/>
      <c r="F237" s="13"/>
      <c r="G237" s="13"/>
      <c r="H237" s="7"/>
    </row>
    <row r="238" spans="1:8">
      <c r="A238" s="5" t="s">
        <v>1305</v>
      </c>
      <c r="B238" s="5" t="s">
        <v>1306</v>
      </c>
      <c r="C238" s="13"/>
      <c r="D238" s="13"/>
      <c r="E238" s="13"/>
      <c r="F238" s="13"/>
      <c r="G238" s="13"/>
      <c r="H238" s="7"/>
    </row>
    <row r="239" spans="1:8">
      <c r="A239" s="5" t="s">
        <v>1307</v>
      </c>
      <c r="B239" s="5" t="s">
        <v>1308</v>
      </c>
      <c r="C239" s="13"/>
      <c r="D239" s="13"/>
      <c r="E239" s="13"/>
      <c r="F239" s="13"/>
      <c r="G239" s="13"/>
      <c r="H239" s="7"/>
    </row>
    <row r="240" spans="1:8">
      <c r="A240" s="5" t="s">
        <v>1310</v>
      </c>
      <c r="B240" s="5" t="s">
        <v>1085</v>
      </c>
      <c r="C240" s="13"/>
      <c r="D240" s="13"/>
      <c r="E240" s="13"/>
      <c r="F240" s="13"/>
      <c r="G240" s="13"/>
      <c r="H240" s="7"/>
    </row>
    <row r="241" spans="1:8">
      <c r="A241" s="5" t="s">
        <v>1313</v>
      </c>
      <c r="B241" s="5" t="s">
        <v>1314</v>
      </c>
      <c r="C241" s="13"/>
      <c r="D241" s="13"/>
      <c r="E241" s="13"/>
      <c r="F241" s="13"/>
      <c r="G241" s="13"/>
      <c r="H241" s="7"/>
    </row>
    <row r="242" spans="1:8">
      <c r="A242" s="5" t="s">
        <v>1315</v>
      </c>
      <c r="B242" s="5" t="s">
        <v>1316</v>
      </c>
      <c r="C242" s="13"/>
      <c r="D242" s="13"/>
      <c r="E242" s="13"/>
      <c r="F242" s="13"/>
      <c r="G242" s="13"/>
      <c r="H242" s="7"/>
    </row>
    <row r="243" spans="1:8">
      <c r="A243" s="5" t="s">
        <v>1319</v>
      </c>
      <c r="B243" s="5" t="s">
        <v>1320</v>
      </c>
      <c r="C243" s="13"/>
      <c r="D243" s="13"/>
      <c r="E243" s="13"/>
      <c r="F243" s="13"/>
      <c r="G243" s="13"/>
      <c r="H243" s="7"/>
    </row>
    <row r="244" spans="1:8">
      <c r="A244" s="5" t="s">
        <v>1323</v>
      </c>
      <c r="B244" s="5" t="s">
        <v>1079</v>
      </c>
      <c r="C244" s="13"/>
      <c r="D244" s="13"/>
      <c r="E244" s="13"/>
      <c r="F244" s="13"/>
      <c r="G244" s="13"/>
      <c r="H244" s="7"/>
    </row>
    <row r="245" spans="1:8">
      <c r="A245" s="5" t="s">
        <v>1324</v>
      </c>
      <c r="B245" s="23" t="s">
        <v>1091</v>
      </c>
      <c r="C245" s="13"/>
      <c r="D245" s="13"/>
      <c r="E245" s="13"/>
      <c r="F245" s="13"/>
      <c r="G245" s="13"/>
      <c r="H245" s="7"/>
    </row>
    <row r="246" spans="1:8">
      <c r="A246" s="5" t="s">
        <v>1327</v>
      </c>
      <c r="B246" s="5" t="s">
        <v>726</v>
      </c>
      <c r="C246" s="13"/>
      <c r="D246" s="13"/>
      <c r="E246" s="13"/>
      <c r="F246" s="13"/>
      <c r="G246" s="13"/>
      <c r="H246" s="7"/>
    </row>
    <row r="247" spans="1:8">
      <c r="A247" s="5" t="s">
        <v>1330</v>
      </c>
      <c r="B247" s="5" t="s">
        <v>1102</v>
      </c>
      <c r="C247" s="13"/>
      <c r="D247" s="13"/>
      <c r="E247" s="13"/>
      <c r="F247" s="13"/>
      <c r="G247" s="13"/>
      <c r="H247" s="7"/>
    </row>
    <row r="248" spans="1:8">
      <c r="A248" s="5" t="s">
        <v>1331</v>
      </c>
      <c r="B248" s="5" t="s">
        <v>1332</v>
      </c>
      <c r="C248" s="13"/>
      <c r="D248" s="13"/>
      <c r="E248" s="13"/>
      <c r="F248" s="13"/>
      <c r="G248" s="13"/>
      <c r="H248" s="7"/>
    </row>
    <row r="249" spans="1:8">
      <c r="A249" s="5" t="s">
        <v>1336</v>
      </c>
      <c r="B249" s="5" t="s">
        <v>1168</v>
      </c>
      <c r="C249" s="13"/>
      <c r="D249" s="13"/>
      <c r="E249" s="13"/>
      <c r="F249" s="13"/>
      <c r="G249" s="13"/>
      <c r="H249" s="7"/>
    </row>
    <row r="250" spans="1:8">
      <c r="A250" s="5" t="s">
        <v>1339</v>
      </c>
      <c r="B250" s="23" t="s">
        <v>1340</v>
      </c>
      <c r="C250" s="13"/>
      <c r="D250" s="13"/>
      <c r="E250" s="13"/>
      <c r="F250" s="13"/>
      <c r="G250" s="13"/>
      <c r="H250" s="7"/>
    </row>
    <row r="251" spans="1:8">
      <c r="A251" s="5" t="s">
        <v>1343</v>
      </c>
      <c r="B251" s="5" t="s">
        <v>1063</v>
      </c>
      <c r="C251" s="13"/>
      <c r="D251" s="13"/>
      <c r="E251" s="13"/>
      <c r="F251" s="13"/>
      <c r="G251" s="13"/>
      <c r="H251" s="7"/>
    </row>
    <row r="252" spans="1:8">
      <c r="A252" s="5" t="s">
        <v>1346</v>
      </c>
      <c r="B252" s="5" t="s">
        <v>1347</v>
      </c>
      <c r="C252" s="13"/>
      <c r="D252" s="13"/>
      <c r="E252" s="13"/>
      <c r="F252" s="13"/>
      <c r="G252" s="13"/>
      <c r="H252" s="7"/>
    </row>
    <row r="253" spans="1:8">
      <c r="A253" s="5" t="s">
        <v>1350</v>
      </c>
      <c r="B253" s="5" t="s">
        <v>601</v>
      </c>
      <c r="C253" s="13"/>
      <c r="D253" s="13"/>
      <c r="E253" s="13"/>
      <c r="F253" s="13"/>
      <c r="G253" s="13"/>
      <c r="H253" s="7"/>
    </row>
    <row r="254" spans="1:8">
      <c r="A254" s="5" t="s">
        <v>1351</v>
      </c>
      <c r="B254" s="5" t="s">
        <v>1352</v>
      </c>
      <c r="C254" s="13"/>
      <c r="D254" s="13"/>
      <c r="E254" s="13"/>
      <c r="F254" s="13"/>
      <c r="G254" s="13"/>
      <c r="H254" s="7"/>
    </row>
    <row r="255" spans="1:8">
      <c r="A255" s="5" t="s">
        <v>1355</v>
      </c>
      <c r="B255" s="5" t="s">
        <v>1356</v>
      </c>
      <c r="C255" s="13"/>
      <c r="D255" s="13"/>
      <c r="E255" s="13"/>
      <c r="F255" s="13"/>
      <c r="G255" s="13"/>
      <c r="H255" s="7"/>
    </row>
    <row r="256" spans="1:8">
      <c r="A256" s="5" t="s">
        <v>1357</v>
      </c>
      <c r="B256" s="5" t="s">
        <v>1358</v>
      </c>
      <c r="C256" s="13"/>
      <c r="D256" s="13"/>
      <c r="E256" s="13"/>
      <c r="F256" s="13"/>
      <c r="G256" s="13"/>
      <c r="H256" s="7"/>
    </row>
    <row r="257" spans="1:8">
      <c r="A257" s="5" t="s">
        <v>1361</v>
      </c>
      <c r="B257" s="23" t="s">
        <v>1097</v>
      </c>
      <c r="C257" s="13"/>
      <c r="D257" s="13"/>
      <c r="E257" s="13"/>
      <c r="F257" s="13"/>
      <c r="G257" s="13"/>
      <c r="H257" s="7"/>
    </row>
    <row r="258" spans="1:8">
      <c r="A258" s="5" t="s">
        <v>1364</v>
      </c>
      <c r="B258" s="5" t="s">
        <v>1117</v>
      </c>
      <c r="C258" s="13"/>
      <c r="D258" s="13"/>
      <c r="E258" s="13"/>
      <c r="F258" s="13"/>
      <c r="G258" s="13"/>
      <c r="H258" s="7"/>
    </row>
    <row r="259" spans="1:8">
      <c r="A259" s="5" t="s">
        <v>1367</v>
      </c>
      <c r="B259" s="5" t="s">
        <v>1368</v>
      </c>
      <c r="C259" s="13"/>
      <c r="D259" s="13"/>
      <c r="E259" s="13"/>
      <c r="F259" s="13"/>
      <c r="G259" s="13"/>
      <c r="H259" s="7"/>
    </row>
    <row r="260" spans="1:8">
      <c r="A260" s="5" t="s">
        <v>1369</v>
      </c>
      <c r="B260" s="5" t="s">
        <v>1370</v>
      </c>
      <c r="C260" s="13"/>
      <c r="D260" s="13"/>
      <c r="E260" s="13"/>
      <c r="F260" s="13"/>
      <c r="G260" s="13"/>
      <c r="H260" s="7"/>
    </row>
    <row r="261" spans="1:8">
      <c r="A261" s="5" t="s">
        <v>1373</v>
      </c>
      <c r="B261" s="5" t="s">
        <v>1180</v>
      </c>
      <c r="C261" s="13"/>
      <c r="D261" s="13"/>
      <c r="E261" s="13"/>
      <c r="F261" s="13"/>
      <c r="G261" s="13"/>
      <c r="H261" s="7"/>
    </row>
    <row r="262" spans="1:8">
      <c r="A262" s="5" t="s">
        <v>1376</v>
      </c>
      <c r="B262" s="5" t="s">
        <v>1143</v>
      </c>
      <c r="C262" s="13"/>
      <c r="D262" s="13"/>
      <c r="E262" s="13"/>
      <c r="F262" s="13"/>
      <c r="G262" s="13"/>
      <c r="H262" s="7"/>
    </row>
    <row r="263" spans="1:8">
      <c r="A263" s="5" t="s">
        <v>1379</v>
      </c>
      <c r="B263" s="5" t="s">
        <v>1380</v>
      </c>
      <c r="C263" s="13"/>
      <c r="D263" s="13"/>
      <c r="E263" s="13"/>
      <c r="F263" s="13"/>
      <c r="G263" s="13"/>
      <c r="H263" s="7"/>
    </row>
    <row r="264" spans="1:8">
      <c r="A264" s="5" t="s">
        <v>1381</v>
      </c>
      <c r="B264" s="5" t="s">
        <v>1039</v>
      </c>
      <c r="C264" s="13"/>
      <c r="D264" s="13"/>
      <c r="E264" s="13"/>
      <c r="F264" s="13"/>
      <c r="G264" s="13"/>
      <c r="H264" s="7"/>
    </row>
    <row r="265" spans="1:8">
      <c r="A265" s="5" t="s">
        <v>1382</v>
      </c>
      <c r="B265" s="5" t="s">
        <v>1213</v>
      </c>
      <c r="C265" s="13"/>
      <c r="D265" s="13"/>
      <c r="E265" s="13"/>
      <c r="F265" s="13"/>
      <c r="G265" s="13"/>
      <c r="H265" s="7"/>
    </row>
    <row r="266" spans="1:8">
      <c r="A266" s="5" t="s">
        <v>1383</v>
      </c>
      <c r="B266" s="5" t="s">
        <v>1384</v>
      </c>
      <c r="C266" s="13"/>
      <c r="D266" s="13"/>
      <c r="E266" s="13"/>
      <c r="F266" s="13"/>
      <c r="G266" s="13"/>
      <c r="H266" s="7"/>
    </row>
  </sheetData>
  <autoFilter ref="A1:H266" xr:uid="{00000000-0009-0000-0000-00001A000000}"/>
  <mergeCells count="6">
    <mergeCell ref="K2:R2"/>
    <mergeCell ref="A2:H2"/>
    <mergeCell ref="A1:H1"/>
    <mergeCell ref="A106:H106"/>
    <mergeCell ref="A220:H220"/>
    <mergeCell ref="A179:H179"/>
  </mergeCells>
  <phoneticPr fontId="89" type="noConversion"/>
  <dataValidations count="1">
    <dataValidation type="list" allowBlank="1" showInputMessage="1" showErrorMessage="1" sqref="C4:G105 C222:G266 C181:G219 C108:G178" xr:uid="{00000000-0002-0000-1A00-000000000000}">
      <formula1>"S,A+,A,B+,B,C+,C,D+,D,?,"</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蓝婉111">
    <pageSetUpPr autoPageBreaks="0"/>
  </sheetPr>
  <dimension ref="A1:Z181"/>
  <sheetViews>
    <sheetView zoomScale="70" zoomScaleNormal="70" zoomScalePageLayoutView="55" workbookViewId="0"/>
  </sheetViews>
  <sheetFormatPr baseColWidth="10" defaultColWidth="9" defaultRowHeight="21"/>
  <cols>
    <col min="1" max="1" width="10" style="511" customWidth="1"/>
    <col min="2" max="2" width="25" style="512" customWidth="1"/>
    <col min="3" max="3" width="10.7109375" style="513" customWidth="1"/>
    <col min="4" max="4" width="13.7109375" style="511" customWidth="1"/>
    <col min="5" max="5" width="94.42578125" style="511" customWidth="1"/>
    <col min="6" max="26" width="9" style="511"/>
  </cols>
  <sheetData>
    <row r="1" spans="1:5" ht="27" customHeight="1">
      <c r="A1" s="364" t="s">
        <v>4</v>
      </c>
      <c r="B1" s="365" t="s">
        <v>5</v>
      </c>
      <c r="C1" s="364" t="s">
        <v>4061</v>
      </c>
      <c r="D1" s="366" t="s">
        <v>1554</v>
      </c>
      <c r="E1" s="366" t="s">
        <v>4062</v>
      </c>
    </row>
    <row r="2" spans="1:5">
      <c r="A2" s="366" t="s">
        <v>14</v>
      </c>
      <c r="B2" s="367" t="s">
        <v>15</v>
      </c>
      <c r="C2" s="368" t="s">
        <v>18</v>
      </c>
      <c r="E2" s="366" t="s">
        <v>4063</v>
      </c>
    </row>
    <row r="3" spans="1:5">
      <c r="A3" s="366" t="s">
        <v>26</v>
      </c>
      <c r="B3" s="367" t="s">
        <v>27</v>
      </c>
      <c r="C3" s="368" t="s">
        <v>21</v>
      </c>
      <c r="E3" s="366" t="s">
        <v>4064</v>
      </c>
    </row>
    <row r="4" spans="1:5">
      <c r="A4" s="366" t="s">
        <v>34</v>
      </c>
      <c r="B4" s="367" t="s">
        <v>35</v>
      </c>
      <c r="C4" s="368" t="s">
        <v>1562</v>
      </c>
      <c r="E4" s="366" t="s">
        <v>4065</v>
      </c>
    </row>
    <row r="5" spans="1:5">
      <c r="A5" s="366" t="s">
        <v>41</v>
      </c>
      <c r="B5" s="367" t="s">
        <v>42</v>
      </c>
      <c r="C5" s="368" t="s">
        <v>1574</v>
      </c>
      <c r="E5" s="366" t="s">
        <v>4066</v>
      </c>
    </row>
    <row r="6" spans="1:5">
      <c r="A6" s="366" t="s">
        <v>48</v>
      </c>
      <c r="B6" s="367" t="s">
        <v>49</v>
      </c>
      <c r="C6" s="368" t="s">
        <v>1567</v>
      </c>
      <c r="E6" s="366" t="s">
        <v>4067</v>
      </c>
    </row>
    <row r="7" spans="1:5">
      <c r="A7" s="366" t="s">
        <v>55</v>
      </c>
      <c r="B7" s="367" t="s">
        <v>56</v>
      </c>
      <c r="C7" s="368" t="s">
        <v>28</v>
      </c>
      <c r="E7" s="366" t="s">
        <v>4068</v>
      </c>
    </row>
    <row r="8" spans="1:5">
      <c r="A8" s="366" t="s">
        <v>62</v>
      </c>
      <c r="B8" s="367" t="s">
        <v>63</v>
      </c>
      <c r="C8" s="368" t="s">
        <v>1562</v>
      </c>
      <c r="E8" s="366" t="s">
        <v>4069</v>
      </c>
    </row>
    <row r="9" spans="1:5">
      <c r="A9" s="366" t="s">
        <v>67</v>
      </c>
      <c r="B9" s="367" t="s">
        <v>68</v>
      </c>
      <c r="C9" s="368" t="s">
        <v>1574</v>
      </c>
      <c r="E9" s="366" t="s">
        <v>4070</v>
      </c>
    </row>
    <row r="10" spans="1:5">
      <c r="A10" s="366" t="s">
        <v>74</v>
      </c>
      <c r="B10" s="367" t="s">
        <v>75</v>
      </c>
      <c r="C10" s="368" t="s">
        <v>1661</v>
      </c>
      <c r="E10" s="366" t="s">
        <v>4071</v>
      </c>
    </row>
    <row r="11" spans="1:5">
      <c r="A11" s="366" t="s">
        <v>81</v>
      </c>
      <c r="B11" s="367" t="s">
        <v>82</v>
      </c>
      <c r="C11" s="368" t="s">
        <v>1567</v>
      </c>
      <c r="E11" s="366" t="s">
        <v>4072</v>
      </c>
    </row>
    <row r="12" spans="1:5">
      <c r="A12" s="366" t="s">
        <v>88</v>
      </c>
      <c r="B12" s="367" t="s">
        <v>89</v>
      </c>
      <c r="C12" s="368" t="s">
        <v>17</v>
      </c>
      <c r="E12" s="366" t="s">
        <v>4073</v>
      </c>
    </row>
    <row r="13" spans="1:5">
      <c r="A13" s="366" t="s">
        <v>95</v>
      </c>
      <c r="B13" s="367" t="s">
        <v>96</v>
      </c>
      <c r="C13" s="368" t="s">
        <v>18</v>
      </c>
      <c r="E13" s="366" t="s">
        <v>4074</v>
      </c>
    </row>
    <row r="14" spans="1:5" ht="22">
      <c r="A14" s="366" t="s">
        <v>102</v>
      </c>
      <c r="B14" s="367" t="s">
        <v>5272</v>
      </c>
      <c r="C14" s="368" t="s">
        <v>28</v>
      </c>
      <c r="E14" s="366" t="s">
        <v>4075</v>
      </c>
    </row>
    <row r="15" spans="1:5">
      <c r="A15" s="366" t="s">
        <v>109</v>
      </c>
      <c r="B15" s="367" t="s">
        <v>110</v>
      </c>
      <c r="C15" s="368" t="s">
        <v>1567</v>
      </c>
      <c r="E15" s="366" t="s">
        <v>4076</v>
      </c>
    </row>
    <row r="16" spans="1:5">
      <c r="A16" s="366" t="s">
        <v>116</v>
      </c>
      <c r="B16" s="367" t="s">
        <v>117</v>
      </c>
      <c r="C16" s="368" t="s">
        <v>1661</v>
      </c>
      <c r="E16" s="366" t="s">
        <v>4077</v>
      </c>
    </row>
    <row r="17" spans="1:5">
      <c r="A17" s="366" t="s">
        <v>123</v>
      </c>
      <c r="B17" s="367" t="s">
        <v>124</v>
      </c>
      <c r="C17" s="368" t="s">
        <v>17</v>
      </c>
      <c r="E17" s="366" t="s">
        <v>4078</v>
      </c>
    </row>
    <row r="18" spans="1:5">
      <c r="A18" s="366" t="s">
        <v>130</v>
      </c>
      <c r="B18" s="367" t="s">
        <v>129</v>
      </c>
      <c r="C18" s="368" t="s">
        <v>21</v>
      </c>
      <c r="E18" s="366" t="s">
        <v>4079</v>
      </c>
    </row>
    <row r="19" spans="1:5">
      <c r="A19" s="366" t="s">
        <v>136</v>
      </c>
      <c r="B19" s="367" t="s">
        <v>137</v>
      </c>
      <c r="C19" s="368" t="s">
        <v>17</v>
      </c>
      <c r="E19" s="366" t="s">
        <v>4080</v>
      </c>
    </row>
    <row r="20" spans="1:5" ht="22">
      <c r="A20" s="366" t="s">
        <v>143</v>
      </c>
      <c r="B20" s="367" t="s">
        <v>5273</v>
      </c>
      <c r="C20" s="368" t="s">
        <v>1574</v>
      </c>
      <c r="E20" s="366" t="s">
        <v>4081</v>
      </c>
    </row>
    <row r="21" spans="1:5">
      <c r="A21" s="366" t="s">
        <v>150</v>
      </c>
      <c r="B21" s="367" t="s">
        <v>151</v>
      </c>
      <c r="C21" s="368" t="s">
        <v>21</v>
      </c>
      <c r="E21" s="366" t="s">
        <v>4082</v>
      </c>
    </row>
    <row r="22" spans="1:5">
      <c r="A22" s="366" t="s">
        <v>156</v>
      </c>
      <c r="B22" s="367" t="s">
        <v>157</v>
      </c>
      <c r="C22" s="368" t="s">
        <v>1661</v>
      </c>
      <c r="E22" s="366" t="s">
        <v>4083</v>
      </c>
    </row>
    <row r="23" spans="1:5">
      <c r="A23" s="366" t="s">
        <v>163</v>
      </c>
      <c r="B23" s="367" t="s">
        <v>164</v>
      </c>
      <c r="C23" s="368" t="s">
        <v>1567</v>
      </c>
      <c r="E23" s="366" t="s">
        <v>4084</v>
      </c>
    </row>
    <row r="24" spans="1:5">
      <c r="A24" s="366" t="s">
        <v>170</v>
      </c>
      <c r="B24" s="367" t="s">
        <v>171</v>
      </c>
      <c r="C24" s="368" t="s">
        <v>21</v>
      </c>
      <c r="E24" s="366" t="s">
        <v>4085</v>
      </c>
    </row>
    <row r="25" spans="1:5">
      <c r="A25" s="366" t="s">
        <v>177</v>
      </c>
      <c r="B25" s="367" t="s">
        <v>178</v>
      </c>
      <c r="C25" s="368" t="s">
        <v>18</v>
      </c>
      <c r="E25" s="366" t="s">
        <v>4086</v>
      </c>
    </row>
    <row r="26" spans="1:5">
      <c r="A26" s="366" t="s">
        <v>184</v>
      </c>
      <c r="B26" s="367" t="s">
        <v>185</v>
      </c>
      <c r="C26" s="368" t="s">
        <v>1574</v>
      </c>
      <c r="E26" s="366" t="s">
        <v>4087</v>
      </c>
    </row>
    <row r="27" spans="1:5">
      <c r="A27" s="366" t="s">
        <v>191</v>
      </c>
      <c r="B27" s="367" t="s">
        <v>4088</v>
      </c>
      <c r="C27" s="368" t="s">
        <v>1567</v>
      </c>
      <c r="E27" s="366" t="s">
        <v>4089</v>
      </c>
    </row>
    <row r="28" spans="1:5">
      <c r="A28" s="366" t="s">
        <v>198</v>
      </c>
      <c r="B28" s="367" t="s">
        <v>199</v>
      </c>
      <c r="C28" s="368" t="s">
        <v>28</v>
      </c>
      <c r="E28" s="366" t="s">
        <v>4090</v>
      </c>
    </row>
    <row r="29" spans="1:5">
      <c r="A29" s="366" t="s">
        <v>205</v>
      </c>
      <c r="B29" s="367" t="s">
        <v>206</v>
      </c>
      <c r="C29" s="368" t="s">
        <v>18</v>
      </c>
      <c r="E29" s="366" t="s">
        <v>4091</v>
      </c>
    </row>
    <row r="30" spans="1:5">
      <c r="A30" s="366" t="s">
        <v>212</v>
      </c>
      <c r="B30" s="367" t="s">
        <v>4092</v>
      </c>
      <c r="C30" s="368" t="s">
        <v>1567</v>
      </c>
      <c r="E30" s="366" t="s">
        <v>4093</v>
      </c>
    </row>
    <row r="31" spans="1:5">
      <c r="A31" s="366" t="s">
        <v>218</v>
      </c>
      <c r="B31" s="367" t="s">
        <v>219</v>
      </c>
      <c r="C31" s="368" t="s">
        <v>28</v>
      </c>
      <c r="E31" s="366" t="s">
        <v>4094</v>
      </c>
    </row>
    <row r="32" spans="1:5">
      <c r="A32" s="366" t="s">
        <v>225</v>
      </c>
      <c r="B32" s="367" t="s">
        <v>226</v>
      </c>
      <c r="C32" s="368" t="s">
        <v>1567</v>
      </c>
      <c r="E32" s="366" t="s">
        <v>4095</v>
      </c>
    </row>
    <row r="33" spans="1:5">
      <c r="A33" s="366" t="s">
        <v>232</v>
      </c>
      <c r="B33" s="367" t="s">
        <v>233</v>
      </c>
      <c r="C33" s="368" t="s">
        <v>16</v>
      </c>
      <c r="E33" s="366" t="s">
        <v>4096</v>
      </c>
    </row>
    <row r="34" spans="1:5">
      <c r="A34" s="366" t="s">
        <v>238</v>
      </c>
      <c r="B34" s="367" t="s">
        <v>239</v>
      </c>
      <c r="C34" s="368" t="s">
        <v>28</v>
      </c>
      <c r="E34" s="366" t="s">
        <v>4097</v>
      </c>
    </row>
    <row r="35" spans="1:5">
      <c r="A35" s="366" t="s">
        <v>243</v>
      </c>
      <c r="B35" s="367" t="s">
        <v>244</v>
      </c>
      <c r="C35" s="368" t="s">
        <v>21</v>
      </c>
      <c r="E35" s="366" t="s">
        <v>4098</v>
      </c>
    </row>
    <row r="36" spans="1:5">
      <c r="A36" s="366" t="s">
        <v>250</v>
      </c>
      <c r="B36" s="367" t="s">
        <v>80</v>
      </c>
      <c r="C36" s="368" t="s">
        <v>28</v>
      </c>
      <c r="E36" s="366" t="s">
        <v>4099</v>
      </c>
    </row>
    <row r="37" spans="1:5">
      <c r="A37" s="366" t="s">
        <v>256</v>
      </c>
      <c r="B37" s="367" t="s">
        <v>257</v>
      </c>
      <c r="C37" s="368" t="s">
        <v>1562</v>
      </c>
      <c r="E37" s="366" t="s">
        <v>4100</v>
      </c>
    </row>
    <row r="38" spans="1:5">
      <c r="A38" s="366" t="s">
        <v>263</v>
      </c>
      <c r="B38" s="367" t="s">
        <v>264</v>
      </c>
      <c r="C38" s="368" t="s">
        <v>16</v>
      </c>
      <c r="E38" s="366" t="s">
        <v>4101</v>
      </c>
    </row>
    <row r="39" spans="1:5">
      <c r="A39" s="366" t="s">
        <v>269</v>
      </c>
      <c r="B39" s="367" t="s">
        <v>270</v>
      </c>
      <c r="C39" s="368" t="s">
        <v>18</v>
      </c>
      <c r="E39" s="366" t="s">
        <v>4102</v>
      </c>
    </row>
    <row r="40" spans="1:5">
      <c r="A40" s="366" t="s">
        <v>274</v>
      </c>
      <c r="B40" s="367" t="s">
        <v>275</v>
      </c>
      <c r="C40" s="368" t="s">
        <v>18</v>
      </c>
      <c r="E40" s="366" t="s">
        <v>4103</v>
      </c>
    </row>
    <row r="41" spans="1:5">
      <c r="A41" s="366" t="s">
        <v>279</v>
      </c>
      <c r="B41" s="367" t="s">
        <v>280</v>
      </c>
      <c r="C41" s="368" t="s">
        <v>18</v>
      </c>
      <c r="E41" s="366" t="s">
        <v>4104</v>
      </c>
    </row>
    <row r="42" spans="1:5" ht="38">
      <c r="A42" s="366" t="s">
        <v>286</v>
      </c>
      <c r="B42" s="367" t="s">
        <v>54</v>
      </c>
      <c r="C42" s="368" t="s">
        <v>1567</v>
      </c>
      <c r="E42" s="366" t="s">
        <v>4105</v>
      </c>
    </row>
    <row r="43" spans="1:5" ht="38">
      <c r="A43" s="366" t="s">
        <v>292</v>
      </c>
      <c r="B43" s="367" t="s">
        <v>293</v>
      </c>
      <c r="C43" s="368" t="s">
        <v>28</v>
      </c>
      <c r="E43" s="366" t="s">
        <v>4106</v>
      </c>
    </row>
    <row r="44" spans="1:5">
      <c r="A44" s="366" t="s">
        <v>298</v>
      </c>
      <c r="B44" s="367" t="s">
        <v>299</v>
      </c>
      <c r="C44" s="368" t="s">
        <v>1567</v>
      </c>
      <c r="E44" s="366" t="s">
        <v>4107</v>
      </c>
    </row>
    <row r="45" spans="1:5">
      <c r="A45" s="366" t="s">
        <v>302</v>
      </c>
      <c r="B45" s="367" t="s">
        <v>303</v>
      </c>
      <c r="C45" s="368" t="s">
        <v>21</v>
      </c>
      <c r="E45" s="366" t="s">
        <v>4108</v>
      </c>
    </row>
    <row r="46" spans="1:5">
      <c r="A46" s="366" t="s">
        <v>309</v>
      </c>
      <c r="B46" s="367" t="s">
        <v>310</v>
      </c>
      <c r="C46" s="368" t="s">
        <v>18</v>
      </c>
      <c r="E46" s="366" t="s">
        <v>4109</v>
      </c>
    </row>
    <row r="47" spans="1:5">
      <c r="A47" s="366" t="s">
        <v>315</v>
      </c>
      <c r="B47" s="367" t="s">
        <v>316</v>
      </c>
      <c r="C47" s="368" t="s">
        <v>18</v>
      </c>
      <c r="E47" s="366" t="s">
        <v>4110</v>
      </c>
    </row>
    <row r="48" spans="1:5">
      <c r="A48" s="366" t="s">
        <v>322</v>
      </c>
      <c r="B48" s="367" t="s">
        <v>162</v>
      </c>
      <c r="C48" s="368" t="s">
        <v>28</v>
      </c>
      <c r="E48" s="366" t="s">
        <v>4111</v>
      </c>
    </row>
    <row r="49" spans="1:5">
      <c r="A49" s="366" t="s">
        <v>326</v>
      </c>
      <c r="B49" s="367" t="s">
        <v>94</v>
      </c>
      <c r="C49" s="368" t="s">
        <v>21</v>
      </c>
      <c r="E49" s="366" t="s">
        <v>4112</v>
      </c>
    </row>
    <row r="50" spans="1:5">
      <c r="A50" s="366" t="s">
        <v>331</v>
      </c>
      <c r="B50" s="367" t="s">
        <v>332</v>
      </c>
      <c r="C50" s="368" t="s">
        <v>18</v>
      </c>
      <c r="E50" s="366" t="s">
        <v>4113</v>
      </c>
    </row>
    <row r="51" spans="1:5">
      <c r="A51" s="366" t="s">
        <v>334</v>
      </c>
      <c r="B51" s="367" t="s">
        <v>335</v>
      </c>
      <c r="C51" s="368" t="s">
        <v>1567</v>
      </c>
      <c r="E51" s="366" t="s">
        <v>4114</v>
      </c>
    </row>
    <row r="52" spans="1:5">
      <c r="A52" s="366" t="s">
        <v>339</v>
      </c>
      <c r="B52" s="367" t="s">
        <v>340</v>
      </c>
      <c r="C52" s="368" t="s">
        <v>1562</v>
      </c>
      <c r="E52" s="366" t="s">
        <v>4115</v>
      </c>
    </row>
    <row r="53" spans="1:5">
      <c r="A53" s="366" t="s">
        <v>346</v>
      </c>
      <c r="B53" s="367" t="s">
        <v>347</v>
      </c>
      <c r="C53" s="368" t="s">
        <v>1567</v>
      </c>
      <c r="E53" s="366" t="s">
        <v>4116</v>
      </c>
    </row>
    <row r="54" spans="1:5">
      <c r="A54" s="366" t="s">
        <v>353</v>
      </c>
      <c r="B54" s="367" t="s">
        <v>354</v>
      </c>
      <c r="C54" s="368" t="s">
        <v>18</v>
      </c>
      <c r="E54" s="366" t="s">
        <v>4096</v>
      </c>
    </row>
    <row r="55" spans="1:5">
      <c r="A55" s="366" t="s">
        <v>358</v>
      </c>
      <c r="B55" s="367" t="s">
        <v>359</v>
      </c>
      <c r="C55" s="368" t="s">
        <v>18</v>
      </c>
      <c r="E55" s="366" t="s">
        <v>4117</v>
      </c>
    </row>
    <row r="56" spans="1:5">
      <c r="A56" s="366" t="s">
        <v>365</v>
      </c>
      <c r="B56" s="367" t="s">
        <v>366</v>
      </c>
      <c r="C56" s="368" t="s">
        <v>16</v>
      </c>
      <c r="E56" s="366" t="s">
        <v>4118</v>
      </c>
    </row>
    <row r="57" spans="1:5" ht="44">
      <c r="A57" s="366" t="s">
        <v>371</v>
      </c>
      <c r="B57" s="367" t="s">
        <v>5274</v>
      </c>
      <c r="C57" s="368" t="s">
        <v>18</v>
      </c>
      <c r="E57" s="366" t="s">
        <v>4119</v>
      </c>
    </row>
    <row r="58" spans="1:5">
      <c r="A58" s="366" t="s">
        <v>376</v>
      </c>
      <c r="B58" s="367" t="s">
        <v>278</v>
      </c>
      <c r="C58" s="368" t="s">
        <v>1567</v>
      </c>
      <c r="E58" s="366" t="s">
        <v>4120</v>
      </c>
    </row>
    <row r="59" spans="1:5">
      <c r="A59" s="366" t="s">
        <v>382</v>
      </c>
      <c r="B59" s="367" t="s">
        <v>383</v>
      </c>
      <c r="C59" s="368" t="s">
        <v>1567</v>
      </c>
      <c r="E59" s="366" t="s">
        <v>4121</v>
      </c>
    </row>
    <row r="60" spans="1:5">
      <c r="A60" s="366" t="s">
        <v>387</v>
      </c>
      <c r="B60" s="367" t="s">
        <v>388</v>
      </c>
      <c r="C60" s="368" t="s">
        <v>1562</v>
      </c>
      <c r="E60" s="366" t="s">
        <v>4122</v>
      </c>
    </row>
    <row r="61" spans="1:5">
      <c r="A61" s="366" t="s">
        <v>393</v>
      </c>
      <c r="B61" s="367" t="s">
        <v>394</v>
      </c>
      <c r="C61" s="368" t="s">
        <v>18</v>
      </c>
      <c r="E61" s="366" t="s">
        <v>4123</v>
      </c>
    </row>
    <row r="62" spans="1:5">
      <c r="A62" s="366" t="s">
        <v>399</v>
      </c>
      <c r="B62" s="367" t="s">
        <v>400</v>
      </c>
      <c r="C62" s="368" t="s">
        <v>18</v>
      </c>
      <c r="E62" s="366" t="s">
        <v>4124</v>
      </c>
    </row>
    <row r="63" spans="1:5">
      <c r="A63" s="366" t="s">
        <v>404</v>
      </c>
      <c r="B63" s="367" t="s">
        <v>405</v>
      </c>
      <c r="C63" s="368" t="s">
        <v>18</v>
      </c>
      <c r="E63" s="366" t="s">
        <v>4125</v>
      </c>
    </row>
    <row r="64" spans="1:5">
      <c r="A64" s="366" t="s">
        <v>409</v>
      </c>
      <c r="B64" s="367" t="s">
        <v>308</v>
      </c>
      <c r="C64" s="368" t="s">
        <v>17</v>
      </c>
      <c r="E64" s="366" t="s">
        <v>4126</v>
      </c>
    </row>
    <row r="65" spans="1:5">
      <c r="A65" s="366" t="s">
        <v>413</v>
      </c>
      <c r="B65" s="367" t="s">
        <v>414</v>
      </c>
      <c r="C65" s="368" t="s">
        <v>18</v>
      </c>
      <c r="E65" s="366" t="s">
        <v>4127</v>
      </c>
    </row>
    <row r="66" spans="1:5">
      <c r="A66" s="366" t="s">
        <v>416</v>
      </c>
      <c r="B66" s="367" t="s">
        <v>417</v>
      </c>
      <c r="C66" s="368" t="s">
        <v>1574</v>
      </c>
      <c r="E66" s="366" t="s">
        <v>4128</v>
      </c>
    </row>
    <row r="67" spans="1:5" ht="38">
      <c r="A67" s="366" t="s">
        <v>421</v>
      </c>
      <c r="B67" s="367" t="s">
        <v>115</v>
      </c>
      <c r="C67" s="368" t="s">
        <v>17</v>
      </c>
      <c r="E67" s="366" t="s">
        <v>4129</v>
      </c>
    </row>
    <row r="68" spans="1:5">
      <c r="A68" s="366" t="s">
        <v>426</v>
      </c>
      <c r="B68" s="367" t="s">
        <v>427</v>
      </c>
      <c r="C68" s="368" t="s">
        <v>18</v>
      </c>
      <c r="E68" s="366" t="s">
        <v>4130</v>
      </c>
    </row>
    <row r="69" spans="1:5">
      <c r="A69" s="366" t="s">
        <v>432</v>
      </c>
      <c r="B69" s="367" t="s">
        <v>149</v>
      </c>
      <c r="C69" s="368" t="s">
        <v>17</v>
      </c>
      <c r="E69" s="366" t="s">
        <v>4131</v>
      </c>
    </row>
    <row r="70" spans="1:5">
      <c r="A70" s="366" t="s">
        <v>435</v>
      </c>
      <c r="B70" s="367" t="s">
        <v>436</v>
      </c>
      <c r="C70" s="368" t="s">
        <v>1562</v>
      </c>
      <c r="E70" s="366" t="s">
        <v>4132</v>
      </c>
    </row>
    <row r="71" spans="1:5">
      <c r="A71" s="366" t="s">
        <v>442</v>
      </c>
      <c r="B71" s="367" t="s">
        <v>443</v>
      </c>
      <c r="C71" s="368" t="s">
        <v>21</v>
      </c>
      <c r="E71" s="366" t="s">
        <v>4133</v>
      </c>
    </row>
    <row r="72" spans="1:5">
      <c r="A72" s="366" t="s">
        <v>447</v>
      </c>
      <c r="B72" s="367" t="s">
        <v>47</v>
      </c>
      <c r="C72" s="368" t="s">
        <v>28</v>
      </c>
      <c r="E72" s="366" t="s">
        <v>4134</v>
      </c>
    </row>
    <row r="73" spans="1:5">
      <c r="A73" s="366" t="s">
        <v>451</v>
      </c>
      <c r="B73" s="367" t="s">
        <v>169</v>
      </c>
      <c r="C73" s="368" t="s">
        <v>1567</v>
      </c>
      <c r="E73" s="366" t="s">
        <v>4135</v>
      </c>
    </row>
    <row r="74" spans="1:5">
      <c r="A74" s="366" t="s">
        <v>455</v>
      </c>
      <c r="B74" s="367" t="s">
        <v>197</v>
      </c>
      <c r="C74" s="368" t="s">
        <v>18</v>
      </c>
      <c r="E74" s="366" t="s">
        <v>4136</v>
      </c>
    </row>
    <row r="75" spans="1:5">
      <c r="A75" s="366" t="s">
        <v>461</v>
      </c>
      <c r="B75" s="367" t="s">
        <v>378</v>
      </c>
      <c r="C75" s="368" t="s">
        <v>28</v>
      </c>
      <c r="E75" s="366" t="s">
        <v>4137</v>
      </c>
    </row>
    <row r="76" spans="1:5">
      <c r="A76" s="366" t="s">
        <v>467</v>
      </c>
      <c r="B76" s="367" t="s">
        <v>30</v>
      </c>
      <c r="C76" s="368" t="s">
        <v>17</v>
      </c>
      <c r="E76" s="366" t="s">
        <v>4138</v>
      </c>
    </row>
    <row r="77" spans="1:5">
      <c r="A77" s="366" t="s">
        <v>472</v>
      </c>
      <c r="B77" s="367" t="s">
        <v>473</v>
      </c>
      <c r="C77" s="369" t="s">
        <v>21</v>
      </c>
    </row>
    <row r="78" spans="1:5">
      <c r="A78" s="366" t="s">
        <v>475</v>
      </c>
      <c r="B78" s="367" t="s">
        <v>476</v>
      </c>
    </row>
    <row r="79" spans="1:5">
      <c r="A79" s="366" t="s">
        <v>478</v>
      </c>
      <c r="B79" s="367" t="s">
        <v>321</v>
      </c>
      <c r="C79" s="368" t="s">
        <v>21</v>
      </c>
      <c r="E79" s="366" t="s">
        <v>4139</v>
      </c>
    </row>
    <row r="80" spans="1:5">
      <c r="A80" s="366" t="s">
        <v>483</v>
      </c>
      <c r="B80" s="367" t="s">
        <v>484</v>
      </c>
    </row>
    <row r="81" spans="1:2">
      <c r="A81" s="366" t="s">
        <v>488</v>
      </c>
      <c r="B81" s="367" t="s">
        <v>489</v>
      </c>
    </row>
    <row r="82" spans="1:2">
      <c r="A82" s="366" t="s">
        <v>494</v>
      </c>
      <c r="B82" s="367" t="s">
        <v>495</v>
      </c>
    </row>
    <row r="83" spans="1:2">
      <c r="A83" s="366" t="s">
        <v>500</v>
      </c>
      <c r="B83" s="367" t="s">
        <v>501</v>
      </c>
    </row>
    <row r="84" spans="1:2">
      <c r="A84" s="366" t="s">
        <v>505</v>
      </c>
      <c r="B84" s="367" t="s">
        <v>506</v>
      </c>
    </row>
    <row r="85" spans="1:2">
      <c r="A85" s="366" t="s">
        <v>509</v>
      </c>
      <c r="B85" s="367" t="s">
        <v>237</v>
      </c>
    </row>
    <row r="86" spans="1:2">
      <c r="A86" s="366" t="s">
        <v>510</v>
      </c>
      <c r="B86" s="367" t="s">
        <v>511</v>
      </c>
    </row>
    <row r="87" spans="1:2">
      <c r="A87" s="366" t="s">
        <v>517</v>
      </c>
      <c r="B87" s="367" t="s">
        <v>224</v>
      </c>
    </row>
    <row r="88" spans="1:2">
      <c r="A88" s="366" t="s">
        <v>523</v>
      </c>
      <c r="B88" s="367" t="s">
        <v>460</v>
      </c>
    </row>
    <row r="89" spans="1:2">
      <c r="A89" s="366" t="s">
        <v>529</v>
      </c>
      <c r="B89" s="367" t="s">
        <v>530</v>
      </c>
    </row>
    <row r="90" spans="1:2">
      <c r="A90" s="366" t="s">
        <v>534</v>
      </c>
      <c r="B90" s="367" t="s">
        <v>535</v>
      </c>
    </row>
    <row r="91" spans="1:2">
      <c r="A91" s="366" t="s">
        <v>541</v>
      </c>
      <c r="B91" s="367" t="s">
        <v>542</v>
      </c>
    </row>
    <row r="92" spans="1:2">
      <c r="A92" s="366" t="s">
        <v>548</v>
      </c>
      <c r="B92" s="367" t="s">
        <v>25</v>
      </c>
    </row>
    <row r="93" spans="1:2">
      <c r="A93" s="366" t="s">
        <v>553</v>
      </c>
      <c r="B93" s="367" t="s">
        <v>352</v>
      </c>
    </row>
    <row r="94" spans="1:2">
      <c r="A94" s="366" t="s">
        <v>559</v>
      </c>
      <c r="B94" s="367" t="s">
        <v>560</v>
      </c>
    </row>
    <row r="95" spans="1:2">
      <c r="A95" s="366" t="s">
        <v>565</v>
      </c>
      <c r="B95" s="367" t="s">
        <v>441</v>
      </c>
    </row>
    <row r="96" spans="1:2">
      <c r="A96" s="366" t="s">
        <v>571</v>
      </c>
      <c r="B96" s="367" t="s">
        <v>572</v>
      </c>
    </row>
    <row r="97" spans="1:5">
      <c r="A97" s="366" t="s">
        <v>578</v>
      </c>
      <c r="B97" s="367" t="s">
        <v>579</v>
      </c>
    </row>
    <row r="98" spans="1:5">
      <c r="A98" s="366" t="s">
        <v>585</v>
      </c>
      <c r="B98" s="367" t="s">
        <v>586</v>
      </c>
    </row>
    <row r="99" spans="1:5">
      <c r="A99" s="366" t="s">
        <v>590</v>
      </c>
      <c r="B99" s="367" t="s">
        <v>4140</v>
      </c>
    </row>
    <row r="100" spans="1:5">
      <c r="A100" s="366" t="s">
        <v>595</v>
      </c>
      <c r="B100" s="367" t="s">
        <v>596</v>
      </c>
    </row>
    <row r="101" spans="1:5">
      <c r="A101" s="366" t="s">
        <v>602</v>
      </c>
      <c r="B101" s="367" t="s">
        <v>603</v>
      </c>
    </row>
    <row r="102" spans="1:5">
      <c r="A102" s="366" t="s">
        <v>607</v>
      </c>
      <c r="B102" s="367" t="s">
        <v>381</v>
      </c>
      <c r="C102" s="368" t="s">
        <v>28</v>
      </c>
      <c r="E102" s="366" t="s">
        <v>4141</v>
      </c>
    </row>
    <row r="103" spans="1:5">
      <c r="A103" s="366" t="s">
        <v>613</v>
      </c>
      <c r="B103" s="367" t="s">
        <v>108</v>
      </c>
    </row>
    <row r="104" spans="1:5">
      <c r="A104" s="366" t="s">
        <v>4142</v>
      </c>
    </row>
    <row r="105" spans="1:5">
      <c r="A105" s="366" t="s">
        <v>4143</v>
      </c>
    </row>
    <row r="106" spans="1:5">
      <c r="A106" s="366" t="s">
        <v>4144</v>
      </c>
    </row>
    <row r="107" spans="1:5">
      <c r="A107" s="366" t="s">
        <v>4145</v>
      </c>
    </row>
    <row r="108" spans="1:5">
      <c r="A108" s="366" t="s">
        <v>4146</v>
      </c>
    </row>
    <row r="109" spans="1:5">
      <c r="A109" s="366" t="s">
        <v>4147</v>
      </c>
    </row>
    <row r="110" spans="1:5">
      <c r="A110" s="366" t="s">
        <v>4148</v>
      </c>
    </row>
    <row r="111" spans="1:5">
      <c r="A111" s="366" t="s">
        <v>4149</v>
      </c>
    </row>
    <row r="112" spans="1:5">
      <c r="A112" s="366" t="s">
        <v>4150</v>
      </c>
    </row>
    <row r="113" spans="1:1">
      <c r="A113" s="366" t="s">
        <v>4151</v>
      </c>
    </row>
    <row r="114" spans="1:1">
      <c r="A114" s="366" t="s">
        <v>4152</v>
      </c>
    </row>
    <row r="115" spans="1:1">
      <c r="A115" s="366" t="s">
        <v>4153</v>
      </c>
    </row>
    <row r="116" spans="1:1">
      <c r="A116" s="366" t="s">
        <v>4154</v>
      </c>
    </row>
    <row r="117" spans="1:1">
      <c r="A117" s="366" t="s">
        <v>4155</v>
      </c>
    </row>
    <row r="118" spans="1:1">
      <c r="A118" s="366" t="s">
        <v>4156</v>
      </c>
    </row>
    <row r="119" spans="1:1">
      <c r="A119" s="366" t="s">
        <v>4157</v>
      </c>
    </row>
    <row r="120" spans="1:1">
      <c r="A120" s="366" t="s">
        <v>4158</v>
      </c>
    </row>
    <row r="121" spans="1:1">
      <c r="A121" s="366" t="s">
        <v>4159</v>
      </c>
    </row>
    <row r="122" spans="1:1">
      <c r="A122" s="366" t="s">
        <v>4160</v>
      </c>
    </row>
    <row r="123" spans="1:1">
      <c r="A123" s="366" t="s">
        <v>4161</v>
      </c>
    </row>
    <row r="124" spans="1:1">
      <c r="A124" s="366" t="s">
        <v>4162</v>
      </c>
    </row>
    <row r="125" spans="1:1">
      <c r="A125" s="366" t="s">
        <v>4163</v>
      </c>
    </row>
    <row r="126" spans="1:1">
      <c r="A126" s="366" t="s">
        <v>4164</v>
      </c>
    </row>
    <row r="127" spans="1:1">
      <c r="A127" s="366" t="s">
        <v>4165</v>
      </c>
    </row>
    <row r="128" spans="1:1">
      <c r="A128" s="366" t="s">
        <v>4166</v>
      </c>
    </row>
    <row r="129" spans="1:1">
      <c r="A129" s="366" t="s">
        <v>4167</v>
      </c>
    </row>
    <row r="130" spans="1:1">
      <c r="A130" s="366" t="s">
        <v>4168</v>
      </c>
    </row>
    <row r="131" spans="1:1">
      <c r="A131" s="366" t="s">
        <v>4169</v>
      </c>
    </row>
    <row r="132" spans="1:1">
      <c r="A132" s="366" t="s">
        <v>4170</v>
      </c>
    </row>
    <row r="133" spans="1:1">
      <c r="A133" s="366" t="s">
        <v>4171</v>
      </c>
    </row>
    <row r="134" spans="1:1">
      <c r="A134" s="366" t="s">
        <v>4172</v>
      </c>
    </row>
    <row r="135" spans="1:1">
      <c r="A135" s="366" t="s">
        <v>4173</v>
      </c>
    </row>
    <row r="136" spans="1:1">
      <c r="A136" s="366" t="s">
        <v>4174</v>
      </c>
    </row>
    <row r="137" spans="1:1">
      <c r="A137" s="366" t="s">
        <v>4175</v>
      </c>
    </row>
    <row r="138" spans="1:1">
      <c r="A138" s="366" t="s">
        <v>4176</v>
      </c>
    </row>
    <row r="139" spans="1:1">
      <c r="A139" s="366" t="s">
        <v>4177</v>
      </c>
    </row>
    <row r="140" spans="1:1">
      <c r="A140" s="366" t="s">
        <v>4178</v>
      </c>
    </row>
    <row r="141" spans="1:1">
      <c r="A141" s="366" t="s">
        <v>4179</v>
      </c>
    </row>
    <row r="142" spans="1:1">
      <c r="A142" s="366" t="s">
        <v>4180</v>
      </c>
    </row>
    <row r="143" spans="1:1">
      <c r="A143" s="366" t="s">
        <v>4181</v>
      </c>
    </row>
    <row r="144" spans="1:1">
      <c r="A144" s="366" t="s">
        <v>4182</v>
      </c>
    </row>
    <row r="145" spans="1:1">
      <c r="A145" s="366" t="s">
        <v>4183</v>
      </c>
    </row>
    <row r="146" spans="1:1">
      <c r="A146" s="366" t="s">
        <v>4184</v>
      </c>
    </row>
    <row r="147" spans="1:1">
      <c r="A147" s="366" t="s">
        <v>4185</v>
      </c>
    </row>
    <row r="148" spans="1:1">
      <c r="A148" s="366" t="s">
        <v>4186</v>
      </c>
    </row>
    <row r="149" spans="1:1">
      <c r="A149" s="366" t="s">
        <v>4187</v>
      </c>
    </row>
    <row r="150" spans="1:1">
      <c r="A150" s="366" t="s">
        <v>4188</v>
      </c>
    </row>
    <row r="151" spans="1:1">
      <c r="A151" s="366" t="s">
        <v>4189</v>
      </c>
    </row>
    <row r="152" spans="1:1">
      <c r="A152" s="366" t="s">
        <v>4190</v>
      </c>
    </row>
    <row r="153" spans="1:1">
      <c r="A153" s="366" t="s">
        <v>4191</v>
      </c>
    </row>
    <row r="154" spans="1:1">
      <c r="A154" s="366" t="s">
        <v>4192</v>
      </c>
    </row>
    <row r="155" spans="1:1">
      <c r="A155" s="366" t="s">
        <v>4193</v>
      </c>
    </row>
    <row r="156" spans="1:1">
      <c r="A156" s="366" t="s">
        <v>4194</v>
      </c>
    </row>
    <row r="157" spans="1:1">
      <c r="A157" s="366" t="s">
        <v>4195</v>
      </c>
    </row>
    <row r="158" spans="1:1">
      <c r="A158" s="366" t="s">
        <v>4196</v>
      </c>
    </row>
    <row r="159" spans="1:1">
      <c r="A159" s="366" t="s">
        <v>4197</v>
      </c>
    </row>
    <row r="160" spans="1:1">
      <c r="A160" s="366" t="s">
        <v>4198</v>
      </c>
    </row>
    <row r="161" spans="1:1">
      <c r="A161" s="366" t="s">
        <v>4199</v>
      </c>
    </row>
    <row r="162" spans="1:1">
      <c r="A162" s="366" t="s">
        <v>4200</v>
      </c>
    </row>
    <row r="163" spans="1:1">
      <c r="A163" s="366" t="s">
        <v>4201</v>
      </c>
    </row>
    <row r="164" spans="1:1">
      <c r="A164" s="366" t="s">
        <v>4202</v>
      </c>
    </row>
    <row r="165" spans="1:1">
      <c r="A165" s="366" t="s">
        <v>4203</v>
      </c>
    </row>
    <row r="166" spans="1:1">
      <c r="A166" s="366" t="s">
        <v>4204</v>
      </c>
    </row>
    <row r="167" spans="1:1">
      <c r="A167" s="366" t="s">
        <v>4205</v>
      </c>
    </row>
    <row r="168" spans="1:1">
      <c r="A168" s="366" t="s">
        <v>4206</v>
      </c>
    </row>
    <row r="169" spans="1:1">
      <c r="A169" s="366" t="s">
        <v>4207</v>
      </c>
    </row>
    <row r="170" spans="1:1">
      <c r="A170" s="366" t="s">
        <v>4208</v>
      </c>
    </row>
    <row r="171" spans="1:1">
      <c r="A171" s="366" t="s">
        <v>4209</v>
      </c>
    </row>
    <row r="172" spans="1:1">
      <c r="A172" s="366" t="s">
        <v>4210</v>
      </c>
    </row>
    <row r="173" spans="1:1">
      <c r="A173" s="366" t="s">
        <v>4211</v>
      </c>
    </row>
    <row r="174" spans="1:1">
      <c r="A174" s="366" t="s">
        <v>4212</v>
      </c>
    </row>
    <row r="175" spans="1:1">
      <c r="A175" s="366" t="s">
        <v>4213</v>
      </c>
    </row>
    <row r="176" spans="1:1">
      <c r="A176" s="366" t="s">
        <v>4214</v>
      </c>
    </row>
    <row r="177" spans="1:1">
      <c r="A177" s="366" t="s">
        <v>4215</v>
      </c>
    </row>
    <row r="178" spans="1:1">
      <c r="A178" s="366" t="s">
        <v>4216</v>
      </c>
    </row>
    <row r="179" spans="1:1">
      <c r="A179" s="366" t="s">
        <v>4217</v>
      </c>
    </row>
    <row r="180" spans="1:1">
      <c r="A180" s="366" t="s">
        <v>4218</v>
      </c>
    </row>
    <row r="181" spans="1:1">
      <c r="A181" s="366" t="s">
        <v>4219</v>
      </c>
    </row>
  </sheetData>
  <autoFilter ref="A1:C181" xr:uid="{00000000-0009-0000-0000-00001B000000}"/>
  <phoneticPr fontId="89" type="noConversion"/>
  <conditionalFormatting sqref="C1:C200">
    <cfRule type="cellIs" dxfId="7" priority="1" operator="equal">
      <formula>"S"</formula>
      <formula>"S"</formula>
    </cfRule>
    <cfRule type="cellIs" dxfId="6" priority="2" operator="equal">
      <formula>"A+"</formula>
      <formula>"A+"</formula>
    </cfRule>
    <cfRule type="cellIs" dxfId="5" priority="3" operator="equal">
      <formula>"A"</formula>
      <formula>"A"</formula>
    </cfRule>
    <cfRule type="cellIs" dxfId="4" priority="4" operator="equal">
      <formula>"B+"</formula>
      <formula>"B+"</formula>
    </cfRule>
    <cfRule type="cellIs" dxfId="3" priority="5" operator="equal">
      <formula>"B"</formula>
      <formula>"B"</formula>
    </cfRule>
    <cfRule type="cellIs" priority="6" operator="equal">
      <formula>"C+"</formula>
      <formula>"C+"</formula>
    </cfRule>
    <cfRule type="cellIs" dxfId="2" priority="7" operator="equal">
      <formula>"C"</formula>
      <formula>"C"</formula>
    </cfRule>
    <cfRule type="cellIs" dxfId="1" priority="8" operator="equal">
      <formula>"D+"</formula>
      <formula>"D+"</formula>
    </cfRule>
    <cfRule type="cellIs" dxfId="0" priority="9" operator="equal">
      <formula>"D"</formula>
      <formula>"D"</formula>
    </cfRule>
  </conditionalFormatting>
  <dataValidations count="1">
    <dataValidation type="list" allowBlank="1" showInputMessage="1" showErrorMessage="1" sqref="C2:C200" xr:uid="{00000000-0002-0000-1B00-000000000000}">
      <formula1>#REF!</formula1>
    </dataValidation>
  </dataValidations>
  <pageMargins left="0.70069400000000004" right="0.70069400000000004" top="0.75138899999999997" bottom="0.75138899999999997" header="0.29861100000000002" footer="0.29861100000000002"/>
  <pageSetup paperSize="9" orientation="landscape"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KATIKA评AF"/>
  <dimension ref="A1:Y92"/>
  <sheetViews>
    <sheetView workbookViewId="0"/>
  </sheetViews>
  <sheetFormatPr baseColWidth="10" defaultColWidth="13.7109375" defaultRowHeight="18" customHeight="1"/>
  <cols>
    <col min="2" max="2" width="37.5703125" customWidth="1"/>
    <col min="8" max="8" width="73.5703125" style="157" customWidth="1"/>
    <col min="9" max="9" width="32.5703125" customWidth="1"/>
    <col min="10" max="10" width="32.85546875" customWidth="1"/>
    <col min="13" max="13" width="43.140625" customWidth="1"/>
    <col min="19" max="19" width="77.85546875" customWidth="1"/>
    <col min="20" max="20" width="16.7109375" customWidth="1"/>
    <col min="21" max="21" width="31.5703125" customWidth="1"/>
  </cols>
  <sheetData>
    <row r="1" spans="1:25" ht="52.5" customHeight="1">
      <c r="A1" s="616" t="s">
        <v>4220</v>
      </c>
      <c r="B1" s="518"/>
      <c r="C1" s="518"/>
      <c r="D1" s="518"/>
      <c r="E1" s="518"/>
      <c r="F1" s="518"/>
      <c r="G1" s="518"/>
      <c r="H1" s="518"/>
      <c r="I1" s="518"/>
      <c r="J1" s="524"/>
      <c r="K1" s="370"/>
      <c r="L1" s="615" t="s">
        <v>4221</v>
      </c>
      <c r="M1" s="571"/>
      <c r="N1" s="571"/>
      <c r="O1" s="571"/>
      <c r="P1" s="571"/>
      <c r="Q1" s="571"/>
      <c r="R1" s="571"/>
      <c r="S1" s="571"/>
      <c r="T1" s="571"/>
      <c r="U1" s="571"/>
      <c r="V1" s="571"/>
      <c r="W1" s="571"/>
      <c r="X1" s="571"/>
      <c r="Y1" s="571"/>
    </row>
    <row r="2" spans="1:25">
      <c r="A2" s="24" t="s">
        <v>4</v>
      </c>
      <c r="B2" s="94" t="s">
        <v>5</v>
      </c>
      <c r="C2" s="11" t="s">
        <v>6</v>
      </c>
      <c r="D2" s="11" t="s">
        <v>7</v>
      </c>
      <c r="E2" s="11" t="s">
        <v>8</v>
      </c>
      <c r="F2" s="11" t="s">
        <v>9</v>
      </c>
      <c r="G2" s="11" t="s">
        <v>10</v>
      </c>
      <c r="H2" s="11" t="s">
        <v>11</v>
      </c>
      <c r="I2" s="11" t="s">
        <v>4222</v>
      </c>
      <c r="L2" s="24" t="s">
        <v>4</v>
      </c>
      <c r="M2" s="94" t="s">
        <v>5</v>
      </c>
      <c r="N2" s="11" t="s">
        <v>6</v>
      </c>
      <c r="O2" s="11" t="s">
        <v>7</v>
      </c>
      <c r="P2" s="11" t="s">
        <v>8</v>
      </c>
      <c r="Q2" s="11" t="s">
        <v>9</v>
      </c>
      <c r="R2" s="11" t="s">
        <v>10</v>
      </c>
      <c r="S2" s="11" t="s">
        <v>11</v>
      </c>
      <c r="T2" s="11" t="s">
        <v>4222</v>
      </c>
    </row>
    <row r="3" spans="1:25" ht="76">
      <c r="A3" s="24" t="s">
        <v>633</v>
      </c>
      <c r="B3" s="41" t="s">
        <v>594</v>
      </c>
      <c r="C3" s="19" t="s">
        <v>1567</v>
      </c>
      <c r="D3" s="19" t="s">
        <v>1567</v>
      </c>
      <c r="E3" s="19" t="s">
        <v>1567</v>
      </c>
      <c r="F3" s="19" t="s">
        <v>18</v>
      </c>
      <c r="G3" s="19" t="s">
        <v>1567</v>
      </c>
      <c r="H3" s="47" t="s">
        <v>4223</v>
      </c>
      <c r="I3" s="371" t="s">
        <v>5275</v>
      </c>
      <c r="J3" t="s">
        <v>4224</v>
      </c>
      <c r="L3" s="24" t="s">
        <v>802</v>
      </c>
      <c r="M3" s="66" t="s">
        <v>803</v>
      </c>
      <c r="N3" s="19" t="s">
        <v>18</v>
      </c>
      <c r="O3" s="19" t="s">
        <v>18</v>
      </c>
      <c r="P3" s="19" t="s">
        <v>18</v>
      </c>
      <c r="Q3" s="19" t="s">
        <v>1567</v>
      </c>
      <c r="R3" s="19" t="s">
        <v>18</v>
      </c>
      <c r="S3" s="372" t="s">
        <v>4225</v>
      </c>
      <c r="T3" s="11"/>
    </row>
    <row r="4" spans="1:25" ht="76">
      <c r="A4" s="24" t="s">
        <v>639</v>
      </c>
      <c r="B4" s="373" t="s">
        <v>640</v>
      </c>
      <c r="C4" s="153" t="s">
        <v>21</v>
      </c>
      <c r="D4" s="19" t="s">
        <v>21</v>
      </c>
      <c r="E4" s="19" t="s">
        <v>21</v>
      </c>
      <c r="F4" s="19" t="s">
        <v>21</v>
      </c>
      <c r="G4" s="19" t="s">
        <v>21</v>
      </c>
      <c r="H4" s="47" t="s">
        <v>4226</v>
      </c>
      <c r="I4" s="11" t="s">
        <v>4227</v>
      </c>
      <c r="L4" s="24" t="s">
        <v>809</v>
      </c>
      <c r="M4" s="374" t="s">
        <v>810</v>
      </c>
      <c r="N4" s="19" t="s">
        <v>1574</v>
      </c>
      <c r="O4" s="19" t="s">
        <v>1574</v>
      </c>
      <c r="P4" s="19" t="s">
        <v>1574</v>
      </c>
      <c r="Q4" s="19" t="s">
        <v>1574</v>
      </c>
      <c r="R4" s="19" t="s">
        <v>1574</v>
      </c>
      <c r="S4" s="372" t="s">
        <v>4228</v>
      </c>
      <c r="T4" s="11"/>
    </row>
    <row r="5" spans="1:25" ht="76">
      <c r="A5" s="24" t="s">
        <v>644</v>
      </c>
      <c r="B5" s="41" t="s">
        <v>645</v>
      </c>
      <c r="C5" s="19" t="s">
        <v>1567</v>
      </c>
      <c r="D5" s="19" t="s">
        <v>1567</v>
      </c>
      <c r="E5" s="19" t="s">
        <v>21</v>
      </c>
      <c r="F5" s="19" t="s">
        <v>1567</v>
      </c>
      <c r="G5" s="19" t="s">
        <v>1567</v>
      </c>
      <c r="H5" s="47" t="s">
        <v>4229</v>
      </c>
      <c r="I5" s="11"/>
      <c r="L5" s="24" t="s">
        <v>755</v>
      </c>
      <c r="M5" s="375" t="s">
        <v>756</v>
      </c>
      <c r="N5" s="153" t="s">
        <v>21</v>
      </c>
      <c r="O5" s="19" t="s">
        <v>21</v>
      </c>
      <c r="P5" s="19" t="s">
        <v>21</v>
      </c>
      <c r="Q5" s="19" t="s">
        <v>21</v>
      </c>
      <c r="R5" s="19" t="s">
        <v>21</v>
      </c>
      <c r="S5" s="372" t="s">
        <v>4230</v>
      </c>
      <c r="T5" s="11"/>
    </row>
    <row r="6" spans="1:25" ht="76">
      <c r="A6" s="24" t="s">
        <v>651</v>
      </c>
      <c r="B6" s="373" t="s">
        <v>652</v>
      </c>
      <c r="C6" s="153" t="s">
        <v>21</v>
      </c>
      <c r="D6" s="19" t="s">
        <v>21</v>
      </c>
      <c r="E6" s="19" t="s">
        <v>28</v>
      </c>
      <c r="F6" s="19" t="s">
        <v>28</v>
      </c>
      <c r="G6" s="19" t="s">
        <v>28</v>
      </c>
      <c r="H6" s="47" t="s">
        <v>4231</v>
      </c>
      <c r="I6" s="11"/>
      <c r="L6" s="24" t="s">
        <v>820</v>
      </c>
      <c r="M6" s="66" t="s">
        <v>821</v>
      </c>
      <c r="N6" s="19" t="s">
        <v>1574</v>
      </c>
      <c r="O6" s="19" t="s">
        <v>18</v>
      </c>
      <c r="P6" s="19" t="s">
        <v>18</v>
      </c>
      <c r="Q6" s="19" t="s">
        <v>1562</v>
      </c>
      <c r="R6" s="19" t="s">
        <v>18</v>
      </c>
      <c r="S6" s="372" t="s">
        <v>4232</v>
      </c>
      <c r="T6" s="11"/>
    </row>
    <row r="7" spans="1:25" ht="95">
      <c r="A7" s="24" t="s">
        <v>658</v>
      </c>
      <c r="B7" s="24" t="s">
        <v>659</v>
      </c>
      <c r="C7" s="19" t="s">
        <v>1567</v>
      </c>
      <c r="D7" s="19" t="s">
        <v>21</v>
      </c>
      <c r="E7" s="19" t="s">
        <v>1567</v>
      </c>
      <c r="F7" s="19" t="s">
        <v>1567</v>
      </c>
      <c r="G7" s="19" t="s">
        <v>1567</v>
      </c>
      <c r="H7" s="47" t="s">
        <v>4233</v>
      </c>
      <c r="I7" s="11"/>
      <c r="L7" s="24" t="s">
        <v>827</v>
      </c>
      <c r="M7" s="374" t="s">
        <v>828</v>
      </c>
      <c r="N7" s="19" t="s">
        <v>1562</v>
      </c>
      <c r="O7" s="19" t="s">
        <v>1562</v>
      </c>
      <c r="P7" s="19" t="s">
        <v>18</v>
      </c>
      <c r="Q7" s="19" t="s">
        <v>1562</v>
      </c>
      <c r="R7" s="19" t="s">
        <v>18</v>
      </c>
      <c r="S7" s="372" t="s">
        <v>4234</v>
      </c>
      <c r="T7" s="11"/>
    </row>
    <row r="8" spans="1:25" ht="76">
      <c r="A8" s="24" t="s">
        <v>663</v>
      </c>
      <c r="B8" s="24" t="s">
        <v>5246</v>
      </c>
      <c r="C8" s="19" t="s">
        <v>1567</v>
      </c>
      <c r="D8" s="19" t="s">
        <v>18</v>
      </c>
      <c r="E8" s="19" t="s">
        <v>18</v>
      </c>
      <c r="F8" s="19" t="s">
        <v>18</v>
      </c>
      <c r="G8" s="19" t="s">
        <v>18</v>
      </c>
      <c r="H8" s="47" t="s">
        <v>4235</v>
      </c>
      <c r="I8" s="11"/>
      <c r="L8" s="24" t="s">
        <v>812</v>
      </c>
      <c r="M8" s="375" t="s">
        <v>813</v>
      </c>
      <c r="N8" s="153" t="s">
        <v>1567</v>
      </c>
      <c r="O8" s="19" t="s">
        <v>1567</v>
      </c>
      <c r="P8" s="19" t="s">
        <v>1567</v>
      </c>
      <c r="Q8" s="19" t="s">
        <v>1567</v>
      </c>
      <c r="R8" s="19" t="s">
        <v>1567</v>
      </c>
      <c r="S8" s="372" t="s">
        <v>4236</v>
      </c>
      <c r="T8" s="11"/>
      <c r="U8" s="305" t="s">
        <v>4237</v>
      </c>
      <c r="X8" t="s">
        <v>4238</v>
      </c>
    </row>
    <row r="9" spans="1:25" ht="95">
      <c r="A9" s="24" t="s">
        <v>667</v>
      </c>
      <c r="B9" s="130" t="s">
        <v>668</v>
      </c>
      <c r="C9" s="19" t="s">
        <v>18</v>
      </c>
      <c r="D9" s="19" t="s">
        <v>1567</v>
      </c>
      <c r="E9" s="19" t="s">
        <v>1562</v>
      </c>
      <c r="F9" s="19" t="s">
        <v>1562</v>
      </c>
      <c r="G9" s="19" t="s">
        <v>1562</v>
      </c>
      <c r="H9" s="47" t="s">
        <v>4239</v>
      </c>
      <c r="I9" s="11"/>
      <c r="L9" s="24" t="s">
        <v>839</v>
      </c>
      <c r="M9" s="376" t="s">
        <v>840</v>
      </c>
      <c r="N9" s="153" t="s">
        <v>1567</v>
      </c>
      <c r="O9" s="19" t="s">
        <v>1567</v>
      </c>
      <c r="P9" s="19" t="s">
        <v>18</v>
      </c>
      <c r="Q9" s="19" t="s">
        <v>18</v>
      </c>
      <c r="R9" s="19" t="s">
        <v>1567</v>
      </c>
      <c r="S9" s="372" t="s">
        <v>4240</v>
      </c>
      <c r="T9" s="11"/>
    </row>
    <row r="10" spans="1:25" ht="76">
      <c r="A10" s="24" t="s">
        <v>674</v>
      </c>
      <c r="B10" s="130" t="s">
        <v>675</v>
      </c>
      <c r="C10" s="19" t="s">
        <v>21</v>
      </c>
      <c r="D10" s="19" t="s">
        <v>1567</v>
      </c>
      <c r="E10" s="19" t="s">
        <v>21</v>
      </c>
      <c r="F10" s="19" t="s">
        <v>1567</v>
      </c>
      <c r="G10" s="19" t="s">
        <v>1567</v>
      </c>
      <c r="H10" s="47" t="s">
        <v>4241</v>
      </c>
      <c r="I10" s="11"/>
      <c r="L10" s="24" t="s">
        <v>845</v>
      </c>
      <c r="M10" s="374" t="s">
        <v>846</v>
      </c>
      <c r="N10" s="19" t="s">
        <v>1574</v>
      </c>
      <c r="O10" s="19" t="s">
        <v>1574</v>
      </c>
      <c r="P10" s="19" t="s">
        <v>1574</v>
      </c>
      <c r="Q10" s="19" t="s">
        <v>1574</v>
      </c>
      <c r="R10" s="19" t="s">
        <v>1574</v>
      </c>
      <c r="S10" s="372" t="s">
        <v>4242</v>
      </c>
      <c r="T10" s="11"/>
    </row>
    <row r="11" spans="1:25" ht="57">
      <c r="A11" s="24" t="s">
        <v>681</v>
      </c>
      <c r="B11" s="24" t="s">
        <v>666</v>
      </c>
      <c r="C11" s="19" t="s">
        <v>21</v>
      </c>
      <c r="D11" s="19" t="s">
        <v>21</v>
      </c>
      <c r="E11" s="19" t="s">
        <v>1567</v>
      </c>
      <c r="F11" s="19" t="s">
        <v>1567</v>
      </c>
      <c r="G11" s="19" t="s">
        <v>1567</v>
      </c>
      <c r="H11" s="47" t="s">
        <v>4243</v>
      </c>
      <c r="I11" s="11"/>
      <c r="L11" s="24" t="s">
        <v>617</v>
      </c>
      <c r="M11" s="375" t="s">
        <v>618</v>
      </c>
      <c r="N11" s="153" t="s">
        <v>1567</v>
      </c>
      <c r="O11" s="19" t="s">
        <v>1567</v>
      </c>
      <c r="P11" s="19" t="s">
        <v>21</v>
      </c>
      <c r="Q11" s="19" t="s">
        <v>1567</v>
      </c>
      <c r="R11" s="19" t="s">
        <v>1567</v>
      </c>
      <c r="S11" s="372" t="s">
        <v>4244</v>
      </c>
      <c r="T11" s="11"/>
    </row>
    <row r="12" spans="1:25" ht="38">
      <c r="A12" s="24" t="s">
        <v>687</v>
      </c>
      <c r="B12" s="94" t="s">
        <v>4245</v>
      </c>
      <c r="C12" s="19" t="s">
        <v>18</v>
      </c>
      <c r="D12" s="19" t="s">
        <v>18</v>
      </c>
      <c r="E12" s="19" t="s">
        <v>1562</v>
      </c>
      <c r="F12" s="19" t="s">
        <v>1562</v>
      </c>
      <c r="G12" s="19" t="s">
        <v>1562</v>
      </c>
      <c r="H12" s="47" t="s">
        <v>4246</v>
      </c>
      <c r="I12" s="11"/>
      <c r="L12" s="24" t="s">
        <v>856</v>
      </c>
      <c r="M12" s="374" t="s">
        <v>857</v>
      </c>
      <c r="N12" s="19" t="s">
        <v>1562</v>
      </c>
      <c r="O12" s="19" t="s">
        <v>1562</v>
      </c>
      <c r="P12" s="19" t="s">
        <v>1574</v>
      </c>
      <c r="Q12" s="19" t="s">
        <v>1574</v>
      </c>
      <c r="R12" s="19" t="s">
        <v>1574</v>
      </c>
      <c r="S12" s="372" t="s">
        <v>4247</v>
      </c>
      <c r="T12" s="11"/>
    </row>
    <row r="13" spans="1:25" ht="57">
      <c r="A13" s="24" t="s">
        <v>694</v>
      </c>
      <c r="B13" s="24" t="s">
        <v>695</v>
      </c>
      <c r="C13" s="19" t="s">
        <v>18</v>
      </c>
      <c r="D13" s="19" t="s">
        <v>18</v>
      </c>
      <c r="E13" s="19" t="s">
        <v>18</v>
      </c>
      <c r="F13" s="19" t="s">
        <v>18</v>
      </c>
      <c r="G13" s="19" t="s">
        <v>18</v>
      </c>
      <c r="H13" s="47" t="s">
        <v>4248</v>
      </c>
      <c r="I13" s="11"/>
      <c r="L13" s="24" t="s">
        <v>783</v>
      </c>
      <c r="M13" s="377" t="s">
        <v>784</v>
      </c>
      <c r="N13" s="153" t="s">
        <v>21</v>
      </c>
      <c r="O13" s="19" t="s">
        <v>28</v>
      </c>
      <c r="P13" s="19" t="s">
        <v>28</v>
      </c>
      <c r="Q13" s="19" t="s">
        <v>17</v>
      </c>
      <c r="R13" s="19" t="s">
        <v>17</v>
      </c>
      <c r="S13" s="372" t="s">
        <v>4249</v>
      </c>
      <c r="T13" s="11" t="s">
        <v>4250</v>
      </c>
    </row>
    <row r="14" spans="1:25" ht="57">
      <c r="A14" s="24" t="s">
        <v>701</v>
      </c>
      <c r="B14" s="24" t="s">
        <v>702</v>
      </c>
      <c r="C14" s="19" t="s">
        <v>22</v>
      </c>
      <c r="D14" s="19" t="s">
        <v>22</v>
      </c>
      <c r="E14" s="19" t="s">
        <v>22</v>
      </c>
      <c r="F14" s="19" t="s">
        <v>22</v>
      </c>
      <c r="G14" s="19" t="s">
        <v>22</v>
      </c>
      <c r="H14" s="47" t="s">
        <v>4251</v>
      </c>
      <c r="I14" s="11"/>
      <c r="L14" s="24" t="s">
        <v>863</v>
      </c>
      <c r="M14" s="374" t="s">
        <v>864</v>
      </c>
      <c r="N14" s="19" t="s">
        <v>1574</v>
      </c>
      <c r="O14" s="19" t="s">
        <v>1574</v>
      </c>
      <c r="P14" s="19" t="s">
        <v>1574</v>
      </c>
      <c r="Q14" s="19" t="s">
        <v>1574</v>
      </c>
      <c r="R14" s="19" t="s">
        <v>1574</v>
      </c>
      <c r="S14" s="372" t="s">
        <v>4252</v>
      </c>
      <c r="T14" s="11"/>
    </row>
    <row r="15" spans="1:25" ht="76">
      <c r="A15" s="24" t="s">
        <v>708</v>
      </c>
      <c r="B15" s="41" t="s">
        <v>709</v>
      </c>
      <c r="C15" s="19" t="s">
        <v>18</v>
      </c>
      <c r="D15" s="19" t="s">
        <v>1567</v>
      </c>
      <c r="E15" s="19" t="s">
        <v>1567</v>
      </c>
      <c r="F15" s="19" t="s">
        <v>18</v>
      </c>
      <c r="G15" s="19" t="s">
        <v>18</v>
      </c>
      <c r="H15" s="47" t="s">
        <v>4253</v>
      </c>
      <c r="I15" s="11"/>
      <c r="L15" s="24" t="s">
        <v>551</v>
      </c>
      <c r="M15" s="377" t="s">
        <v>552</v>
      </c>
      <c r="N15" s="153" t="s">
        <v>28</v>
      </c>
      <c r="O15" s="19" t="s">
        <v>28</v>
      </c>
      <c r="P15" s="19" t="s">
        <v>17</v>
      </c>
      <c r="Q15" s="19" t="s">
        <v>17</v>
      </c>
      <c r="R15" s="19" t="s">
        <v>17</v>
      </c>
      <c r="S15" s="372" t="s">
        <v>4254</v>
      </c>
      <c r="T15" s="11"/>
    </row>
    <row r="16" spans="1:25" ht="57">
      <c r="A16" s="24" t="s">
        <v>715</v>
      </c>
      <c r="B16" s="373" t="s">
        <v>716</v>
      </c>
      <c r="C16" s="153" t="s">
        <v>1567</v>
      </c>
      <c r="D16" s="19" t="s">
        <v>1567</v>
      </c>
      <c r="E16" s="19" t="s">
        <v>1567</v>
      </c>
      <c r="F16" s="19" t="s">
        <v>1567</v>
      </c>
      <c r="G16" s="19" t="s">
        <v>1567</v>
      </c>
      <c r="H16" s="47" t="s">
        <v>4255</v>
      </c>
      <c r="I16" s="11"/>
      <c r="L16" s="24" t="s">
        <v>871</v>
      </c>
      <c r="M16" s="375" t="s">
        <v>872</v>
      </c>
      <c r="N16" s="153" t="s">
        <v>1567</v>
      </c>
      <c r="O16" s="19" t="s">
        <v>1567</v>
      </c>
      <c r="P16" s="19" t="s">
        <v>1567</v>
      </c>
      <c r="Q16" s="19" t="s">
        <v>21</v>
      </c>
      <c r="R16" s="19" t="s">
        <v>1567</v>
      </c>
      <c r="S16" s="372" t="s">
        <v>4256</v>
      </c>
      <c r="T16" s="11"/>
    </row>
    <row r="17" spans="1:21" ht="76">
      <c r="A17" s="24" t="s">
        <v>722</v>
      </c>
      <c r="B17" s="41" t="s">
        <v>723</v>
      </c>
      <c r="C17" s="19" t="s">
        <v>1567</v>
      </c>
      <c r="D17" s="19" t="s">
        <v>21</v>
      </c>
      <c r="E17" s="19" t="s">
        <v>21</v>
      </c>
      <c r="F17" s="19" t="s">
        <v>1567</v>
      </c>
      <c r="G17" s="19" t="s">
        <v>1567</v>
      </c>
      <c r="H17" s="47" t="s">
        <v>4257</v>
      </c>
      <c r="I17" s="11"/>
      <c r="L17" s="24" t="s">
        <v>760</v>
      </c>
      <c r="M17" s="375" t="s">
        <v>761</v>
      </c>
      <c r="N17" s="153" t="s">
        <v>1567</v>
      </c>
      <c r="O17" s="19" t="s">
        <v>1567</v>
      </c>
      <c r="P17" s="19" t="s">
        <v>21</v>
      </c>
      <c r="Q17" s="19" t="s">
        <v>1567</v>
      </c>
      <c r="R17" s="19" t="s">
        <v>21</v>
      </c>
      <c r="S17" s="372" t="s">
        <v>4258</v>
      </c>
      <c r="T17" s="11"/>
    </row>
    <row r="18" spans="1:21" ht="95">
      <c r="A18" s="24" t="s">
        <v>727</v>
      </c>
      <c r="B18" s="378" t="s">
        <v>558</v>
      </c>
      <c r="C18" s="153" t="s">
        <v>28</v>
      </c>
      <c r="D18" s="19" t="s">
        <v>28</v>
      </c>
      <c r="E18" s="19" t="s">
        <v>17</v>
      </c>
      <c r="F18" s="19" t="s">
        <v>28</v>
      </c>
      <c r="G18" s="19" t="s">
        <v>17</v>
      </c>
      <c r="H18" s="47" t="s">
        <v>4259</v>
      </c>
      <c r="I18" s="11" t="s">
        <v>4250</v>
      </c>
      <c r="L18" s="24" t="s">
        <v>883</v>
      </c>
      <c r="M18" s="374" t="s">
        <v>884</v>
      </c>
      <c r="N18" s="19" t="s">
        <v>1574</v>
      </c>
      <c r="O18" s="19" t="s">
        <v>1574</v>
      </c>
      <c r="P18" s="19" t="s">
        <v>1574</v>
      </c>
      <c r="Q18" s="19" t="s">
        <v>1562</v>
      </c>
      <c r="R18" s="19" t="s">
        <v>1562</v>
      </c>
      <c r="S18" s="372" t="s">
        <v>4260</v>
      </c>
      <c r="T18" s="11"/>
    </row>
    <row r="19" spans="1:21" ht="114">
      <c r="A19" s="24" t="s">
        <v>733</v>
      </c>
      <c r="B19" s="373" t="s">
        <v>686</v>
      </c>
      <c r="C19" s="153" t="s">
        <v>1567</v>
      </c>
      <c r="D19" s="19" t="s">
        <v>21</v>
      </c>
      <c r="E19" s="19" t="s">
        <v>21</v>
      </c>
      <c r="F19" s="19" t="s">
        <v>28</v>
      </c>
      <c r="G19" s="19" t="s">
        <v>28</v>
      </c>
      <c r="H19" s="47" t="s">
        <v>4261</v>
      </c>
      <c r="I19" s="11"/>
      <c r="L19" s="24" t="s">
        <v>890</v>
      </c>
      <c r="M19" s="66" t="s">
        <v>891</v>
      </c>
      <c r="N19" s="19" t="s">
        <v>1661</v>
      </c>
      <c r="O19" s="19" t="s">
        <v>1661</v>
      </c>
      <c r="P19" s="19" t="s">
        <v>1574</v>
      </c>
      <c r="Q19" s="19" t="s">
        <v>1661</v>
      </c>
      <c r="R19" s="19" t="s">
        <v>1661</v>
      </c>
      <c r="S19" s="372" t="s">
        <v>4262</v>
      </c>
      <c r="T19" s="11"/>
    </row>
    <row r="20" spans="1:21" ht="76">
      <c r="A20" s="24" t="s">
        <v>737</v>
      </c>
      <c r="B20" s="24" t="s">
        <v>700</v>
      </c>
      <c r="C20" s="19" t="s">
        <v>21</v>
      </c>
      <c r="D20" s="19" t="s">
        <v>28</v>
      </c>
      <c r="E20" s="19" t="s">
        <v>28</v>
      </c>
      <c r="F20" s="19" t="s">
        <v>28</v>
      </c>
      <c r="G20" s="19" t="s">
        <v>28</v>
      </c>
      <c r="H20" s="44" t="s">
        <v>4263</v>
      </c>
      <c r="I20" s="11"/>
      <c r="L20" s="24" t="s">
        <v>750</v>
      </c>
      <c r="M20" s="374" t="s">
        <v>751</v>
      </c>
      <c r="N20" s="19" t="s">
        <v>18</v>
      </c>
      <c r="O20" s="19" t="s">
        <v>18</v>
      </c>
      <c r="P20" s="19" t="s">
        <v>18</v>
      </c>
      <c r="Q20" s="19" t="s">
        <v>18</v>
      </c>
      <c r="R20" s="19" t="s">
        <v>18</v>
      </c>
      <c r="S20" s="372" t="s">
        <v>4264</v>
      </c>
      <c r="T20" s="11"/>
    </row>
    <row r="21" spans="1:21" ht="57">
      <c r="A21" s="24" t="s">
        <v>741</v>
      </c>
      <c r="B21" s="41" t="s">
        <v>742</v>
      </c>
      <c r="C21" s="19" t="s">
        <v>18</v>
      </c>
      <c r="D21" s="19" t="s">
        <v>21</v>
      </c>
      <c r="E21" s="19" t="s">
        <v>1567</v>
      </c>
      <c r="F21" s="19" t="s">
        <v>1567</v>
      </c>
      <c r="G21" s="19" t="s">
        <v>1567</v>
      </c>
      <c r="H21" s="47" t="s">
        <v>4265</v>
      </c>
      <c r="I21" s="11"/>
      <c r="L21" s="24" t="s">
        <v>900</v>
      </c>
      <c r="M21" s="66" t="s">
        <v>901</v>
      </c>
      <c r="N21" s="19" t="s">
        <v>1661</v>
      </c>
      <c r="O21" s="19" t="s">
        <v>1661</v>
      </c>
      <c r="P21" s="19" t="s">
        <v>1661</v>
      </c>
      <c r="Q21" s="19" t="s">
        <v>1661</v>
      </c>
      <c r="R21" s="19" t="s">
        <v>16</v>
      </c>
      <c r="S21" s="372" t="s">
        <v>4266</v>
      </c>
      <c r="T21" s="11"/>
    </row>
    <row r="22" spans="1:21" ht="57">
      <c r="A22" s="24" t="s">
        <v>746</v>
      </c>
      <c r="B22" s="272" t="s">
        <v>693</v>
      </c>
      <c r="C22" s="153" t="s">
        <v>17</v>
      </c>
      <c r="D22" s="19" t="s">
        <v>17</v>
      </c>
      <c r="E22" s="19" t="s">
        <v>17</v>
      </c>
      <c r="F22" s="19" t="s">
        <v>17</v>
      </c>
      <c r="G22" s="19" t="s">
        <v>17</v>
      </c>
      <c r="H22" s="47" t="s">
        <v>4267</v>
      </c>
      <c r="I22" s="11"/>
      <c r="L22" s="24" t="s">
        <v>907</v>
      </c>
      <c r="M22" s="374" t="s">
        <v>908</v>
      </c>
      <c r="N22" s="19" t="s">
        <v>1574</v>
      </c>
      <c r="O22" s="19" t="s">
        <v>1574</v>
      </c>
      <c r="P22" s="19" t="s">
        <v>1574</v>
      </c>
      <c r="Q22" s="19" t="s">
        <v>1574</v>
      </c>
      <c r="R22" s="19" t="s">
        <v>1574</v>
      </c>
      <c r="S22" s="372" t="s">
        <v>4268</v>
      </c>
      <c r="T22" s="11"/>
    </row>
    <row r="23" spans="1:21" ht="57">
      <c r="A23" s="24" t="s">
        <v>752</v>
      </c>
      <c r="B23" s="130" t="s">
        <v>753</v>
      </c>
      <c r="C23" s="19" t="s">
        <v>18</v>
      </c>
      <c r="D23" s="19" t="s">
        <v>1567</v>
      </c>
      <c r="E23" s="19" t="s">
        <v>1562</v>
      </c>
      <c r="F23" s="19" t="s">
        <v>1574</v>
      </c>
      <c r="G23" s="19" t="s">
        <v>1562</v>
      </c>
      <c r="H23" s="47" t="s">
        <v>4269</v>
      </c>
      <c r="I23" s="11"/>
      <c r="L23" s="24" t="s">
        <v>914</v>
      </c>
      <c r="M23" s="374" t="s">
        <v>915</v>
      </c>
      <c r="N23" s="19" t="s">
        <v>1574</v>
      </c>
      <c r="O23" s="19" t="s">
        <v>1574</v>
      </c>
      <c r="P23" s="19" t="s">
        <v>1574</v>
      </c>
      <c r="Q23" s="19" t="s">
        <v>1574</v>
      </c>
      <c r="R23" s="19" t="s">
        <v>1574</v>
      </c>
      <c r="S23" s="372" t="s">
        <v>4270</v>
      </c>
      <c r="T23" s="11"/>
    </row>
    <row r="24" spans="1:21" ht="114">
      <c r="A24" s="24" t="s">
        <v>757</v>
      </c>
      <c r="B24" s="41" t="s">
        <v>758</v>
      </c>
      <c r="C24" s="19" t="s">
        <v>18</v>
      </c>
      <c r="D24" s="19" t="s">
        <v>1562</v>
      </c>
      <c r="E24" s="19" t="s">
        <v>1562</v>
      </c>
      <c r="F24" s="19" t="s">
        <v>1562</v>
      </c>
      <c r="G24" s="19" t="s">
        <v>1562</v>
      </c>
      <c r="H24" s="47" t="s">
        <v>4271</v>
      </c>
      <c r="I24" s="11"/>
      <c r="L24" s="24" t="s">
        <v>515</v>
      </c>
      <c r="M24" s="375" t="s">
        <v>516</v>
      </c>
      <c r="N24" s="153" t="s">
        <v>1567</v>
      </c>
      <c r="O24" s="19" t="s">
        <v>1567</v>
      </c>
      <c r="P24" s="19" t="s">
        <v>21</v>
      </c>
      <c r="Q24" s="19" t="s">
        <v>1567</v>
      </c>
      <c r="R24" s="19" t="s">
        <v>1567</v>
      </c>
      <c r="S24" s="372" t="s">
        <v>4272</v>
      </c>
      <c r="T24" s="11"/>
    </row>
    <row r="25" spans="1:21" ht="38">
      <c r="A25" s="24" t="s">
        <v>762</v>
      </c>
      <c r="B25" s="272" t="s">
        <v>763</v>
      </c>
      <c r="C25" s="153" t="s">
        <v>21</v>
      </c>
      <c r="D25" s="19" t="s">
        <v>28</v>
      </c>
      <c r="E25" s="19" t="s">
        <v>17</v>
      </c>
      <c r="F25" s="19" t="s">
        <v>17</v>
      </c>
      <c r="G25" s="19" t="s">
        <v>17</v>
      </c>
      <c r="H25" s="47" t="s">
        <v>4273</v>
      </c>
      <c r="I25" s="11"/>
      <c r="L25" s="24" t="s">
        <v>679</v>
      </c>
      <c r="M25" s="377" t="s">
        <v>680</v>
      </c>
      <c r="N25" s="153" t="s">
        <v>21</v>
      </c>
      <c r="O25" s="19" t="s">
        <v>21</v>
      </c>
      <c r="P25" s="19" t="s">
        <v>28</v>
      </c>
      <c r="Q25" s="19" t="s">
        <v>28</v>
      </c>
      <c r="R25" s="19" t="s">
        <v>28</v>
      </c>
      <c r="S25" s="372" t="s">
        <v>4274</v>
      </c>
      <c r="T25" s="11"/>
    </row>
    <row r="26" spans="1:21" ht="76">
      <c r="A26" s="24" t="s">
        <v>767</v>
      </c>
      <c r="B26" s="24" t="s">
        <v>768</v>
      </c>
      <c r="C26" s="19" t="s">
        <v>21</v>
      </c>
      <c r="D26" s="19" t="s">
        <v>21</v>
      </c>
      <c r="E26" s="19" t="s">
        <v>21</v>
      </c>
      <c r="F26" s="19" t="s">
        <v>28</v>
      </c>
      <c r="G26" s="19" t="s">
        <v>28</v>
      </c>
      <c r="H26" s="47" t="s">
        <v>4275</v>
      </c>
      <c r="I26" s="11"/>
      <c r="L26" s="24" t="s">
        <v>611</v>
      </c>
      <c r="M26" s="376" t="s">
        <v>612</v>
      </c>
      <c r="N26" s="153" t="s">
        <v>18</v>
      </c>
      <c r="O26" s="19" t="s">
        <v>18</v>
      </c>
      <c r="P26" s="19" t="s">
        <v>18</v>
      </c>
      <c r="Q26" s="19" t="s">
        <v>18</v>
      </c>
      <c r="R26" s="19" t="s">
        <v>18</v>
      </c>
      <c r="S26" s="372" t="s">
        <v>4276</v>
      </c>
      <c r="T26" s="11"/>
    </row>
    <row r="27" spans="1:21" ht="114">
      <c r="A27" s="24" t="s">
        <v>772</v>
      </c>
      <c r="B27" s="24" t="s">
        <v>773</v>
      </c>
      <c r="C27" s="19" t="s">
        <v>18</v>
      </c>
      <c r="D27" s="19" t="s">
        <v>1567</v>
      </c>
      <c r="E27" s="19" t="s">
        <v>1567</v>
      </c>
      <c r="F27" s="19" t="s">
        <v>1567</v>
      </c>
      <c r="G27" s="19" t="s">
        <v>1567</v>
      </c>
      <c r="H27" s="47" t="s">
        <v>4277</v>
      </c>
      <c r="I27" s="11"/>
      <c r="L27" s="24" t="s">
        <v>713</v>
      </c>
      <c r="M27" s="375" t="s">
        <v>714</v>
      </c>
      <c r="N27" s="153" t="s">
        <v>1567</v>
      </c>
      <c r="O27" s="19" t="s">
        <v>21</v>
      </c>
      <c r="P27" s="19" t="s">
        <v>21</v>
      </c>
      <c r="Q27" s="19" t="s">
        <v>28</v>
      </c>
      <c r="R27" s="19" t="s">
        <v>28</v>
      </c>
      <c r="S27" s="372" t="s">
        <v>4278</v>
      </c>
      <c r="T27" s="11" t="s">
        <v>4250</v>
      </c>
      <c r="U27" t="s">
        <v>4279</v>
      </c>
    </row>
    <row r="28" spans="1:21" ht="95">
      <c r="A28" s="24" t="s">
        <v>779</v>
      </c>
      <c r="B28" s="24" t="s">
        <v>780</v>
      </c>
      <c r="C28" s="19" t="s">
        <v>18</v>
      </c>
      <c r="D28" s="19" t="s">
        <v>1567</v>
      </c>
      <c r="E28" s="19" t="s">
        <v>18</v>
      </c>
      <c r="F28" s="19" t="s">
        <v>18</v>
      </c>
      <c r="G28" s="19" t="s">
        <v>18</v>
      </c>
      <c r="H28" s="47" t="s">
        <v>4280</v>
      </c>
      <c r="I28" s="11"/>
      <c r="L28" s="24" t="s">
        <v>938</v>
      </c>
      <c r="M28" s="66" t="s">
        <v>939</v>
      </c>
      <c r="N28" s="19" t="s">
        <v>18</v>
      </c>
      <c r="O28" s="19" t="s">
        <v>18</v>
      </c>
      <c r="P28" s="19" t="s">
        <v>1562</v>
      </c>
      <c r="Q28" s="19" t="s">
        <v>18</v>
      </c>
      <c r="R28" s="19" t="s">
        <v>1574</v>
      </c>
      <c r="S28" s="372" t="s">
        <v>4281</v>
      </c>
      <c r="T28" s="11"/>
      <c r="U28" s="379" t="s">
        <v>4282</v>
      </c>
    </row>
    <row r="29" spans="1:21" ht="76">
      <c r="A29" s="24" t="s">
        <v>785</v>
      </c>
      <c r="B29" s="130" t="s">
        <v>786</v>
      </c>
      <c r="C29" s="19" t="s">
        <v>18</v>
      </c>
      <c r="D29" s="19" t="s">
        <v>18</v>
      </c>
      <c r="E29" s="19" t="s">
        <v>1562</v>
      </c>
      <c r="F29" s="19" t="s">
        <v>1562</v>
      </c>
      <c r="G29" s="19" t="s">
        <v>1562</v>
      </c>
      <c r="H29" s="47" t="s">
        <v>4283</v>
      </c>
      <c r="I29" s="11"/>
      <c r="L29" s="24" t="s">
        <v>945</v>
      </c>
      <c r="M29" s="374" t="s">
        <v>946</v>
      </c>
      <c r="N29" s="19" t="s">
        <v>18</v>
      </c>
      <c r="O29" s="19" t="s">
        <v>18</v>
      </c>
      <c r="P29" s="19" t="s">
        <v>18</v>
      </c>
      <c r="Q29" s="19" t="s">
        <v>1567</v>
      </c>
      <c r="R29" s="19" t="s">
        <v>1567</v>
      </c>
      <c r="S29" s="372" t="s">
        <v>4284</v>
      </c>
      <c r="T29" s="11"/>
    </row>
    <row r="30" spans="1:21" ht="76">
      <c r="A30" s="24" t="s">
        <v>791</v>
      </c>
      <c r="B30" s="24" t="s">
        <v>792</v>
      </c>
      <c r="C30" s="19" t="s">
        <v>21</v>
      </c>
      <c r="D30" s="19" t="s">
        <v>21</v>
      </c>
      <c r="E30" s="19" t="s">
        <v>21</v>
      </c>
      <c r="F30" s="19" t="s">
        <v>21</v>
      </c>
      <c r="G30" s="19" t="s">
        <v>21</v>
      </c>
      <c r="H30" s="47" t="s">
        <v>4285</v>
      </c>
      <c r="I30" s="11"/>
      <c r="L30" s="24" t="s">
        <v>952</v>
      </c>
      <c r="M30" s="375" t="s">
        <v>953</v>
      </c>
      <c r="N30" s="153" t="s">
        <v>1567</v>
      </c>
      <c r="O30" s="19" t="s">
        <v>1567</v>
      </c>
      <c r="P30" s="19" t="s">
        <v>1567</v>
      </c>
      <c r="Q30" s="19" t="s">
        <v>1567</v>
      </c>
      <c r="R30" s="19" t="s">
        <v>1567</v>
      </c>
      <c r="S30" s="372" t="s">
        <v>4286</v>
      </c>
      <c r="T30" s="11"/>
    </row>
    <row r="31" spans="1:21" ht="95">
      <c r="A31" s="24" t="s">
        <v>796</v>
      </c>
      <c r="B31" s="24" t="s">
        <v>797</v>
      </c>
      <c r="C31" s="19" t="s">
        <v>18</v>
      </c>
      <c r="D31" s="19" t="s">
        <v>1574</v>
      </c>
      <c r="E31" s="19" t="s">
        <v>1562</v>
      </c>
      <c r="F31" s="19" t="s">
        <v>1574</v>
      </c>
      <c r="G31" s="19" t="s">
        <v>1574</v>
      </c>
      <c r="H31" s="47" t="s">
        <v>4287</v>
      </c>
      <c r="I31" s="11"/>
      <c r="L31" s="24" t="s">
        <v>959</v>
      </c>
      <c r="M31" s="375" t="s">
        <v>960</v>
      </c>
      <c r="N31" s="153" t="s">
        <v>1567</v>
      </c>
      <c r="O31" s="19" t="s">
        <v>21</v>
      </c>
      <c r="P31" s="19" t="s">
        <v>21</v>
      </c>
      <c r="Q31" s="19" t="s">
        <v>1567</v>
      </c>
      <c r="R31" s="19" t="s">
        <v>21</v>
      </c>
      <c r="S31" s="372" t="s">
        <v>4288</v>
      </c>
      <c r="T31" s="11"/>
    </row>
    <row r="32" spans="1:21" ht="95">
      <c r="A32" s="24" t="s">
        <v>800</v>
      </c>
      <c r="B32" s="380" t="s">
        <v>801</v>
      </c>
      <c r="C32" s="19" t="s">
        <v>1574</v>
      </c>
      <c r="D32" s="19" t="s">
        <v>1574</v>
      </c>
      <c r="E32" s="19" t="s">
        <v>1574</v>
      </c>
      <c r="F32" s="19" t="s">
        <v>1574</v>
      </c>
      <c r="G32" s="19" t="s">
        <v>1574</v>
      </c>
      <c r="H32" s="47" t="s">
        <v>4289</v>
      </c>
      <c r="I32" s="11"/>
      <c r="L32" s="24" t="s">
        <v>966</v>
      </c>
      <c r="M32" s="66" t="s">
        <v>967</v>
      </c>
      <c r="N32" s="19" t="s">
        <v>18</v>
      </c>
      <c r="O32" s="19" t="s">
        <v>18</v>
      </c>
      <c r="P32" s="19" t="s">
        <v>18</v>
      </c>
      <c r="Q32" s="19" t="s">
        <v>1562</v>
      </c>
      <c r="R32" s="19" t="s">
        <v>1562</v>
      </c>
      <c r="S32" s="372" t="s">
        <v>4290</v>
      </c>
      <c r="T32" s="11"/>
      <c r="U32" t="s">
        <v>4291</v>
      </c>
    </row>
    <row r="33" spans="1:21" ht="76">
      <c r="A33" s="24" t="s">
        <v>807</v>
      </c>
      <c r="B33" s="100" t="s">
        <v>4292</v>
      </c>
      <c r="C33" s="153" t="s">
        <v>28</v>
      </c>
      <c r="D33" s="19" t="s">
        <v>17</v>
      </c>
      <c r="E33" s="19" t="s">
        <v>17</v>
      </c>
      <c r="F33" s="19" t="s">
        <v>17</v>
      </c>
      <c r="G33" s="19" t="s">
        <v>17</v>
      </c>
      <c r="H33" s="47" t="s">
        <v>4293</v>
      </c>
      <c r="I33" s="11"/>
      <c r="L33" s="24" t="s">
        <v>649</v>
      </c>
      <c r="M33" s="374" t="s">
        <v>650</v>
      </c>
      <c r="N33" s="19" t="s">
        <v>18</v>
      </c>
      <c r="O33" s="19" t="s">
        <v>18</v>
      </c>
      <c r="P33" s="19" t="s">
        <v>1567</v>
      </c>
      <c r="Q33" s="19" t="s">
        <v>1562</v>
      </c>
      <c r="R33" s="19" t="s">
        <v>1562</v>
      </c>
      <c r="S33" s="372" t="s">
        <v>4294</v>
      </c>
      <c r="T33" s="11"/>
    </row>
    <row r="34" spans="1:21" ht="57">
      <c r="A34" s="24" t="s">
        <v>814</v>
      </c>
      <c r="B34" s="373" t="s">
        <v>736</v>
      </c>
      <c r="C34" s="153" t="s">
        <v>28</v>
      </c>
      <c r="D34" s="19" t="s">
        <v>17</v>
      </c>
      <c r="E34" s="19" t="s">
        <v>17</v>
      </c>
      <c r="F34" s="19" t="s">
        <v>17</v>
      </c>
      <c r="G34" s="19" t="s">
        <v>28</v>
      </c>
      <c r="H34" s="47" t="s">
        <v>4295</v>
      </c>
      <c r="I34" s="11" t="s">
        <v>4250</v>
      </c>
      <c r="L34" s="24" t="s">
        <v>631</v>
      </c>
      <c r="M34" s="381" t="s">
        <v>632</v>
      </c>
      <c r="N34" s="153" t="s">
        <v>28</v>
      </c>
      <c r="O34" s="19" t="s">
        <v>28</v>
      </c>
      <c r="P34" s="19" t="s">
        <v>17</v>
      </c>
      <c r="Q34" s="19" t="s">
        <v>17</v>
      </c>
      <c r="R34" s="19" t="s">
        <v>17</v>
      </c>
      <c r="S34" s="372" t="s">
        <v>4296</v>
      </c>
      <c r="T34" s="11" t="s">
        <v>4250</v>
      </c>
    </row>
    <row r="35" spans="1:21" ht="57">
      <c r="A35" s="24" t="s">
        <v>818</v>
      </c>
      <c r="B35" s="24" t="s">
        <v>819</v>
      </c>
      <c r="C35" s="19" t="s">
        <v>18</v>
      </c>
      <c r="D35" s="19" t="s">
        <v>1562</v>
      </c>
      <c r="E35" s="19" t="s">
        <v>1562</v>
      </c>
      <c r="F35" s="19" t="s">
        <v>1562</v>
      </c>
      <c r="G35" s="19" t="s">
        <v>1562</v>
      </c>
      <c r="H35" s="47" t="s">
        <v>4297</v>
      </c>
      <c r="I35" s="11"/>
      <c r="L35" s="24" t="s">
        <v>982</v>
      </c>
      <c r="M35" s="374" t="s">
        <v>983</v>
      </c>
      <c r="N35" s="19" t="s">
        <v>18</v>
      </c>
      <c r="O35" s="19" t="s">
        <v>1567</v>
      </c>
      <c r="P35" s="19" t="s">
        <v>1567</v>
      </c>
      <c r="Q35" s="19" t="s">
        <v>18</v>
      </c>
      <c r="R35" s="19" t="s">
        <v>1567</v>
      </c>
      <c r="S35" s="372" t="s">
        <v>4298</v>
      </c>
      <c r="T35" s="11"/>
    </row>
    <row r="36" spans="1:21" ht="38">
      <c r="A36" s="24" t="s">
        <v>825</v>
      </c>
      <c r="B36" s="380" t="s">
        <v>826</v>
      </c>
      <c r="C36" s="19" t="s">
        <v>1567</v>
      </c>
      <c r="D36" s="19" t="s">
        <v>1567</v>
      </c>
      <c r="E36" s="19" t="s">
        <v>18</v>
      </c>
      <c r="F36" s="19" t="s">
        <v>18</v>
      </c>
      <c r="G36" s="19" t="s">
        <v>18</v>
      </c>
      <c r="H36" s="47" t="s">
        <v>4299</v>
      </c>
      <c r="I36" s="11"/>
      <c r="L36" s="24" t="s">
        <v>765</v>
      </c>
      <c r="M36" s="375" t="s">
        <v>766</v>
      </c>
      <c r="N36" s="153" t="s">
        <v>1567</v>
      </c>
      <c r="O36" s="19" t="s">
        <v>21</v>
      </c>
      <c r="P36" s="19" t="s">
        <v>21</v>
      </c>
      <c r="Q36" s="19" t="s">
        <v>1567</v>
      </c>
      <c r="R36" s="19" t="s">
        <v>21</v>
      </c>
      <c r="S36" s="372" t="s">
        <v>4300</v>
      </c>
      <c r="T36" s="11" t="s">
        <v>4250</v>
      </c>
    </row>
    <row r="37" spans="1:21" ht="57">
      <c r="A37" s="24" t="s">
        <v>832</v>
      </c>
      <c r="B37" s="373" t="s">
        <v>833</v>
      </c>
      <c r="C37" s="153" t="s">
        <v>21</v>
      </c>
      <c r="D37" s="19" t="s">
        <v>21</v>
      </c>
      <c r="E37" s="19" t="s">
        <v>21</v>
      </c>
      <c r="F37" s="19" t="s">
        <v>21</v>
      </c>
      <c r="G37" s="19" t="s">
        <v>21</v>
      </c>
      <c r="H37" s="47" t="s">
        <v>4301</v>
      </c>
      <c r="I37" s="11"/>
      <c r="L37" s="24" t="s">
        <v>991</v>
      </c>
      <c r="M37" s="66" t="s">
        <v>992</v>
      </c>
      <c r="N37" s="19" t="s">
        <v>1567</v>
      </c>
      <c r="O37" s="19" t="s">
        <v>1567</v>
      </c>
      <c r="P37" s="19" t="s">
        <v>21</v>
      </c>
      <c r="Q37" s="19" t="s">
        <v>21</v>
      </c>
      <c r="R37" s="19" t="s">
        <v>21</v>
      </c>
      <c r="S37" s="372" t="s">
        <v>4302</v>
      </c>
      <c r="T37" s="11"/>
    </row>
    <row r="38" spans="1:21" ht="38">
      <c r="A38" s="24" t="s">
        <v>837</v>
      </c>
      <c r="B38" s="373" t="s">
        <v>838</v>
      </c>
      <c r="C38" s="153" t="s">
        <v>28</v>
      </c>
      <c r="D38" s="19" t="s">
        <v>17</v>
      </c>
      <c r="E38" s="19" t="s">
        <v>17</v>
      </c>
      <c r="F38" s="19" t="s">
        <v>17</v>
      </c>
      <c r="G38" s="19" t="s">
        <v>17</v>
      </c>
      <c r="H38" s="47" t="s">
        <v>4303</v>
      </c>
      <c r="I38" s="11" t="s">
        <v>4250</v>
      </c>
      <c r="J38" t="s">
        <v>4304</v>
      </c>
      <c r="L38" s="24" t="s">
        <v>997</v>
      </c>
      <c r="M38" s="66" t="s">
        <v>998</v>
      </c>
      <c r="N38" s="19" t="s">
        <v>18</v>
      </c>
      <c r="O38" s="19" t="s">
        <v>1567</v>
      </c>
      <c r="P38" s="19" t="s">
        <v>1567</v>
      </c>
      <c r="Q38" s="19" t="s">
        <v>1567</v>
      </c>
      <c r="R38" s="19" t="s">
        <v>1567</v>
      </c>
      <c r="S38" s="372" t="s">
        <v>4305</v>
      </c>
      <c r="T38" s="11"/>
    </row>
    <row r="39" spans="1:21" ht="114">
      <c r="A39" s="24" t="s">
        <v>844</v>
      </c>
      <c r="B39" s="382" t="s">
        <v>627</v>
      </c>
      <c r="C39" s="153" t="s">
        <v>18</v>
      </c>
      <c r="D39" s="19" t="s">
        <v>18</v>
      </c>
      <c r="E39" s="19" t="s">
        <v>18</v>
      </c>
      <c r="F39" s="19" t="s">
        <v>1567</v>
      </c>
      <c r="G39" s="19" t="s">
        <v>18</v>
      </c>
      <c r="H39" s="47" t="s">
        <v>4306</v>
      </c>
      <c r="I39" s="11"/>
      <c r="L39" s="24" t="s">
        <v>1004</v>
      </c>
      <c r="M39" s="374" t="s">
        <v>1005</v>
      </c>
      <c r="N39" s="19" t="s">
        <v>18</v>
      </c>
      <c r="O39" s="19" t="s">
        <v>1567</v>
      </c>
      <c r="P39" s="19" t="s">
        <v>18</v>
      </c>
      <c r="Q39" s="19" t="s">
        <v>18</v>
      </c>
      <c r="R39" s="19" t="s">
        <v>18</v>
      </c>
      <c r="S39" s="372" t="s">
        <v>4307</v>
      </c>
      <c r="T39" s="11"/>
    </row>
    <row r="40" spans="1:21" ht="57">
      <c r="A40" s="24" t="s">
        <v>850</v>
      </c>
      <c r="B40" s="41" t="s">
        <v>851</v>
      </c>
      <c r="C40" s="19" t="s">
        <v>1562</v>
      </c>
      <c r="D40" s="19" t="s">
        <v>1562</v>
      </c>
      <c r="E40" s="19" t="s">
        <v>1562</v>
      </c>
      <c r="F40" s="19" t="s">
        <v>1562</v>
      </c>
      <c r="G40" s="19" t="s">
        <v>1562</v>
      </c>
      <c r="H40" s="47" t="s">
        <v>4308</v>
      </c>
      <c r="I40" s="11"/>
      <c r="L40" s="24" t="s">
        <v>830</v>
      </c>
      <c r="M40" s="377" t="s">
        <v>831</v>
      </c>
      <c r="N40" s="153" t="s">
        <v>21</v>
      </c>
      <c r="O40" s="19" t="s">
        <v>21</v>
      </c>
      <c r="P40" s="19" t="s">
        <v>28</v>
      </c>
      <c r="Q40" s="19" t="s">
        <v>17</v>
      </c>
      <c r="R40" s="19" t="s">
        <v>28</v>
      </c>
      <c r="S40" s="372" t="s">
        <v>4309</v>
      </c>
      <c r="T40" s="11" t="s">
        <v>4250</v>
      </c>
      <c r="U40" t="s">
        <v>3070</v>
      </c>
    </row>
    <row r="41" spans="1:21" ht="95">
      <c r="A41" s="24" t="s">
        <v>855</v>
      </c>
      <c r="B41" s="383" t="s">
        <v>662</v>
      </c>
      <c r="C41" s="153" t="s">
        <v>17</v>
      </c>
      <c r="D41" s="19" t="s">
        <v>28</v>
      </c>
      <c r="E41" s="19" t="s">
        <v>17</v>
      </c>
      <c r="F41" s="19" t="s">
        <v>17</v>
      </c>
      <c r="G41" s="19" t="s">
        <v>17</v>
      </c>
      <c r="H41" s="47" t="s">
        <v>4310</v>
      </c>
      <c r="I41" s="11"/>
      <c r="L41" s="24" t="s">
        <v>789</v>
      </c>
      <c r="M41" s="377" t="s">
        <v>790</v>
      </c>
      <c r="N41" s="153" t="s">
        <v>21</v>
      </c>
      <c r="O41" s="19" t="s">
        <v>21</v>
      </c>
      <c r="P41" s="19" t="s">
        <v>28</v>
      </c>
      <c r="Q41" s="19" t="s">
        <v>17</v>
      </c>
      <c r="R41" s="19" t="s">
        <v>17</v>
      </c>
      <c r="S41" s="372" t="s">
        <v>2028</v>
      </c>
      <c r="T41" s="11"/>
    </row>
    <row r="42" spans="1:21" ht="38">
      <c r="A42" s="24" t="s">
        <v>859</v>
      </c>
      <c r="B42" s="24" t="s">
        <v>860</v>
      </c>
      <c r="C42" s="19" t="s">
        <v>1574</v>
      </c>
      <c r="D42" s="19" t="s">
        <v>1574</v>
      </c>
      <c r="E42" s="19" t="s">
        <v>1562</v>
      </c>
      <c r="F42" s="19" t="s">
        <v>1574</v>
      </c>
      <c r="G42" s="19" t="s">
        <v>1574</v>
      </c>
      <c r="H42" s="47" t="s">
        <v>4311</v>
      </c>
      <c r="J42" s="11" t="s">
        <v>4312</v>
      </c>
      <c r="L42" s="24" t="s">
        <v>527</v>
      </c>
      <c r="M42" s="375" t="s">
        <v>528</v>
      </c>
      <c r="N42" s="153" t="s">
        <v>21</v>
      </c>
      <c r="O42" s="19" t="s">
        <v>21</v>
      </c>
      <c r="P42" s="19" t="s">
        <v>28</v>
      </c>
      <c r="Q42" s="19" t="s">
        <v>21</v>
      </c>
      <c r="R42" s="19" t="s">
        <v>21</v>
      </c>
      <c r="S42" s="372" t="s">
        <v>4313</v>
      </c>
      <c r="T42" s="11"/>
    </row>
    <row r="43" spans="1:21" ht="57">
      <c r="A43" s="24" t="s">
        <v>861</v>
      </c>
      <c r="B43" s="24" t="s">
        <v>862</v>
      </c>
      <c r="C43" s="19" t="s">
        <v>1567</v>
      </c>
      <c r="D43" s="19" t="s">
        <v>18</v>
      </c>
      <c r="E43" s="19" t="s">
        <v>1567</v>
      </c>
      <c r="F43" s="19" t="s">
        <v>1567</v>
      </c>
      <c r="G43" s="19" t="s">
        <v>1567</v>
      </c>
      <c r="H43" s="47" t="s">
        <v>4314</v>
      </c>
      <c r="I43" s="11"/>
      <c r="L43" s="24" t="s">
        <v>1024</v>
      </c>
      <c r="M43" s="374" t="s">
        <v>1025</v>
      </c>
      <c r="N43" s="19" t="s">
        <v>18</v>
      </c>
      <c r="O43" s="19" t="s">
        <v>18</v>
      </c>
      <c r="P43" s="19" t="s">
        <v>1567</v>
      </c>
      <c r="Q43" s="19" t="s">
        <v>18</v>
      </c>
      <c r="R43" s="19" t="s">
        <v>18</v>
      </c>
      <c r="S43" s="372" t="s">
        <v>4315</v>
      </c>
      <c r="T43" s="11"/>
    </row>
    <row r="44" spans="1:21" ht="57">
      <c r="A44" s="24" t="s">
        <v>865</v>
      </c>
      <c r="B44" s="41" t="s">
        <v>866</v>
      </c>
      <c r="C44" s="19" t="s">
        <v>1574</v>
      </c>
      <c r="D44" s="19" t="s">
        <v>1567</v>
      </c>
      <c r="E44" s="19" t="s">
        <v>1574</v>
      </c>
      <c r="F44" s="19" t="s">
        <v>1574</v>
      </c>
      <c r="G44" s="19" t="s">
        <v>1562</v>
      </c>
      <c r="H44" s="47" t="s">
        <v>4316</v>
      </c>
      <c r="I44" s="11"/>
      <c r="L44" s="24" t="s">
        <v>1031</v>
      </c>
      <c r="M44" s="374" t="s">
        <v>1032</v>
      </c>
      <c r="N44" s="19" t="s">
        <v>18</v>
      </c>
      <c r="O44" s="19" t="s">
        <v>18</v>
      </c>
      <c r="P44" s="19" t="s">
        <v>18</v>
      </c>
      <c r="Q44" s="19" t="s">
        <v>1567</v>
      </c>
      <c r="R44" s="19" t="s">
        <v>1567</v>
      </c>
      <c r="S44" s="372" t="s">
        <v>4317</v>
      </c>
      <c r="T44" s="11"/>
    </row>
    <row r="45" spans="1:21" ht="95">
      <c r="A45" s="24" t="s">
        <v>870</v>
      </c>
      <c r="B45" s="272" t="s">
        <v>843</v>
      </c>
      <c r="C45" s="153" t="s">
        <v>28</v>
      </c>
      <c r="D45" s="19" t="s">
        <v>28</v>
      </c>
      <c r="E45" s="19" t="s">
        <v>17</v>
      </c>
      <c r="F45" s="19" t="s">
        <v>17</v>
      </c>
      <c r="G45" s="19" t="s">
        <v>17</v>
      </c>
      <c r="H45" s="44" t="s">
        <v>4318</v>
      </c>
      <c r="I45" s="11"/>
      <c r="L45" s="24" t="s">
        <v>816</v>
      </c>
      <c r="M45" s="375" t="s">
        <v>817</v>
      </c>
      <c r="N45" s="153" t="s">
        <v>18</v>
      </c>
      <c r="O45" s="19" t="s">
        <v>18</v>
      </c>
      <c r="P45" s="19" t="s">
        <v>18</v>
      </c>
      <c r="Q45" s="19" t="s">
        <v>1567</v>
      </c>
      <c r="R45" s="19" t="s">
        <v>1567</v>
      </c>
      <c r="S45" s="372" t="s">
        <v>4319</v>
      </c>
      <c r="T45" s="11"/>
    </row>
    <row r="46" spans="1:21" ht="114">
      <c r="A46" s="24" t="s">
        <v>876</v>
      </c>
      <c r="B46" s="130" t="s">
        <v>877</v>
      </c>
      <c r="C46" s="19" t="s">
        <v>1574</v>
      </c>
      <c r="D46" s="19" t="s">
        <v>1574</v>
      </c>
      <c r="E46" s="19" t="s">
        <v>1562</v>
      </c>
      <c r="F46" s="19" t="s">
        <v>1562</v>
      </c>
      <c r="G46" s="19" t="s">
        <v>1562</v>
      </c>
      <c r="H46" s="44" t="s">
        <v>4320</v>
      </c>
      <c r="I46" s="11"/>
      <c r="L46" s="24" t="s">
        <v>1035</v>
      </c>
      <c r="M46" s="374" t="s">
        <v>1036</v>
      </c>
      <c r="N46" s="19" t="s">
        <v>1574</v>
      </c>
      <c r="O46" s="19" t="s">
        <v>1574</v>
      </c>
      <c r="P46" s="19" t="s">
        <v>1574</v>
      </c>
      <c r="Q46" s="19" t="s">
        <v>1574</v>
      </c>
      <c r="R46" s="19" t="s">
        <v>16</v>
      </c>
      <c r="S46" s="372" t="s">
        <v>4321</v>
      </c>
      <c r="T46" s="11"/>
    </row>
    <row r="47" spans="1:21" ht="57">
      <c r="A47" s="24" t="s">
        <v>881</v>
      </c>
      <c r="B47" s="130" t="s">
        <v>882</v>
      </c>
      <c r="C47" s="19" t="s">
        <v>1562</v>
      </c>
      <c r="D47" s="19" t="s">
        <v>18</v>
      </c>
      <c r="E47" s="19" t="s">
        <v>1562</v>
      </c>
      <c r="F47" s="19" t="s">
        <v>1562</v>
      </c>
      <c r="G47" s="19" t="s">
        <v>1562</v>
      </c>
      <c r="H47" s="47" t="s">
        <v>4322</v>
      </c>
      <c r="I47" s="11"/>
      <c r="L47" s="24" t="s">
        <v>672</v>
      </c>
      <c r="M47" s="377" t="s">
        <v>673</v>
      </c>
      <c r="N47" s="153" t="s">
        <v>28</v>
      </c>
      <c r="O47" s="19" t="s">
        <v>17</v>
      </c>
      <c r="P47" s="19" t="s">
        <v>17</v>
      </c>
      <c r="Q47" s="19" t="s">
        <v>17</v>
      </c>
      <c r="R47" s="19" t="s">
        <v>17</v>
      </c>
      <c r="S47" s="372" t="s">
        <v>4323</v>
      </c>
      <c r="T47" s="11" t="s">
        <v>4250</v>
      </c>
    </row>
    <row r="48" spans="1:21" ht="19">
      <c r="A48" s="24" t="s">
        <v>888</v>
      </c>
      <c r="B48" s="380" t="s">
        <v>889</v>
      </c>
      <c r="C48" s="19" t="s">
        <v>1574</v>
      </c>
      <c r="D48" s="19" t="s">
        <v>1574</v>
      </c>
      <c r="E48" s="19" t="s">
        <v>1574</v>
      </c>
      <c r="F48" s="19" t="s">
        <v>1574</v>
      </c>
      <c r="G48" s="19" t="s">
        <v>1574</v>
      </c>
      <c r="H48" s="44" t="s">
        <v>4324</v>
      </c>
      <c r="I48" s="11"/>
      <c r="L48" s="24" t="s">
        <v>706</v>
      </c>
      <c r="M48" s="66" t="s">
        <v>707</v>
      </c>
      <c r="N48" s="19" t="s">
        <v>1567</v>
      </c>
      <c r="O48" s="19" t="s">
        <v>1567</v>
      </c>
      <c r="P48" s="19" t="s">
        <v>1567</v>
      </c>
      <c r="Q48" s="19" t="s">
        <v>1567</v>
      </c>
      <c r="R48" s="19" t="s">
        <v>1567</v>
      </c>
      <c r="S48" s="372" t="s">
        <v>4325</v>
      </c>
      <c r="T48" s="11"/>
    </row>
    <row r="49" spans="1:21" ht="57">
      <c r="A49" s="24" t="s">
        <v>895</v>
      </c>
      <c r="B49" s="383" t="s">
        <v>849</v>
      </c>
      <c r="C49" s="153" t="s">
        <v>21</v>
      </c>
      <c r="D49" s="19" t="s">
        <v>28</v>
      </c>
      <c r="E49" s="19" t="s">
        <v>28</v>
      </c>
      <c r="F49" s="19" t="s">
        <v>17</v>
      </c>
      <c r="G49" s="19" t="s">
        <v>17</v>
      </c>
      <c r="H49" s="47" t="s">
        <v>4326</v>
      </c>
      <c r="I49" s="11" t="s">
        <v>4250</v>
      </c>
      <c r="L49" s="24" t="s">
        <v>1048</v>
      </c>
      <c r="M49" s="374" t="s">
        <v>1049</v>
      </c>
      <c r="N49" s="19" t="s">
        <v>18</v>
      </c>
      <c r="O49" s="19" t="s">
        <v>18</v>
      </c>
      <c r="P49" s="19" t="s">
        <v>18</v>
      </c>
      <c r="Q49" s="19" t="s">
        <v>1562</v>
      </c>
      <c r="R49" s="19" t="s">
        <v>18</v>
      </c>
      <c r="S49" s="372" t="s">
        <v>4327</v>
      </c>
      <c r="T49" s="11"/>
    </row>
    <row r="50" spans="1:21" ht="57">
      <c r="A50" s="24" t="s">
        <v>898</v>
      </c>
      <c r="B50" s="130" t="s">
        <v>899</v>
      </c>
      <c r="C50" s="19" t="s">
        <v>18</v>
      </c>
      <c r="D50" s="19" t="s">
        <v>18</v>
      </c>
      <c r="E50" s="19" t="s">
        <v>18</v>
      </c>
      <c r="F50" s="19" t="s">
        <v>18</v>
      </c>
      <c r="G50" s="19" t="s">
        <v>18</v>
      </c>
      <c r="H50" s="47" t="s">
        <v>4328</v>
      </c>
      <c r="I50" s="11"/>
      <c r="L50" s="24" t="s">
        <v>1054</v>
      </c>
      <c r="M50" s="374" t="s">
        <v>1055</v>
      </c>
      <c r="N50" s="19" t="s">
        <v>1567</v>
      </c>
      <c r="O50" s="19" t="s">
        <v>1567</v>
      </c>
      <c r="P50" s="19" t="s">
        <v>1567</v>
      </c>
      <c r="Q50" s="19" t="s">
        <v>1567</v>
      </c>
      <c r="R50" s="19" t="s">
        <v>1567</v>
      </c>
      <c r="S50" s="372" t="s">
        <v>4329</v>
      </c>
      <c r="T50" s="11"/>
    </row>
    <row r="51" spans="1:21" ht="57">
      <c r="A51" s="24" t="s">
        <v>905</v>
      </c>
      <c r="B51" s="24" t="s">
        <v>906</v>
      </c>
      <c r="C51" s="19" t="s">
        <v>1574</v>
      </c>
      <c r="D51" s="19" t="s">
        <v>1574</v>
      </c>
      <c r="E51" s="19" t="s">
        <v>1574</v>
      </c>
      <c r="F51" s="19" t="s">
        <v>1562</v>
      </c>
      <c r="G51" s="19" t="s">
        <v>1562</v>
      </c>
      <c r="H51" s="47" t="s">
        <v>4330</v>
      </c>
      <c r="I51" s="11"/>
      <c r="L51" s="24" t="s">
        <v>569</v>
      </c>
      <c r="M51" s="377" t="s">
        <v>570</v>
      </c>
      <c r="N51" s="153" t="s">
        <v>21</v>
      </c>
      <c r="O51" s="19" t="s">
        <v>21</v>
      </c>
      <c r="P51" s="19" t="s">
        <v>21</v>
      </c>
      <c r="Q51" s="19" t="s">
        <v>28</v>
      </c>
      <c r="R51" s="19" t="s">
        <v>28</v>
      </c>
      <c r="S51" s="372" t="s">
        <v>4331</v>
      </c>
      <c r="T51" s="11"/>
    </row>
    <row r="52" spans="1:21" ht="57">
      <c r="A52" s="24" t="s">
        <v>912</v>
      </c>
      <c r="B52" s="24" t="s">
        <v>913</v>
      </c>
      <c r="C52" s="19" t="s">
        <v>1574</v>
      </c>
      <c r="D52" s="19" t="s">
        <v>1661</v>
      </c>
      <c r="E52" s="19" t="s">
        <v>1661</v>
      </c>
      <c r="F52" s="19" t="s">
        <v>1562</v>
      </c>
      <c r="G52" s="19" t="s">
        <v>1562</v>
      </c>
      <c r="H52" s="47" t="s">
        <v>4332</v>
      </c>
      <c r="I52" s="11"/>
      <c r="L52" s="24" t="s">
        <v>1065</v>
      </c>
      <c r="M52" s="66" t="s">
        <v>1066</v>
      </c>
      <c r="N52" s="19" t="s">
        <v>21</v>
      </c>
      <c r="O52" s="19" t="s">
        <v>21</v>
      </c>
      <c r="P52" s="19" t="s">
        <v>21</v>
      </c>
      <c r="Q52" s="19" t="s">
        <v>21</v>
      </c>
      <c r="R52" s="19" t="s">
        <v>21</v>
      </c>
      <c r="S52" s="372" t="s">
        <v>4333</v>
      </c>
      <c r="T52" s="11"/>
      <c r="U52" t="s">
        <v>4334</v>
      </c>
    </row>
    <row r="53" spans="1:21" ht="38">
      <c r="A53" s="24" t="s">
        <v>919</v>
      </c>
      <c r="B53" s="24" t="s">
        <v>920</v>
      </c>
      <c r="C53" s="19" t="s">
        <v>1574</v>
      </c>
      <c r="D53" s="19" t="s">
        <v>1661</v>
      </c>
      <c r="E53" s="19" t="s">
        <v>16</v>
      </c>
      <c r="F53" s="19" t="s">
        <v>16</v>
      </c>
      <c r="G53" s="19" t="s">
        <v>16</v>
      </c>
      <c r="H53" s="47" t="s">
        <v>4335</v>
      </c>
      <c r="I53" s="11"/>
      <c r="L53" s="24" t="s">
        <v>1070</v>
      </c>
      <c r="M53" s="66" t="s">
        <v>1071</v>
      </c>
      <c r="N53" s="19" t="s">
        <v>18</v>
      </c>
      <c r="O53" s="19" t="s">
        <v>18</v>
      </c>
      <c r="P53" s="19" t="s">
        <v>18</v>
      </c>
      <c r="Q53" s="19" t="s">
        <v>1567</v>
      </c>
      <c r="R53" s="19" t="s">
        <v>1567</v>
      </c>
      <c r="S53" s="372" t="s">
        <v>4336</v>
      </c>
      <c r="T53" s="11"/>
    </row>
    <row r="54" spans="1:21" ht="95">
      <c r="A54" s="24" t="s">
        <v>924</v>
      </c>
      <c r="B54" s="24" t="s">
        <v>925</v>
      </c>
      <c r="C54" s="19" t="s">
        <v>1574</v>
      </c>
      <c r="D54" s="19" t="s">
        <v>1661</v>
      </c>
      <c r="E54" s="19" t="s">
        <v>1661</v>
      </c>
      <c r="F54" s="19" t="s">
        <v>1661</v>
      </c>
      <c r="G54" s="19" t="s">
        <v>1661</v>
      </c>
      <c r="H54" s="47" t="s">
        <v>4337</v>
      </c>
      <c r="I54" s="11"/>
      <c r="L54" s="24" t="s">
        <v>605</v>
      </c>
      <c r="M54" s="375" t="s">
        <v>606</v>
      </c>
      <c r="N54" s="19" t="s">
        <v>1567</v>
      </c>
      <c r="O54" s="19" t="s">
        <v>1567</v>
      </c>
      <c r="P54" s="19" t="s">
        <v>1567</v>
      </c>
      <c r="Q54" s="19" t="s">
        <v>21</v>
      </c>
      <c r="R54" s="19" t="s">
        <v>1567</v>
      </c>
      <c r="S54" s="372" t="s">
        <v>4338</v>
      </c>
      <c r="T54" s="11"/>
    </row>
    <row r="55" spans="1:21" ht="76">
      <c r="A55" s="24" t="s">
        <v>929</v>
      </c>
      <c r="B55" s="41" t="s">
        <v>930</v>
      </c>
      <c r="C55" s="19" t="s">
        <v>1562</v>
      </c>
      <c r="D55" s="19" t="s">
        <v>18</v>
      </c>
      <c r="E55" s="19" t="s">
        <v>18</v>
      </c>
      <c r="F55" s="19" t="s">
        <v>1567</v>
      </c>
      <c r="G55" s="19" t="s">
        <v>18</v>
      </c>
      <c r="H55" s="47" t="s">
        <v>4339</v>
      </c>
      <c r="I55" s="11"/>
      <c r="L55" s="24" t="s">
        <v>1081</v>
      </c>
      <c r="M55" s="66" t="s">
        <v>1082</v>
      </c>
      <c r="N55" s="19" t="s">
        <v>18</v>
      </c>
      <c r="O55" s="19" t="s">
        <v>18</v>
      </c>
      <c r="P55" s="19" t="s">
        <v>1562</v>
      </c>
      <c r="Q55" s="19" t="s">
        <v>1574</v>
      </c>
      <c r="R55" s="19" t="s">
        <v>1562</v>
      </c>
      <c r="S55" s="372" t="s">
        <v>4340</v>
      </c>
      <c r="T55" s="11"/>
    </row>
    <row r="56" spans="1:21" ht="57">
      <c r="A56" s="24" t="s">
        <v>934</v>
      </c>
      <c r="B56" s="373" t="s">
        <v>522</v>
      </c>
      <c r="C56" s="153" t="s">
        <v>21</v>
      </c>
      <c r="D56" s="19" t="s">
        <v>21</v>
      </c>
      <c r="E56" s="19" t="s">
        <v>17</v>
      </c>
      <c r="F56" s="19" t="s">
        <v>28</v>
      </c>
      <c r="G56" s="19" t="s">
        <v>28</v>
      </c>
      <c r="H56" s="47" t="s">
        <v>4341</v>
      </c>
      <c r="I56" s="11" t="s">
        <v>4250</v>
      </c>
      <c r="L56" s="24" t="s">
        <v>1087</v>
      </c>
      <c r="M56" s="374" t="s">
        <v>1088</v>
      </c>
      <c r="N56" s="19" t="s">
        <v>1562</v>
      </c>
      <c r="O56" s="19" t="s">
        <v>1562</v>
      </c>
      <c r="P56" s="19" t="s">
        <v>1562</v>
      </c>
      <c r="Q56" s="19" t="s">
        <v>18</v>
      </c>
      <c r="R56" s="19" t="s">
        <v>1562</v>
      </c>
      <c r="S56" s="372" t="s">
        <v>4342</v>
      </c>
      <c r="T56" s="11"/>
    </row>
    <row r="57" spans="1:21" ht="76">
      <c r="A57" s="24" t="s">
        <v>937</v>
      </c>
      <c r="B57" s="384" t="s">
        <v>4343</v>
      </c>
      <c r="C57" s="153" t="s">
        <v>1567</v>
      </c>
      <c r="D57" s="19" t="s">
        <v>1567</v>
      </c>
      <c r="E57" s="19" t="s">
        <v>21</v>
      </c>
      <c r="F57" s="19" t="s">
        <v>28</v>
      </c>
      <c r="G57" s="19" t="s">
        <v>21</v>
      </c>
      <c r="H57" s="47" t="s">
        <v>4344</v>
      </c>
      <c r="I57" s="11" t="s">
        <v>4250</v>
      </c>
      <c r="L57" s="24" t="s">
        <v>1093</v>
      </c>
      <c r="M57" s="66" t="s">
        <v>1094</v>
      </c>
      <c r="N57" s="19" t="s">
        <v>1562</v>
      </c>
      <c r="O57" s="19" t="s">
        <v>1562</v>
      </c>
      <c r="P57" s="19" t="s">
        <v>1562</v>
      </c>
      <c r="Q57" s="19" t="s">
        <v>1562</v>
      </c>
      <c r="R57" s="19" t="s">
        <v>1562</v>
      </c>
      <c r="S57" s="372" t="s">
        <v>4345</v>
      </c>
      <c r="T57" s="11"/>
    </row>
    <row r="58" spans="1:21" ht="95">
      <c r="A58" s="24" t="s">
        <v>943</v>
      </c>
      <c r="B58" s="24" t="s">
        <v>944</v>
      </c>
      <c r="C58" s="19" t="s">
        <v>1574</v>
      </c>
      <c r="D58" s="19" t="s">
        <v>1574</v>
      </c>
      <c r="E58" s="19" t="s">
        <v>1562</v>
      </c>
      <c r="F58" s="19" t="s">
        <v>1562</v>
      </c>
      <c r="G58" s="19" t="s">
        <v>1562</v>
      </c>
      <c r="H58" s="47" t="s">
        <v>4346</v>
      </c>
      <c r="I58" s="11"/>
      <c r="L58" s="24" t="s">
        <v>853</v>
      </c>
      <c r="M58" s="66" t="s">
        <v>854</v>
      </c>
      <c r="N58" s="19" t="s">
        <v>18</v>
      </c>
      <c r="O58" s="19" t="s">
        <v>1562</v>
      </c>
      <c r="P58" s="19" t="s">
        <v>18</v>
      </c>
      <c r="Q58" s="19" t="s">
        <v>18</v>
      </c>
      <c r="R58" s="19" t="s">
        <v>18</v>
      </c>
      <c r="S58" s="372" t="s">
        <v>4347</v>
      </c>
      <c r="T58" s="11"/>
    </row>
    <row r="59" spans="1:21" ht="57">
      <c r="A59" s="24" t="s">
        <v>950</v>
      </c>
      <c r="B59" s="41" t="s">
        <v>951</v>
      </c>
      <c r="C59" s="19" t="s">
        <v>1574</v>
      </c>
      <c r="D59" s="19" t="s">
        <v>18</v>
      </c>
      <c r="E59" s="19" t="s">
        <v>1574</v>
      </c>
      <c r="F59" s="19" t="s">
        <v>1661</v>
      </c>
      <c r="G59" s="19" t="s">
        <v>1574</v>
      </c>
      <c r="H59" s="47" t="s">
        <v>4348</v>
      </c>
      <c r="I59" s="11"/>
      <c r="L59" s="24" t="s">
        <v>725</v>
      </c>
      <c r="M59" s="377" t="s">
        <v>726</v>
      </c>
      <c r="N59" s="19" t="s">
        <v>21</v>
      </c>
      <c r="O59" s="19" t="s">
        <v>21</v>
      </c>
      <c r="P59" s="19" t="s">
        <v>28</v>
      </c>
      <c r="Q59" s="19" t="s">
        <v>21</v>
      </c>
      <c r="R59" s="19" t="s">
        <v>28</v>
      </c>
      <c r="S59" s="372" t="s">
        <v>4349</v>
      </c>
      <c r="T59" s="11" t="s">
        <v>4250</v>
      </c>
    </row>
    <row r="60" spans="1:21" ht="38">
      <c r="A60" s="24" t="s">
        <v>957</v>
      </c>
      <c r="B60" s="373" t="s">
        <v>958</v>
      </c>
      <c r="C60" s="153" t="s">
        <v>1567</v>
      </c>
      <c r="D60" s="19" t="s">
        <v>1567</v>
      </c>
      <c r="E60" s="19" t="s">
        <v>21</v>
      </c>
      <c r="F60" s="19" t="s">
        <v>1567</v>
      </c>
      <c r="G60" s="19" t="s">
        <v>21</v>
      </c>
      <c r="H60" s="47" t="s">
        <v>4350</v>
      </c>
      <c r="I60" s="11"/>
      <c r="L60" s="24" t="s">
        <v>731</v>
      </c>
      <c r="M60" s="377" t="s">
        <v>732</v>
      </c>
      <c r="N60" s="19" t="s">
        <v>21</v>
      </c>
      <c r="O60" s="19" t="s">
        <v>28</v>
      </c>
      <c r="P60" s="19" t="s">
        <v>28</v>
      </c>
      <c r="Q60" s="19" t="s">
        <v>28</v>
      </c>
      <c r="R60" s="19" t="s">
        <v>28</v>
      </c>
      <c r="S60" s="372" t="s">
        <v>4351</v>
      </c>
      <c r="T60" s="11" t="s">
        <v>4250</v>
      </c>
    </row>
    <row r="61" spans="1:21" ht="19">
      <c r="A61" s="24" t="s">
        <v>964</v>
      </c>
      <c r="B61" s="24" t="s">
        <v>965</v>
      </c>
      <c r="C61" s="19" t="s">
        <v>1567</v>
      </c>
      <c r="D61" s="19" t="s">
        <v>1567</v>
      </c>
      <c r="E61" s="19" t="s">
        <v>1567</v>
      </c>
      <c r="F61" s="19" t="s">
        <v>18</v>
      </c>
      <c r="G61" s="19" t="s">
        <v>1567</v>
      </c>
      <c r="H61" s="44" t="s">
        <v>4352</v>
      </c>
      <c r="I61" s="11"/>
      <c r="L61" s="24" t="s">
        <v>1113</v>
      </c>
      <c r="M61" s="66" t="s">
        <v>1114</v>
      </c>
      <c r="N61" s="19" t="s">
        <v>18</v>
      </c>
      <c r="O61" s="19" t="s">
        <v>1574</v>
      </c>
      <c r="P61" s="19" t="s">
        <v>1562</v>
      </c>
      <c r="Q61" s="19" t="s">
        <v>1562</v>
      </c>
      <c r="R61" s="19" t="s">
        <v>1562</v>
      </c>
      <c r="S61" s="372" t="s">
        <v>4353</v>
      </c>
      <c r="T61" s="11"/>
    </row>
    <row r="62" spans="1:21" ht="19">
      <c r="A62" s="24" t="s">
        <v>971</v>
      </c>
      <c r="B62" s="130" t="s">
        <v>972</v>
      </c>
      <c r="C62" s="19" t="s">
        <v>1574</v>
      </c>
      <c r="D62" s="19" t="s">
        <v>1574</v>
      </c>
      <c r="E62" s="19" t="s">
        <v>18</v>
      </c>
      <c r="F62" s="19" t="s">
        <v>1567</v>
      </c>
      <c r="G62" s="19" t="s">
        <v>18</v>
      </c>
      <c r="H62" s="44" t="s">
        <v>4354</v>
      </c>
      <c r="I62" s="11"/>
      <c r="L62" s="24" t="s">
        <v>642</v>
      </c>
      <c r="M62" s="375" t="s">
        <v>643</v>
      </c>
      <c r="N62" s="19" t="s">
        <v>21</v>
      </c>
      <c r="O62" s="19" t="s">
        <v>1567</v>
      </c>
      <c r="P62" s="19" t="s">
        <v>21</v>
      </c>
      <c r="Q62" s="19" t="s">
        <v>21</v>
      </c>
      <c r="R62" s="19" t="s">
        <v>21</v>
      </c>
      <c r="S62" s="372" t="s">
        <v>4355</v>
      </c>
      <c r="T62" s="11"/>
    </row>
    <row r="63" spans="1:21" ht="57">
      <c r="A63" s="24" t="s">
        <v>976</v>
      </c>
      <c r="B63" s="41" t="s">
        <v>977</v>
      </c>
      <c r="C63" s="19" t="s">
        <v>1574</v>
      </c>
      <c r="D63" s="19" t="s">
        <v>1574</v>
      </c>
      <c r="E63" s="19" t="s">
        <v>1562</v>
      </c>
      <c r="F63" s="19" t="s">
        <v>1562</v>
      </c>
      <c r="G63" s="19" t="s">
        <v>1574</v>
      </c>
      <c r="H63" s="44" t="s">
        <v>4356</v>
      </c>
      <c r="I63" s="11"/>
      <c r="L63" s="24" t="s">
        <v>1125</v>
      </c>
      <c r="M63" s="66" t="s">
        <v>1126</v>
      </c>
      <c r="N63" s="19" t="s">
        <v>1574</v>
      </c>
      <c r="O63" s="19" t="s">
        <v>1574</v>
      </c>
      <c r="P63" s="19" t="s">
        <v>1574</v>
      </c>
      <c r="Q63" s="19" t="s">
        <v>1574</v>
      </c>
      <c r="R63" s="19" t="s">
        <v>1574</v>
      </c>
      <c r="S63" s="372" t="s">
        <v>4357</v>
      </c>
      <c r="T63" s="11"/>
    </row>
    <row r="64" spans="1:21" ht="38">
      <c r="A64" s="24" t="s">
        <v>981</v>
      </c>
      <c r="B64" s="378" t="s">
        <v>624</v>
      </c>
      <c r="C64" s="153" t="s">
        <v>1567</v>
      </c>
      <c r="D64" s="19" t="s">
        <v>21</v>
      </c>
      <c r="E64" s="19" t="s">
        <v>28</v>
      </c>
      <c r="F64" s="19" t="s">
        <v>28</v>
      </c>
      <c r="G64" s="19" t="s">
        <v>21</v>
      </c>
      <c r="H64" s="47" t="s">
        <v>4358</v>
      </c>
      <c r="I64" s="11"/>
      <c r="L64" s="24" t="s">
        <v>1132</v>
      </c>
      <c r="M64" s="66" t="s">
        <v>1133</v>
      </c>
      <c r="N64" s="19" t="s">
        <v>18</v>
      </c>
      <c r="O64" s="19" t="s">
        <v>18</v>
      </c>
      <c r="P64" s="19" t="s">
        <v>18</v>
      </c>
      <c r="Q64" s="19" t="s">
        <v>1562</v>
      </c>
      <c r="R64" s="19" t="s">
        <v>1562</v>
      </c>
      <c r="S64" s="372" t="s">
        <v>4359</v>
      </c>
      <c r="T64" s="11"/>
    </row>
    <row r="65" spans="1:20" ht="38">
      <c r="A65" s="24" t="s">
        <v>986</v>
      </c>
      <c r="B65" s="383" t="s">
        <v>657</v>
      </c>
      <c r="C65" s="153" t="s">
        <v>17</v>
      </c>
      <c r="D65" s="19" t="s">
        <v>28</v>
      </c>
      <c r="E65" s="19" t="s">
        <v>17</v>
      </c>
      <c r="F65" s="19" t="s">
        <v>17</v>
      </c>
      <c r="G65" s="19" t="s">
        <v>17</v>
      </c>
      <c r="H65" s="47" t="s">
        <v>4254</v>
      </c>
      <c r="I65" s="11"/>
      <c r="L65" s="24" t="s">
        <v>1139</v>
      </c>
      <c r="M65" s="66" t="s">
        <v>1140</v>
      </c>
      <c r="N65" s="19" t="s">
        <v>1574</v>
      </c>
      <c r="O65" s="19" t="s">
        <v>1574</v>
      </c>
      <c r="P65" s="19" t="s">
        <v>1562</v>
      </c>
      <c r="Q65" s="19" t="s">
        <v>22</v>
      </c>
      <c r="R65" s="19" t="s">
        <v>22</v>
      </c>
      <c r="S65" s="372" t="s">
        <v>4360</v>
      </c>
      <c r="T65" s="11"/>
    </row>
    <row r="66" spans="1:20" ht="38">
      <c r="A66" s="24" t="s">
        <v>990</v>
      </c>
      <c r="B66" s="383" t="s">
        <v>836</v>
      </c>
      <c r="C66" s="153" t="s">
        <v>21</v>
      </c>
      <c r="D66" s="19" t="s">
        <v>21</v>
      </c>
      <c r="E66" s="19" t="s">
        <v>28</v>
      </c>
      <c r="F66" s="19" t="s">
        <v>17</v>
      </c>
      <c r="G66" s="19" t="s">
        <v>28</v>
      </c>
      <c r="H66" s="47" t="s">
        <v>4361</v>
      </c>
      <c r="I66" s="11" t="s">
        <v>4250</v>
      </c>
      <c r="L66" s="24" t="s">
        <v>600</v>
      </c>
      <c r="M66" s="377" t="s">
        <v>601</v>
      </c>
      <c r="N66" s="19" t="s">
        <v>28</v>
      </c>
      <c r="O66" s="19" t="s">
        <v>21</v>
      </c>
      <c r="P66" s="19" t="s">
        <v>28</v>
      </c>
      <c r="Q66" s="19" t="s">
        <v>21</v>
      </c>
      <c r="R66" s="19" t="s">
        <v>28</v>
      </c>
      <c r="S66" s="372" t="s">
        <v>4362</v>
      </c>
      <c r="T66" s="11"/>
    </row>
    <row r="67" spans="1:20" ht="19">
      <c r="A67" s="24" t="s">
        <v>996</v>
      </c>
      <c r="B67" s="373" t="s">
        <v>806</v>
      </c>
      <c r="C67" s="153" t="s">
        <v>21</v>
      </c>
      <c r="D67" s="19" t="s">
        <v>1567</v>
      </c>
      <c r="E67" s="19" t="s">
        <v>21</v>
      </c>
      <c r="F67" s="19" t="s">
        <v>21</v>
      </c>
      <c r="G67" s="19" t="s">
        <v>21</v>
      </c>
      <c r="H67" s="44" t="s">
        <v>4363</v>
      </c>
      <c r="I67" s="11"/>
      <c r="L67" s="24" t="s">
        <v>1150</v>
      </c>
      <c r="M67" s="375" t="s">
        <v>1151</v>
      </c>
      <c r="N67" s="19" t="s">
        <v>18</v>
      </c>
      <c r="O67" s="19" t="s">
        <v>18</v>
      </c>
      <c r="P67" s="19" t="s">
        <v>18</v>
      </c>
      <c r="Q67" s="19" t="s">
        <v>1567</v>
      </c>
      <c r="R67" s="19" t="s">
        <v>1567</v>
      </c>
      <c r="S67" s="372" t="s">
        <v>4364</v>
      </c>
      <c r="T67" s="11"/>
    </row>
    <row r="68" spans="1:20">
      <c r="A68" s="24" t="s">
        <v>1002</v>
      </c>
      <c r="B68" s="378" t="s">
        <v>1003</v>
      </c>
      <c r="C68" s="153" t="s">
        <v>21</v>
      </c>
      <c r="D68" s="19" t="s">
        <v>21</v>
      </c>
      <c r="E68" s="19" t="s">
        <v>28</v>
      </c>
      <c r="F68" s="19" t="s">
        <v>21</v>
      </c>
      <c r="G68" s="19" t="s">
        <v>21</v>
      </c>
      <c r="H68" s="44" t="s">
        <v>4365</v>
      </c>
      <c r="I68" s="11"/>
      <c r="L68" s="24" t="s">
        <v>637</v>
      </c>
      <c r="M68" s="66" t="s">
        <v>638</v>
      </c>
      <c r="N68" s="19" t="s">
        <v>1567</v>
      </c>
      <c r="O68" s="19" t="s">
        <v>1567</v>
      </c>
      <c r="P68" s="19" t="s">
        <v>1567</v>
      </c>
      <c r="Q68" s="19" t="s">
        <v>18</v>
      </c>
      <c r="R68" s="19" t="s">
        <v>18</v>
      </c>
      <c r="S68" s="53" t="s">
        <v>4366</v>
      </c>
      <c r="T68" s="11"/>
    </row>
    <row r="69" spans="1:20" ht="19">
      <c r="A69" s="24" t="s">
        <v>1009</v>
      </c>
      <c r="B69" s="373" t="s">
        <v>795</v>
      </c>
      <c r="C69" s="153" t="s">
        <v>21</v>
      </c>
      <c r="D69" s="19" t="s">
        <v>28</v>
      </c>
      <c r="E69" s="19" t="s">
        <v>28</v>
      </c>
      <c r="F69" s="19" t="s">
        <v>21</v>
      </c>
      <c r="G69" s="19" t="s">
        <v>28</v>
      </c>
      <c r="H69" s="44" t="s">
        <v>4367</v>
      </c>
      <c r="I69" s="11" t="s">
        <v>4250</v>
      </c>
      <c r="L69" s="24" t="s">
        <v>1160</v>
      </c>
      <c r="M69" s="66" t="s">
        <v>1161</v>
      </c>
      <c r="N69" s="19" t="s">
        <v>18</v>
      </c>
      <c r="O69" s="19" t="s">
        <v>18</v>
      </c>
      <c r="P69" s="19" t="s">
        <v>18</v>
      </c>
      <c r="Q69" s="19" t="s">
        <v>18</v>
      </c>
      <c r="R69" s="19" t="s">
        <v>18</v>
      </c>
      <c r="S69" s="372" t="s">
        <v>4368</v>
      </c>
      <c r="T69" s="11"/>
    </row>
    <row r="70" spans="1:20" ht="38">
      <c r="A70" s="24" t="s">
        <v>1013</v>
      </c>
      <c r="B70" s="380" t="s">
        <v>1014</v>
      </c>
      <c r="C70" s="19" t="s">
        <v>1574</v>
      </c>
      <c r="D70" s="19" t="s">
        <v>1574</v>
      </c>
      <c r="E70" s="19" t="s">
        <v>1574</v>
      </c>
      <c r="F70" s="19" t="s">
        <v>1574</v>
      </c>
      <c r="G70" s="19" t="s">
        <v>1574</v>
      </c>
      <c r="H70" s="47" t="s">
        <v>4369</v>
      </c>
      <c r="I70" s="11"/>
      <c r="L70" s="24" t="s">
        <v>777</v>
      </c>
      <c r="M70" s="66" t="s">
        <v>778</v>
      </c>
      <c r="N70" s="19" t="s">
        <v>18</v>
      </c>
      <c r="O70" s="19" t="s">
        <v>18</v>
      </c>
      <c r="P70" s="19" t="s">
        <v>1567</v>
      </c>
      <c r="Q70" s="19" t="s">
        <v>1567</v>
      </c>
      <c r="R70" s="19" t="s">
        <v>1567</v>
      </c>
      <c r="S70" s="372" t="s">
        <v>4370</v>
      </c>
      <c r="T70" s="11"/>
    </row>
    <row r="71" spans="1:20" ht="38">
      <c r="A71" s="24" t="s">
        <v>1018</v>
      </c>
      <c r="B71" s="373" t="s">
        <v>1019</v>
      </c>
      <c r="C71" s="153" t="s">
        <v>28</v>
      </c>
      <c r="D71" s="19" t="s">
        <v>28</v>
      </c>
      <c r="E71" s="19" t="s">
        <v>28</v>
      </c>
      <c r="F71" s="19" t="s">
        <v>28</v>
      </c>
      <c r="G71" s="19" t="s">
        <v>28</v>
      </c>
      <c r="H71" s="47" t="s">
        <v>4371</v>
      </c>
      <c r="I71" s="11"/>
      <c r="L71" s="24" t="s">
        <v>1170</v>
      </c>
      <c r="M71" s="66" t="s">
        <v>1171</v>
      </c>
      <c r="N71" s="19" t="s">
        <v>1567</v>
      </c>
      <c r="O71" s="19" t="s">
        <v>1567</v>
      </c>
      <c r="P71" s="19" t="s">
        <v>1567</v>
      </c>
      <c r="Q71" s="19" t="s">
        <v>1567</v>
      </c>
      <c r="R71" s="19" t="s">
        <v>1567</v>
      </c>
      <c r="S71" s="372" t="s">
        <v>4372</v>
      </c>
      <c r="T71" s="11"/>
    </row>
    <row r="72" spans="1:20" ht="38">
      <c r="A72" s="24" t="s">
        <v>1023</v>
      </c>
      <c r="B72" s="24" t="s">
        <v>540</v>
      </c>
      <c r="C72" s="19" t="s">
        <v>18</v>
      </c>
      <c r="D72" s="19" t="s">
        <v>1567</v>
      </c>
      <c r="E72" s="19" t="s">
        <v>1562</v>
      </c>
      <c r="F72" s="19" t="s">
        <v>1574</v>
      </c>
      <c r="G72" s="19" t="s">
        <v>1562</v>
      </c>
      <c r="H72" s="47" t="s">
        <v>4373</v>
      </c>
      <c r="I72" s="11"/>
      <c r="L72" s="24" t="s">
        <v>1176</v>
      </c>
      <c r="M72" s="375" t="s">
        <v>1177</v>
      </c>
      <c r="N72" s="19" t="s">
        <v>21</v>
      </c>
      <c r="O72" s="19" t="s">
        <v>28</v>
      </c>
      <c r="P72" s="19" t="s">
        <v>28</v>
      </c>
      <c r="Q72" s="19" t="s">
        <v>28</v>
      </c>
      <c r="R72" s="19" t="s">
        <v>28</v>
      </c>
      <c r="S72" s="372" t="s">
        <v>4374</v>
      </c>
      <c r="T72" s="11"/>
    </row>
    <row r="73" spans="1:20" ht="38">
      <c r="A73" s="24" t="s">
        <v>1029</v>
      </c>
      <c r="B73" s="94" t="s">
        <v>4375</v>
      </c>
      <c r="C73" s="19" t="s">
        <v>1562</v>
      </c>
      <c r="D73" s="19" t="s">
        <v>1562</v>
      </c>
      <c r="E73" s="19" t="s">
        <v>18</v>
      </c>
      <c r="F73" s="19" t="s">
        <v>1562</v>
      </c>
      <c r="G73" s="19" t="s">
        <v>18</v>
      </c>
      <c r="H73" s="47" t="s">
        <v>4376</v>
      </c>
      <c r="I73" s="11"/>
      <c r="J73" t="s">
        <v>4377</v>
      </c>
      <c r="K73" t="s">
        <v>4377</v>
      </c>
      <c r="L73" s="24" t="s">
        <v>1183</v>
      </c>
      <c r="M73" s="66" t="s">
        <v>1184</v>
      </c>
      <c r="N73" s="19" t="s">
        <v>18</v>
      </c>
      <c r="O73" s="19" t="s">
        <v>18</v>
      </c>
      <c r="P73" s="19" t="s">
        <v>18</v>
      </c>
      <c r="Q73" s="19" t="s">
        <v>18</v>
      </c>
      <c r="R73" s="19" t="s">
        <v>18</v>
      </c>
      <c r="S73" s="372" t="s">
        <v>4378</v>
      </c>
      <c r="T73" s="11"/>
    </row>
    <row r="74" spans="1:20" ht="38">
      <c r="G74" s="68"/>
      <c r="H74" s="385"/>
      <c r="L74" s="24" t="s">
        <v>739</v>
      </c>
      <c r="M74" s="375" t="s">
        <v>740</v>
      </c>
      <c r="N74" s="19" t="s">
        <v>18</v>
      </c>
      <c r="O74" s="19" t="s">
        <v>1567</v>
      </c>
      <c r="P74" s="19" t="s">
        <v>1567</v>
      </c>
      <c r="Q74" s="19" t="s">
        <v>18</v>
      </c>
      <c r="R74" s="19" t="s">
        <v>18</v>
      </c>
      <c r="S74" s="372" t="s">
        <v>4379</v>
      </c>
      <c r="T74" s="11"/>
    </row>
    <row r="75" spans="1:20" ht="38">
      <c r="G75" s="68"/>
      <c r="H75" s="385"/>
      <c r="L75" s="24" t="s">
        <v>720</v>
      </c>
      <c r="M75" s="377" t="s">
        <v>721</v>
      </c>
      <c r="N75" s="19" t="s">
        <v>28</v>
      </c>
      <c r="O75" s="19" t="s">
        <v>17</v>
      </c>
      <c r="P75" s="19" t="s">
        <v>28</v>
      </c>
      <c r="Q75" s="19" t="s">
        <v>17</v>
      </c>
      <c r="R75" s="19" t="s">
        <v>28</v>
      </c>
      <c r="S75" s="372" t="s">
        <v>4380</v>
      </c>
      <c r="T75" s="11" t="s">
        <v>4250</v>
      </c>
    </row>
    <row r="76" spans="1:20" ht="19">
      <c r="G76" s="68"/>
      <c r="H76" s="385"/>
      <c r="L76" s="24" t="s">
        <v>563</v>
      </c>
      <c r="M76" s="66" t="s">
        <v>564</v>
      </c>
      <c r="N76" s="19" t="s">
        <v>18</v>
      </c>
      <c r="O76" s="19" t="s">
        <v>1567</v>
      </c>
      <c r="P76" s="19" t="s">
        <v>1567</v>
      </c>
      <c r="Q76" s="19" t="s">
        <v>1567</v>
      </c>
      <c r="R76" s="19" t="s">
        <v>1567</v>
      </c>
      <c r="S76" s="372" t="s">
        <v>4381</v>
      </c>
      <c r="T76" s="11"/>
    </row>
    <row r="77" spans="1:20" ht="19">
      <c r="G77" s="68"/>
      <c r="H77" s="385"/>
      <c r="L77" s="24" t="s">
        <v>1203</v>
      </c>
      <c r="M77" s="374" t="s">
        <v>1204</v>
      </c>
      <c r="N77" s="19" t="s">
        <v>18</v>
      </c>
      <c r="O77" s="19" t="s">
        <v>18</v>
      </c>
      <c r="P77" s="19" t="s">
        <v>1567</v>
      </c>
      <c r="Q77" s="19" t="s">
        <v>1567</v>
      </c>
      <c r="R77" s="19" t="s">
        <v>1567</v>
      </c>
      <c r="S77" s="372" t="s">
        <v>4382</v>
      </c>
      <c r="T77" s="11"/>
    </row>
    <row r="78" spans="1:20" ht="19">
      <c r="G78" s="68"/>
      <c r="H78" s="385"/>
      <c r="L78" s="24" t="s">
        <v>1209</v>
      </c>
      <c r="M78" s="375" t="s">
        <v>1210</v>
      </c>
      <c r="N78" s="19" t="s">
        <v>18</v>
      </c>
      <c r="O78" s="19" t="s">
        <v>1567</v>
      </c>
      <c r="P78" s="19" t="s">
        <v>1567</v>
      </c>
      <c r="Q78" s="19" t="s">
        <v>21</v>
      </c>
      <c r="R78" s="19" t="s">
        <v>1567</v>
      </c>
      <c r="S78" s="372" t="s">
        <v>4383</v>
      </c>
      <c r="T78" s="11"/>
    </row>
    <row r="79" spans="1:20" ht="57">
      <c r="G79" s="68"/>
      <c r="H79" s="385"/>
      <c r="L79" s="24" t="s">
        <v>532</v>
      </c>
      <c r="M79" s="375" t="s">
        <v>533</v>
      </c>
      <c r="N79" s="19" t="s">
        <v>21</v>
      </c>
      <c r="O79" s="19" t="s">
        <v>28</v>
      </c>
      <c r="P79" s="19" t="s">
        <v>28</v>
      </c>
      <c r="Q79" s="19" t="s">
        <v>28</v>
      </c>
      <c r="R79" s="19" t="s">
        <v>28</v>
      </c>
      <c r="S79" s="372" t="s">
        <v>4384</v>
      </c>
      <c r="T79" s="11"/>
    </row>
    <row r="80" spans="1:20" ht="38">
      <c r="G80" s="68"/>
      <c r="H80" s="385"/>
      <c r="L80" s="24" t="s">
        <v>770</v>
      </c>
      <c r="M80" s="375" t="s">
        <v>1219</v>
      </c>
      <c r="N80" s="19" t="s">
        <v>21</v>
      </c>
      <c r="O80" s="19" t="s">
        <v>28</v>
      </c>
      <c r="P80" s="19" t="s">
        <v>28</v>
      </c>
      <c r="Q80" s="19" t="s">
        <v>17</v>
      </c>
      <c r="R80" s="19" t="s">
        <v>28</v>
      </c>
      <c r="S80" s="372" t="s">
        <v>4385</v>
      </c>
      <c r="T80" s="11"/>
    </row>
    <row r="81" spans="7:20" ht="38">
      <c r="G81" s="68"/>
      <c r="H81" s="385"/>
      <c r="L81" s="24" t="s">
        <v>1225</v>
      </c>
      <c r="M81" s="66" t="s">
        <v>1226</v>
      </c>
      <c r="N81" s="19" t="s">
        <v>18</v>
      </c>
      <c r="O81" s="19" t="s">
        <v>18</v>
      </c>
      <c r="P81" s="19" t="s">
        <v>18</v>
      </c>
      <c r="Q81" s="19" t="s">
        <v>18</v>
      </c>
      <c r="R81" s="19" t="s">
        <v>18</v>
      </c>
      <c r="S81" s="372" t="s">
        <v>4386</v>
      </c>
      <c r="T81" s="11"/>
    </row>
    <row r="82" spans="7:20" ht="57">
      <c r="G82" s="68"/>
      <c r="H82" s="385"/>
      <c r="L82" s="24" t="s">
        <v>1232</v>
      </c>
      <c r="M82" s="374" t="s">
        <v>1233</v>
      </c>
      <c r="N82" s="19" t="s">
        <v>18</v>
      </c>
      <c r="O82" s="19" t="s">
        <v>18</v>
      </c>
      <c r="P82" s="19" t="s">
        <v>1567</v>
      </c>
      <c r="Q82" s="19" t="s">
        <v>1567</v>
      </c>
      <c r="R82" s="19" t="s">
        <v>1567</v>
      </c>
      <c r="S82" s="372" t="s">
        <v>4387</v>
      </c>
      <c r="T82" s="11"/>
    </row>
    <row r="83" spans="7:20" ht="38">
      <c r="G83" s="68"/>
      <c r="H83" s="385"/>
      <c r="L83" s="24" t="s">
        <v>1239</v>
      </c>
      <c r="M83" s="386" t="s">
        <v>2824</v>
      </c>
      <c r="N83" s="19" t="s">
        <v>18</v>
      </c>
      <c r="O83" s="19" t="s">
        <v>18</v>
      </c>
      <c r="P83" s="19" t="s">
        <v>18</v>
      </c>
      <c r="Q83" s="19" t="s">
        <v>18</v>
      </c>
      <c r="R83" s="19" t="s">
        <v>18</v>
      </c>
      <c r="S83" s="372" t="s">
        <v>4329</v>
      </c>
      <c r="T83" s="11"/>
    </row>
    <row r="84" spans="7:20" ht="38">
      <c r="G84" s="68"/>
      <c r="H84" s="385"/>
      <c r="L84" s="24" t="s">
        <v>1243</v>
      </c>
      <c r="M84" s="374" t="s">
        <v>1244</v>
      </c>
      <c r="N84" s="19" t="s">
        <v>18</v>
      </c>
      <c r="O84" s="19" t="s">
        <v>18</v>
      </c>
      <c r="P84" s="19" t="s">
        <v>18</v>
      </c>
      <c r="Q84" s="19" t="s">
        <v>18</v>
      </c>
      <c r="R84" s="19" t="s">
        <v>18</v>
      </c>
      <c r="S84" s="372" t="s">
        <v>4388</v>
      </c>
      <c r="T84" s="11"/>
    </row>
    <row r="85" spans="7:20" ht="38">
      <c r="G85" s="68"/>
      <c r="H85" s="385"/>
      <c r="L85" s="24" t="s">
        <v>1247</v>
      </c>
      <c r="M85" s="374" t="s">
        <v>1248</v>
      </c>
      <c r="N85" s="19" t="s">
        <v>22</v>
      </c>
      <c r="O85" s="19" t="s">
        <v>22</v>
      </c>
      <c r="P85" s="19" t="s">
        <v>22</v>
      </c>
      <c r="Q85" s="19" t="s">
        <v>22</v>
      </c>
      <c r="R85" s="19" t="s">
        <v>22</v>
      </c>
      <c r="S85" s="372" t="s">
        <v>4389</v>
      </c>
      <c r="T85" s="11"/>
    </row>
    <row r="86" spans="7:20" ht="19">
      <c r="G86" s="68"/>
      <c r="H86" s="385"/>
      <c r="L86" s="24" t="s">
        <v>1251</v>
      </c>
      <c r="M86" s="374" t="s">
        <v>1252</v>
      </c>
      <c r="N86" s="19" t="s">
        <v>1562</v>
      </c>
      <c r="O86" s="19" t="s">
        <v>1562</v>
      </c>
      <c r="P86" s="19" t="s">
        <v>18</v>
      </c>
      <c r="Q86" s="19" t="s">
        <v>18</v>
      </c>
      <c r="R86" s="19" t="s">
        <v>18</v>
      </c>
      <c r="S86" s="372" t="s">
        <v>4329</v>
      </c>
      <c r="T86" s="11"/>
    </row>
    <row r="87" spans="7:20" ht="19">
      <c r="G87" s="68"/>
      <c r="H87" s="385"/>
      <c r="L87" s="24" t="s">
        <v>1254</v>
      </c>
      <c r="M87" s="66" t="s">
        <v>659</v>
      </c>
      <c r="N87" s="19" t="s">
        <v>18</v>
      </c>
      <c r="O87" s="19" t="s">
        <v>18</v>
      </c>
      <c r="P87" s="19" t="s">
        <v>18</v>
      </c>
      <c r="Q87" s="19" t="s">
        <v>18</v>
      </c>
      <c r="R87" s="19" t="s">
        <v>18</v>
      </c>
      <c r="S87" s="372" t="s">
        <v>4329</v>
      </c>
      <c r="T87" s="11"/>
    </row>
    <row r="88" spans="7:20" ht="38">
      <c r="G88" s="68"/>
      <c r="H88" s="385"/>
      <c r="L88" s="24" t="s">
        <v>1255</v>
      </c>
      <c r="M88" s="66" t="s">
        <v>1256</v>
      </c>
      <c r="N88" s="19" t="s">
        <v>18</v>
      </c>
      <c r="O88" s="19" t="s">
        <v>1567</v>
      </c>
      <c r="P88" s="19" t="s">
        <v>1567</v>
      </c>
      <c r="Q88" s="19" t="s">
        <v>18</v>
      </c>
      <c r="R88" s="19" t="s">
        <v>18</v>
      </c>
      <c r="S88" s="372" t="s">
        <v>4390</v>
      </c>
      <c r="T88" s="11"/>
    </row>
    <row r="89" spans="7:20" ht="76">
      <c r="G89" s="68"/>
      <c r="H89" s="385"/>
      <c r="L89" s="24" t="s">
        <v>1257</v>
      </c>
      <c r="M89" s="375" t="s">
        <v>1258</v>
      </c>
      <c r="N89" s="19" t="s">
        <v>1567</v>
      </c>
      <c r="O89" s="19" t="s">
        <v>18</v>
      </c>
      <c r="P89" s="19" t="s">
        <v>21</v>
      </c>
      <c r="Q89" s="19" t="s">
        <v>21</v>
      </c>
      <c r="R89" s="19" t="s">
        <v>1567</v>
      </c>
      <c r="S89" s="372" t="s">
        <v>4391</v>
      </c>
      <c r="T89" s="11"/>
    </row>
    <row r="90" spans="7:20" ht="57">
      <c r="G90" s="68"/>
      <c r="H90" s="385"/>
      <c r="L90" s="24" t="s">
        <v>1260</v>
      </c>
      <c r="M90" s="375" t="s">
        <v>1261</v>
      </c>
      <c r="N90" s="19" t="s">
        <v>18</v>
      </c>
      <c r="O90" s="19" t="s">
        <v>21</v>
      </c>
      <c r="P90" s="19" t="s">
        <v>1567</v>
      </c>
      <c r="Q90" s="19" t="s">
        <v>18</v>
      </c>
      <c r="R90" s="19" t="s">
        <v>1567</v>
      </c>
      <c r="S90" s="372" t="s">
        <v>4392</v>
      </c>
      <c r="T90" s="11"/>
    </row>
    <row r="91" spans="7:20" ht="76">
      <c r="G91" s="68"/>
      <c r="H91" s="385"/>
      <c r="L91" s="24" t="s">
        <v>1264</v>
      </c>
      <c r="M91" s="66" t="s">
        <v>1265</v>
      </c>
      <c r="N91" s="19" t="s">
        <v>18</v>
      </c>
      <c r="O91" s="19" t="s">
        <v>18</v>
      </c>
      <c r="P91" s="19" t="s">
        <v>1567</v>
      </c>
      <c r="Q91" s="19" t="s">
        <v>18</v>
      </c>
      <c r="R91" s="19" t="s">
        <v>18</v>
      </c>
      <c r="S91" s="372" t="s">
        <v>4393</v>
      </c>
      <c r="T91" s="11"/>
    </row>
    <row r="92" spans="7:20" ht="57">
      <c r="G92" s="68"/>
      <c r="H92" s="385"/>
      <c r="L92" s="24" t="s">
        <v>583</v>
      </c>
      <c r="M92" s="375" t="s">
        <v>584</v>
      </c>
      <c r="N92" s="19" t="s">
        <v>1567</v>
      </c>
      <c r="O92" s="19" t="s">
        <v>21</v>
      </c>
      <c r="P92" s="19" t="s">
        <v>21</v>
      </c>
      <c r="Q92" s="19" t="s">
        <v>21</v>
      </c>
      <c r="R92" s="19" t="s">
        <v>21</v>
      </c>
      <c r="S92" s="372" t="s">
        <v>4394</v>
      </c>
      <c r="T92" s="11"/>
    </row>
  </sheetData>
  <mergeCells count="2">
    <mergeCell ref="L1:Y1"/>
    <mergeCell ref="A1:J1"/>
  </mergeCells>
  <phoneticPr fontId="89" type="noConversion"/>
  <dataValidations count="1">
    <dataValidation type="list" allowBlank="1" showInputMessage="1" showErrorMessage="1" sqref="N3:R92 C3:G73" xr:uid="{00000000-0002-0000-1C00-000000000000}">
      <formula1>"S,A+,A,B+,B,C+,C,D+,D,?,"</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乱评"/>
  <dimension ref="A1:F103"/>
  <sheetViews>
    <sheetView workbookViewId="0"/>
  </sheetViews>
  <sheetFormatPr baseColWidth="10" defaultColWidth="13.7109375" defaultRowHeight="18" customHeight="1"/>
  <cols>
    <col min="5" max="5" width="74.85546875" customWidth="1"/>
    <col min="6" max="6" width="54.42578125" customWidth="1"/>
  </cols>
  <sheetData>
    <row r="1" spans="1:6" ht="18" customHeight="1">
      <c r="A1" s="109" t="s">
        <v>4</v>
      </c>
      <c r="B1" s="387" t="str">
        <f>COUNTIF(B2:B103,"1")&amp;"/31"</f>
        <v>24/31</v>
      </c>
      <c r="C1" s="388" t="str">
        <f>COUNTIF(C2:C103,"1")&amp;"/6"</f>
        <v>19/6</v>
      </c>
      <c r="D1" s="109" t="s">
        <v>1554</v>
      </c>
      <c r="E1" s="389" t="s">
        <v>4395</v>
      </c>
      <c r="F1" t="s">
        <v>4396</v>
      </c>
    </row>
    <row r="2" spans="1:6" ht="18" customHeight="1">
      <c r="A2" s="109" t="s">
        <v>14</v>
      </c>
      <c r="B2" s="179"/>
      <c r="C2" s="179"/>
      <c r="D2" s="179"/>
      <c r="E2" s="181" t="s">
        <v>4397</v>
      </c>
    </row>
    <row r="3" spans="1:6" ht="18" customHeight="1">
      <c r="A3" s="109" t="s">
        <v>26</v>
      </c>
      <c r="B3" s="179"/>
      <c r="C3" s="179"/>
      <c r="D3" s="179"/>
      <c r="E3" s="181" t="s">
        <v>4398</v>
      </c>
    </row>
    <row r="4" spans="1:6" ht="18" customHeight="1">
      <c r="A4" s="109" t="s">
        <v>34</v>
      </c>
      <c r="B4" s="179"/>
      <c r="C4" s="179"/>
      <c r="D4" s="179"/>
      <c r="E4" s="181" t="s">
        <v>4399</v>
      </c>
    </row>
    <row r="5" spans="1:6" ht="18" customHeight="1">
      <c r="A5" s="109" t="s">
        <v>41</v>
      </c>
      <c r="B5" s="179"/>
      <c r="C5" s="179"/>
      <c r="D5" s="179"/>
      <c r="E5" s="181" t="s">
        <v>4400</v>
      </c>
    </row>
    <row r="6" spans="1:6" ht="18" customHeight="1">
      <c r="A6" s="109" t="s">
        <v>48</v>
      </c>
      <c r="B6" s="179"/>
      <c r="C6" s="179">
        <v>1</v>
      </c>
      <c r="D6" s="179"/>
      <c r="E6" s="181" t="s">
        <v>4401</v>
      </c>
    </row>
    <row r="7" spans="1:6" ht="18" customHeight="1">
      <c r="A7" s="109" t="s">
        <v>55</v>
      </c>
      <c r="B7" s="179"/>
      <c r="C7" s="179">
        <v>1</v>
      </c>
      <c r="D7" s="179"/>
      <c r="E7" s="181" t="s">
        <v>4401</v>
      </c>
    </row>
    <row r="8" spans="1:6" ht="18" customHeight="1">
      <c r="A8" s="109" t="s">
        <v>62</v>
      </c>
      <c r="B8" s="179"/>
      <c r="C8" s="179"/>
      <c r="D8" s="179"/>
      <c r="E8" s="181" t="s">
        <v>4402</v>
      </c>
    </row>
    <row r="9" spans="1:6" ht="18" customHeight="1">
      <c r="A9" s="109" t="s">
        <v>67</v>
      </c>
      <c r="B9" s="179"/>
      <c r="C9" s="179"/>
      <c r="D9" s="179"/>
      <c r="E9" s="181" t="s">
        <v>4403</v>
      </c>
    </row>
    <row r="10" spans="1:6" ht="18" customHeight="1">
      <c r="A10" s="109" t="s">
        <v>74</v>
      </c>
      <c r="B10" s="179"/>
      <c r="C10" s="179"/>
      <c r="D10" s="179"/>
      <c r="E10" s="181" t="s">
        <v>4404</v>
      </c>
    </row>
    <row r="11" spans="1:6" ht="18" customHeight="1">
      <c r="A11" s="109" t="s">
        <v>81</v>
      </c>
      <c r="B11" s="179">
        <v>1</v>
      </c>
      <c r="C11" s="179"/>
      <c r="D11" s="179">
        <v>1</v>
      </c>
      <c r="E11" s="181" t="s">
        <v>1554</v>
      </c>
    </row>
    <row r="12" spans="1:6" ht="18" customHeight="1">
      <c r="A12" s="109" t="s">
        <v>88</v>
      </c>
      <c r="B12" s="179"/>
      <c r="C12" s="179">
        <v>1</v>
      </c>
      <c r="D12" s="179"/>
      <c r="E12" s="181" t="s">
        <v>4401</v>
      </c>
    </row>
    <row r="13" spans="1:6" ht="18" customHeight="1">
      <c r="A13" s="109" t="s">
        <v>95</v>
      </c>
      <c r="B13" s="179"/>
      <c r="C13" s="179"/>
      <c r="D13" s="179"/>
      <c r="E13" s="181" t="s">
        <v>4405</v>
      </c>
    </row>
    <row r="14" spans="1:6" ht="18" customHeight="1">
      <c r="A14" s="109" t="s">
        <v>102</v>
      </c>
      <c r="B14" s="179"/>
      <c r="C14" s="179">
        <v>1</v>
      </c>
      <c r="D14" s="179"/>
      <c r="E14" s="181" t="s">
        <v>4401</v>
      </c>
    </row>
    <row r="15" spans="1:6" ht="18" customHeight="1">
      <c r="A15" s="109" t="s">
        <v>109</v>
      </c>
      <c r="B15" s="179"/>
      <c r="C15" s="179"/>
      <c r="D15" s="179"/>
      <c r="E15" s="181" t="s">
        <v>4406</v>
      </c>
    </row>
    <row r="16" spans="1:6" ht="18" customHeight="1">
      <c r="A16" s="109" t="s">
        <v>116</v>
      </c>
      <c r="B16" s="179"/>
      <c r="C16" s="179"/>
      <c r="D16" s="179">
        <v>1</v>
      </c>
      <c r="E16" s="181" t="s">
        <v>4400</v>
      </c>
    </row>
    <row r="17" spans="1:5" ht="18" customHeight="1">
      <c r="A17" s="109" t="s">
        <v>123</v>
      </c>
      <c r="B17" s="179"/>
      <c r="C17" s="179">
        <v>1</v>
      </c>
      <c r="D17" s="179"/>
      <c r="E17" s="181" t="s">
        <v>4401</v>
      </c>
    </row>
    <row r="18" spans="1:5" ht="18" customHeight="1">
      <c r="A18" s="109" t="s">
        <v>130</v>
      </c>
      <c r="B18" s="179">
        <v>1</v>
      </c>
      <c r="C18" s="179"/>
      <c r="D18" s="179"/>
      <c r="E18" s="181" t="s">
        <v>4406</v>
      </c>
    </row>
    <row r="19" spans="1:5" ht="18" customHeight="1">
      <c r="A19" s="109" t="s">
        <v>136</v>
      </c>
      <c r="B19" s="179"/>
      <c r="C19" s="179"/>
      <c r="D19" s="179"/>
      <c r="E19" s="181" t="s">
        <v>4406</v>
      </c>
    </row>
    <row r="20" spans="1:5" ht="18" customHeight="1">
      <c r="A20" s="109" t="s">
        <v>143</v>
      </c>
      <c r="B20" s="179"/>
      <c r="C20" s="179"/>
      <c r="D20" s="179"/>
      <c r="E20" s="181" t="s">
        <v>4400</v>
      </c>
    </row>
    <row r="21" spans="1:5" ht="18" customHeight="1">
      <c r="A21" s="109" t="s">
        <v>150</v>
      </c>
      <c r="B21" s="179"/>
      <c r="C21" s="179">
        <v>1</v>
      </c>
      <c r="D21" s="179"/>
      <c r="E21" s="181" t="s">
        <v>4401</v>
      </c>
    </row>
    <row r="22" spans="1:5" ht="18" customHeight="1">
      <c r="A22" s="109" t="s">
        <v>156</v>
      </c>
      <c r="B22" s="179"/>
      <c r="C22" s="179"/>
      <c r="D22" s="179"/>
      <c r="E22" s="181" t="s">
        <v>4407</v>
      </c>
    </row>
    <row r="23" spans="1:5" ht="18" customHeight="1">
      <c r="A23" s="109" t="s">
        <v>163</v>
      </c>
      <c r="B23" s="179"/>
      <c r="C23" s="179"/>
      <c r="D23" s="179"/>
      <c r="E23" s="181" t="s">
        <v>4399</v>
      </c>
    </row>
    <row r="24" spans="1:5" ht="18" customHeight="1">
      <c r="A24" s="109" t="s">
        <v>170</v>
      </c>
      <c r="B24" s="179"/>
      <c r="C24" s="179"/>
      <c r="D24" s="179"/>
      <c r="E24" s="181" t="s">
        <v>4408</v>
      </c>
    </row>
    <row r="25" spans="1:5" ht="18" customHeight="1">
      <c r="A25" s="109" t="s">
        <v>177</v>
      </c>
      <c r="B25" s="179">
        <v>1</v>
      </c>
      <c r="C25" s="179"/>
      <c r="D25" s="179"/>
      <c r="E25" s="181" t="s">
        <v>4398</v>
      </c>
    </row>
    <row r="26" spans="1:5" ht="18" customHeight="1">
      <c r="A26" s="109" t="s">
        <v>184</v>
      </c>
      <c r="B26" s="179"/>
      <c r="C26" s="179"/>
      <c r="D26" s="179"/>
      <c r="E26" s="181" t="s">
        <v>4409</v>
      </c>
    </row>
    <row r="27" spans="1:5" ht="18" customHeight="1">
      <c r="A27" s="109" t="s">
        <v>191</v>
      </c>
      <c r="B27" s="179"/>
      <c r="C27" s="179"/>
      <c r="D27" s="179"/>
      <c r="E27" s="181" t="s">
        <v>4406</v>
      </c>
    </row>
    <row r="28" spans="1:5" ht="18" customHeight="1">
      <c r="A28" s="109" t="s">
        <v>198</v>
      </c>
      <c r="B28" s="179">
        <v>1</v>
      </c>
      <c r="C28" s="179"/>
      <c r="D28" s="179"/>
      <c r="E28" s="181" t="s">
        <v>4406</v>
      </c>
    </row>
    <row r="29" spans="1:5" ht="18" customHeight="1">
      <c r="A29" s="109" t="s">
        <v>205</v>
      </c>
      <c r="B29" s="179"/>
      <c r="C29" s="179"/>
      <c r="D29" s="179"/>
      <c r="E29" s="181" t="s">
        <v>4406</v>
      </c>
    </row>
    <row r="30" spans="1:5" ht="18" customHeight="1">
      <c r="A30" s="109" t="s">
        <v>212</v>
      </c>
      <c r="B30" s="179"/>
      <c r="C30" s="179"/>
      <c r="D30" s="179"/>
      <c r="E30" s="181" t="s">
        <v>4406</v>
      </c>
    </row>
    <row r="31" spans="1:5" ht="18" customHeight="1">
      <c r="A31" s="109" t="s">
        <v>218</v>
      </c>
      <c r="B31" s="179">
        <v>1</v>
      </c>
      <c r="C31" s="179"/>
      <c r="D31" s="179"/>
      <c r="E31" s="181" t="s">
        <v>4398</v>
      </c>
    </row>
    <row r="32" spans="1:5" ht="18" customHeight="1">
      <c r="A32" s="109" t="s">
        <v>225</v>
      </c>
      <c r="B32" s="179">
        <v>1</v>
      </c>
      <c r="C32" s="179"/>
      <c r="D32" s="179"/>
      <c r="E32" s="181" t="s">
        <v>4410</v>
      </c>
    </row>
    <row r="33" spans="1:5" ht="18" customHeight="1">
      <c r="A33" s="109" t="s">
        <v>232</v>
      </c>
      <c r="B33" s="179"/>
      <c r="C33" s="179"/>
      <c r="D33" s="179">
        <v>1</v>
      </c>
      <c r="E33" s="181" t="s">
        <v>4411</v>
      </c>
    </row>
    <row r="34" spans="1:5" ht="18" customHeight="1">
      <c r="A34" s="109" t="s">
        <v>238</v>
      </c>
      <c r="B34" s="179"/>
      <c r="C34" s="179"/>
      <c r="D34" s="179"/>
      <c r="E34" s="181" t="s">
        <v>4399</v>
      </c>
    </row>
    <row r="35" spans="1:5" ht="18" customHeight="1">
      <c r="A35" s="109" t="s">
        <v>243</v>
      </c>
      <c r="B35" s="179"/>
      <c r="C35" s="179"/>
      <c r="D35" s="179"/>
      <c r="E35" s="181" t="s">
        <v>4398</v>
      </c>
    </row>
    <row r="36" spans="1:5" ht="18" customHeight="1">
      <c r="A36" s="109" t="s">
        <v>250</v>
      </c>
      <c r="B36" s="179">
        <v>1</v>
      </c>
      <c r="C36" s="179"/>
      <c r="D36" s="179"/>
      <c r="E36" s="181" t="s">
        <v>4398</v>
      </c>
    </row>
    <row r="37" spans="1:5" ht="18" customHeight="1">
      <c r="A37" s="109" t="s">
        <v>256</v>
      </c>
      <c r="B37" s="179"/>
      <c r="C37" s="179"/>
      <c r="D37" s="179"/>
      <c r="E37" s="181" t="s">
        <v>4412</v>
      </c>
    </row>
    <row r="38" spans="1:5" ht="18" customHeight="1">
      <c r="A38" s="109" t="s">
        <v>263</v>
      </c>
      <c r="B38" s="179">
        <v>1</v>
      </c>
      <c r="C38" s="179"/>
      <c r="D38" s="179"/>
      <c r="E38" s="181" t="s">
        <v>4413</v>
      </c>
    </row>
    <row r="39" spans="1:5" ht="18" customHeight="1">
      <c r="A39" s="109" t="s">
        <v>269</v>
      </c>
      <c r="B39" s="179"/>
      <c r="C39" s="179"/>
      <c r="D39" s="179">
        <v>1</v>
      </c>
      <c r="E39" s="181" t="s">
        <v>1554</v>
      </c>
    </row>
    <row r="40" spans="1:5" ht="18" customHeight="1">
      <c r="A40" s="109" t="s">
        <v>274</v>
      </c>
      <c r="B40" s="179"/>
      <c r="C40" s="179"/>
      <c r="D40" s="179"/>
      <c r="E40" s="181" t="s">
        <v>4414</v>
      </c>
    </row>
    <row r="41" spans="1:5" ht="18" customHeight="1">
      <c r="A41" s="109" t="s">
        <v>279</v>
      </c>
      <c r="B41" s="179"/>
      <c r="C41" s="179">
        <v>1</v>
      </c>
      <c r="D41" s="179"/>
      <c r="E41" s="181" t="s">
        <v>4401</v>
      </c>
    </row>
    <row r="42" spans="1:5" ht="18" customHeight="1">
      <c r="A42" s="109" t="s">
        <v>286</v>
      </c>
      <c r="B42" s="179"/>
      <c r="C42" s="179">
        <v>1</v>
      </c>
      <c r="D42" s="179"/>
      <c r="E42" s="181" t="s">
        <v>4401</v>
      </c>
    </row>
    <row r="43" spans="1:5">
      <c r="A43" s="109" t="s">
        <v>292</v>
      </c>
      <c r="B43" s="179"/>
      <c r="C43" s="179"/>
      <c r="D43" s="179">
        <v>1</v>
      </c>
      <c r="E43" s="181" t="s">
        <v>4415</v>
      </c>
    </row>
    <row r="44" spans="1:5">
      <c r="A44" s="109" t="s">
        <v>298</v>
      </c>
      <c r="B44" s="179"/>
      <c r="C44" s="179"/>
      <c r="D44" s="179"/>
      <c r="E44" s="181" t="s">
        <v>4406</v>
      </c>
    </row>
    <row r="45" spans="1:5">
      <c r="A45" s="109" t="s">
        <v>302</v>
      </c>
      <c r="B45" s="179">
        <v>1</v>
      </c>
      <c r="C45" s="179"/>
      <c r="D45" s="179"/>
      <c r="E45" s="181" t="s">
        <v>4398</v>
      </c>
    </row>
    <row r="46" spans="1:5">
      <c r="A46" s="109" t="s">
        <v>309</v>
      </c>
      <c r="B46" s="179"/>
      <c r="C46" s="179"/>
      <c r="D46" s="179"/>
      <c r="E46" s="181" t="s">
        <v>4416</v>
      </c>
    </row>
    <row r="47" spans="1:5">
      <c r="A47" s="109" t="s">
        <v>315</v>
      </c>
      <c r="B47" s="179"/>
      <c r="C47" s="179"/>
      <c r="D47" s="179"/>
      <c r="E47" s="181" t="s">
        <v>4417</v>
      </c>
    </row>
    <row r="48" spans="1:5">
      <c r="A48" s="109" t="s">
        <v>322</v>
      </c>
      <c r="B48" s="179">
        <v>1</v>
      </c>
      <c r="C48" s="179"/>
      <c r="D48" s="179"/>
      <c r="E48" s="181" t="s">
        <v>4398</v>
      </c>
    </row>
    <row r="49" spans="1:5">
      <c r="A49" s="109" t="s">
        <v>326</v>
      </c>
      <c r="B49" s="179">
        <v>1</v>
      </c>
      <c r="C49" s="179"/>
      <c r="D49" s="179"/>
      <c r="E49" s="181" t="s">
        <v>4398</v>
      </c>
    </row>
    <row r="50" spans="1:5">
      <c r="A50" s="109" t="s">
        <v>331</v>
      </c>
      <c r="B50" s="179"/>
      <c r="C50" s="179"/>
      <c r="D50" s="179"/>
      <c r="E50" s="181" t="s">
        <v>4398</v>
      </c>
    </row>
    <row r="51" spans="1:5">
      <c r="A51" s="109" t="s">
        <v>334</v>
      </c>
      <c r="B51" s="179">
        <v>1</v>
      </c>
      <c r="C51" s="179"/>
      <c r="D51" s="179"/>
      <c r="E51" s="181" t="s">
        <v>4418</v>
      </c>
    </row>
    <row r="52" spans="1:5">
      <c r="A52" s="109" t="s">
        <v>339</v>
      </c>
      <c r="B52" s="179"/>
      <c r="C52" s="179"/>
      <c r="D52" s="179"/>
      <c r="E52" s="181" t="s">
        <v>4398</v>
      </c>
    </row>
    <row r="53" spans="1:5">
      <c r="A53" s="109" t="s">
        <v>346</v>
      </c>
      <c r="B53" s="179"/>
      <c r="C53" s="179">
        <v>1</v>
      </c>
      <c r="D53" s="179"/>
      <c r="E53" s="181" t="s">
        <v>4401</v>
      </c>
    </row>
    <row r="54" spans="1:5">
      <c r="A54" s="109" t="s">
        <v>353</v>
      </c>
      <c r="B54" s="179"/>
      <c r="C54" s="179"/>
      <c r="D54" s="179">
        <v>1</v>
      </c>
      <c r="E54" s="181" t="s">
        <v>4413</v>
      </c>
    </row>
    <row r="55" spans="1:5">
      <c r="A55" s="109" t="s">
        <v>358</v>
      </c>
      <c r="B55" s="179">
        <v>1</v>
      </c>
      <c r="C55" s="179"/>
      <c r="D55" s="179"/>
      <c r="E55" s="181" t="s">
        <v>4419</v>
      </c>
    </row>
    <row r="56" spans="1:5">
      <c r="A56" s="109" t="s">
        <v>365</v>
      </c>
      <c r="C56" s="179"/>
      <c r="D56" s="179"/>
      <c r="E56" s="181" t="s">
        <v>4420</v>
      </c>
    </row>
    <row r="57" spans="1:5">
      <c r="A57" s="109" t="s">
        <v>371</v>
      </c>
      <c r="B57" s="179"/>
      <c r="C57" s="179"/>
      <c r="D57" s="179"/>
      <c r="E57" s="181" t="s">
        <v>4398</v>
      </c>
    </row>
    <row r="58" spans="1:5">
      <c r="A58" s="109" t="s">
        <v>376</v>
      </c>
      <c r="B58" s="179">
        <v>1</v>
      </c>
      <c r="C58" s="179"/>
      <c r="D58" s="179"/>
      <c r="E58" s="181" t="s">
        <v>4398</v>
      </c>
    </row>
    <row r="59" spans="1:5">
      <c r="A59" s="109" t="s">
        <v>382</v>
      </c>
      <c r="B59" s="179">
        <v>1</v>
      </c>
      <c r="C59" s="179"/>
      <c r="D59" s="179"/>
      <c r="E59" s="181" t="s">
        <v>4421</v>
      </c>
    </row>
    <row r="60" spans="1:5">
      <c r="A60" s="109" t="s">
        <v>387</v>
      </c>
      <c r="B60" s="179"/>
      <c r="C60" s="179"/>
      <c r="D60" s="179"/>
      <c r="E60" s="181" t="s">
        <v>4398</v>
      </c>
    </row>
    <row r="61" spans="1:5">
      <c r="A61" s="109" t="s">
        <v>393</v>
      </c>
      <c r="B61" s="179"/>
      <c r="C61" s="179">
        <v>1</v>
      </c>
      <c r="D61" s="179"/>
      <c r="E61" s="181" t="s">
        <v>4401</v>
      </c>
    </row>
    <row r="62" spans="1:5">
      <c r="A62" s="109" t="s">
        <v>399</v>
      </c>
      <c r="B62" s="179">
        <v>1</v>
      </c>
      <c r="C62" s="179"/>
      <c r="D62" s="179"/>
      <c r="E62" s="181" t="s">
        <v>4398</v>
      </c>
    </row>
    <row r="63" spans="1:5">
      <c r="A63" s="109" t="s">
        <v>404</v>
      </c>
      <c r="B63" s="179"/>
      <c r="C63" s="179"/>
      <c r="D63" s="179"/>
      <c r="E63" s="181" t="s">
        <v>4422</v>
      </c>
    </row>
    <row r="64" spans="1:5">
      <c r="A64" s="109" t="s">
        <v>409</v>
      </c>
      <c r="B64" s="179"/>
      <c r="C64" s="179">
        <v>1</v>
      </c>
      <c r="D64" s="179"/>
      <c r="E64" s="181" t="s">
        <v>4401</v>
      </c>
    </row>
    <row r="65" spans="1:5">
      <c r="A65" s="109" t="s">
        <v>413</v>
      </c>
      <c r="B65" s="179"/>
      <c r="C65" s="179">
        <v>1</v>
      </c>
      <c r="D65" s="179"/>
      <c r="E65" s="181" t="s">
        <v>4401</v>
      </c>
    </row>
    <row r="66" spans="1:5">
      <c r="A66" s="109" t="s">
        <v>416</v>
      </c>
      <c r="B66" s="179"/>
      <c r="C66" s="179"/>
      <c r="D66" s="179"/>
      <c r="E66" s="181" t="s">
        <v>4398</v>
      </c>
    </row>
    <row r="67" spans="1:5">
      <c r="A67" s="109" t="s">
        <v>421</v>
      </c>
      <c r="B67" s="179"/>
      <c r="C67" s="179"/>
      <c r="D67" s="179"/>
      <c r="E67" s="181" t="s">
        <v>4398</v>
      </c>
    </row>
    <row r="68" spans="1:5">
      <c r="A68" s="109" t="s">
        <v>426</v>
      </c>
      <c r="B68" s="179"/>
      <c r="C68" s="179"/>
      <c r="D68" s="179"/>
      <c r="E68" s="181" t="s">
        <v>4423</v>
      </c>
    </row>
    <row r="69" spans="1:5">
      <c r="A69" s="109" t="s">
        <v>432</v>
      </c>
      <c r="B69" s="179"/>
      <c r="C69" s="179">
        <v>1</v>
      </c>
      <c r="D69" s="179"/>
      <c r="E69" s="181" t="s">
        <v>4401</v>
      </c>
    </row>
    <row r="70" spans="1:5">
      <c r="A70" s="109" t="s">
        <v>435</v>
      </c>
      <c r="B70" s="179"/>
      <c r="C70" s="179"/>
      <c r="D70" s="179"/>
      <c r="E70" s="181" t="s">
        <v>4424</v>
      </c>
    </row>
    <row r="71" spans="1:5">
      <c r="A71" s="109" t="s">
        <v>442</v>
      </c>
      <c r="B71" s="179"/>
      <c r="C71" s="179">
        <v>1</v>
      </c>
      <c r="D71" s="179"/>
      <c r="E71" s="181" t="s">
        <v>4401</v>
      </c>
    </row>
    <row r="72" spans="1:5">
      <c r="A72" s="109" t="s">
        <v>447</v>
      </c>
      <c r="B72" s="179">
        <v>1</v>
      </c>
      <c r="C72" s="179"/>
      <c r="D72" s="179"/>
      <c r="E72" s="181" t="s">
        <v>4398</v>
      </c>
    </row>
    <row r="73" spans="1:5">
      <c r="A73" s="109" t="s">
        <v>451</v>
      </c>
      <c r="B73" s="179">
        <v>1</v>
      </c>
      <c r="C73" s="179"/>
      <c r="D73" s="179"/>
      <c r="E73" s="181" t="s">
        <v>4425</v>
      </c>
    </row>
    <row r="74" spans="1:5">
      <c r="A74" s="109" t="s">
        <v>455</v>
      </c>
      <c r="B74" s="179"/>
      <c r="C74" s="179"/>
      <c r="D74" s="179">
        <v>1</v>
      </c>
      <c r="E74" s="181" t="s">
        <v>4426</v>
      </c>
    </row>
    <row r="75" spans="1:5">
      <c r="A75" s="109" t="s">
        <v>461</v>
      </c>
      <c r="B75" s="179"/>
      <c r="C75" s="179">
        <v>1</v>
      </c>
      <c r="D75" s="179"/>
      <c r="E75" s="181" t="s">
        <v>4401</v>
      </c>
    </row>
    <row r="76" spans="1:5">
      <c r="A76" s="109" t="s">
        <v>467</v>
      </c>
      <c r="B76" s="179">
        <v>1</v>
      </c>
      <c r="C76" s="179"/>
      <c r="D76" s="179"/>
      <c r="E76" s="181" t="s">
        <v>4398</v>
      </c>
    </row>
    <row r="77" spans="1:5">
      <c r="A77" s="109" t="s">
        <v>472</v>
      </c>
      <c r="B77" s="179"/>
      <c r="C77" s="179"/>
      <c r="D77" s="179"/>
      <c r="E77" s="181" t="s">
        <v>4427</v>
      </c>
    </row>
    <row r="78" spans="1:5">
      <c r="A78" s="109" t="s">
        <v>475</v>
      </c>
      <c r="B78" s="179"/>
      <c r="C78" s="179"/>
      <c r="D78" s="179">
        <v>1</v>
      </c>
      <c r="E78" s="181" t="s">
        <v>4398</v>
      </c>
    </row>
    <row r="79" spans="1:5">
      <c r="A79" s="109" t="s">
        <v>478</v>
      </c>
      <c r="B79" s="179"/>
      <c r="C79" s="179">
        <v>1</v>
      </c>
      <c r="D79" s="179"/>
      <c r="E79" s="181" t="s">
        <v>4401</v>
      </c>
    </row>
    <row r="80" spans="1:5">
      <c r="A80" s="109" t="s">
        <v>483</v>
      </c>
      <c r="B80" s="179"/>
      <c r="C80" s="179"/>
      <c r="D80" s="179">
        <v>1</v>
      </c>
      <c r="E80" s="181" t="s">
        <v>4398</v>
      </c>
    </row>
    <row r="81" spans="1:5">
      <c r="A81" s="109" t="s">
        <v>488</v>
      </c>
      <c r="B81" s="179"/>
      <c r="C81" s="179"/>
      <c r="D81" s="179"/>
      <c r="E81" s="181" t="s">
        <v>4398</v>
      </c>
    </row>
    <row r="82" spans="1:5">
      <c r="A82" s="109" t="s">
        <v>494</v>
      </c>
      <c r="B82" s="179"/>
      <c r="C82" s="179"/>
      <c r="D82" s="179"/>
      <c r="E82" s="181" t="s">
        <v>4398</v>
      </c>
    </row>
    <row r="83" spans="1:5">
      <c r="A83" s="109" t="s">
        <v>500</v>
      </c>
      <c r="B83" s="179"/>
      <c r="C83" s="179"/>
      <c r="D83" s="179"/>
      <c r="E83" s="181" t="s">
        <v>4428</v>
      </c>
    </row>
    <row r="84" spans="1:5">
      <c r="A84" s="109" t="s">
        <v>505</v>
      </c>
      <c r="B84" s="179"/>
      <c r="C84" s="179"/>
      <c r="D84" s="179"/>
      <c r="E84" s="181" t="s">
        <v>4398</v>
      </c>
    </row>
    <row r="85" spans="1:5">
      <c r="A85" s="109" t="s">
        <v>509</v>
      </c>
      <c r="B85" s="179"/>
      <c r="C85" s="179"/>
      <c r="D85" s="179"/>
      <c r="E85" s="181" t="s">
        <v>4429</v>
      </c>
    </row>
    <row r="86" spans="1:5">
      <c r="A86" s="109" t="s">
        <v>510</v>
      </c>
      <c r="B86" s="179"/>
      <c r="C86" s="179"/>
      <c r="D86" s="179"/>
      <c r="E86" s="181" t="s">
        <v>4427</v>
      </c>
    </row>
    <row r="87" spans="1:5">
      <c r="A87" s="109" t="s">
        <v>517</v>
      </c>
      <c r="B87" s="179">
        <v>1</v>
      </c>
      <c r="C87" s="179"/>
      <c r="D87" s="179"/>
      <c r="E87" s="181" t="s">
        <v>4419</v>
      </c>
    </row>
    <row r="88" spans="1:5">
      <c r="A88" s="109" t="s">
        <v>523</v>
      </c>
      <c r="B88" s="179"/>
      <c r="C88" s="179">
        <v>1</v>
      </c>
      <c r="D88" s="179"/>
      <c r="E88" s="181" t="s">
        <v>4401</v>
      </c>
    </row>
    <row r="89" spans="1:5">
      <c r="A89" s="109" t="s">
        <v>529</v>
      </c>
      <c r="B89" s="179"/>
      <c r="C89" s="179">
        <v>1</v>
      </c>
      <c r="D89" s="179"/>
      <c r="E89" s="181" t="s">
        <v>4401</v>
      </c>
    </row>
    <row r="90" spans="1:5">
      <c r="A90" s="109" t="s">
        <v>534</v>
      </c>
      <c r="B90" s="179"/>
      <c r="C90" s="179"/>
      <c r="D90" s="179"/>
      <c r="E90" s="181" t="s">
        <v>4398</v>
      </c>
    </row>
    <row r="91" spans="1:5">
      <c r="A91" s="109" t="s">
        <v>541</v>
      </c>
      <c r="B91" s="179"/>
      <c r="C91" s="179"/>
      <c r="D91" s="179">
        <v>1</v>
      </c>
      <c r="E91" s="181" t="s">
        <v>4398</v>
      </c>
    </row>
    <row r="92" spans="1:5">
      <c r="A92" s="109" t="s">
        <v>548</v>
      </c>
      <c r="B92" s="179">
        <v>1</v>
      </c>
      <c r="C92" s="179"/>
      <c r="D92" s="179"/>
      <c r="E92" s="181" t="s">
        <v>4430</v>
      </c>
    </row>
    <row r="93" spans="1:5">
      <c r="A93" s="109" t="s">
        <v>553</v>
      </c>
      <c r="B93" s="179"/>
      <c r="C93" s="179"/>
      <c r="D93" s="179"/>
      <c r="E93" s="181" t="s">
        <v>4398</v>
      </c>
    </row>
    <row r="94" spans="1:5">
      <c r="A94" s="109" t="s">
        <v>559</v>
      </c>
      <c r="B94" s="179"/>
      <c r="C94" s="179"/>
      <c r="D94" s="179"/>
      <c r="E94" s="181" t="s">
        <v>4431</v>
      </c>
    </row>
    <row r="95" spans="1:5">
      <c r="A95" s="109" t="s">
        <v>565</v>
      </c>
      <c r="B95" s="179">
        <v>1</v>
      </c>
      <c r="C95" s="179"/>
      <c r="D95" s="179"/>
      <c r="E95" s="181" t="s">
        <v>4432</v>
      </c>
    </row>
    <row r="96" spans="1:5">
      <c r="A96" s="109" t="s">
        <v>571</v>
      </c>
      <c r="B96" s="179"/>
      <c r="C96" s="179"/>
      <c r="D96" s="179"/>
      <c r="E96" s="181" t="s">
        <v>4399</v>
      </c>
    </row>
    <row r="97" spans="1:5">
      <c r="A97" s="109" t="s">
        <v>578</v>
      </c>
      <c r="B97" s="179"/>
      <c r="C97" s="179"/>
      <c r="D97" s="179"/>
      <c r="E97" s="181" t="s">
        <v>4406</v>
      </c>
    </row>
    <row r="98" spans="1:5">
      <c r="A98" s="109" t="s">
        <v>585</v>
      </c>
      <c r="B98" s="179"/>
      <c r="C98" s="179">
        <v>1</v>
      </c>
      <c r="D98" s="179"/>
      <c r="E98" s="181" t="s">
        <v>4401</v>
      </c>
    </row>
    <row r="99" spans="1:5">
      <c r="A99" s="109" t="s">
        <v>590</v>
      </c>
      <c r="B99" s="179">
        <v>1</v>
      </c>
      <c r="C99" s="179"/>
      <c r="D99" s="179"/>
      <c r="E99" s="181" t="s">
        <v>4398</v>
      </c>
    </row>
    <row r="100" spans="1:5">
      <c r="A100" s="109" t="s">
        <v>595</v>
      </c>
      <c r="B100" s="179"/>
      <c r="C100" s="179"/>
      <c r="D100" s="179">
        <v>1</v>
      </c>
      <c r="E100" s="181" t="s">
        <v>4433</v>
      </c>
    </row>
    <row r="101" spans="1:5">
      <c r="A101" s="109" t="s">
        <v>602</v>
      </c>
      <c r="B101" s="179"/>
      <c r="C101" s="179"/>
      <c r="D101" s="179"/>
      <c r="E101" s="181" t="s">
        <v>4433</v>
      </c>
    </row>
    <row r="102" spans="1:5">
      <c r="A102" s="109" t="s">
        <v>607</v>
      </c>
      <c r="B102" s="179">
        <v>1</v>
      </c>
      <c r="C102" s="179"/>
      <c r="D102" s="179"/>
      <c r="E102" s="181" t="s">
        <v>4398</v>
      </c>
    </row>
    <row r="103" spans="1:5">
      <c r="A103" s="109" t="s">
        <v>613</v>
      </c>
      <c r="B103" s="179"/>
      <c r="C103" s="179"/>
      <c r="D103" s="179"/>
      <c r="E103" s="181" t="s">
        <v>4398</v>
      </c>
    </row>
  </sheetData>
  <phoneticPr fontId="89"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李逵乱评- SF"/>
  <dimension ref="A1:J48"/>
  <sheetViews>
    <sheetView workbookViewId="0"/>
  </sheetViews>
  <sheetFormatPr baseColWidth="10" defaultColWidth="13.7109375" defaultRowHeight="18" customHeight="1"/>
  <cols>
    <col min="8" max="8" width="70.42578125" customWidth="1"/>
    <col min="9" max="9" width="46" customWidth="1"/>
  </cols>
  <sheetData>
    <row r="1" spans="1:9">
      <c r="A1" s="549" t="s">
        <v>1253</v>
      </c>
      <c r="B1" s="571"/>
      <c r="C1" s="571"/>
      <c r="D1" s="571"/>
      <c r="E1" s="571"/>
      <c r="F1" s="571"/>
      <c r="G1" s="571"/>
      <c r="H1" s="549"/>
      <c r="I1" s="571"/>
    </row>
    <row r="2" spans="1:9">
      <c r="A2" s="24" t="s">
        <v>4</v>
      </c>
      <c r="B2" s="94" t="s">
        <v>5</v>
      </c>
      <c r="C2" s="11" t="s">
        <v>6</v>
      </c>
      <c r="D2" s="11" t="s">
        <v>7</v>
      </c>
      <c r="E2" s="11" t="s">
        <v>8</v>
      </c>
      <c r="F2" s="11" t="s">
        <v>9</v>
      </c>
      <c r="G2" s="11" t="s">
        <v>10</v>
      </c>
      <c r="H2" s="11" t="s">
        <v>11</v>
      </c>
      <c r="I2" s="11" t="s">
        <v>12</v>
      </c>
    </row>
    <row r="3" spans="1:9">
      <c r="A3" s="24" t="s">
        <v>1259</v>
      </c>
      <c r="B3" s="24" t="s">
        <v>1201</v>
      </c>
      <c r="C3" s="19" t="s">
        <v>21</v>
      </c>
      <c r="D3" s="19" t="s">
        <v>1567</v>
      </c>
      <c r="E3" s="19" t="s">
        <v>28</v>
      </c>
      <c r="F3" s="19" t="s">
        <v>28</v>
      </c>
      <c r="G3" s="19" t="s">
        <v>21</v>
      </c>
      <c r="H3" s="11" t="s">
        <v>4434</v>
      </c>
      <c r="I3" s="11"/>
    </row>
    <row r="4" spans="1:9">
      <c r="A4" s="24" t="s">
        <v>1262</v>
      </c>
      <c r="B4" s="24" t="s">
        <v>1263</v>
      </c>
      <c r="C4" s="19" t="s">
        <v>1562</v>
      </c>
      <c r="D4" s="19" t="s">
        <v>18</v>
      </c>
      <c r="E4" s="19" t="s">
        <v>1567</v>
      </c>
      <c r="F4" s="19" t="s">
        <v>21</v>
      </c>
      <c r="G4" s="19" t="s">
        <v>18</v>
      </c>
      <c r="H4" s="11" t="s">
        <v>4435</v>
      </c>
      <c r="I4" s="11"/>
    </row>
    <row r="5" spans="1:9">
      <c r="A5" s="24" t="s">
        <v>1266</v>
      </c>
      <c r="B5" s="130" t="s">
        <v>1267</v>
      </c>
      <c r="C5" s="19" t="s">
        <v>18</v>
      </c>
      <c r="D5" s="19" t="s">
        <v>21</v>
      </c>
      <c r="E5" s="19" t="s">
        <v>1562</v>
      </c>
      <c r="F5" s="19" t="s">
        <v>28</v>
      </c>
      <c r="G5" s="19" t="s">
        <v>1574</v>
      </c>
      <c r="H5" s="11" t="s">
        <v>4436</v>
      </c>
      <c r="I5" s="11"/>
    </row>
    <row r="6" spans="1:9">
      <c r="A6" s="24" t="s">
        <v>1268</v>
      </c>
      <c r="B6" s="24" t="s">
        <v>1269</v>
      </c>
      <c r="C6" s="19" t="s">
        <v>21</v>
      </c>
      <c r="D6" s="19" t="s">
        <v>21</v>
      </c>
      <c r="E6" s="19" t="s">
        <v>28</v>
      </c>
      <c r="F6" s="19" t="s">
        <v>17</v>
      </c>
      <c r="G6" s="19" t="s">
        <v>21</v>
      </c>
      <c r="H6" s="11" t="s">
        <v>4437</v>
      </c>
      <c r="I6" s="11"/>
    </row>
    <row r="7" spans="1:9">
      <c r="A7" s="24" t="s">
        <v>1271</v>
      </c>
      <c r="B7" s="24" t="s">
        <v>1272</v>
      </c>
      <c r="C7" s="19" t="s">
        <v>21</v>
      </c>
      <c r="D7" s="19" t="s">
        <v>1567</v>
      </c>
      <c r="E7" s="19" t="s">
        <v>18</v>
      </c>
      <c r="F7" s="19" t="s">
        <v>21</v>
      </c>
      <c r="G7" s="19" t="s">
        <v>1567</v>
      </c>
      <c r="H7" s="11" t="s">
        <v>4438</v>
      </c>
      <c r="I7" s="11"/>
    </row>
    <row r="8" spans="1:9">
      <c r="A8" s="24" t="s">
        <v>1273</v>
      </c>
      <c r="B8" s="130" t="s">
        <v>1274</v>
      </c>
      <c r="C8" s="19" t="s">
        <v>1567</v>
      </c>
      <c r="D8" s="19" t="s">
        <v>21</v>
      </c>
      <c r="E8" s="19" t="s">
        <v>18</v>
      </c>
      <c r="F8" s="19" t="s">
        <v>28</v>
      </c>
      <c r="G8" s="19" t="s">
        <v>1567</v>
      </c>
      <c r="H8" s="11" t="s">
        <v>4439</v>
      </c>
      <c r="I8" s="11"/>
    </row>
    <row r="9" spans="1:9">
      <c r="A9" s="24" t="s">
        <v>1275</v>
      </c>
      <c r="B9" s="24" t="s">
        <v>939</v>
      </c>
      <c r="C9" s="19" t="s">
        <v>21</v>
      </c>
      <c r="D9" s="19" t="s">
        <v>1567</v>
      </c>
      <c r="E9" s="19" t="s">
        <v>21</v>
      </c>
      <c r="F9" s="19" t="s">
        <v>17</v>
      </c>
      <c r="G9" s="19" t="s">
        <v>21</v>
      </c>
      <c r="H9" s="11" t="s">
        <v>4440</v>
      </c>
      <c r="I9" s="11"/>
    </row>
    <row r="10" spans="1:9">
      <c r="A10" s="24" t="s">
        <v>1278</v>
      </c>
      <c r="B10" s="24" t="s">
        <v>1279</v>
      </c>
      <c r="C10" s="19" t="s">
        <v>21</v>
      </c>
      <c r="D10" s="19" t="s">
        <v>28</v>
      </c>
      <c r="E10" s="19" t="s">
        <v>1567</v>
      </c>
      <c r="F10" s="19" t="s">
        <v>28</v>
      </c>
      <c r="G10" s="19" t="s">
        <v>21</v>
      </c>
      <c r="H10" s="11" t="s">
        <v>4441</v>
      </c>
      <c r="I10" s="11"/>
    </row>
    <row r="11" spans="1:9">
      <c r="A11" s="24" t="s">
        <v>1282</v>
      </c>
      <c r="B11" s="24" t="s">
        <v>1283</v>
      </c>
      <c r="C11" s="19" t="s">
        <v>28</v>
      </c>
      <c r="D11" s="19" t="s">
        <v>1567</v>
      </c>
      <c r="E11" s="19" t="s">
        <v>28</v>
      </c>
      <c r="F11" s="19" t="s">
        <v>17</v>
      </c>
      <c r="G11" s="19" t="s">
        <v>28</v>
      </c>
      <c r="H11" s="11" t="s">
        <v>4442</v>
      </c>
      <c r="I11" s="11"/>
    </row>
    <row r="12" spans="1:9">
      <c r="A12" s="24" t="s">
        <v>1284</v>
      </c>
      <c r="B12" s="24" t="s">
        <v>1285</v>
      </c>
      <c r="C12" s="19" t="s">
        <v>1562</v>
      </c>
      <c r="D12" s="19" t="s">
        <v>1567</v>
      </c>
      <c r="E12" s="19" t="s">
        <v>18</v>
      </c>
      <c r="F12" s="19" t="s">
        <v>18</v>
      </c>
      <c r="G12" s="19" t="s">
        <v>1562</v>
      </c>
      <c r="H12" s="11" t="s">
        <v>4443</v>
      </c>
      <c r="I12" s="11"/>
    </row>
    <row r="13" spans="1:9">
      <c r="A13" s="24" t="s">
        <v>1288</v>
      </c>
      <c r="B13" s="130" t="s">
        <v>1129</v>
      </c>
      <c r="C13" s="19" t="s">
        <v>21</v>
      </c>
      <c r="D13" s="19" t="s">
        <v>1567</v>
      </c>
      <c r="E13" s="19" t="s">
        <v>1567</v>
      </c>
      <c r="F13" s="19" t="s">
        <v>28</v>
      </c>
      <c r="G13" s="19" t="s">
        <v>28</v>
      </c>
      <c r="H13" s="11" t="s">
        <v>4444</v>
      </c>
      <c r="I13" s="11" t="s">
        <v>4445</v>
      </c>
    </row>
    <row r="14" spans="1:9">
      <c r="A14" s="24" t="s">
        <v>1290</v>
      </c>
      <c r="B14" s="130" t="s">
        <v>1158</v>
      </c>
      <c r="C14" s="19" t="s">
        <v>1567</v>
      </c>
      <c r="D14" s="19" t="s">
        <v>21</v>
      </c>
      <c r="E14" s="19" t="s">
        <v>21</v>
      </c>
      <c r="F14" s="19" t="s">
        <v>28</v>
      </c>
      <c r="G14" s="19" t="s">
        <v>21</v>
      </c>
      <c r="H14" s="11" t="s">
        <v>2943</v>
      </c>
      <c r="I14" s="11"/>
    </row>
    <row r="15" spans="1:9">
      <c r="A15" s="24" t="s">
        <v>1292</v>
      </c>
      <c r="B15" s="130" t="s">
        <v>1293</v>
      </c>
      <c r="C15" s="19" t="s">
        <v>28</v>
      </c>
      <c r="D15" s="19" t="s">
        <v>21</v>
      </c>
      <c r="E15" s="19" t="s">
        <v>1567</v>
      </c>
      <c r="F15" s="19" t="s">
        <v>21</v>
      </c>
      <c r="G15" s="19" t="s">
        <v>21</v>
      </c>
      <c r="H15" s="11" t="s">
        <v>4446</v>
      </c>
      <c r="I15" s="11"/>
    </row>
    <row r="16" spans="1:9">
      <c r="A16" s="24" t="s">
        <v>1294</v>
      </c>
      <c r="B16" s="130" t="s">
        <v>1295</v>
      </c>
      <c r="C16" s="19" t="s">
        <v>28</v>
      </c>
      <c r="D16" s="19" t="s">
        <v>21</v>
      </c>
      <c r="E16" s="19" t="s">
        <v>21</v>
      </c>
      <c r="F16" s="19" t="s">
        <v>28</v>
      </c>
      <c r="G16" s="19" t="s">
        <v>28</v>
      </c>
      <c r="H16" s="11" t="s">
        <v>4447</v>
      </c>
      <c r="I16" s="11"/>
    </row>
    <row r="17" spans="1:9">
      <c r="A17" s="24" t="s">
        <v>1297</v>
      </c>
      <c r="B17" s="24" t="s">
        <v>1298</v>
      </c>
      <c r="C17" s="19" t="s">
        <v>21</v>
      </c>
      <c r="D17" s="19" t="s">
        <v>18</v>
      </c>
      <c r="E17" s="19" t="s">
        <v>21</v>
      </c>
      <c r="F17" s="19" t="s">
        <v>22</v>
      </c>
      <c r="G17" s="19" t="s">
        <v>22</v>
      </c>
      <c r="H17" s="11" t="s">
        <v>4448</v>
      </c>
      <c r="I17" s="11"/>
    </row>
    <row r="18" spans="1:9">
      <c r="A18" s="24" t="s">
        <v>1301</v>
      </c>
      <c r="B18" s="24" t="s">
        <v>1302</v>
      </c>
      <c r="C18" s="19" t="s">
        <v>18</v>
      </c>
      <c r="D18" s="19" t="s">
        <v>1567</v>
      </c>
      <c r="E18" s="19" t="s">
        <v>18</v>
      </c>
      <c r="F18" s="19" t="s">
        <v>1562</v>
      </c>
      <c r="G18" s="19" t="s">
        <v>22</v>
      </c>
      <c r="H18" s="11" t="s">
        <v>4449</v>
      </c>
      <c r="I18" s="11"/>
    </row>
    <row r="19" spans="1:9" ht="38">
      <c r="A19" s="24" t="s">
        <v>1305</v>
      </c>
      <c r="B19" s="24" t="s">
        <v>1306</v>
      </c>
      <c r="C19" s="19" t="s">
        <v>18</v>
      </c>
      <c r="D19" s="19" t="s">
        <v>18</v>
      </c>
      <c r="E19" s="19" t="s">
        <v>18</v>
      </c>
      <c r="F19" s="19" t="s">
        <v>18</v>
      </c>
      <c r="G19" s="19" t="s">
        <v>22</v>
      </c>
      <c r="H19" s="91" t="s">
        <v>4450</v>
      </c>
      <c r="I19" s="11"/>
    </row>
    <row r="20" spans="1:9">
      <c r="A20" s="24" t="s">
        <v>1307</v>
      </c>
      <c r="B20" s="24" t="s">
        <v>1308</v>
      </c>
      <c r="C20" s="19" t="s">
        <v>18</v>
      </c>
      <c r="D20" s="19" t="s">
        <v>1567</v>
      </c>
      <c r="E20" s="19" t="s">
        <v>21</v>
      </c>
      <c r="F20" s="19" t="s">
        <v>28</v>
      </c>
      <c r="G20" s="19" t="s">
        <v>21</v>
      </c>
      <c r="H20" s="11" t="s">
        <v>4451</v>
      </c>
      <c r="I20" s="11"/>
    </row>
    <row r="21" spans="1:9" ht="19.5" customHeight="1">
      <c r="A21" s="24" t="s">
        <v>1310</v>
      </c>
      <c r="B21" s="24" t="s">
        <v>1085</v>
      </c>
      <c r="C21" s="19" t="s">
        <v>28</v>
      </c>
      <c r="D21" s="19" t="s">
        <v>21</v>
      </c>
      <c r="E21" s="19" t="s">
        <v>28</v>
      </c>
      <c r="F21" s="19" t="s">
        <v>17</v>
      </c>
      <c r="G21" s="19" t="s">
        <v>28</v>
      </c>
      <c r="H21" s="11" t="s">
        <v>4452</v>
      </c>
      <c r="I21" s="11"/>
    </row>
    <row r="22" spans="1:9">
      <c r="A22" s="24" t="s">
        <v>1313</v>
      </c>
      <c r="B22" s="24" t="s">
        <v>1314</v>
      </c>
      <c r="C22" s="19" t="s">
        <v>21</v>
      </c>
      <c r="D22" s="19" t="s">
        <v>21</v>
      </c>
      <c r="E22" s="19" t="s">
        <v>28</v>
      </c>
      <c r="F22" s="19" t="s">
        <v>28</v>
      </c>
      <c r="G22" s="19" t="s">
        <v>28</v>
      </c>
      <c r="H22" s="11" t="s">
        <v>4453</v>
      </c>
      <c r="I22" s="11"/>
    </row>
    <row r="23" spans="1:9">
      <c r="A23" s="24" t="s">
        <v>1315</v>
      </c>
      <c r="B23" s="24" t="s">
        <v>1316</v>
      </c>
      <c r="C23" s="19" t="s">
        <v>18</v>
      </c>
      <c r="D23" s="19" t="s">
        <v>1567</v>
      </c>
      <c r="E23" s="19" t="s">
        <v>18</v>
      </c>
      <c r="F23" s="19" t="s">
        <v>28</v>
      </c>
      <c r="G23" s="19" t="s">
        <v>1567</v>
      </c>
      <c r="H23" s="11" t="s">
        <v>4454</v>
      </c>
      <c r="I23" s="11"/>
    </row>
    <row r="24" spans="1:9">
      <c r="A24" s="24" t="s">
        <v>1319</v>
      </c>
      <c r="B24" s="24" t="s">
        <v>1320</v>
      </c>
      <c r="C24" s="19" t="s">
        <v>21</v>
      </c>
      <c r="D24" s="19" t="s">
        <v>1567</v>
      </c>
      <c r="E24" s="19" t="s">
        <v>21</v>
      </c>
      <c r="F24" s="19" t="s">
        <v>28</v>
      </c>
      <c r="G24" s="19" t="s">
        <v>21</v>
      </c>
      <c r="H24" s="11" t="s">
        <v>4455</v>
      </c>
      <c r="I24" s="11"/>
    </row>
    <row r="25" spans="1:9">
      <c r="A25" s="24" t="s">
        <v>1324</v>
      </c>
      <c r="B25" s="130" t="s">
        <v>1091</v>
      </c>
      <c r="C25" s="19" t="s">
        <v>28</v>
      </c>
      <c r="D25" s="19" t="s">
        <v>28</v>
      </c>
      <c r="E25" s="19" t="s">
        <v>28</v>
      </c>
      <c r="F25" s="19" t="s">
        <v>17</v>
      </c>
      <c r="G25" s="19" t="s">
        <v>28</v>
      </c>
      <c r="H25" s="11" t="s">
        <v>4456</v>
      </c>
      <c r="I25" s="11"/>
    </row>
    <row r="26" spans="1:9">
      <c r="A26" s="24" t="s">
        <v>1327</v>
      </c>
      <c r="B26" s="24" t="s">
        <v>726</v>
      </c>
      <c r="C26" s="19" t="s">
        <v>17</v>
      </c>
      <c r="D26" s="19" t="s">
        <v>28</v>
      </c>
      <c r="E26" s="19" t="s">
        <v>17</v>
      </c>
      <c r="F26" s="19" t="s">
        <v>17</v>
      </c>
      <c r="G26" s="19" t="s">
        <v>17</v>
      </c>
      <c r="H26" s="11" t="s">
        <v>4457</v>
      </c>
      <c r="I26" s="11"/>
    </row>
    <row r="27" spans="1:9">
      <c r="A27" s="24" t="s">
        <v>1330</v>
      </c>
      <c r="B27" s="24" t="s">
        <v>1102</v>
      </c>
      <c r="C27" s="19" t="s">
        <v>28</v>
      </c>
      <c r="D27" s="19" t="s">
        <v>21</v>
      </c>
      <c r="E27" s="19" t="s">
        <v>28</v>
      </c>
      <c r="F27" s="19" t="s">
        <v>28</v>
      </c>
      <c r="G27" s="19" t="s">
        <v>28</v>
      </c>
      <c r="H27" s="11" t="s">
        <v>4458</v>
      </c>
      <c r="I27" s="11"/>
    </row>
    <row r="28" spans="1:9">
      <c r="A28" s="24" t="s">
        <v>1331</v>
      </c>
      <c r="B28" s="24" t="s">
        <v>1332</v>
      </c>
      <c r="C28" s="19" t="s">
        <v>28</v>
      </c>
      <c r="D28" s="19" t="s">
        <v>28</v>
      </c>
      <c r="E28" s="19" t="s">
        <v>28</v>
      </c>
      <c r="F28" s="19" t="s">
        <v>28</v>
      </c>
      <c r="G28" s="19" t="s">
        <v>28</v>
      </c>
      <c r="H28" s="11" t="s">
        <v>4459</v>
      </c>
      <c r="I28" s="11"/>
    </row>
    <row r="29" spans="1:9">
      <c r="A29" s="24" t="s">
        <v>1336</v>
      </c>
      <c r="B29" s="24" t="s">
        <v>1168</v>
      </c>
      <c r="C29" s="19" t="s">
        <v>28</v>
      </c>
      <c r="D29" s="19" t="s">
        <v>21</v>
      </c>
      <c r="E29" s="19" t="s">
        <v>18</v>
      </c>
      <c r="F29" s="19" t="s">
        <v>21</v>
      </c>
      <c r="G29" s="19" t="s">
        <v>21</v>
      </c>
      <c r="H29" s="11" t="s">
        <v>4459</v>
      </c>
      <c r="I29" s="11"/>
    </row>
    <row r="30" spans="1:9">
      <c r="A30" s="24" t="s">
        <v>1339</v>
      </c>
      <c r="B30" s="130" t="s">
        <v>1340</v>
      </c>
      <c r="C30" s="19" t="s">
        <v>28</v>
      </c>
      <c r="D30" s="19" t="s">
        <v>28</v>
      </c>
      <c r="E30" s="19" t="s">
        <v>28</v>
      </c>
      <c r="F30" s="19" t="s">
        <v>17</v>
      </c>
      <c r="G30" s="19" t="s">
        <v>28</v>
      </c>
      <c r="H30" s="11" t="s">
        <v>4460</v>
      </c>
      <c r="I30" s="11"/>
    </row>
    <row r="31" spans="1:9">
      <c r="A31" s="24" t="s">
        <v>1343</v>
      </c>
      <c r="B31" s="24" t="s">
        <v>1063</v>
      </c>
      <c r="C31" s="19" t="s">
        <v>28</v>
      </c>
      <c r="D31" s="19" t="s">
        <v>28</v>
      </c>
      <c r="E31" s="19" t="s">
        <v>17</v>
      </c>
      <c r="F31" s="19" t="s">
        <v>17</v>
      </c>
      <c r="G31" s="19" t="s">
        <v>17</v>
      </c>
      <c r="H31" s="11" t="s">
        <v>4461</v>
      </c>
      <c r="I31" s="11"/>
    </row>
    <row r="32" spans="1:9">
      <c r="A32" s="24" t="s">
        <v>1346</v>
      </c>
      <c r="B32" s="24" t="s">
        <v>1347</v>
      </c>
      <c r="C32" s="19" t="s">
        <v>28</v>
      </c>
      <c r="D32" s="19" t="s">
        <v>28</v>
      </c>
      <c r="E32" s="19" t="s">
        <v>28</v>
      </c>
      <c r="F32" s="19" t="s">
        <v>28</v>
      </c>
      <c r="G32" s="19" t="s">
        <v>28</v>
      </c>
      <c r="H32" s="11" t="s">
        <v>4462</v>
      </c>
      <c r="I32" s="11"/>
    </row>
    <row r="33" spans="1:10">
      <c r="A33" s="24" t="s">
        <v>1350</v>
      </c>
      <c r="B33" s="24" t="s">
        <v>601</v>
      </c>
      <c r="C33" s="19" t="s">
        <v>28</v>
      </c>
      <c r="D33" s="19" t="s">
        <v>21</v>
      </c>
      <c r="E33" s="19" t="s">
        <v>28</v>
      </c>
      <c r="F33" s="19" t="s">
        <v>28</v>
      </c>
      <c r="G33" s="19" t="s">
        <v>28</v>
      </c>
      <c r="H33" s="11" t="s">
        <v>4463</v>
      </c>
      <c r="I33" s="11"/>
    </row>
    <row r="34" spans="1:10">
      <c r="A34" s="24" t="s">
        <v>1351</v>
      </c>
      <c r="B34" s="24" t="s">
        <v>1352</v>
      </c>
      <c r="C34" s="19" t="s">
        <v>21</v>
      </c>
      <c r="D34" s="19" t="s">
        <v>21</v>
      </c>
      <c r="E34" s="19" t="s">
        <v>28</v>
      </c>
      <c r="F34" s="19" t="s">
        <v>28</v>
      </c>
      <c r="G34" s="19" t="s">
        <v>21</v>
      </c>
      <c r="H34" s="11" t="s">
        <v>4464</v>
      </c>
      <c r="I34" s="11"/>
    </row>
    <row r="35" spans="1:10">
      <c r="A35" s="24" t="s">
        <v>1355</v>
      </c>
      <c r="B35" s="24" t="s">
        <v>1356</v>
      </c>
      <c r="C35" s="19" t="s">
        <v>18</v>
      </c>
      <c r="D35" s="19" t="s">
        <v>21</v>
      </c>
      <c r="E35" s="19" t="s">
        <v>1567</v>
      </c>
      <c r="F35" s="19" t="s">
        <v>1567</v>
      </c>
      <c r="G35" s="19" t="s">
        <v>18</v>
      </c>
      <c r="H35" s="11"/>
      <c r="I35" s="11"/>
    </row>
    <row r="36" spans="1:10">
      <c r="A36" s="24" t="s">
        <v>1357</v>
      </c>
      <c r="B36" s="24" t="s">
        <v>1358</v>
      </c>
      <c r="C36" s="19" t="s">
        <v>21</v>
      </c>
      <c r="D36" s="19" t="s">
        <v>21</v>
      </c>
      <c r="E36" s="19" t="s">
        <v>1567</v>
      </c>
      <c r="F36" s="19" t="s">
        <v>21</v>
      </c>
      <c r="G36" s="19" t="s">
        <v>1567</v>
      </c>
      <c r="H36" s="11"/>
      <c r="I36" s="11"/>
    </row>
    <row r="37" spans="1:10">
      <c r="A37" s="24" t="s">
        <v>1361</v>
      </c>
      <c r="B37" s="130" t="s">
        <v>1097</v>
      </c>
      <c r="C37" s="19" t="s">
        <v>28</v>
      </c>
      <c r="D37" s="19" t="s">
        <v>21</v>
      </c>
      <c r="E37" s="19" t="s">
        <v>21</v>
      </c>
      <c r="F37" s="19" t="s">
        <v>28</v>
      </c>
      <c r="G37" s="19" t="s">
        <v>21</v>
      </c>
      <c r="H37" s="11" t="s">
        <v>4465</v>
      </c>
      <c r="I37" s="11"/>
    </row>
    <row r="38" spans="1:10">
      <c r="A38" s="24" t="s">
        <v>1364</v>
      </c>
      <c r="B38" s="24" t="s">
        <v>1117</v>
      </c>
      <c r="C38" s="19" t="s">
        <v>28</v>
      </c>
      <c r="D38" s="19" t="s">
        <v>28</v>
      </c>
      <c r="E38" s="19" t="s">
        <v>28</v>
      </c>
      <c r="F38" s="19" t="s">
        <v>17</v>
      </c>
      <c r="G38" s="19" t="s">
        <v>28</v>
      </c>
      <c r="H38" s="11" t="s">
        <v>4466</v>
      </c>
      <c r="I38" s="11"/>
    </row>
    <row r="39" spans="1:10">
      <c r="A39" s="24" t="s">
        <v>1367</v>
      </c>
      <c r="B39" s="24" t="s">
        <v>1368</v>
      </c>
      <c r="C39" s="19"/>
      <c r="D39" s="19"/>
      <c r="E39" s="19"/>
      <c r="F39" s="19"/>
      <c r="G39" s="19"/>
      <c r="H39" s="11"/>
      <c r="I39" s="11"/>
    </row>
    <row r="40" spans="1:10">
      <c r="A40" s="24" t="s">
        <v>1369</v>
      </c>
      <c r="B40" s="24" t="s">
        <v>1370</v>
      </c>
      <c r="C40" s="19"/>
      <c r="D40" s="19"/>
      <c r="E40" s="19"/>
      <c r="F40" s="19"/>
      <c r="G40" s="19"/>
      <c r="H40" s="11"/>
      <c r="I40" s="11"/>
    </row>
    <row r="41" spans="1:10">
      <c r="A41" s="24" t="s">
        <v>1373</v>
      </c>
      <c r="B41" s="24" t="s">
        <v>1180</v>
      </c>
      <c r="C41" s="19"/>
      <c r="D41" s="19"/>
      <c r="E41" s="19"/>
      <c r="F41" s="19"/>
      <c r="G41" s="19"/>
      <c r="H41" s="11"/>
      <c r="I41" s="11"/>
    </row>
    <row r="42" spans="1:10">
      <c r="A42" s="24" t="s">
        <v>1376</v>
      </c>
      <c r="B42" s="24" t="s">
        <v>1143</v>
      </c>
      <c r="C42" s="19"/>
      <c r="D42" s="19"/>
      <c r="E42" s="19"/>
      <c r="F42" s="19"/>
      <c r="G42" s="19"/>
      <c r="H42" s="11"/>
      <c r="I42" s="11"/>
    </row>
    <row r="43" spans="1:10">
      <c r="A43" s="24" t="s">
        <v>1379</v>
      </c>
      <c r="B43" s="24" t="s">
        <v>1380</v>
      </c>
      <c r="C43" s="19"/>
      <c r="D43" s="19"/>
      <c r="E43" s="19"/>
      <c r="F43" s="19"/>
      <c r="G43" s="19"/>
      <c r="H43" s="11"/>
      <c r="I43" s="11"/>
    </row>
    <row r="44" spans="1:10">
      <c r="A44" s="24" t="s">
        <v>1381</v>
      </c>
      <c r="B44" s="24" t="s">
        <v>1039</v>
      </c>
      <c r="C44" s="19"/>
      <c r="D44" s="19"/>
      <c r="E44" s="19"/>
      <c r="F44" s="19"/>
      <c r="G44" s="19"/>
      <c r="H44" s="11"/>
      <c r="I44" s="11"/>
    </row>
    <row r="45" spans="1:10">
      <c r="A45" s="24" t="s">
        <v>1382</v>
      </c>
      <c r="B45" s="24" t="s">
        <v>1213</v>
      </c>
      <c r="C45" s="19"/>
      <c r="D45" s="19"/>
      <c r="E45" s="19"/>
      <c r="F45" s="19"/>
      <c r="G45" s="19"/>
      <c r="H45" s="11"/>
      <c r="I45" s="11"/>
    </row>
    <row r="46" spans="1:10">
      <c r="A46" s="24" t="s">
        <v>1383</v>
      </c>
      <c r="B46" s="24" t="s">
        <v>1384</v>
      </c>
      <c r="C46" s="19"/>
      <c r="D46" s="19"/>
      <c r="E46" s="19"/>
      <c r="F46" s="19"/>
      <c r="G46" s="19"/>
      <c r="H46" s="11"/>
      <c r="I46" s="11"/>
    </row>
    <row r="47" spans="1:10">
      <c r="A47" t="s">
        <v>4467</v>
      </c>
    </row>
    <row r="48" spans="1:10" ht="54" customHeight="1">
      <c r="A48" s="24" t="s">
        <v>1323</v>
      </c>
      <c r="B48" s="24" t="s">
        <v>1079</v>
      </c>
      <c r="C48" s="19" t="s">
        <v>17</v>
      </c>
      <c r="D48" s="19" t="s">
        <v>17</v>
      </c>
      <c r="E48" s="19" t="s">
        <v>28</v>
      </c>
      <c r="F48" s="19" t="s">
        <v>17</v>
      </c>
      <c r="G48" s="19" t="s">
        <v>17</v>
      </c>
      <c r="H48" s="91" t="s">
        <v>4468</v>
      </c>
      <c r="I48" s="11"/>
      <c r="J48" s="123"/>
    </row>
  </sheetData>
  <mergeCells count="1">
    <mergeCell ref="A1:I1"/>
  </mergeCells>
  <phoneticPr fontId="89" type="noConversion"/>
  <dataValidations count="1">
    <dataValidation type="list" allowBlank="1" showInputMessage="1" showErrorMessage="1" sqref="C3:G46 C48:G48" xr:uid="{00000000-0002-0000-1E00-000000000000}">
      <formula1>"S,A+,A,B+,B,C+,C,D+,D,?,"</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eriberry 下半A组">
    <tabColor rgb="FFFFFFFF"/>
  </sheetPr>
  <dimension ref="A1:G230"/>
  <sheetViews>
    <sheetView workbookViewId="0"/>
  </sheetViews>
  <sheetFormatPr baseColWidth="10" defaultColWidth="13.7109375" defaultRowHeight="18" customHeight="1"/>
  <cols>
    <col min="1" max="1" width="12.5703125" style="159" customWidth="1"/>
    <col min="2" max="2" width="38" style="5" customWidth="1"/>
    <col min="3" max="4" width="12.5703125" style="124" customWidth="1"/>
    <col min="5" max="5" width="80.85546875" style="1" customWidth="1"/>
    <col min="6" max="6" width="69.42578125" style="1" customWidth="1"/>
    <col min="7" max="7" width="66.140625" style="124" customWidth="1"/>
  </cols>
  <sheetData>
    <row r="1" spans="1:7" ht="67.5" customHeight="1">
      <c r="A1" s="390" t="s">
        <v>4469</v>
      </c>
      <c r="B1" s="391" t="s">
        <v>5276</v>
      </c>
      <c r="C1" s="617" t="s">
        <v>5277</v>
      </c>
      <c r="D1" s="518"/>
      <c r="E1" s="518"/>
      <c r="F1" s="518"/>
      <c r="G1" s="580"/>
    </row>
    <row r="2" spans="1:7" ht="30" customHeight="1">
      <c r="A2" s="618" t="s">
        <v>5278</v>
      </c>
      <c r="B2" s="518"/>
      <c r="C2" s="518"/>
      <c r="D2" s="518"/>
      <c r="E2" s="518"/>
      <c r="F2" s="518"/>
      <c r="G2" s="580"/>
    </row>
    <row r="3" spans="1:7" ht="30" customHeight="1">
      <c r="A3" s="540" t="s">
        <v>2</v>
      </c>
      <c r="B3" s="518"/>
      <c r="C3" s="518"/>
      <c r="D3" s="518"/>
      <c r="E3" s="518"/>
      <c r="F3" s="518"/>
      <c r="G3" s="524"/>
    </row>
    <row r="4" spans="1:7" s="208" customFormat="1" ht="27" customHeight="1">
      <c r="A4" s="5" t="s">
        <v>4</v>
      </c>
      <c r="B4" s="6" t="s">
        <v>5</v>
      </c>
      <c r="C4" s="5" t="s">
        <v>10</v>
      </c>
      <c r="D4" s="5" t="s">
        <v>4470</v>
      </c>
      <c r="E4" s="5" t="s">
        <v>4062</v>
      </c>
      <c r="F4" s="5" t="s">
        <v>4471</v>
      </c>
      <c r="G4" s="5" t="s">
        <v>12</v>
      </c>
    </row>
    <row r="5" spans="1:7">
      <c r="A5" s="5" t="s">
        <v>19</v>
      </c>
      <c r="B5" s="12" t="s">
        <v>20</v>
      </c>
      <c r="C5" s="13" t="s">
        <v>22</v>
      </c>
      <c r="D5" s="92"/>
      <c r="E5" s="322"/>
      <c r="F5" s="322"/>
      <c r="G5" s="322"/>
    </row>
    <row r="6" spans="1:7">
      <c r="A6" s="392" t="s">
        <v>29</v>
      </c>
      <c r="B6" s="12" t="s">
        <v>30</v>
      </c>
      <c r="C6" s="13" t="s">
        <v>28</v>
      </c>
      <c r="D6" s="92" t="s">
        <v>3743</v>
      </c>
      <c r="E6" s="322" t="s">
        <v>4472</v>
      </c>
      <c r="F6" s="322" t="s">
        <v>4473</v>
      </c>
      <c r="G6" s="322"/>
    </row>
    <row r="7" spans="1:7" ht="35.25" customHeight="1">
      <c r="A7" s="5" t="s">
        <v>36</v>
      </c>
      <c r="B7" s="12" t="s">
        <v>37</v>
      </c>
      <c r="C7" s="13" t="s">
        <v>1574</v>
      </c>
      <c r="D7" s="92"/>
      <c r="E7" s="322"/>
      <c r="F7" s="322"/>
      <c r="G7" s="322"/>
    </row>
    <row r="8" spans="1:7" ht="29.25" customHeight="1">
      <c r="A8" s="5" t="s">
        <v>43</v>
      </c>
      <c r="B8" s="12" t="s">
        <v>44</v>
      </c>
      <c r="C8" s="13" t="s">
        <v>1562</v>
      </c>
      <c r="D8" s="92"/>
      <c r="E8" s="322" t="s">
        <v>4474</v>
      </c>
      <c r="F8" s="322"/>
      <c r="G8" s="322"/>
    </row>
    <row r="9" spans="1:7" ht="31.5" customHeight="1">
      <c r="A9" s="392" t="s">
        <v>50</v>
      </c>
      <c r="B9" s="393" t="s">
        <v>51</v>
      </c>
      <c r="C9" s="13" t="s">
        <v>28</v>
      </c>
      <c r="D9" s="92" t="s">
        <v>3743</v>
      </c>
      <c r="E9" s="90" t="s">
        <v>4475</v>
      </c>
      <c r="F9" s="322"/>
      <c r="G9" s="322"/>
    </row>
    <row r="10" spans="1:7" ht="28.5" customHeight="1">
      <c r="A10" s="392" t="s">
        <v>57</v>
      </c>
      <c r="B10" s="12" t="s">
        <v>58</v>
      </c>
      <c r="C10" s="13" t="s">
        <v>21</v>
      </c>
      <c r="D10" s="92" t="s">
        <v>3743</v>
      </c>
      <c r="E10" s="90" t="s">
        <v>4476</v>
      </c>
      <c r="F10" s="322"/>
      <c r="G10" s="322"/>
    </row>
    <row r="11" spans="1:7" ht="30.75" customHeight="1">
      <c r="A11" s="392" t="s">
        <v>64</v>
      </c>
      <c r="B11" s="12" t="s">
        <v>65</v>
      </c>
      <c r="C11" s="13" t="s">
        <v>21</v>
      </c>
      <c r="D11" s="92" t="s">
        <v>3750</v>
      </c>
      <c r="E11" s="90" t="s">
        <v>4477</v>
      </c>
      <c r="F11" s="322" t="s">
        <v>4478</v>
      </c>
      <c r="G11" s="322"/>
    </row>
    <row r="12" spans="1:7">
      <c r="A12" s="5" t="s">
        <v>69</v>
      </c>
      <c r="B12" s="67" t="s">
        <v>70</v>
      </c>
      <c r="C12" s="13" t="s">
        <v>1574</v>
      </c>
      <c r="D12" s="92"/>
      <c r="E12" s="322"/>
      <c r="F12" s="322"/>
      <c r="G12" s="322"/>
    </row>
    <row r="13" spans="1:7" ht="33.75" customHeight="1">
      <c r="A13" s="5" t="s">
        <v>76</v>
      </c>
      <c r="B13" s="12" t="s">
        <v>77</v>
      </c>
      <c r="C13" s="13" t="s">
        <v>1562</v>
      </c>
      <c r="D13" s="92"/>
      <c r="E13" s="90" t="s">
        <v>4479</v>
      </c>
      <c r="F13" s="322"/>
      <c r="G13" s="322"/>
    </row>
    <row r="14" spans="1:7" ht="31.5" customHeight="1">
      <c r="A14" s="50" t="s">
        <v>83</v>
      </c>
      <c r="B14" s="12" t="s">
        <v>84</v>
      </c>
      <c r="C14" s="13" t="s">
        <v>1567</v>
      </c>
      <c r="D14" s="92" t="s">
        <v>3866</v>
      </c>
      <c r="E14" s="90" t="s">
        <v>4480</v>
      </c>
      <c r="F14" s="322" t="s">
        <v>4481</v>
      </c>
      <c r="G14" s="322"/>
    </row>
    <row r="15" spans="1:7" ht="57" customHeight="1">
      <c r="A15" s="5" t="s">
        <v>90</v>
      </c>
      <c r="B15" s="12" t="s">
        <v>91</v>
      </c>
      <c r="C15" s="13" t="s">
        <v>1562</v>
      </c>
      <c r="D15" s="92"/>
      <c r="E15" s="322"/>
      <c r="F15" s="322"/>
      <c r="G15" s="322"/>
    </row>
    <row r="16" spans="1:7" ht="57" customHeight="1">
      <c r="A16" s="5" t="s">
        <v>97</v>
      </c>
      <c r="B16" s="12" t="s">
        <v>98</v>
      </c>
      <c r="C16" s="13" t="s">
        <v>1562</v>
      </c>
      <c r="D16" s="92"/>
      <c r="E16" s="322"/>
      <c r="F16" s="322"/>
      <c r="G16" s="322"/>
    </row>
    <row r="17" spans="1:7" ht="57" customHeight="1">
      <c r="A17" s="394" t="s">
        <v>104</v>
      </c>
      <c r="B17" s="12" t="s">
        <v>105</v>
      </c>
      <c r="C17" s="13" t="s">
        <v>17</v>
      </c>
      <c r="D17" s="92" t="s">
        <v>1559</v>
      </c>
      <c r="E17" s="90" t="s">
        <v>4482</v>
      </c>
      <c r="F17" s="322" t="s">
        <v>4483</v>
      </c>
      <c r="G17" s="322"/>
    </row>
    <row r="18" spans="1:7" ht="63" customHeight="1">
      <c r="A18" s="395" t="s">
        <v>111</v>
      </c>
      <c r="B18" s="12" t="s">
        <v>112</v>
      </c>
      <c r="C18" s="13" t="s">
        <v>21</v>
      </c>
      <c r="D18" s="92" t="s">
        <v>3743</v>
      </c>
      <c r="E18" s="322" t="s">
        <v>4484</v>
      </c>
      <c r="F18" s="322" t="s">
        <v>4485</v>
      </c>
      <c r="G18" s="322"/>
    </row>
    <row r="19" spans="1:7" ht="47.25" customHeight="1">
      <c r="A19" s="5" t="s">
        <v>118</v>
      </c>
      <c r="B19" s="12" t="s">
        <v>119</v>
      </c>
      <c r="C19" s="13" t="s">
        <v>18</v>
      </c>
      <c r="D19" s="92" t="s">
        <v>3866</v>
      </c>
      <c r="E19" s="322" t="s">
        <v>4486</v>
      </c>
      <c r="F19" s="322"/>
      <c r="G19" s="322"/>
    </row>
    <row r="20" spans="1:7" ht="71.25" customHeight="1">
      <c r="A20" s="5" t="s">
        <v>125</v>
      </c>
      <c r="B20" s="12" t="s">
        <v>126</v>
      </c>
      <c r="C20" s="13" t="s">
        <v>1574</v>
      </c>
      <c r="D20" s="92"/>
      <c r="E20" s="322"/>
      <c r="F20" s="322"/>
      <c r="G20" s="322"/>
    </row>
    <row r="21" spans="1:7" ht="66.75" customHeight="1">
      <c r="A21" s="395" t="s">
        <v>131</v>
      </c>
      <c r="B21" s="12" t="s">
        <v>132</v>
      </c>
      <c r="C21" s="13" t="s">
        <v>1567</v>
      </c>
      <c r="D21" s="92" t="s">
        <v>3750</v>
      </c>
      <c r="E21" s="90" t="s">
        <v>4487</v>
      </c>
      <c r="F21" s="90" t="s">
        <v>4488</v>
      </c>
      <c r="G21" s="322"/>
    </row>
    <row r="22" spans="1:7" ht="31.5" customHeight="1">
      <c r="A22" s="5" t="s">
        <v>138</v>
      </c>
      <c r="B22" s="12" t="s">
        <v>139</v>
      </c>
      <c r="C22" s="13" t="s">
        <v>1562</v>
      </c>
      <c r="D22" s="92"/>
      <c r="E22" s="90" t="s">
        <v>4489</v>
      </c>
      <c r="F22" s="322" t="s">
        <v>4490</v>
      </c>
      <c r="G22" s="322"/>
    </row>
    <row r="23" spans="1:7">
      <c r="A23" s="5" t="s">
        <v>145</v>
      </c>
      <c r="B23" s="12" t="s">
        <v>146</v>
      </c>
      <c r="C23" s="13" t="s">
        <v>1574</v>
      </c>
      <c r="D23" s="92"/>
      <c r="E23" s="322"/>
      <c r="F23" s="322"/>
      <c r="G23" s="322"/>
    </row>
    <row r="24" spans="1:7" ht="32.25" customHeight="1">
      <c r="A24" s="395" t="s">
        <v>152</v>
      </c>
      <c r="B24" s="12" t="s">
        <v>30</v>
      </c>
      <c r="C24" s="13" t="s">
        <v>1567</v>
      </c>
      <c r="D24" s="92" t="s">
        <v>3750</v>
      </c>
      <c r="E24" s="125" t="s">
        <v>4491</v>
      </c>
      <c r="F24" s="90" t="s">
        <v>4492</v>
      </c>
      <c r="G24" s="90"/>
    </row>
    <row r="25" spans="1:7" ht="50.25" customHeight="1">
      <c r="A25" s="395" t="s">
        <v>158</v>
      </c>
      <c r="B25" s="12" t="s">
        <v>159</v>
      </c>
      <c r="C25" s="13" t="s">
        <v>21</v>
      </c>
      <c r="D25" s="92" t="s">
        <v>3743</v>
      </c>
      <c r="E25" s="90" t="s">
        <v>4493</v>
      </c>
      <c r="F25" s="90" t="s">
        <v>4494</v>
      </c>
      <c r="G25" s="90"/>
    </row>
    <row r="26" spans="1:7">
      <c r="A26" s="5" t="s">
        <v>165</v>
      </c>
      <c r="B26" s="12" t="s">
        <v>166</v>
      </c>
      <c r="C26" s="13" t="s">
        <v>22</v>
      </c>
      <c r="D26" s="92"/>
      <c r="E26" s="322"/>
      <c r="F26" s="322"/>
      <c r="G26" s="322"/>
    </row>
    <row r="27" spans="1:7" ht="30.75" customHeight="1">
      <c r="A27" s="395" t="s">
        <v>172</v>
      </c>
      <c r="B27" s="12" t="s">
        <v>173</v>
      </c>
      <c r="C27" s="13" t="s">
        <v>1567</v>
      </c>
      <c r="D27" s="92" t="s">
        <v>3750</v>
      </c>
      <c r="E27" s="90" t="s">
        <v>4495</v>
      </c>
      <c r="F27" s="90" t="s">
        <v>4496</v>
      </c>
      <c r="G27" s="322"/>
    </row>
    <row r="28" spans="1:7">
      <c r="A28" s="5" t="s">
        <v>179</v>
      </c>
      <c r="B28" s="12" t="s">
        <v>180</v>
      </c>
      <c r="C28" s="13" t="s">
        <v>1574</v>
      </c>
      <c r="D28" s="92"/>
      <c r="E28" s="322"/>
      <c r="F28" s="322"/>
      <c r="G28" s="322"/>
    </row>
    <row r="29" spans="1:7" ht="52.5" customHeight="1">
      <c r="A29" s="394" t="s">
        <v>186</v>
      </c>
      <c r="B29" s="396" t="s">
        <v>187</v>
      </c>
      <c r="C29" s="13" t="s">
        <v>17</v>
      </c>
      <c r="D29" s="92" t="s">
        <v>1559</v>
      </c>
      <c r="E29" s="90" t="s">
        <v>4497</v>
      </c>
      <c r="F29" s="322"/>
      <c r="G29" s="322"/>
    </row>
    <row r="30" spans="1:7" ht="58.5" customHeight="1">
      <c r="A30" s="395" t="s">
        <v>193</v>
      </c>
      <c r="B30" s="397" t="s">
        <v>194</v>
      </c>
      <c r="C30" s="13" t="s">
        <v>1567</v>
      </c>
      <c r="D30" s="92" t="s">
        <v>3743</v>
      </c>
      <c r="E30" s="90" t="s">
        <v>4498</v>
      </c>
      <c r="F30" s="90" t="s">
        <v>4499</v>
      </c>
      <c r="G30" s="322" t="s">
        <v>4500</v>
      </c>
    </row>
    <row r="31" spans="1:7">
      <c r="A31" s="5" t="s">
        <v>200</v>
      </c>
      <c r="B31" s="12" t="s">
        <v>201</v>
      </c>
      <c r="C31" s="13" t="s">
        <v>1562</v>
      </c>
      <c r="D31" s="92"/>
      <c r="E31" s="322" t="s">
        <v>4501</v>
      </c>
      <c r="F31" s="322" t="s">
        <v>4502</v>
      </c>
      <c r="G31" s="322"/>
    </row>
    <row r="32" spans="1:7">
      <c r="A32" s="5" t="s">
        <v>207</v>
      </c>
      <c r="B32" s="12" t="s">
        <v>208</v>
      </c>
      <c r="C32" s="13" t="s">
        <v>1562</v>
      </c>
      <c r="D32" s="92"/>
      <c r="E32" s="322"/>
      <c r="F32" s="322" t="s">
        <v>4503</v>
      </c>
      <c r="G32" s="322"/>
    </row>
    <row r="33" spans="1:7">
      <c r="A33" s="5" t="s">
        <v>214</v>
      </c>
      <c r="B33" s="12" t="s">
        <v>215</v>
      </c>
      <c r="C33" s="13" t="s">
        <v>1574</v>
      </c>
      <c r="D33" s="92"/>
      <c r="E33" s="322" t="s">
        <v>4504</v>
      </c>
      <c r="F33" s="322" t="s">
        <v>4505</v>
      </c>
      <c r="G33" s="322"/>
    </row>
    <row r="34" spans="1:7">
      <c r="A34" s="5" t="s">
        <v>220</v>
      </c>
      <c r="B34" s="12" t="s">
        <v>221</v>
      </c>
      <c r="C34" s="13" t="s">
        <v>1574</v>
      </c>
      <c r="D34" s="92"/>
      <c r="E34" s="322" t="s">
        <v>4506</v>
      </c>
      <c r="F34" s="322"/>
      <c r="G34" s="322"/>
    </row>
    <row r="35" spans="1:7">
      <c r="A35" s="5" t="s">
        <v>227</v>
      </c>
      <c r="B35" s="12" t="s">
        <v>228</v>
      </c>
      <c r="C35" s="13" t="s">
        <v>22</v>
      </c>
      <c r="D35" s="92"/>
      <c r="E35" s="322" t="s">
        <v>4507</v>
      </c>
      <c r="F35" s="322"/>
      <c r="G35" s="322"/>
    </row>
    <row r="36" spans="1:7" ht="34">
      <c r="A36" s="395" t="s">
        <v>234</v>
      </c>
      <c r="B36" s="12" t="s">
        <v>68</v>
      </c>
      <c r="C36" s="13" t="s">
        <v>28</v>
      </c>
      <c r="D36" s="92" t="s">
        <v>3743</v>
      </c>
      <c r="E36" s="322" t="s">
        <v>4508</v>
      </c>
      <c r="F36" s="90" t="s">
        <v>4509</v>
      </c>
      <c r="G36" s="322"/>
    </row>
    <row r="37" spans="1:7" ht="36.75" customHeight="1">
      <c r="A37" s="5" t="s">
        <v>240</v>
      </c>
      <c r="B37" s="12" t="s">
        <v>241</v>
      </c>
      <c r="C37" s="13" t="s">
        <v>1574</v>
      </c>
      <c r="D37" s="92"/>
      <c r="E37" s="322"/>
      <c r="F37" s="322"/>
      <c r="G37" s="322"/>
    </row>
    <row r="38" spans="1:7" ht="33.75" customHeight="1">
      <c r="A38" s="5" t="s">
        <v>245</v>
      </c>
      <c r="B38" s="12" t="s">
        <v>246</v>
      </c>
      <c r="C38" s="13" t="str">
        <f>IF(AND(ISNUMBER(MATCH(#REF!,{"F","E","D","D+","C","C+","B","B+","A","A+","S"},0)),ISNUMBER(MATCH(#REF!,{"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D38" s="92"/>
      <c r="E38" s="322" t="s">
        <v>4510</v>
      </c>
      <c r="F38" s="322"/>
      <c r="G38" s="322"/>
    </row>
    <row r="39" spans="1:7">
      <c r="A39" s="5" t="s">
        <v>251</v>
      </c>
      <c r="B39" s="12" t="s">
        <v>252</v>
      </c>
      <c r="C39" s="13" t="s">
        <v>1562</v>
      </c>
      <c r="D39" s="92"/>
      <c r="E39" s="322"/>
      <c r="F39" s="322"/>
      <c r="G39" s="322"/>
    </row>
    <row r="40" spans="1:7" ht="48.75" customHeight="1">
      <c r="A40" s="395" t="s">
        <v>258</v>
      </c>
      <c r="B40" s="12" t="s">
        <v>259</v>
      </c>
      <c r="C40" s="13" t="s">
        <v>28</v>
      </c>
      <c r="D40" s="92" t="s">
        <v>3743</v>
      </c>
      <c r="E40" s="90" t="s">
        <v>4511</v>
      </c>
      <c r="F40" s="322"/>
      <c r="G40" s="322"/>
    </row>
    <row r="41" spans="1:7" ht="58.5" customHeight="1">
      <c r="A41" s="5" t="s">
        <v>265</v>
      </c>
      <c r="B41" s="12" t="s">
        <v>266</v>
      </c>
      <c r="C41" s="13" t="s">
        <v>1574</v>
      </c>
      <c r="D41" s="92"/>
      <c r="E41" s="322"/>
      <c r="F41" s="322"/>
      <c r="G41" s="322"/>
    </row>
    <row r="42" spans="1:7" ht="31.5" customHeight="1">
      <c r="A42" s="395" t="s">
        <v>271</v>
      </c>
      <c r="B42" s="12" t="s">
        <v>272</v>
      </c>
      <c r="C42" s="13" t="s">
        <v>28</v>
      </c>
      <c r="D42" s="92" t="s">
        <v>3743</v>
      </c>
      <c r="E42" s="90" t="s">
        <v>4512</v>
      </c>
      <c r="F42" s="322" t="s">
        <v>4513</v>
      </c>
      <c r="G42" s="322"/>
    </row>
    <row r="43" spans="1:7">
      <c r="A43" s="395" t="s">
        <v>121</v>
      </c>
      <c r="B43" s="12" t="s">
        <v>122</v>
      </c>
      <c r="C43" s="13" t="s">
        <v>1567</v>
      </c>
      <c r="D43" s="92" t="s">
        <v>3750</v>
      </c>
      <c r="E43" s="90" t="s">
        <v>4514</v>
      </c>
      <c r="F43" s="322" t="s">
        <v>4515</v>
      </c>
      <c r="G43" s="322"/>
    </row>
    <row r="44" spans="1:7">
      <c r="A44" s="5" t="s">
        <v>281</v>
      </c>
      <c r="B44" s="12" t="s">
        <v>282</v>
      </c>
      <c r="C44" s="13" t="s">
        <v>18</v>
      </c>
      <c r="D44" s="92" t="s">
        <v>3741</v>
      </c>
      <c r="F44" s="322"/>
      <c r="G44" s="322"/>
    </row>
    <row r="45" spans="1:7">
      <c r="A45" s="5" t="s">
        <v>287</v>
      </c>
      <c r="B45" s="12" t="s">
        <v>288</v>
      </c>
      <c r="C45" s="13" t="s">
        <v>1574</v>
      </c>
      <c r="D45" s="92"/>
      <c r="E45" s="322"/>
      <c r="F45" s="322"/>
      <c r="G45" s="322"/>
    </row>
    <row r="46" spans="1:7">
      <c r="A46" s="5" t="s">
        <v>294</v>
      </c>
      <c r="B46" s="12" t="s">
        <v>295</v>
      </c>
      <c r="C46" s="13" t="s">
        <v>1562</v>
      </c>
      <c r="D46" s="92"/>
      <c r="E46" s="322" t="s">
        <v>4516</v>
      </c>
      <c r="F46" s="322" t="s">
        <v>4517</v>
      </c>
      <c r="G46" s="322"/>
    </row>
    <row r="47" spans="1:7">
      <c r="A47" s="395" t="s">
        <v>39</v>
      </c>
      <c r="B47" s="12" t="s">
        <v>40</v>
      </c>
      <c r="C47" s="13" t="s">
        <v>1567</v>
      </c>
      <c r="D47" s="92" t="s">
        <v>3750</v>
      </c>
      <c r="E47" s="322" t="s">
        <v>4518</v>
      </c>
      <c r="F47" s="322"/>
      <c r="G47" s="322"/>
    </row>
    <row r="48" spans="1:7">
      <c r="A48" s="5" t="s">
        <v>304</v>
      </c>
      <c r="B48" s="12" t="s">
        <v>305</v>
      </c>
      <c r="C48" s="13" t="s">
        <v>1574</v>
      </c>
      <c r="D48" s="92"/>
      <c r="E48" s="322" t="s">
        <v>4519</v>
      </c>
      <c r="F48" s="322"/>
      <c r="G48" s="322"/>
    </row>
    <row r="49" spans="1:7">
      <c r="A49" s="5" t="s">
        <v>311</v>
      </c>
      <c r="B49" s="12" t="s">
        <v>312</v>
      </c>
      <c r="C49" s="13" t="s">
        <v>1562</v>
      </c>
      <c r="D49" s="92"/>
      <c r="E49" s="322" t="s">
        <v>4520</v>
      </c>
      <c r="F49" s="322" t="s">
        <v>4521</v>
      </c>
      <c r="G49" s="322"/>
    </row>
    <row r="50" spans="1:7">
      <c r="A50" s="395" t="s">
        <v>317</v>
      </c>
      <c r="B50" s="12" t="s">
        <v>318</v>
      </c>
      <c r="C50" s="13" t="s">
        <v>28</v>
      </c>
      <c r="D50" s="92" t="s">
        <v>3743</v>
      </c>
      <c r="E50" s="322" t="s">
        <v>4522</v>
      </c>
      <c r="F50" s="322" t="s">
        <v>4523</v>
      </c>
      <c r="G50" s="322"/>
    </row>
    <row r="51" spans="1:7">
      <c r="A51" s="5" t="s">
        <v>323</v>
      </c>
      <c r="B51" s="12" t="s">
        <v>185</v>
      </c>
      <c r="C51" s="13" t="s">
        <v>18</v>
      </c>
      <c r="D51" s="92" t="s">
        <v>3741</v>
      </c>
      <c r="E51" s="322" t="s">
        <v>4524</v>
      </c>
      <c r="F51" s="322" t="s">
        <v>4525</v>
      </c>
      <c r="G51" s="322"/>
    </row>
    <row r="52" spans="1:7">
      <c r="A52" s="5" t="s">
        <v>327</v>
      </c>
      <c r="B52" s="12" t="s">
        <v>328</v>
      </c>
      <c r="C52" s="19" t="s">
        <v>18</v>
      </c>
      <c r="D52" s="106" t="s">
        <v>3741</v>
      </c>
      <c r="E52" s="322" t="s">
        <v>4526</v>
      </c>
      <c r="F52" s="322"/>
      <c r="G52" s="322"/>
    </row>
    <row r="53" spans="1:7">
      <c r="A53" s="395" t="s">
        <v>217</v>
      </c>
      <c r="B53" s="12" t="s">
        <v>68</v>
      </c>
      <c r="C53" s="13" t="s">
        <v>21</v>
      </c>
      <c r="D53" s="92" t="s">
        <v>3743</v>
      </c>
      <c r="E53" s="322" t="s">
        <v>4527</v>
      </c>
      <c r="F53" s="322" t="s">
        <v>4528</v>
      </c>
      <c r="G53" s="322"/>
    </row>
    <row r="54" spans="1:7">
      <c r="A54" s="50" t="s">
        <v>336</v>
      </c>
      <c r="B54" s="12" t="s">
        <v>337</v>
      </c>
      <c r="C54" s="13" t="s">
        <v>1562</v>
      </c>
      <c r="D54" s="92"/>
      <c r="E54" s="322" t="s">
        <v>4529</v>
      </c>
      <c r="F54" s="322" t="s">
        <v>4530</v>
      </c>
      <c r="G54" s="322"/>
    </row>
    <row r="55" spans="1:7" ht="29.25" customHeight="1">
      <c r="A55" s="5" t="s">
        <v>341</v>
      </c>
      <c r="B55" s="12" t="s">
        <v>342</v>
      </c>
      <c r="C55" s="13" t="s">
        <v>18</v>
      </c>
      <c r="D55" s="92" t="s">
        <v>3741</v>
      </c>
      <c r="E55" s="90" t="s">
        <v>4531</v>
      </c>
      <c r="F55" s="322"/>
      <c r="G55" s="322"/>
    </row>
    <row r="56" spans="1:7" ht="33.75" customHeight="1">
      <c r="A56" s="395" t="s">
        <v>348</v>
      </c>
      <c r="B56" s="12" t="s">
        <v>349</v>
      </c>
      <c r="C56" s="13" t="s">
        <v>28</v>
      </c>
      <c r="D56" s="92" t="s">
        <v>3743</v>
      </c>
      <c r="E56" s="90" t="s">
        <v>4532</v>
      </c>
      <c r="F56" s="322" t="s">
        <v>4533</v>
      </c>
      <c r="G56" s="322"/>
    </row>
    <row r="57" spans="1:7">
      <c r="A57" s="5" t="s">
        <v>355</v>
      </c>
      <c r="B57" s="12" t="s">
        <v>356</v>
      </c>
      <c r="C57" s="13" t="s">
        <v>18</v>
      </c>
      <c r="D57" s="92" t="s">
        <v>3741</v>
      </c>
      <c r="E57" s="322" t="s">
        <v>4534</v>
      </c>
      <c r="F57" s="322"/>
      <c r="G57" s="322"/>
    </row>
    <row r="58" spans="1:7">
      <c r="A58" s="5" t="s">
        <v>360</v>
      </c>
      <c r="B58" s="12" t="s">
        <v>361</v>
      </c>
      <c r="C58" s="13" t="s">
        <v>18</v>
      </c>
      <c r="D58" s="92" t="s">
        <v>3741</v>
      </c>
      <c r="E58" s="322" t="s">
        <v>4535</v>
      </c>
      <c r="F58" s="322"/>
      <c r="G58" s="322"/>
    </row>
    <row r="59" spans="1:7">
      <c r="A59" s="5" t="s">
        <v>367</v>
      </c>
      <c r="B59" s="12" t="s">
        <v>368</v>
      </c>
      <c r="C59" s="13" t="s">
        <v>1562</v>
      </c>
      <c r="D59" s="92"/>
      <c r="E59" s="322" t="s">
        <v>4536</v>
      </c>
      <c r="F59" s="322"/>
      <c r="G59" s="322"/>
    </row>
    <row r="60" spans="1:7">
      <c r="A60" s="395" t="s">
        <v>210</v>
      </c>
      <c r="B60" s="12" t="s">
        <v>211</v>
      </c>
      <c r="C60" s="13" t="s">
        <v>1567</v>
      </c>
      <c r="D60" s="92" t="s">
        <v>3743</v>
      </c>
      <c r="E60" s="322" t="s">
        <v>4537</v>
      </c>
      <c r="F60" s="322" t="s">
        <v>4538</v>
      </c>
      <c r="G60" s="322"/>
    </row>
    <row r="61" spans="1:7" ht="32.25" customHeight="1">
      <c r="A61" s="5" t="s">
        <v>377</v>
      </c>
      <c r="B61" s="12" t="s">
        <v>378</v>
      </c>
      <c r="C61" s="13" t="s">
        <v>16</v>
      </c>
      <c r="D61" s="92"/>
      <c r="F61" s="322" t="s">
        <v>4539</v>
      </c>
      <c r="G61" s="322"/>
    </row>
    <row r="62" spans="1:7" ht="33" customHeight="1">
      <c r="A62" s="5" t="s">
        <v>384</v>
      </c>
      <c r="B62" s="12" t="s">
        <v>385</v>
      </c>
      <c r="C62" s="13" t="s">
        <v>1562</v>
      </c>
      <c r="D62" s="92"/>
      <c r="E62" s="322" t="s">
        <v>4540</v>
      </c>
      <c r="F62" s="322"/>
      <c r="G62" s="322"/>
    </row>
    <row r="63" spans="1:7">
      <c r="A63" s="5" t="s">
        <v>389</v>
      </c>
      <c r="B63" s="12" t="s">
        <v>390</v>
      </c>
      <c r="C63" s="13" t="s">
        <v>1574</v>
      </c>
      <c r="D63" s="92"/>
      <c r="E63" s="322" t="s">
        <v>4541</v>
      </c>
      <c r="F63" s="322" t="s">
        <v>4542</v>
      </c>
      <c r="G63" s="322"/>
    </row>
    <row r="64" spans="1:7">
      <c r="A64" s="395" t="s">
        <v>395</v>
      </c>
      <c r="B64" s="12" t="s">
        <v>396</v>
      </c>
      <c r="C64" s="13" t="s">
        <v>1567</v>
      </c>
      <c r="D64" s="92" t="s">
        <v>3750</v>
      </c>
      <c r="E64" s="322" t="s">
        <v>4543</v>
      </c>
      <c r="F64" s="90" t="s">
        <v>4544</v>
      </c>
      <c r="G64" s="322"/>
    </row>
    <row r="65" spans="1:7" ht="20.25" customHeight="1">
      <c r="A65" s="50" t="s">
        <v>401</v>
      </c>
      <c r="B65" s="12" t="s">
        <v>402</v>
      </c>
      <c r="C65" s="13" t="s">
        <v>1562</v>
      </c>
      <c r="D65" s="92"/>
      <c r="E65" s="322" t="s">
        <v>4545</v>
      </c>
      <c r="F65" s="322"/>
      <c r="G65" s="322"/>
    </row>
    <row r="66" spans="1:7" ht="33.75" customHeight="1">
      <c r="A66" s="395" t="s">
        <v>374</v>
      </c>
      <c r="B66" s="12" t="s">
        <v>375</v>
      </c>
      <c r="C66" s="13" t="s">
        <v>21</v>
      </c>
      <c r="D66" s="92" t="s">
        <v>3743</v>
      </c>
      <c r="E66" s="90" t="s">
        <v>4546</v>
      </c>
      <c r="F66" s="107"/>
      <c r="G66" s="322"/>
    </row>
    <row r="67" spans="1:7" ht="30.75" customHeight="1">
      <c r="A67" s="5" t="s">
        <v>230</v>
      </c>
      <c r="B67" s="12" t="s">
        <v>231</v>
      </c>
      <c r="C67" s="13" t="s">
        <v>18</v>
      </c>
      <c r="D67" s="92" t="s">
        <v>3741</v>
      </c>
      <c r="E67" s="90" t="s">
        <v>4547</v>
      </c>
      <c r="F67" s="90"/>
      <c r="G67" s="322"/>
    </row>
    <row r="68" spans="1:7" ht="24.75" customHeight="1">
      <c r="A68" s="5" t="s">
        <v>86</v>
      </c>
      <c r="B68" s="12" t="s">
        <v>87</v>
      </c>
      <c r="C68" s="13" t="s">
        <v>1562</v>
      </c>
      <c r="D68" s="92"/>
      <c r="E68" s="322" t="s">
        <v>4548</v>
      </c>
      <c r="F68" s="322"/>
      <c r="G68" s="322"/>
    </row>
    <row r="69" spans="1:7">
      <c r="A69" s="395" t="s">
        <v>100</v>
      </c>
      <c r="B69" s="12" t="s">
        <v>101</v>
      </c>
      <c r="C69" s="13" t="s">
        <v>21</v>
      </c>
      <c r="D69" s="92" t="s">
        <v>3743</v>
      </c>
      <c r="E69" s="322" t="s">
        <v>4549</v>
      </c>
      <c r="F69" s="322"/>
      <c r="G69" s="322"/>
    </row>
    <row r="70" spans="1:7" ht="33" customHeight="1">
      <c r="A70" s="395" t="s">
        <v>423</v>
      </c>
      <c r="B70" s="12" t="s">
        <v>424</v>
      </c>
      <c r="C70" s="13" t="s">
        <v>1567</v>
      </c>
      <c r="D70" s="92" t="s">
        <v>3750</v>
      </c>
      <c r="E70" s="90" t="s">
        <v>4550</v>
      </c>
      <c r="F70" s="322" t="s">
        <v>4551</v>
      </c>
      <c r="G70" s="322"/>
    </row>
    <row r="71" spans="1:7">
      <c r="A71" s="5" t="s">
        <v>428</v>
      </c>
      <c r="B71" s="12" t="s">
        <v>429</v>
      </c>
      <c r="C71" s="13" t="s">
        <v>1567</v>
      </c>
      <c r="D71" s="92" t="s">
        <v>3866</v>
      </c>
      <c r="E71" s="322" t="s">
        <v>4552</v>
      </c>
      <c r="F71" s="322" t="s">
        <v>4553</v>
      </c>
      <c r="G71" s="322"/>
    </row>
    <row r="72" spans="1:7" ht="30" customHeight="1">
      <c r="A72" s="395" t="s">
        <v>261</v>
      </c>
      <c r="B72" s="12" t="s">
        <v>262</v>
      </c>
      <c r="C72" s="13" t="s">
        <v>1567</v>
      </c>
      <c r="D72" s="92" t="s">
        <v>3750</v>
      </c>
      <c r="E72" s="90" t="s">
        <v>4554</v>
      </c>
      <c r="F72" s="322" t="s">
        <v>4555</v>
      </c>
      <c r="G72" s="322"/>
    </row>
    <row r="73" spans="1:7">
      <c r="A73" s="50" t="s">
        <v>437</v>
      </c>
      <c r="B73" s="12" t="s">
        <v>438</v>
      </c>
      <c r="C73" s="13" t="s">
        <v>18</v>
      </c>
      <c r="D73" s="92" t="s">
        <v>3741</v>
      </c>
      <c r="E73" s="322" t="s">
        <v>4556</v>
      </c>
      <c r="F73" s="322"/>
      <c r="G73" s="322"/>
    </row>
    <row r="74" spans="1:7">
      <c r="A74" s="5" t="s">
        <v>444</v>
      </c>
      <c r="B74" s="12" t="s">
        <v>445</v>
      </c>
      <c r="C74" s="13" t="s">
        <v>1574</v>
      </c>
      <c r="D74" s="92"/>
      <c r="E74" s="322" t="s">
        <v>4557</v>
      </c>
      <c r="F74" s="322" t="s">
        <v>4558</v>
      </c>
      <c r="G74" s="322"/>
    </row>
    <row r="75" spans="1:7">
      <c r="A75" s="5" t="s">
        <v>448</v>
      </c>
      <c r="B75" s="12" t="s">
        <v>449</v>
      </c>
      <c r="C75" s="13" t="s">
        <v>1574</v>
      </c>
      <c r="D75" s="92"/>
      <c r="E75" s="322"/>
      <c r="F75" s="322"/>
      <c r="G75" s="322"/>
    </row>
    <row r="76" spans="1:7">
      <c r="A76" s="50" t="s">
        <v>452</v>
      </c>
      <c r="B76" s="12" t="s">
        <v>453</v>
      </c>
      <c r="C76" s="13" t="s">
        <v>18</v>
      </c>
      <c r="D76" s="92" t="s">
        <v>3741</v>
      </c>
      <c r="E76" s="322" t="s">
        <v>4559</v>
      </c>
      <c r="F76" s="322"/>
      <c r="G76" s="322"/>
    </row>
    <row r="77" spans="1:7">
      <c r="A77" s="5" t="s">
        <v>456</v>
      </c>
      <c r="B77" s="12" t="s">
        <v>457</v>
      </c>
      <c r="C77" s="13" t="s">
        <v>1574</v>
      </c>
      <c r="D77" s="92"/>
      <c r="E77" s="322"/>
      <c r="F77" s="322"/>
      <c r="G77" s="322"/>
    </row>
    <row r="78" spans="1:7">
      <c r="A78" s="5" t="s">
        <v>462</v>
      </c>
      <c r="B78" s="12" t="s">
        <v>463</v>
      </c>
      <c r="C78" s="13" t="s">
        <v>1574</v>
      </c>
      <c r="D78" s="92"/>
      <c r="E78" s="322"/>
      <c r="F78" s="322"/>
      <c r="G78" s="322"/>
    </row>
    <row r="79" spans="1:7">
      <c r="A79" s="5" t="s">
        <v>468</v>
      </c>
      <c r="B79" s="12" t="s">
        <v>469</v>
      </c>
      <c r="C79" s="13" t="s">
        <v>1574</v>
      </c>
      <c r="D79" s="92"/>
      <c r="E79" s="322"/>
      <c r="F79" s="322"/>
      <c r="G79" s="322"/>
    </row>
    <row r="80" spans="1:7" ht="56.25" customHeight="1">
      <c r="A80" s="394" t="s">
        <v>175</v>
      </c>
      <c r="B80" s="12" t="s">
        <v>176</v>
      </c>
      <c r="C80" s="13" t="s">
        <v>17</v>
      </c>
      <c r="D80" s="92" t="s">
        <v>1559</v>
      </c>
      <c r="E80" s="90" t="s">
        <v>4560</v>
      </c>
      <c r="F80" s="322" t="s">
        <v>4561</v>
      </c>
      <c r="G80" s="322"/>
    </row>
    <row r="81" spans="1:7">
      <c r="A81" s="395" t="s">
        <v>189</v>
      </c>
      <c r="B81" s="12" t="s">
        <v>190</v>
      </c>
      <c r="C81" s="13" t="s">
        <v>1567</v>
      </c>
      <c r="D81" s="92" t="s">
        <v>3750</v>
      </c>
      <c r="E81" s="322" t="s">
        <v>4562</v>
      </c>
      <c r="F81" s="322" t="s">
        <v>4563</v>
      </c>
      <c r="G81" s="322"/>
    </row>
    <row r="82" spans="1:7">
      <c r="A82" s="5" t="s">
        <v>479</v>
      </c>
      <c r="B82" s="12" t="s">
        <v>480</v>
      </c>
      <c r="C82" s="13" t="s">
        <v>1562</v>
      </c>
      <c r="D82" s="92"/>
      <c r="E82" s="322"/>
      <c r="F82" s="322"/>
      <c r="G82" s="322"/>
    </row>
    <row r="83" spans="1:7">
      <c r="A83" s="5" t="s">
        <v>485</v>
      </c>
      <c r="B83" s="12" t="s">
        <v>486</v>
      </c>
      <c r="C83" s="13" t="s">
        <v>1562</v>
      </c>
      <c r="D83" s="92"/>
      <c r="E83" s="322" t="s">
        <v>4564</v>
      </c>
      <c r="F83" s="322"/>
      <c r="G83" s="322"/>
    </row>
    <row r="84" spans="1:7">
      <c r="A84" s="5" t="s">
        <v>490</v>
      </c>
      <c r="B84" s="12" t="s">
        <v>491</v>
      </c>
      <c r="C84" s="13" t="s">
        <v>1567</v>
      </c>
      <c r="D84" s="92" t="s">
        <v>3866</v>
      </c>
      <c r="E84" s="322" t="s">
        <v>4565</v>
      </c>
      <c r="F84" s="322" t="s">
        <v>4566</v>
      </c>
      <c r="G84" s="322"/>
    </row>
    <row r="85" spans="1:7">
      <c r="A85" s="5" t="s">
        <v>496</v>
      </c>
      <c r="B85" s="12" t="s">
        <v>497</v>
      </c>
      <c r="C85" s="13" t="s">
        <v>1574</v>
      </c>
      <c r="D85" s="92"/>
      <c r="E85" s="322"/>
      <c r="F85" s="322"/>
      <c r="G85" s="322"/>
    </row>
    <row r="86" spans="1:7">
      <c r="A86" s="5" t="s">
        <v>502</v>
      </c>
      <c r="B86" s="12" t="s">
        <v>503</v>
      </c>
      <c r="C86" s="13" t="s">
        <v>18</v>
      </c>
      <c r="D86" s="92" t="s">
        <v>3741</v>
      </c>
      <c r="E86" s="322" t="s">
        <v>4567</v>
      </c>
      <c r="F86" s="322" t="s">
        <v>4568</v>
      </c>
      <c r="G86" s="322"/>
    </row>
    <row r="87" spans="1:7">
      <c r="A87" s="5" t="s">
        <v>507</v>
      </c>
      <c r="B87" s="12" t="s">
        <v>508</v>
      </c>
      <c r="C87" s="13" t="s">
        <v>1574</v>
      </c>
      <c r="D87" s="92"/>
      <c r="E87" s="322"/>
      <c r="F87" s="322"/>
      <c r="G87" s="322"/>
    </row>
    <row r="88" spans="1:7">
      <c r="A88" s="395" t="s">
        <v>182</v>
      </c>
      <c r="B88" s="12" t="s">
        <v>183</v>
      </c>
      <c r="C88" s="13" t="s">
        <v>1567</v>
      </c>
      <c r="D88" s="92" t="s">
        <v>3743</v>
      </c>
      <c r="E88" s="322" t="s">
        <v>4569</v>
      </c>
      <c r="F88" s="322"/>
      <c r="G88" s="322"/>
    </row>
    <row r="89" spans="1:7">
      <c r="A89" s="50" t="s">
        <v>512</v>
      </c>
      <c r="B89" s="12" t="s">
        <v>513</v>
      </c>
      <c r="C89" s="13" t="s">
        <v>1567</v>
      </c>
      <c r="D89" s="92" t="s">
        <v>3866</v>
      </c>
      <c r="E89" s="322" t="s">
        <v>4570</v>
      </c>
      <c r="F89" s="322" t="s">
        <v>4571</v>
      </c>
      <c r="G89" s="322"/>
    </row>
    <row r="90" spans="1:7">
      <c r="A90" s="5" t="s">
        <v>518</v>
      </c>
      <c r="B90" s="12" t="s">
        <v>519</v>
      </c>
      <c r="C90" s="13" t="s">
        <v>1574</v>
      </c>
      <c r="D90" s="92"/>
      <c r="E90" s="322" t="s">
        <v>4572</v>
      </c>
      <c r="F90" s="322" t="s">
        <v>4573</v>
      </c>
      <c r="G90" s="322"/>
    </row>
    <row r="91" spans="1:7">
      <c r="A91" s="395" t="s">
        <v>524</v>
      </c>
      <c r="B91" s="12" t="s">
        <v>525</v>
      </c>
      <c r="C91" s="13" t="s">
        <v>28</v>
      </c>
      <c r="D91" s="92" t="s">
        <v>3743</v>
      </c>
      <c r="E91" s="322" t="s">
        <v>4574</v>
      </c>
      <c r="F91" s="322"/>
      <c r="G91" s="322"/>
    </row>
    <row r="92" spans="1:7" ht="31.5" customHeight="1">
      <c r="A92" s="395" t="s">
        <v>72</v>
      </c>
      <c r="B92" s="12" t="s">
        <v>73</v>
      </c>
      <c r="C92" s="13" t="s">
        <v>21</v>
      </c>
      <c r="D92" s="92" t="s">
        <v>3743</v>
      </c>
      <c r="E92" s="90" t="s">
        <v>4575</v>
      </c>
      <c r="F92" s="322"/>
      <c r="G92" s="322"/>
    </row>
    <row r="93" spans="1:7">
      <c r="A93" s="5" t="s">
        <v>536</v>
      </c>
      <c r="B93" s="12" t="s">
        <v>537</v>
      </c>
      <c r="C93" s="13" t="s">
        <v>1574</v>
      </c>
      <c r="D93" s="92"/>
      <c r="E93" s="322"/>
      <c r="F93" s="322"/>
      <c r="G93" s="322"/>
    </row>
    <row r="94" spans="1:7" ht="33" customHeight="1">
      <c r="A94" s="5" t="s">
        <v>543</v>
      </c>
      <c r="B94" s="12" t="s">
        <v>544</v>
      </c>
      <c r="C94" s="13" t="s">
        <v>1574</v>
      </c>
      <c r="D94" s="92"/>
      <c r="E94" s="90" t="s">
        <v>4576</v>
      </c>
      <c r="F94" s="322"/>
      <c r="G94" s="322"/>
    </row>
    <row r="95" spans="1:7" ht="30" customHeight="1">
      <c r="A95" s="395" t="s">
        <v>363</v>
      </c>
      <c r="B95" s="12" t="s">
        <v>364</v>
      </c>
      <c r="C95" s="13" t="s">
        <v>1567</v>
      </c>
      <c r="D95" s="92" t="s">
        <v>3750</v>
      </c>
      <c r="E95" s="90" t="s">
        <v>4577</v>
      </c>
      <c r="F95" s="322" t="s">
        <v>4578</v>
      </c>
      <c r="G95" s="322"/>
    </row>
    <row r="96" spans="1:7" ht="26.25" customHeight="1">
      <c r="A96" s="395" t="s">
        <v>554</v>
      </c>
      <c r="B96" s="12" t="s">
        <v>555</v>
      </c>
      <c r="C96" s="13" t="s">
        <v>1567</v>
      </c>
      <c r="D96" s="92" t="s">
        <v>3750</v>
      </c>
      <c r="E96" s="90" t="s">
        <v>4579</v>
      </c>
      <c r="F96" s="322" t="s">
        <v>4580</v>
      </c>
      <c r="G96" s="322"/>
    </row>
    <row r="97" spans="1:7">
      <c r="A97" s="5" t="s">
        <v>561</v>
      </c>
      <c r="B97" s="12"/>
      <c r="C97" s="13" t="str">
        <f>IF(AND(ISNUMBER(MATCH(#REF!,{"F","E","D","D+","C","C+","B","B+","A","A+","S"},0)),ISNUMBER(MATCH(#REF!,{"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D97" s="92"/>
      <c r="E97" s="322"/>
      <c r="F97" s="322"/>
      <c r="G97" s="322"/>
    </row>
    <row r="98" spans="1:7" ht="30.75" customHeight="1">
      <c r="A98" s="5" t="s">
        <v>566</v>
      </c>
      <c r="B98" s="12" t="s">
        <v>567</v>
      </c>
      <c r="C98" s="13" t="s">
        <v>1562</v>
      </c>
      <c r="D98" s="92"/>
      <c r="E98" s="90" t="s">
        <v>4581</v>
      </c>
      <c r="F98" s="322"/>
      <c r="G98" s="322"/>
    </row>
    <row r="99" spans="1:7">
      <c r="A99" s="5" t="s">
        <v>573</v>
      </c>
      <c r="B99" s="12" t="s">
        <v>574</v>
      </c>
      <c r="C99" s="13" t="s">
        <v>1562</v>
      </c>
      <c r="D99" s="92"/>
      <c r="E99" s="322" t="s">
        <v>4582</v>
      </c>
      <c r="F99" s="322" t="s">
        <v>4583</v>
      </c>
      <c r="G99" s="322"/>
    </row>
    <row r="100" spans="1:7" ht="27" customHeight="1">
      <c r="A100" s="50" t="s">
        <v>580</v>
      </c>
      <c r="B100" s="12" t="s">
        <v>581</v>
      </c>
      <c r="C100" s="13" t="s">
        <v>18</v>
      </c>
      <c r="D100" s="92" t="s">
        <v>3741</v>
      </c>
      <c r="E100" s="90" t="s">
        <v>4584</v>
      </c>
      <c r="F100" s="322" t="s">
        <v>4585</v>
      </c>
      <c r="G100" s="322"/>
    </row>
    <row r="101" spans="1:7">
      <c r="A101" s="395" t="s">
        <v>154</v>
      </c>
      <c r="B101" s="12" t="s">
        <v>155</v>
      </c>
      <c r="C101" s="13" t="s">
        <v>21</v>
      </c>
      <c r="D101" s="92" t="s">
        <v>3743</v>
      </c>
      <c r="E101" s="322" t="s">
        <v>4586</v>
      </c>
      <c r="F101" s="322" t="s">
        <v>4587</v>
      </c>
      <c r="G101" s="322"/>
    </row>
    <row r="102" spans="1:7" ht="30" customHeight="1">
      <c r="A102" s="395" t="s">
        <v>248</v>
      </c>
      <c r="B102" s="12" t="s">
        <v>249</v>
      </c>
      <c r="C102" s="13" t="s">
        <v>1567</v>
      </c>
      <c r="D102" s="92" t="s">
        <v>3750</v>
      </c>
      <c r="E102" s="90" t="s">
        <v>4588</v>
      </c>
      <c r="F102" s="322" t="s">
        <v>4589</v>
      </c>
      <c r="G102" s="322"/>
    </row>
    <row r="103" spans="1:7" ht="32.25" customHeight="1">
      <c r="A103" s="5" t="s">
        <v>597</v>
      </c>
      <c r="B103" s="12" t="s">
        <v>598</v>
      </c>
      <c r="C103" s="13" t="s">
        <v>1562</v>
      </c>
      <c r="D103" s="92"/>
      <c r="E103" s="90" t="s">
        <v>4590</v>
      </c>
      <c r="F103" s="322"/>
      <c r="G103" s="322"/>
    </row>
    <row r="104" spans="1:7" ht="60" customHeight="1">
      <c r="A104" s="398" t="s">
        <v>141</v>
      </c>
      <c r="B104" s="396" t="s">
        <v>142</v>
      </c>
      <c r="C104" s="13" t="s">
        <v>17</v>
      </c>
      <c r="D104" s="92" t="s">
        <v>1559</v>
      </c>
      <c r="E104" s="90" t="s">
        <v>4591</v>
      </c>
      <c r="G104" s="322"/>
    </row>
    <row r="105" spans="1:7">
      <c r="A105" s="50" t="s">
        <v>608</v>
      </c>
      <c r="B105" s="12" t="s">
        <v>609</v>
      </c>
      <c r="C105" s="13" t="s">
        <v>1567</v>
      </c>
      <c r="D105" s="92" t="s">
        <v>3866</v>
      </c>
      <c r="E105" s="322" t="s">
        <v>4592</v>
      </c>
      <c r="F105" s="322" t="s">
        <v>4593</v>
      </c>
      <c r="G105" s="322"/>
    </row>
    <row r="106" spans="1:7" ht="29.25" customHeight="1">
      <c r="A106" s="5" t="s">
        <v>614</v>
      </c>
      <c r="B106" s="12" t="s">
        <v>615</v>
      </c>
      <c r="C106" s="13" t="s">
        <v>1567</v>
      </c>
      <c r="D106" s="92" t="s">
        <v>3866</v>
      </c>
      <c r="E106" s="90" t="s">
        <v>4594</v>
      </c>
      <c r="F106" s="322"/>
      <c r="G106" s="322"/>
    </row>
    <row r="107" spans="1:7" ht="30.75" customHeight="1">
      <c r="A107" s="50" t="s">
        <v>620</v>
      </c>
      <c r="B107" s="12" t="s">
        <v>621</v>
      </c>
      <c r="C107" s="13" t="s">
        <v>1567</v>
      </c>
      <c r="D107" s="92" t="s">
        <v>3866</v>
      </c>
      <c r="E107" s="90" t="s">
        <v>4595</v>
      </c>
      <c r="F107" s="90"/>
    </row>
    <row r="108" spans="1:7" ht="42.75" customHeight="1">
      <c r="A108" s="398" t="s">
        <v>419</v>
      </c>
      <c r="B108" s="396" t="s">
        <v>420</v>
      </c>
      <c r="C108" s="13" t="s">
        <v>17</v>
      </c>
      <c r="D108" s="92" t="s">
        <v>1559</v>
      </c>
      <c r="E108" s="90" t="s">
        <v>4596</v>
      </c>
      <c r="F108" s="90" t="s">
        <v>4597</v>
      </c>
      <c r="G108" s="90"/>
    </row>
    <row r="109" spans="1:7">
      <c r="A109" s="5" t="s">
        <v>628</v>
      </c>
      <c r="B109" s="12" t="s">
        <v>629</v>
      </c>
      <c r="C109" s="13" t="s">
        <v>1562</v>
      </c>
      <c r="D109" s="92"/>
      <c r="E109" s="322"/>
      <c r="F109" s="322"/>
      <c r="G109" s="322"/>
    </row>
    <row r="110" spans="1:7">
      <c r="A110" s="5" t="s">
        <v>634</v>
      </c>
      <c r="B110" s="12" t="s">
        <v>635</v>
      </c>
      <c r="C110" s="13" t="s">
        <v>18</v>
      </c>
      <c r="D110" s="92" t="s">
        <v>3741</v>
      </c>
      <c r="E110" s="322" t="s">
        <v>4598</v>
      </c>
      <c r="F110" s="322"/>
      <c r="G110" s="322"/>
    </row>
    <row r="111" spans="1:7" ht="30" customHeight="1">
      <c r="A111" s="395" t="s">
        <v>284</v>
      </c>
      <c r="B111" s="12" t="s">
        <v>285</v>
      </c>
      <c r="C111" s="13" t="s">
        <v>1567</v>
      </c>
      <c r="D111" s="92" t="s">
        <v>3750</v>
      </c>
      <c r="E111" s="90" t="s">
        <v>4599</v>
      </c>
      <c r="F111" s="322"/>
      <c r="G111" s="322"/>
    </row>
    <row r="112" spans="1:7">
      <c r="A112" s="5" t="s">
        <v>646</v>
      </c>
      <c r="B112" s="12" t="s">
        <v>647</v>
      </c>
      <c r="C112" s="13" t="s">
        <v>1574</v>
      </c>
      <c r="D112" s="92"/>
      <c r="E112" s="322"/>
      <c r="F112" s="322"/>
      <c r="G112" s="322"/>
    </row>
    <row r="113" spans="1:7" ht="33" customHeight="1">
      <c r="A113" s="5" t="s">
        <v>653</v>
      </c>
      <c r="B113" s="12" t="s">
        <v>654</v>
      </c>
      <c r="C113" s="13" t="s">
        <v>1574</v>
      </c>
      <c r="D113" s="92"/>
      <c r="E113" s="90" t="s">
        <v>4600</v>
      </c>
      <c r="F113" s="90" t="s">
        <v>4601</v>
      </c>
      <c r="G113" s="90"/>
    </row>
    <row r="114" spans="1:7">
      <c r="A114" s="5" t="s">
        <v>203</v>
      </c>
      <c r="B114" s="12" t="s">
        <v>204</v>
      </c>
      <c r="C114" s="13" t="s">
        <v>1567</v>
      </c>
      <c r="D114" s="92" t="s">
        <v>3866</v>
      </c>
      <c r="E114" s="322" t="s">
        <v>4602</v>
      </c>
      <c r="F114" s="322"/>
      <c r="G114" s="322"/>
    </row>
    <row r="115" spans="1:7" ht="74.25" customHeight="1">
      <c r="A115" s="399" t="s">
        <v>60</v>
      </c>
      <c r="B115" s="400" t="s">
        <v>61</v>
      </c>
      <c r="C115" s="401" t="s">
        <v>17</v>
      </c>
      <c r="D115" s="402" t="s">
        <v>1559</v>
      </c>
      <c r="E115" s="403" t="s">
        <v>4603</v>
      </c>
      <c r="F115" s="403" t="s">
        <v>4604</v>
      </c>
      <c r="G115" s="404" t="s">
        <v>3070</v>
      </c>
    </row>
    <row r="116" spans="1:7">
      <c r="A116" s="5" t="s">
        <v>669</v>
      </c>
      <c r="B116" s="12" t="s">
        <v>670</v>
      </c>
      <c r="C116" s="13" t="s">
        <v>22</v>
      </c>
      <c r="D116" s="92"/>
      <c r="E116" s="322"/>
      <c r="F116" s="322"/>
      <c r="G116" s="322"/>
    </row>
    <row r="117" spans="1:7">
      <c r="A117" s="5" t="s">
        <v>676</v>
      </c>
      <c r="B117" s="12" t="s">
        <v>677</v>
      </c>
      <c r="C117" s="13" t="s">
        <v>1562</v>
      </c>
      <c r="D117" s="92"/>
      <c r="E117" s="322" t="s">
        <v>4605</v>
      </c>
      <c r="F117" s="322"/>
      <c r="G117" s="322"/>
    </row>
    <row r="118" spans="1:7">
      <c r="A118" s="5" t="s">
        <v>682</v>
      </c>
      <c r="B118" s="12" t="s">
        <v>683</v>
      </c>
      <c r="C118" s="13" t="str">
        <f>IF(AND(ISNUMBER(MATCH(#REF!,{"F","E","D","D+","C","C+","B","B+","A","A+","S"},0)),ISNUMBER(MATCH(#REF!,{"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D118" s="92"/>
      <c r="E118" s="322" t="s">
        <v>4606</v>
      </c>
      <c r="F118" s="322"/>
      <c r="G118" s="322"/>
    </row>
    <row r="119" spans="1:7">
      <c r="A119" s="5" t="s">
        <v>689</v>
      </c>
      <c r="B119" s="12" t="s">
        <v>690</v>
      </c>
      <c r="C119" s="13" t="s">
        <v>1562</v>
      </c>
      <c r="D119" s="92"/>
      <c r="E119" s="322" t="s">
        <v>4607</v>
      </c>
      <c r="G119" s="322"/>
    </row>
    <row r="120" spans="1:7">
      <c r="A120" s="5" t="s">
        <v>696</v>
      </c>
      <c r="B120" s="12" t="s">
        <v>697</v>
      </c>
      <c r="C120" s="13" t="s">
        <v>16</v>
      </c>
      <c r="D120" s="92"/>
      <c r="E120" s="322"/>
      <c r="F120" s="322"/>
      <c r="G120" s="322"/>
    </row>
    <row r="121" spans="1:7">
      <c r="A121" s="5" t="s">
        <v>703</v>
      </c>
      <c r="B121" s="12" t="s">
        <v>704</v>
      </c>
      <c r="C121" s="13" t="s">
        <v>1562</v>
      </c>
      <c r="D121" s="92"/>
      <c r="E121" s="322" t="s">
        <v>4608</v>
      </c>
      <c r="F121" s="322"/>
      <c r="G121" s="322"/>
    </row>
    <row r="122" spans="1:7">
      <c r="A122" s="5" t="s">
        <v>710</v>
      </c>
      <c r="B122" s="12" t="s">
        <v>711</v>
      </c>
      <c r="C122" s="13" t="s">
        <v>1567</v>
      </c>
      <c r="D122" s="92" t="s">
        <v>3866</v>
      </c>
      <c r="E122" s="322" t="s">
        <v>4609</v>
      </c>
      <c r="F122" s="322"/>
      <c r="G122" s="322"/>
    </row>
    <row r="123" spans="1:7" ht="35.25" customHeight="1">
      <c r="A123" s="395" t="s">
        <v>717</v>
      </c>
      <c r="B123" s="12" t="s">
        <v>718</v>
      </c>
      <c r="C123" s="13" t="s">
        <v>28</v>
      </c>
      <c r="D123" s="92" t="s">
        <v>3743</v>
      </c>
      <c r="E123" s="90" t="s">
        <v>4610</v>
      </c>
      <c r="F123" s="318"/>
      <c r="G123" s="322"/>
    </row>
    <row r="124" spans="1:7" ht="33" customHeight="1">
      <c r="A124" s="395" t="s">
        <v>134</v>
      </c>
      <c r="B124" s="12" t="s">
        <v>135</v>
      </c>
      <c r="C124" s="13" t="s">
        <v>1567</v>
      </c>
      <c r="D124" s="92" t="s">
        <v>3750</v>
      </c>
      <c r="E124" s="90" t="s">
        <v>4611</v>
      </c>
      <c r="F124" s="322"/>
      <c r="G124" s="322"/>
    </row>
    <row r="125" spans="1:7" ht="55.5" customHeight="1">
      <c r="A125" s="5" t="s">
        <v>728</v>
      </c>
      <c r="B125" s="12" t="s">
        <v>729</v>
      </c>
      <c r="C125" s="13" t="s">
        <v>16</v>
      </c>
      <c r="D125" s="92"/>
      <c r="E125" s="90" t="s">
        <v>4612</v>
      </c>
      <c r="F125" s="90" t="s">
        <v>4613</v>
      </c>
      <c r="G125" s="90"/>
    </row>
    <row r="126" spans="1:7" ht="64.5" customHeight="1">
      <c r="A126" s="394" t="s">
        <v>290</v>
      </c>
      <c r="B126" s="12" t="s">
        <v>291</v>
      </c>
      <c r="C126" s="13" t="s">
        <v>17</v>
      </c>
      <c r="D126" s="92" t="s">
        <v>1559</v>
      </c>
      <c r="E126" s="90" t="s">
        <v>4614</v>
      </c>
      <c r="F126" s="322" t="s">
        <v>4615</v>
      </c>
      <c r="G126" s="322" t="s">
        <v>4616</v>
      </c>
    </row>
    <row r="127" spans="1:7">
      <c r="A127" s="395" t="s">
        <v>254</v>
      </c>
      <c r="B127" s="12" t="s">
        <v>255</v>
      </c>
      <c r="C127" s="13" t="s">
        <v>1567</v>
      </c>
      <c r="D127" s="92" t="s">
        <v>3743</v>
      </c>
      <c r="E127" s="322" t="s">
        <v>4617</v>
      </c>
      <c r="F127" s="322"/>
      <c r="G127" s="322"/>
    </row>
    <row r="128" spans="1:7" ht="33.75" customHeight="1">
      <c r="A128" s="24" t="s">
        <v>407</v>
      </c>
      <c r="B128" s="25" t="s">
        <v>408</v>
      </c>
      <c r="C128" s="19" t="s">
        <v>1562</v>
      </c>
      <c r="D128" s="106"/>
      <c r="E128" s="90" t="s">
        <v>4618</v>
      </c>
      <c r="F128" s="322"/>
      <c r="G128" s="322"/>
    </row>
    <row r="129" spans="1:7" ht="33" customHeight="1">
      <c r="A129" s="24" t="s">
        <v>747</v>
      </c>
      <c r="B129" s="25" t="s">
        <v>748</v>
      </c>
      <c r="C129" s="19" t="s">
        <v>18</v>
      </c>
      <c r="D129" s="106" t="s">
        <v>3741</v>
      </c>
      <c r="E129" s="90" t="s">
        <v>4619</v>
      </c>
      <c r="F129" s="322"/>
      <c r="G129" s="322"/>
    </row>
    <row r="130" spans="1:7">
      <c r="A130" s="405" t="s">
        <v>411</v>
      </c>
      <c r="B130" s="25" t="s">
        <v>412</v>
      </c>
      <c r="C130" s="19" t="s">
        <v>1567</v>
      </c>
      <c r="D130" s="106" t="s">
        <v>3750</v>
      </c>
      <c r="E130" s="322" t="s">
        <v>4620</v>
      </c>
      <c r="F130" s="322"/>
      <c r="G130" s="322"/>
    </row>
    <row r="131" spans="1:7">
      <c r="A131" s="405" t="s">
        <v>32</v>
      </c>
      <c r="B131" s="25" t="s">
        <v>33</v>
      </c>
      <c r="C131" s="19" t="s">
        <v>28</v>
      </c>
      <c r="D131" s="106" t="s">
        <v>3743</v>
      </c>
      <c r="E131" s="322" t="s">
        <v>4621</v>
      </c>
      <c r="F131" s="322"/>
      <c r="G131" s="322"/>
    </row>
    <row r="132" spans="1:7" ht="33.75" customHeight="1">
      <c r="A132" s="405" t="s">
        <v>301</v>
      </c>
      <c r="B132" s="406" t="s">
        <v>280</v>
      </c>
      <c r="C132" s="19" t="s">
        <v>28</v>
      </c>
      <c r="D132" s="106" t="s">
        <v>3743</v>
      </c>
      <c r="E132" s="90" t="s">
        <v>4622</v>
      </c>
      <c r="F132" s="322"/>
      <c r="G132" s="322"/>
    </row>
    <row r="133" spans="1:7">
      <c r="A133" s="405" t="s">
        <v>344</v>
      </c>
      <c r="B133" s="25" t="s">
        <v>345</v>
      </c>
      <c r="C133" s="19" t="s">
        <v>21</v>
      </c>
      <c r="D133" s="106" t="s">
        <v>3743</v>
      </c>
      <c r="E133" s="322" t="s">
        <v>4623</v>
      </c>
      <c r="F133" s="322" t="s">
        <v>4624</v>
      </c>
      <c r="G133" s="322"/>
    </row>
    <row r="134" spans="1:7">
      <c r="A134" s="24" t="s">
        <v>774</v>
      </c>
      <c r="B134" s="25" t="s">
        <v>775</v>
      </c>
      <c r="C134" s="19" t="s">
        <v>1574</v>
      </c>
      <c r="D134" s="106"/>
      <c r="E134" s="322"/>
      <c r="F134" s="322"/>
      <c r="G134" s="322"/>
    </row>
    <row r="135" spans="1:7" ht="34.5" customHeight="1">
      <c r="A135" s="24" t="s">
        <v>781</v>
      </c>
      <c r="B135" s="25" t="s">
        <v>544</v>
      </c>
      <c r="C135" s="19" t="s">
        <v>18</v>
      </c>
      <c r="D135" s="106" t="s">
        <v>3741</v>
      </c>
      <c r="E135" s="90" t="s">
        <v>4625</v>
      </c>
      <c r="F135" s="322"/>
      <c r="G135" s="322"/>
    </row>
    <row r="136" spans="1:7">
      <c r="A136" s="541" t="s">
        <v>787</v>
      </c>
      <c r="B136" s="531"/>
      <c r="C136" s="531"/>
      <c r="D136" s="531"/>
      <c r="E136" s="531"/>
      <c r="F136" s="531"/>
      <c r="G136" s="580"/>
    </row>
    <row r="137" spans="1:7">
      <c r="A137" s="538"/>
      <c r="B137" s="533"/>
      <c r="C137" s="533"/>
      <c r="D137" s="533"/>
      <c r="E137" s="533"/>
      <c r="F137" s="533"/>
      <c r="G137" s="539"/>
    </row>
    <row r="138" spans="1:7" ht="38.25" customHeight="1">
      <c r="A138" s="619" t="s">
        <v>4626</v>
      </c>
      <c r="B138" s="518"/>
      <c r="C138" s="518"/>
      <c r="D138" s="518"/>
      <c r="E138" s="518"/>
      <c r="F138" s="518"/>
      <c r="G138" s="524"/>
    </row>
    <row r="139" spans="1:7" s="208" customFormat="1" ht="33" customHeight="1">
      <c r="A139" s="5" t="s">
        <v>4</v>
      </c>
      <c r="B139" s="6" t="s">
        <v>5</v>
      </c>
      <c r="C139" s="5" t="s">
        <v>10</v>
      </c>
      <c r="D139" s="5" t="s">
        <v>4470</v>
      </c>
      <c r="E139" s="5" t="s">
        <v>11</v>
      </c>
      <c r="F139" s="24" t="s">
        <v>4471</v>
      </c>
      <c r="G139" s="24" t="s">
        <v>12</v>
      </c>
    </row>
    <row r="140" spans="1:7">
      <c r="A140" s="24" t="s">
        <v>802</v>
      </c>
      <c r="B140" s="25" t="s">
        <v>803</v>
      </c>
      <c r="C140" s="19" t="s">
        <v>22</v>
      </c>
      <c r="D140" s="106"/>
      <c r="E140" s="322"/>
      <c r="F140" s="322"/>
      <c r="G140" s="322"/>
    </row>
    <row r="141" spans="1:7">
      <c r="A141" s="24" t="s">
        <v>809</v>
      </c>
      <c r="B141" s="25" t="s">
        <v>810</v>
      </c>
      <c r="C141" s="19" t="s">
        <v>18</v>
      </c>
      <c r="D141" s="106"/>
      <c r="E141" s="322"/>
      <c r="F141" s="322"/>
      <c r="G141" s="322"/>
    </row>
    <row r="142" spans="1:7">
      <c r="A142" s="24" t="s">
        <v>755</v>
      </c>
      <c r="B142" s="25" t="s">
        <v>756</v>
      </c>
      <c r="C142" s="19" t="s">
        <v>1567</v>
      </c>
      <c r="D142" s="106" t="s">
        <v>3866</v>
      </c>
      <c r="E142" s="322" t="s">
        <v>4627</v>
      </c>
      <c r="F142" s="322"/>
      <c r="G142" s="322"/>
    </row>
    <row r="143" spans="1:7">
      <c r="A143" s="24" t="s">
        <v>820</v>
      </c>
      <c r="B143" s="25" t="s">
        <v>821</v>
      </c>
      <c r="C143" s="19" t="s">
        <v>18</v>
      </c>
      <c r="E143" s="322"/>
      <c r="F143" s="322"/>
      <c r="G143" s="322"/>
    </row>
    <row r="144" spans="1:7">
      <c r="A144" s="24" t="s">
        <v>827</v>
      </c>
      <c r="B144" s="25" t="s">
        <v>828</v>
      </c>
      <c r="C144" s="19" t="s">
        <v>1562</v>
      </c>
      <c r="D144" s="106"/>
      <c r="E144" s="322"/>
      <c r="F144" s="322"/>
      <c r="G144" s="322"/>
    </row>
    <row r="145" spans="1:7">
      <c r="A145" s="24" t="s">
        <v>812</v>
      </c>
      <c r="B145" s="25" t="s">
        <v>813</v>
      </c>
      <c r="C145" s="19" t="s">
        <v>18</v>
      </c>
      <c r="D145" s="106" t="s">
        <v>3741</v>
      </c>
      <c r="E145" s="322" t="s">
        <v>4628</v>
      </c>
      <c r="F145" s="322"/>
      <c r="G145" s="322"/>
    </row>
    <row r="146" spans="1:7" ht="48.75" customHeight="1">
      <c r="A146" s="24" t="s">
        <v>839</v>
      </c>
      <c r="B146" s="25" t="s">
        <v>840</v>
      </c>
      <c r="C146" s="19" t="s">
        <v>18</v>
      </c>
      <c r="D146" s="106"/>
      <c r="E146" s="90" t="s">
        <v>4629</v>
      </c>
      <c r="F146" s="90" t="s">
        <v>4630</v>
      </c>
      <c r="G146" s="322"/>
    </row>
    <row r="147" spans="1:7" ht="33" customHeight="1">
      <c r="A147" s="24" t="s">
        <v>845</v>
      </c>
      <c r="B147" s="25" t="s">
        <v>846</v>
      </c>
      <c r="C147" s="19" t="s">
        <v>1562</v>
      </c>
      <c r="D147" s="106"/>
      <c r="E147" s="322"/>
      <c r="F147" s="322"/>
      <c r="G147" s="322"/>
    </row>
    <row r="148" spans="1:7">
      <c r="A148" s="24" t="s">
        <v>617</v>
      </c>
      <c r="B148" s="25" t="s">
        <v>618</v>
      </c>
      <c r="C148" s="19" t="s">
        <v>1567</v>
      </c>
      <c r="D148" s="106" t="s">
        <v>3866</v>
      </c>
      <c r="E148" s="322" t="s">
        <v>4631</v>
      </c>
      <c r="F148" s="322"/>
      <c r="G148" s="322"/>
    </row>
    <row r="149" spans="1:7">
      <c r="A149" s="24" t="s">
        <v>856</v>
      </c>
      <c r="B149" s="25" t="s">
        <v>857</v>
      </c>
      <c r="C149" s="19" t="str">
        <f>IF(AND(ISNUMBER(MATCH(#REF!,{"F","E","D","D+","C","C+","B","B+","A","A+","S"},0)),ISNUMBER(MATCH(#REF!,{"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D149" s="106"/>
      <c r="F149" s="322"/>
      <c r="G149" s="322"/>
    </row>
    <row r="150" spans="1:7" ht="33" customHeight="1">
      <c r="A150" s="405" t="s">
        <v>783</v>
      </c>
      <c r="B150" s="25" t="s">
        <v>784</v>
      </c>
      <c r="C150" s="19" t="s">
        <v>1567</v>
      </c>
      <c r="D150" s="106" t="s">
        <v>3750</v>
      </c>
      <c r="E150" s="90" t="s">
        <v>4632</v>
      </c>
      <c r="F150" s="322"/>
      <c r="G150" s="322"/>
    </row>
    <row r="151" spans="1:7">
      <c r="A151" s="24" t="s">
        <v>863</v>
      </c>
      <c r="B151" s="25" t="s">
        <v>864</v>
      </c>
      <c r="C151" s="19" t="s">
        <v>1562</v>
      </c>
      <c r="E151" s="322"/>
      <c r="F151" s="322"/>
      <c r="G151" s="322"/>
    </row>
    <row r="152" spans="1:7">
      <c r="A152" s="407" t="s">
        <v>551</v>
      </c>
      <c r="B152" s="25" t="s">
        <v>552</v>
      </c>
      <c r="C152" s="19" t="s">
        <v>17</v>
      </c>
      <c r="D152" s="106" t="s">
        <v>1559</v>
      </c>
      <c r="E152" s="322" t="s">
        <v>4633</v>
      </c>
      <c r="F152" s="322"/>
      <c r="G152" s="322"/>
    </row>
    <row r="153" spans="1:7">
      <c r="A153" s="24" t="s">
        <v>871</v>
      </c>
      <c r="B153" s="25" t="s">
        <v>872</v>
      </c>
      <c r="C153" s="19" t="s">
        <v>18</v>
      </c>
      <c r="D153" s="106" t="s">
        <v>3866</v>
      </c>
      <c r="E153" s="322" t="s">
        <v>4634</v>
      </c>
      <c r="F153" s="322"/>
      <c r="G153" s="322"/>
    </row>
    <row r="154" spans="1:7">
      <c r="A154" s="405" t="s">
        <v>760</v>
      </c>
      <c r="B154" s="25" t="s">
        <v>761</v>
      </c>
      <c r="C154" s="19" t="s">
        <v>1567</v>
      </c>
      <c r="D154" s="106" t="s">
        <v>3750</v>
      </c>
      <c r="E154" s="322" t="s">
        <v>4635</v>
      </c>
      <c r="F154" s="322" t="s">
        <v>4636</v>
      </c>
      <c r="G154" s="322"/>
    </row>
    <row r="155" spans="1:7">
      <c r="A155" s="24" t="s">
        <v>883</v>
      </c>
      <c r="B155" s="25" t="s">
        <v>884</v>
      </c>
      <c r="C155" s="19" t="s">
        <v>1574</v>
      </c>
      <c r="D155" s="106"/>
      <c r="E155" s="322" t="s">
        <v>4637</v>
      </c>
      <c r="F155" s="322"/>
      <c r="G155" s="322"/>
    </row>
    <row r="156" spans="1:7" ht="41.25" customHeight="1">
      <c r="A156" s="24" t="s">
        <v>890</v>
      </c>
      <c r="B156" s="25" t="s">
        <v>891</v>
      </c>
      <c r="C156" s="19" t="s">
        <v>1574</v>
      </c>
      <c r="D156" s="106"/>
      <c r="E156" s="322"/>
      <c r="F156" s="322"/>
      <c r="G156" s="322"/>
    </row>
    <row r="157" spans="1:7" ht="42.75" customHeight="1">
      <c r="A157" s="405" t="s">
        <v>750</v>
      </c>
      <c r="B157" s="25" t="s">
        <v>751</v>
      </c>
      <c r="C157" s="19" t="s">
        <v>1567</v>
      </c>
      <c r="D157" s="106" t="s">
        <v>3750</v>
      </c>
      <c r="E157" s="90" t="s">
        <v>4638</v>
      </c>
      <c r="F157" s="90" t="s">
        <v>4639</v>
      </c>
      <c r="G157" s="322"/>
    </row>
    <row r="158" spans="1:7" ht="45.75" customHeight="1">
      <c r="A158" s="24" t="s">
        <v>900</v>
      </c>
      <c r="B158" s="25" t="s">
        <v>901</v>
      </c>
      <c r="C158" s="19" t="s">
        <v>18</v>
      </c>
      <c r="D158" s="106"/>
      <c r="E158" s="322" t="s">
        <v>4640</v>
      </c>
      <c r="F158" s="322"/>
      <c r="G158" s="322"/>
    </row>
    <row r="159" spans="1:7">
      <c r="A159" s="24" t="s">
        <v>907</v>
      </c>
      <c r="B159" s="25" t="s">
        <v>908</v>
      </c>
      <c r="C159" s="19" t="s">
        <v>1574</v>
      </c>
      <c r="D159" s="106"/>
      <c r="E159" s="322"/>
      <c r="F159" s="322"/>
      <c r="G159" s="322"/>
    </row>
    <row r="160" spans="1:7">
      <c r="A160" s="24" t="s">
        <v>914</v>
      </c>
      <c r="B160" s="25" t="s">
        <v>915</v>
      </c>
      <c r="C160" s="19" t="s">
        <v>1574</v>
      </c>
      <c r="D160" s="106"/>
      <c r="E160" s="322"/>
      <c r="F160" s="322"/>
      <c r="G160" s="322"/>
    </row>
    <row r="161" spans="1:7">
      <c r="A161" s="405" t="s">
        <v>515</v>
      </c>
      <c r="B161" s="25" t="s">
        <v>516</v>
      </c>
      <c r="C161" s="19" t="s">
        <v>1567</v>
      </c>
      <c r="D161" s="106" t="s">
        <v>3750</v>
      </c>
      <c r="E161" s="322" t="s">
        <v>4641</v>
      </c>
      <c r="F161" s="322"/>
      <c r="G161" s="322"/>
    </row>
    <row r="162" spans="1:7" ht="30" customHeight="1">
      <c r="A162" s="24" t="s">
        <v>679</v>
      </c>
      <c r="B162" s="25" t="s">
        <v>680</v>
      </c>
      <c r="C162" s="19" t="s">
        <v>18</v>
      </c>
      <c r="D162" s="106" t="s">
        <v>3866</v>
      </c>
      <c r="E162" s="90" t="s">
        <v>4642</v>
      </c>
      <c r="F162" s="322"/>
      <c r="G162" s="322"/>
    </row>
    <row r="163" spans="1:7">
      <c r="A163" s="24" t="s">
        <v>611</v>
      </c>
      <c r="B163" s="25" t="s">
        <v>612</v>
      </c>
      <c r="C163" s="19" t="s">
        <v>18</v>
      </c>
      <c r="D163" s="106" t="s">
        <v>3741</v>
      </c>
      <c r="E163" s="322" t="s">
        <v>4643</v>
      </c>
      <c r="F163" s="322" t="s">
        <v>4644</v>
      </c>
      <c r="G163" s="322"/>
    </row>
    <row r="164" spans="1:7" ht="29.25" customHeight="1">
      <c r="A164" s="405" t="s">
        <v>713</v>
      </c>
      <c r="B164" s="25" t="s">
        <v>714</v>
      </c>
      <c r="C164" s="19" t="s">
        <v>21</v>
      </c>
      <c r="D164" s="106" t="s">
        <v>3750</v>
      </c>
      <c r="E164" s="90" t="s">
        <v>4645</v>
      </c>
      <c r="F164" s="322"/>
      <c r="G164" s="322"/>
    </row>
    <row r="165" spans="1:7">
      <c r="A165" s="24" t="s">
        <v>938</v>
      </c>
      <c r="B165" s="25" t="s">
        <v>939</v>
      </c>
      <c r="C165" s="19" t="s">
        <v>1574</v>
      </c>
      <c r="D165" s="106"/>
      <c r="E165" s="322"/>
      <c r="F165" s="322"/>
      <c r="G165" s="322"/>
    </row>
    <row r="166" spans="1:7">
      <c r="A166" s="24" t="s">
        <v>945</v>
      </c>
      <c r="B166" s="25" t="s">
        <v>946</v>
      </c>
      <c r="C166" s="19" t="s">
        <v>1574</v>
      </c>
      <c r="D166" s="106"/>
      <c r="E166" s="322"/>
      <c r="F166" s="322"/>
      <c r="G166" s="322"/>
    </row>
    <row r="167" spans="1:7" ht="69" customHeight="1">
      <c r="A167" s="405" t="s">
        <v>952</v>
      </c>
      <c r="B167" s="25" t="s">
        <v>953</v>
      </c>
      <c r="C167" s="19" t="s">
        <v>1567</v>
      </c>
      <c r="D167" s="106" t="s">
        <v>3750</v>
      </c>
      <c r="E167" s="90" t="s">
        <v>4646</v>
      </c>
      <c r="F167" s="90" t="s">
        <v>4647</v>
      </c>
      <c r="G167" s="322"/>
    </row>
    <row r="168" spans="1:7" ht="53.25" customHeight="1">
      <c r="A168" s="405" t="s">
        <v>959</v>
      </c>
      <c r="B168" s="25" t="s">
        <v>960</v>
      </c>
      <c r="C168" s="19" t="s">
        <v>21</v>
      </c>
      <c r="D168" s="106" t="s">
        <v>3743</v>
      </c>
      <c r="E168" s="90" t="s">
        <v>4648</v>
      </c>
      <c r="F168" s="90" t="s">
        <v>4649</v>
      </c>
      <c r="G168" s="322"/>
    </row>
    <row r="169" spans="1:7" ht="32.25" customHeight="1">
      <c r="A169" s="24" t="s">
        <v>966</v>
      </c>
      <c r="B169" s="33" t="s">
        <v>967</v>
      </c>
      <c r="C169" s="19" t="s">
        <v>18</v>
      </c>
      <c r="D169" s="106" t="s">
        <v>3741</v>
      </c>
      <c r="E169" s="90" t="s">
        <v>4650</v>
      </c>
      <c r="F169" s="322" t="s">
        <v>4651</v>
      </c>
      <c r="G169" s="322"/>
    </row>
    <row r="170" spans="1:7">
      <c r="A170" s="24" t="s">
        <v>649</v>
      </c>
      <c r="B170" s="25" t="s">
        <v>650</v>
      </c>
      <c r="C170" s="19" t="s">
        <v>18</v>
      </c>
      <c r="D170" s="106" t="s">
        <v>3741</v>
      </c>
      <c r="E170" s="322" t="s">
        <v>4652</v>
      </c>
      <c r="F170" s="322" t="s">
        <v>4653</v>
      </c>
      <c r="G170" s="322"/>
    </row>
    <row r="171" spans="1:7" ht="47.25" customHeight="1">
      <c r="A171" s="407" t="s">
        <v>631</v>
      </c>
      <c r="B171" s="25" t="s">
        <v>632</v>
      </c>
      <c r="C171" s="19" t="s">
        <v>17</v>
      </c>
      <c r="D171" s="106" t="s">
        <v>1559</v>
      </c>
      <c r="E171" s="90" t="s">
        <v>4654</v>
      </c>
      <c r="F171" s="90"/>
      <c r="G171" s="90"/>
    </row>
    <row r="172" spans="1:7">
      <c r="A172" s="24" t="s">
        <v>982</v>
      </c>
      <c r="B172" s="25" t="s">
        <v>983</v>
      </c>
      <c r="C172" s="19" t="s">
        <v>1574</v>
      </c>
      <c r="D172" s="106"/>
      <c r="E172" s="322"/>
      <c r="F172" s="322"/>
      <c r="G172" s="322"/>
    </row>
    <row r="173" spans="1:7" ht="30.75" customHeight="1">
      <c r="A173" s="405" t="s">
        <v>765</v>
      </c>
      <c r="B173" s="25" t="s">
        <v>766</v>
      </c>
      <c r="C173" s="19" t="s">
        <v>28</v>
      </c>
      <c r="D173" s="106" t="s">
        <v>3743</v>
      </c>
      <c r="E173" s="322" t="s">
        <v>4655</v>
      </c>
      <c r="F173" s="322"/>
      <c r="G173" s="322"/>
    </row>
    <row r="174" spans="1:7">
      <c r="A174" s="24" t="s">
        <v>991</v>
      </c>
      <c r="B174" s="310" t="s">
        <v>992</v>
      </c>
      <c r="C174" s="19" t="s">
        <v>22</v>
      </c>
      <c r="D174" s="106"/>
      <c r="E174" s="322" t="s">
        <v>4656</v>
      </c>
      <c r="F174" s="322"/>
      <c r="G174" s="322"/>
    </row>
    <row r="175" spans="1:7">
      <c r="A175" s="24" t="s">
        <v>997</v>
      </c>
      <c r="B175" s="25" t="s">
        <v>998</v>
      </c>
      <c r="C175" s="19" t="s">
        <v>1562</v>
      </c>
      <c r="D175" s="106"/>
      <c r="E175" s="322"/>
      <c r="F175" s="322"/>
      <c r="G175" s="322"/>
    </row>
    <row r="176" spans="1:7">
      <c r="A176" s="24" t="s">
        <v>1004</v>
      </c>
      <c r="B176" s="25" t="s">
        <v>1005</v>
      </c>
      <c r="C176" s="19" t="s">
        <v>1574</v>
      </c>
      <c r="D176" s="106"/>
      <c r="E176" s="322"/>
      <c r="F176" s="322"/>
      <c r="G176" s="322"/>
    </row>
    <row r="177" spans="1:7" ht="70.5" customHeight="1">
      <c r="A177" s="405" t="s">
        <v>830</v>
      </c>
      <c r="B177" s="25" t="s">
        <v>831</v>
      </c>
      <c r="C177" s="19" t="s">
        <v>28</v>
      </c>
      <c r="D177" s="106" t="s">
        <v>3743</v>
      </c>
      <c r="E177" s="90" t="s">
        <v>4657</v>
      </c>
      <c r="F177" s="90" t="s">
        <v>4658</v>
      </c>
      <c r="G177" s="322"/>
    </row>
    <row r="178" spans="1:7">
      <c r="A178" s="24" t="s">
        <v>789</v>
      </c>
      <c r="B178" s="25" t="s">
        <v>790</v>
      </c>
      <c r="C178" s="19" t="s">
        <v>1567</v>
      </c>
      <c r="D178" s="106" t="s">
        <v>3866</v>
      </c>
      <c r="E178" s="322" t="s">
        <v>4659</v>
      </c>
      <c r="F178" s="322"/>
      <c r="G178" s="322"/>
    </row>
    <row r="179" spans="1:7">
      <c r="A179" s="405" t="s">
        <v>527</v>
      </c>
      <c r="B179" s="25" t="s">
        <v>528</v>
      </c>
      <c r="C179" s="19" t="s">
        <v>1567</v>
      </c>
      <c r="D179" s="106" t="s">
        <v>3750</v>
      </c>
      <c r="E179" s="322" t="s">
        <v>4660</v>
      </c>
      <c r="F179" s="322"/>
      <c r="G179" s="322"/>
    </row>
    <row r="180" spans="1:7">
      <c r="A180" s="24" t="s">
        <v>1024</v>
      </c>
      <c r="B180" s="25" t="s">
        <v>1025</v>
      </c>
      <c r="C180" s="19" t="s">
        <v>1567</v>
      </c>
      <c r="D180" s="106" t="s">
        <v>3866</v>
      </c>
      <c r="E180" s="322" t="s">
        <v>4661</v>
      </c>
      <c r="F180" s="322"/>
      <c r="G180" s="322"/>
    </row>
    <row r="181" spans="1:7">
      <c r="A181" s="24" t="s">
        <v>1031</v>
      </c>
      <c r="B181" s="25" t="s">
        <v>1032</v>
      </c>
      <c r="C181" s="19" t="s">
        <v>18</v>
      </c>
      <c r="D181" s="106" t="s">
        <v>3866</v>
      </c>
      <c r="E181" s="322" t="s">
        <v>4662</v>
      </c>
      <c r="F181" s="322"/>
      <c r="G181" s="322"/>
    </row>
    <row r="182" spans="1:7" ht="35.25" customHeight="1">
      <c r="A182" s="405" t="s">
        <v>816</v>
      </c>
      <c r="B182" s="25" t="s">
        <v>817</v>
      </c>
      <c r="C182" s="19" t="s">
        <v>1567</v>
      </c>
      <c r="D182" s="106" t="s">
        <v>3750</v>
      </c>
      <c r="E182" s="322" t="s">
        <v>4663</v>
      </c>
      <c r="F182" s="322"/>
      <c r="G182" s="322"/>
    </row>
    <row r="183" spans="1:7" ht="19.5" customHeight="1">
      <c r="A183" s="24" t="s">
        <v>1035</v>
      </c>
      <c r="B183" s="25" t="s">
        <v>1036</v>
      </c>
      <c r="C183" s="19" t="s">
        <v>1562</v>
      </c>
      <c r="D183" s="106"/>
      <c r="E183" s="322" t="s">
        <v>4664</v>
      </c>
      <c r="F183" s="322"/>
      <c r="G183" s="322"/>
    </row>
    <row r="184" spans="1:7" ht="29.25" customHeight="1">
      <c r="A184" s="405" t="s">
        <v>672</v>
      </c>
      <c r="B184" s="25" t="s">
        <v>673</v>
      </c>
      <c r="C184" s="19" t="s">
        <v>1567</v>
      </c>
      <c r="D184" s="106" t="s">
        <v>3750</v>
      </c>
      <c r="E184" s="90" t="s">
        <v>4665</v>
      </c>
      <c r="F184" s="90" t="s">
        <v>4666</v>
      </c>
      <c r="G184" s="322"/>
    </row>
    <row r="185" spans="1:7" ht="30.75" customHeight="1">
      <c r="A185" s="405" t="s">
        <v>706</v>
      </c>
      <c r="B185" s="25" t="s">
        <v>707</v>
      </c>
      <c r="C185" s="19" t="s">
        <v>1567</v>
      </c>
      <c r="D185" s="106" t="s">
        <v>3750</v>
      </c>
      <c r="E185" s="90" t="s">
        <v>4667</v>
      </c>
      <c r="F185" s="322"/>
      <c r="G185" s="322"/>
    </row>
    <row r="186" spans="1:7">
      <c r="A186" s="24" t="s">
        <v>1048</v>
      </c>
      <c r="B186" s="25" t="s">
        <v>1049</v>
      </c>
      <c r="C186" s="19" t="s">
        <v>1562</v>
      </c>
      <c r="D186" s="106"/>
      <c r="E186" s="322" t="s">
        <v>4668</v>
      </c>
      <c r="G186" s="322"/>
    </row>
    <row r="187" spans="1:7" ht="30" customHeight="1">
      <c r="A187" s="24" t="s">
        <v>1054</v>
      </c>
      <c r="B187" s="25" t="s">
        <v>1055</v>
      </c>
      <c r="C187" s="19" t="s">
        <v>1567</v>
      </c>
      <c r="D187" s="106" t="s">
        <v>3866</v>
      </c>
      <c r="E187" s="90" t="s">
        <v>4669</v>
      </c>
      <c r="F187" s="322"/>
      <c r="G187" s="322"/>
    </row>
    <row r="188" spans="1:7">
      <c r="A188" s="405" t="s">
        <v>569</v>
      </c>
      <c r="B188" s="25" t="s">
        <v>570</v>
      </c>
      <c r="C188" s="19" t="s">
        <v>21</v>
      </c>
      <c r="D188" s="106" t="s">
        <v>3743</v>
      </c>
      <c r="E188" s="322" t="s">
        <v>4670</v>
      </c>
      <c r="F188" s="322" t="s">
        <v>4671</v>
      </c>
      <c r="G188" s="322"/>
    </row>
    <row r="189" spans="1:7" ht="33" customHeight="1">
      <c r="A189" s="24" t="s">
        <v>1065</v>
      </c>
      <c r="B189" s="25" t="s">
        <v>1066</v>
      </c>
      <c r="C189" s="19" t="s">
        <v>18</v>
      </c>
      <c r="D189" s="106" t="s">
        <v>3741</v>
      </c>
      <c r="E189" s="90" t="s">
        <v>4672</v>
      </c>
      <c r="F189" s="322" t="s">
        <v>4673</v>
      </c>
      <c r="G189" s="322"/>
    </row>
    <row r="190" spans="1:7" ht="44.25" customHeight="1">
      <c r="A190" s="24" t="s">
        <v>1070</v>
      </c>
      <c r="B190" s="25" t="s">
        <v>1071</v>
      </c>
      <c r="C190" s="19" t="s">
        <v>18</v>
      </c>
      <c r="D190" s="106"/>
      <c r="E190" s="322" t="s">
        <v>4674</v>
      </c>
      <c r="F190" s="322"/>
      <c r="G190" s="322"/>
    </row>
    <row r="191" spans="1:7" ht="34">
      <c r="A191" s="24" t="s">
        <v>605</v>
      </c>
      <c r="B191" s="25" t="s">
        <v>606</v>
      </c>
      <c r="C191" s="19" t="s">
        <v>1567</v>
      </c>
      <c r="D191" s="106" t="s">
        <v>3866</v>
      </c>
      <c r="E191" s="90" t="s">
        <v>4675</v>
      </c>
      <c r="F191" s="322"/>
      <c r="G191" s="322"/>
    </row>
    <row r="192" spans="1:7">
      <c r="A192" s="24" t="s">
        <v>1081</v>
      </c>
      <c r="B192" s="25" t="s">
        <v>1082</v>
      </c>
      <c r="C192" s="19" t="s">
        <v>1574</v>
      </c>
      <c r="D192" s="106"/>
      <c r="E192" s="322"/>
      <c r="F192" s="322"/>
      <c r="G192" s="322"/>
    </row>
    <row r="193" spans="1:7">
      <c r="A193" s="24" t="s">
        <v>1087</v>
      </c>
      <c r="B193" s="25" t="s">
        <v>1088</v>
      </c>
      <c r="C193" s="19" t="s">
        <v>1574</v>
      </c>
      <c r="D193" s="106"/>
      <c r="E193" s="322" t="s">
        <v>4676</v>
      </c>
      <c r="F193" s="322"/>
      <c r="G193" s="322"/>
    </row>
    <row r="194" spans="1:7">
      <c r="A194" s="24" t="s">
        <v>1093</v>
      </c>
      <c r="B194" s="25" t="s">
        <v>1094</v>
      </c>
      <c r="C194" s="19" t="s">
        <v>1562</v>
      </c>
      <c r="D194" s="106"/>
      <c r="E194" s="322"/>
      <c r="F194" s="322"/>
      <c r="G194" s="322"/>
    </row>
    <row r="195" spans="1:7" ht="32.25" customHeight="1">
      <c r="A195" s="24" t="s">
        <v>853</v>
      </c>
      <c r="B195" s="25" t="s">
        <v>854</v>
      </c>
      <c r="C195" s="19" t="s">
        <v>18</v>
      </c>
      <c r="D195" s="106" t="s">
        <v>3866</v>
      </c>
      <c r="E195" s="90" t="s">
        <v>4677</v>
      </c>
      <c r="F195" s="322" t="s">
        <v>4678</v>
      </c>
      <c r="G195" s="322"/>
    </row>
    <row r="196" spans="1:7">
      <c r="A196" s="405" t="s">
        <v>725</v>
      </c>
      <c r="B196" s="25" t="s">
        <v>726</v>
      </c>
      <c r="C196" s="19" t="s">
        <v>21</v>
      </c>
      <c r="D196" s="106" t="s">
        <v>3743</v>
      </c>
      <c r="E196" s="322" t="s">
        <v>4679</v>
      </c>
      <c r="F196" s="322"/>
      <c r="G196" s="322"/>
    </row>
    <row r="197" spans="1:7" ht="51">
      <c r="A197" s="407" t="s">
        <v>731</v>
      </c>
      <c r="B197" s="25" t="s">
        <v>732</v>
      </c>
      <c r="C197" s="19" t="s">
        <v>17</v>
      </c>
      <c r="D197" s="106" t="s">
        <v>1559</v>
      </c>
      <c r="E197" s="90" t="s">
        <v>4680</v>
      </c>
      <c r="F197" s="322"/>
      <c r="G197" s="322"/>
    </row>
    <row r="198" spans="1:7">
      <c r="A198" s="24" t="s">
        <v>1113</v>
      </c>
      <c r="B198" s="25" t="s">
        <v>1114</v>
      </c>
      <c r="C198" s="19" t="str">
        <f>IF(AND(ISNUMBER(MATCH(#REF!,{"F","E","D","D+","C","C+","B","B+","A","A+","S"},0)),ISNUMBER(MATCH(#REF!,{"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D198" s="106"/>
      <c r="E198" s="322"/>
      <c r="F198" s="322"/>
      <c r="G198" s="322"/>
    </row>
    <row r="199" spans="1:7">
      <c r="A199" s="405" t="s">
        <v>642</v>
      </c>
      <c r="B199" s="25" t="s">
        <v>643</v>
      </c>
      <c r="C199" s="19" t="s">
        <v>28</v>
      </c>
      <c r="D199" s="106" t="s">
        <v>3743</v>
      </c>
      <c r="E199" s="322" t="s">
        <v>4681</v>
      </c>
      <c r="F199" s="322"/>
      <c r="G199" s="322"/>
    </row>
    <row r="200" spans="1:7">
      <c r="A200" s="24" t="s">
        <v>1125</v>
      </c>
      <c r="B200" s="25" t="s">
        <v>1126</v>
      </c>
      <c r="C200" s="19" t="s">
        <v>1574</v>
      </c>
      <c r="D200" s="106"/>
      <c r="E200" s="322"/>
      <c r="F200" s="322"/>
      <c r="G200" s="322"/>
    </row>
    <row r="201" spans="1:7">
      <c r="A201" s="24" t="s">
        <v>1132</v>
      </c>
      <c r="B201" s="25" t="s">
        <v>1133</v>
      </c>
      <c r="C201" s="19" t="s">
        <v>1562</v>
      </c>
      <c r="D201" s="106"/>
      <c r="E201" s="322"/>
      <c r="F201" s="322"/>
      <c r="G201" s="322"/>
    </row>
    <row r="202" spans="1:7">
      <c r="A202" s="405" t="s">
        <v>1139</v>
      </c>
      <c r="B202" s="25" t="s">
        <v>1140</v>
      </c>
      <c r="C202" s="19" t="s">
        <v>28</v>
      </c>
      <c r="D202" s="106" t="s">
        <v>3743</v>
      </c>
      <c r="E202" s="322" t="s">
        <v>4682</v>
      </c>
      <c r="F202" s="322"/>
      <c r="G202" s="322" t="s">
        <v>4683</v>
      </c>
    </row>
    <row r="203" spans="1:7" ht="51">
      <c r="A203" s="407" t="s">
        <v>600</v>
      </c>
      <c r="B203" s="25" t="s">
        <v>601</v>
      </c>
      <c r="C203" s="19" t="s">
        <v>17</v>
      </c>
      <c r="D203" s="106" t="s">
        <v>1559</v>
      </c>
      <c r="E203" s="90" t="s">
        <v>4684</v>
      </c>
      <c r="F203" s="322"/>
      <c r="G203" s="322"/>
    </row>
    <row r="204" spans="1:7" ht="45" customHeight="1">
      <c r="A204" s="24" t="s">
        <v>1150</v>
      </c>
      <c r="B204" s="25" t="s">
        <v>1151</v>
      </c>
      <c r="C204" s="19" t="s">
        <v>18</v>
      </c>
      <c r="D204" s="106"/>
      <c r="E204" s="90" t="s">
        <v>4685</v>
      </c>
      <c r="F204" s="322" t="s">
        <v>4686</v>
      </c>
      <c r="G204" s="322"/>
    </row>
    <row r="205" spans="1:7" ht="29.25" customHeight="1">
      <c r="A205" s="405" t="s">
        <v>637</v>
      </c>
      <c r="B205" s="25" t="s">
        <v>638</v>
      </c>
      <c r="C205" s="19" t="s">
        <v>28</v>
      </c>
      <c r="D205" s="106" t="s">
        <v>3743</v>
      </c>
      <c r="E205" s="90" t="s">
        <v>4687</v>
      </c>
      <c r="F205" s="322" t="s">
        <v>4688</v>
      </c>
      <c r="G205" s="322"/>
    </row>
    <row r="206" spans="1:7">
      <c r="A206" s="24" t="s">
        <v>1160</v>
      </c>
      <c r="B206" s="25" t="s">
        <v>1161</v>
      </c>
      <c r="C206" s="19" t="s">
        <v>1567</v>
      </c>
      <c r="D206" s="106" t="s">
        <v>3866</v>
      </c>
      <c r="E206" s="322" t="s">
        <v>4689</v>
      </c>
      <c r="F206" s="322"/>
      <c r="G206" s="322"/>
    </row>
    <row r="207" spans="1:7" ht="30.75" customHeight="1">
      <c r="A207" s="405" t="s">
        <v>777</v>
      </c>
      <c r="B207" s="25" t="s">
        <v>778</v>
      </c>
      <c r="C207" s="19" t="s">
        <v>1567</v>
      </c>
      <c r="D207" s="106" t="s">
        <v>3750</v>
      </c>
      <c r="E207" s="90" t="s">
        <v>4690</v>
      </c>
      <c r="F207" s="322"/>
      <c r="G207" s="322"/>
    </row>
    <row r="208" spans="1:7">
      <c r="A208" s="24" t="s">
        <v>1170</v>
      </c>
      <c r="B208" s="25" t="s">
        <v>1171</v>
      </c>
      <c r="C208" s="19" t="s">
        <v>1562</v>
      </c>
      <c r="D208" s="106"/>
      <c r="E208" s="322" t="s">
        <v>4691</v>
      </c>
      <c r="F208" s="322" t="s">
        <v>4692</v>
      </c>
      <c r="G208" s="322"/>
    </row>
    <row r="209" spans="1:7">
      <c r="A209" s="24" t="s">
        <v>1176</v>
      </c>
      <c r="B209" s="25" t="s">
        <v>1177</v>
      </c>
      <c r="C209" s="19" t="s">
        <v>1562</v>
      </c>
      <c r="D209" s="106"/>
      <c r="E209" s="322" t="s">
        <v>4693</v>
      </c>
      <c r="F209" s="322"/>
      <c r="G209" s="322"/>
    </row>
    <row r="210" spans="1:7" ht="30" customHeight="1">
      <c r="A210" s="405" t="s">
        <v>1183</v>
      </c>
      <c r="B210" s="25" t="s">
        <v>1184</v>
      </c>
      <c r="C210" s="19" t="s">
        <v>28</v>
      </c>
      <c r="D210" s="106" t="s">
        <v>3743</v>
      </c>
      <c r="E210" s="90" t="s">
        <v>4694</v>
      </c>
      <c r="F210" s="322" t="s">
        <v>4695</v>
      </c>
      <c r="G210" s="322"/>
    </row>
    <row r="211" spans="1:7" ht="28.5" customHeight="1">
      <c r="A211" s="24" t="s">
        <v>739</v>
      </c>
      <c r="B211" s="25" t="s">
        <v>740</v>
      </c>
      <c r="C211" s="19" t="s">
        <v>1567</v>
      </c>
      <c r="D211" s="106" t="s">
        <v>3866</v>
      </c>
      <c r="E211" s="90" t="s">
        <v>4696</v>
      </c>
      <c r="F211" s="322"/>
      <c r="G211" s="322"/>
    </row>
    <row r="212" spans="1:7">
      <c r="A212" s="24" t="s">
        <v>720</v>
      </c>
      <c r="B212" s="25" t="s">
        <v>721</v>
      </c>
      <c r="C212" s="19" t="s">
        <v>18</v>
      </c>
      <c r="D212" s="106" t="s">
        <v>3866</v>
      </c>
      <c r="E212" s="322" t="s">
        <v>4697</v>
      </c>
      <c r="F212" s="322" t="s">
        <v>4698</v>
      </c>
      <c r="G212" s="322"/>
    </row>
    <row r="213" spans="1:7">
      <c r="A213" s="405" t="s">
        <v>563</v>
      </c>
      <c r="B213" s="25" t="s">
        <v>564</v>
      </c>
      <c r="C213" s="19" t="s">
        <v>1567</v>
      </c>
      <c r="D213" s="106" t="s">
        <v>3750</v>
      </c>
      <c r="E213" s="322" t="s">
        <v>4699</v>
      </c>
      <c r="F213" s="322"/>
      <c r="G213" s="322"/>
    </row>
    <row r="214" spans="1:7" ht="31.5" customHeight="1">
      <c r="A214" s="24" t="s">
        <v>1203</v>
      </c>
      <c r="B214" s="35" t="s">
        <v>1204</v>
      </c>
      <c r="C214" s="19" t="s">
        <v>18</v>
      </c>
      <c r="D214" s="106" t="s">
        <v>3741</v>
      </c>
      <c r="E214" s="90" t="s">
        <v>4700</v>
      </c>
      <c r="F214" s="322" t="s">
        <v>4701</v>
      </c>
      <c r="G214" s="322"/>
    </row>
    <row r="215" spans="1:7">
      <c r="A215" s="24" t="s">
        <v>1209</v>
      </c>
      <c r="B215" s="25" t="s">
        <v>1210</v>
      </c>
      <c r="C215" s="19" t="s">
        <v>18</v>
      </c>
      <c r="D215" s="106" t="s">
        <v>3741</v>
      </c>
      <c r="E215" s="322" t="s">
        <v>4702</v>
      </c>
      <c r="F215" s="322"/>
      <c r="G215" s="322"/>
    </row>
    <row r="216" spans="1:7">
      <c r="A216" s="405" t="s">
        <v>532</v>
      </c>
      <c r="B216" s="25" t="s">
        <v>533</v>
      </c>
      <c r="C216" s="19" t="s">
        <v>28</v>
      </c>
      <c r="D216" s="106" t="s">
        <v>3743</v>
      </c>
      <c r="E216" s="322" t="s">
        <v>4703</v>
      </c>
      <c r="F216" s="322"/>
      <c r="G216" s="322"/>
    </row>
    <row r="217" spans="1:7">
      <c r="A217" s="405" t="s">
        <v>770</v>
      </c>
      <c r="B217" s="25" t="s">
        <v>1219</v>
      </c>
      <c r="C217" s="19" t="s">
        <v>1567</v>
      </c>
      <c r="D217" s="106" t="s">
        <v>3750</v>
      </c>
      <c r="E217" s="322" t="s">
        <v>4704</v>
      </c>
      <c r="F217" s="322"/>
      <c r="G217" s="322"/>
    </row>
    <row r="218" spans="1:7">
      <c r="A218" s="24" t="s">
        <v>1225</v>
      </c>
      <c r="B218" s="25" t="s">
        <v>1226</v>
      </c>
      <c r="C218" s="19" t="s">
        <v>1567</v>
      </c>
      <c r="D218" s="106" t="s">
        <v>3866</v>
      </c>
      <c r="E218" s="322" t="s">
        <v>4705</v>
      </c>
      <c r="F218" s="322" t="s">
        <v>4706</v>
      </c>
      <c r="G218" s="322"/>
    </row>
    <row r="219" spans="1:7">
      <c r="A219" s="24" t="s">
        <v>1232</v>
      </c>
      <c r="B219" s="25" t="s">
        <v>1233</v>
      </c>
      <c r="C219" s="19" t="s">
        <v>18</v>
      </c>
      <c r="D219" s="106"/>
      <c r="E219" s="322" t="s">
        <v>4707</v>
      </c>
      <c r="F219" s="322"/>
      <c r="G219" s="322"/>
    </row>
    <row r="220" spans="1:7">
      <c r="A220" s="24" t="s">
        <v>1239</v>
      </c>
      <c r="B220" s="25" t="s">
        <v>1240</v>
      </c>
      <c r="C220" s="19" t="s">
        <v>1562</v>
      </c>
      <c r="D220" s="106"/>
      <c r="E220" s="322" t="s">
        <v>4708</v>
      </c>
      <c r="F220" s="322"/>
      <c r="G220" s="322"/>
    </row>
    <row r="221" spans="1:7">
      <c r="A221" s="405" t="s">
        <v>1243</v>
      </c>
      <c r="B221" s="25" t="s">
        <v>1244</v>
      </c>
      <c r="C221" s="19" t="s">
        <v>1567</v>
      </c>
      <c r="D221" s="106" t="s">
        <v>3750</v>
      </c>
      <c r="E221" s="322" t="s">
        <v>4709</v>
      </c>
      <c r="F221" s="322"/>
      <c r="G221" s="322"/>
    </row>
    <row r="222" spans="1:7" ht="32.25" customHeight="1">
      <c r="A222" s="24" t="s">
        <v>1247</v>
      </c>
      <c r="B222" s="25" t="s">
        <v>1248</v>
      </c>
      <c r="C222" s="19" t="s">
        <v>22</v>
      </c>
      <c r="D222" s="106"/>
      <c r="E222" s="90" t="s">
        <v>4710</v>
      </c>
      <c r="F222" s="90" t="s">
        <v>4711</v>
      </c>
      <c r="G222" s="322"/>
    </row>
    <row r="223" spans="1:7">
      <c r="A223" s="24" t="s">
        <v>1251</v>
      </c>
      <c r="B223" s="25" t="s">
        <v>1252</v>
      </c>
      <c r="C223" s="19" t="s">
        <v>1661</v>
      </c>
      <c r="D223" s="106"/>
      <c r="E223" s="322" t="s">
        <v>4712</v>
      </c>
      <c r="F223" s="322" t="s">
        <v>4713</v>
      </c>
      <c r="G223" s="322"/>
    </row>
    <row r="224" spans="1:7" ht="15" customHeight="1">
      <c r="A224" s="24" t="s">
        <v>1254</v>
      </c>
      <c r="B224" s="25" t="s">
        <v>659</v>
      </c>
      <c r="C224" s="19" t="s">
        <v>1562</v>
      </c>
      <c r="D224" s="106"/>
      <c r="E224" s="322"/>
      <c r="F224" s="322"/>
      <c r="G224" s="322"/>
    </row>
    <row r="225" spans="1:7" ht="16.5" customHeight="1">
      <c r="A225" s="24" t="s">
        <v>1255</v>
      </c>
      <c r="B225" s="25" t="s">
        <v>1256</v>
      </c>
      <c r="C225" s="19" t="s">
        <v>1574</v>
      </c>
      <c r="D225" s="106"/>
      <c r="E225" s="322"/>
      <c r="F225" s="322"/>
      <c r="G225" s="322"/>
    </row>
    <row r="226" spans="1:7" ht="28.5" customHeight="1">
      <c r="A226" s="405" t="s">
        <v>1257</v>
      </c>
      <c r="B226" s="25" t="s">
        <v>1258</v>
      </c>
      <c r="C226" s="19" t="s">
        <v>1567</v>
      </c>
      <c r="D226" s="106" t="s">
        <v>3750</v>
      </c>
      <c r="E226" s="90" t="s">
        <v>4714</v>
      </c>
      <c r="F226" s="322"/>
      <c r="G226" s="322"/>
    </row>
    <row r="227" spans="1:7">
      <c r="A227" s="405" t="s">
        <v>1260</v>
      </c>
      <c r="B227" s="25" t="s">
        <v>1261</v>
      </c>
      <c r="C227" s="19" t="s">
        <v>1567</v>
      </c>
      <c r="D227" s="106" t="s">
        <v>3750</v>
      </c>
      <c r="E227" s="107" t="s">
        <v>4715</v>
      </c>
      <c r="F227" s="322"/>
      <c r="G227" s="322" t="s">
        <v>2286</v>
      </c>
    </row>
    <row r="228" spans="1:7">
      <c r="A228" s="24" t="s">
        <v>1264</v>
      </c>
      <c r="B228" s="25" t="s">
        <v>1265</v>
      </c>
      <c r="C228" s="19" t="s">
        <v>18</v>
      </c>
      <c r="D228" s="106" t="s">
        <v>3866</v>
      </c>
      <c r="E228" s="322" t="s">
        <v>4716</v>
      </c>
      <c r="F228" s="322"/>
      <c r="G228" s="322"/>
    </row>
    <row r="229" spans="1:7" ht="42.75" customHeight="1">
      <c r="A229" s="395" t="s">
        <v>583</v>
      </c>
      <c r="B229" s="12" t="s">
        <v>584</v>
      </c>
      <c r="C229" s="13" t="s">
        <v>21</v>
      </c>
      <c r="D229" s="92" t="s">
        <v>3750</v>
      </c>
      <c r="E229" s="90" t="s">
        <v>4717</v>
      </c>
      <c r="F229" s="322" t="s">
        <v>4718</v>
      </c>
      <c r="G229" s="322"/>
    </row>
    <row r="230" spans="1:7">
      <c r="A230" s="5"/>
      <c r="B230" s="176"/>
      <c r="C230" s="13"/>
      <c r="D230" s="92"/>
      <c r="E230" s="322"/>
      <c r="F230" s="322"/>
      <c r="G230" s="322"/>
    </row>
  </sheetData>
  <autoFilter ref="A139:G229" xr:uid="{00000000-0009-0000-0000-00001F000000}">
    <sortState xmlns:xlrd2="http://schemas.microsoft.com/office/spreadsheetml/2017/richdata2" ref="A140:G229">
      <sortCondition ref="A139:A229"/>
    </sortState>
  </autoFilter>
  <mergeCells count="5">
    <mergeCell ref="C1:G1"/>
    <mergeCell ref="A2:G2"/>
    <mergeCell ref="A138:G138"/>
    <mergeCell ref="A136:G137"/>
    <mergeCell ref="A3:G3"/>
  </mergeCells>
  <phoneticPr fontId="89" type="noConversion"/>
  <dataValidations count="2">
    <dataValidation type="list" allowBlank="1" showInputMessage="1" showErrorMessage="1" sqref="C5:C135 C140:C230" xr:uid="{00000000-0002-0000-1F00-000000000000}">
      <formula1>"S,A+,A,B+,B,C+,C,D+,D,?,"</formula1>
    </dataValidation>
    <dataValidation type="list" showInputMessage="1" showErrorMessage="1" sqref="D5:D135 D152:D230 D144:D150 D140:D142" xr:uid="{00000000-0002-0000-1F00-000002000000}">
      <formula1>"三倍,一倍起步,止步一倍,候补一倍,一倍待观察,"</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临江 下半场SC钝评"/>
  <dimension ref="A1:I48"/>
  <sheetViews>
    <sheetView workbookViewId="0"/>
  </sheetViews>
  <sheetFormatPr baseColWidth="10" defaultColWidth="13.7109375" defaultRowHeight="18" customHeight="1"/>
  <cols>
    <col min="9" max="9" width="52.5703125" customWidth="1"/>
  </cols>
  <sheetData>
    <row r="1" spans="1:9">
      <c r="A1" s="24" t="s">
        <v>4</v>
      </c>
      <c r="B1" s="94" t="s">
        <v>5</v>
      </c>
      <c r="C1" s="94"/>
      <c r="D1" s="11" t="s">
        <v>2178</v>
      </c>
      <c r="E1" s="11" t="s">
        <v>2179</v>
      </c>
      <c r="F1" s="11" t="s">
        <v>2180</v>
      </c>
      <c r="G1" s="11" t="s">
        <v>2181</v>
      </c>
      <c r="H1" s="11" t="s">
        <v>10</v>
      </c>
      <c r="I1" s="11" t="s">
        <v>4719</v>
      </c>
    </row>
    <row r="2" spans="1:9" ht="260.25" customHeight="1">
      <c r="A2" s="620" t="s">
        <v>4720</v>
      </c>
      <c r="B2" s="571"/>
      <c r="C2" s="571"/>
      <c r="D2" s="571"/>
      <c r="E2" s="571"/>
      <c r="F2" s="571"/>
      <c r="G2" s="571"/>
      <c r="H2" s="571"/>
      <c r="I2" s="571"/>
    </row>
    <row r="3" spans="1:9">
      <c r="A3" s="24" t="s">
        <v>1276</v>
      </c>
      <c r="B3" s="147" t="s">
        <v>1277</v>
      </c>
      <c r="C3" s="160"/>
      <c r="D3" s="147" t="s">
        <v>18</v>
      </c>
      <c r="E3" s="24" t="s">
        <v>18</v>
      </c>
      <c r="F3" s="147" t="s">
        <v>18</v>
      </c>
      <c r="G3" s="24" t="s">
        <v>21</v>
      </c>
      <c r="H3" s="19" t="s">
        <v>18</v>
      </c>
      <c r="I3" s="24" t="s">
        <v>4721</v>
      </c>
    </row>
    <row r="4" spans="1:9">
      <c r="A4" s="24" t="s">
        <v>1280</v>
      </c>
      <c r="B4" s="147" t="s">
        <v>1281</v>
      </c>
      <c r="C4" s="160"/>
      <c r="D4" s="147" t="s">
        <v>1567</v>
      </c>
      <c r="E4" s="24" t="s">
        <v>18</v>
      </c>
      <c r="F4" s="147" t="s">
        <v>18</v>
      </c>
      <c r="G4" s="24" t="s">
        <v>21</v>
      </c>
      <c r="H4" s="19" t="s">
        <v>18</v>
      </c>
      <c r="I4" s="24" t="s">
        <v>4722</v>
      </c>
    </row>
    <row r="5" spans="1:9">
      <c r="A5" s="24" t="s">
        <v>893</v>
      </c>
      <c r="B5" s="147" t="s">
        <v>894</v>
      </c>
      <c r="C5" s="160"/>
      <c r="D5" s="147" t="s">
        <v>28</v>
      </c>
      <c r="E5" s="24" t="s">
        <v>17</v>
      </c>
      <c r="F5" s="147" t="s">
        <v>17</v>
      </c>
      <c r="G5" s="24" t="s">
        <v>17</v>
      </c>
      <c r="H5" s="19" t="s">
        <v>17</v>
      </c>
      <c r="I5" s="94" t="s">
        <v>4723</v>
      </c>
    </row>
    <row r="6" spans="1:9">
      <c r="A6" s="24" t="s">
        <v>1286</v>
      </c>
      <c r="B6" s="147" t="s">
        <v>1287</v>
      </c>
      <c r="C6" s="160"/>
      <c r="D6" s="147" t="s">
        <v>1567</v>
      </c>
      <c r="E6" s="24" t="s">
        <v>18</v>
      </c>
      <c r="F6" s="147" t="s">
        <v>18</v>
      </c>
      <c r="G6" s="24" t="s">
        <v>21</v>
      </c>
      <c r="H6" s="19" t="s">
        <v>1567</v>
      </c>
      <c r="I6" s="24" t="s">
        <v>4724</v>
      </c>
    </row>
    <row r="7" spans="1:9">
      <c r="A7" s="24" t="s">
        <v>1289</v>
      </c>
      <c r="B7" s="147" t="s">
        <v>598</v>
      </c>
      <c r="C7" s="162"/>
      <c r="D7" s="147" t="s">
        <v>1562</v>
      </c>
      <c r="E7" s="24" t="s">
        <v>1562</v>
      </c>
      <c r="F7" s="147" t="s">
        <v>1574</v>
      </c>
      <c r="G7" s="24" t="s">
        <v>21</v>
      </c>
      <c r="H7" s="19" t="s">
        <v>1562</v>
      </c>
      <c r="I7" s="24" t="s">
        <v>4725</v>
      </c>
    </row>
    <row r="8" spans="1:9">
      <c r="A8" s="24" t="s">
        <v>955</v>
      </c>
      <c r="B8" s="147" t="s">
        <v>1291</v>
      </c>
      <c r="C8" s="160"/>
      <c r="D8" s="147" t="s">
        <v>21</v>
      </c>
      <c r="E8" s="24" t="s">
        <v>28</v>
      </c>
      <c r="F8" s="147" t="s">
        <v>21</v>
      </c>
      <c r="G8" s="24" t="s">
        <v>17</v>
      </c>
      <c r="H8" s="19" t="s">
        <v>28</v>
      </c>
      <c r="I8" s="94" t="s">
        <v>4726</v>
      </c>
    </row>
    <row r="9" spans="1:9">
      <c r="A9" s="24" t="s">
        <v>936</v>
      </c>
      <c r="B9" s="147" t="s">
        <v>33</v>
      </c>
      <c r="C9" s="160"/>
      <c r="D9" s="147" t="s">
        <v>28</v>
      </c>
      <c r="E9" s="24" t="s">
        <v>17</v>
      </c>
      <c r="F9" s="147" t="s">
        <v>17</v>
      </c>
      <c r="G9" s="24" t="s">
        <v>17</v>
      </c>
      <c r="H9" s="19" t="s">
        <v>17</v>
      </c>
      <c r="I9" s="24" t="s">
        <v>4727</v>
      </c>
    </row>
    <row r="10" spans="1:9">
      <c r="A10" s="24" t="s">
        <v>1296</v>
      </c>
      <c r="B10" s="147" t="s">
        <v>501</v>
      </c>
      <c r="C10" s="160"/>
      <c r="D10" s="147" t="s">
        <v>1567</v>
      </c>
      <c r="E10" s="24" t="s">
        <v>18</v>
      </c>
      <c r="F10" s="147" t="s">
        <v>18</v>
      </c>
      <c r="G10" s="24" t="s">
        <v>21</v>
      </c>
      <c r="H10" s="19" t="s">
        <v>18</v>
      </c>
      <c r="I10" s="24" t="s">
        <v>4728</v>
      </c>
    </row>
    <row r="11" spans="1:9">
      <c r="A11" s="24" t="s">
        <v>1299</v>
      </c>
      <c r="B11" s="147" t="s">
        <v>1300</v>
      </c>
      <c r="C11" s="160"/>
      <c r="D11" s="147" t="s">
        <v>18</v>
      </c>
      <c r="E11" s="24" t="s">
        <v>1562</v>
      </c>
      <c r="F11" s="147" t="s">
        <v>1562</v>
      </c>
      <c r="G11" s="24" t="s">
        <v>18</v>
      </c>
      <c r="H11" s="19" t="s">
        <v>1562</v>
      </c>
      <c r="I11" s="24" t="s">
        <v>4729</v>
      </c>
    </row>
    <row r="12" spans="1:9">
      <c r="A12" s="24" t="s">
        <v>1303</v>
      </c>
      <c r="B12" s="147" t="s">
        <v>1304</v>
      </c>
      <c r="C12" s="160"/>
      <c r="D12" s="147" t="s">
        <v>1567</v>
      </c>
      <c r="E12" s="24" t="s">
        <v>18</v>
      </c>
      <c r="F12" s="147" t="s">
        <v>18</v>
      </c>
      <c r="G12" s="24" t="s">
        <v>21</v>
      </c>
      <c r="H12" s="19" t="s">
        <v>1567</v>
      </c>
      <c r="I12" s="24" t="s">
        <v>4730</v>
      </c>
    </row>
    <row r="13" spans="1:9">
      <c r="A13" s="24" t="s">
        <v>948</v>
      </c>
      <c r="B13" s="147" t="s">
        <v>949</v>
      </c>
      <c r="C13" s="160"/>
      <c r="D13" s="147" t="s">
        <v>1567</v>
      </c>
      <c r="E13" s="24" t="s">
        <v>1567</v>
      </c>
      <c r="F13" s="147" t="s">
        <v>21</v>
      </c>
      <c r="G13" s="24" t="s">
        <v>21</v>
      </c>
      <c r="H13" s="19" t="s">
        <v>21</v>
      </c>
      <c r="I13" s="24" t="s">
        <v>4731</v>
      </c>
    </row>
    <row r="14" spans="1:9">
      <c r="A14" s="24" t="s">
        <v>1309</v>
      </c>
      <c r="B14" s="147" t="s">
        <v>291</v>
      </c>
      <c r="C14" s="160"/>
      <c r="D14" s="147" t="s">
        <v>1567</v>
      </c>
      <c r="E14" s="24" t="s">
        <v>1567</v>
      </c>
      <c r="F14" s="147" t="s">
        <v>1567</v>
      </c>
      <c r="G14" s="24" t="s">
        <v>1567</v>
      </c>
      <c r="H14" s="19" t="s">
        <v>1567</v>
      </c>
      <c r="I14" s="24" t="s">
        <v>4732</v>
      </c>
    </row>
    <row r="15" spans="1:9">
      <c r="A15" s="24" t="s">
        <v>1311</v>
      </c>
      <c r="B15" s="147" t="s">
        <v>1312</v>
      </c>
      <c r="C15" s="160"/>
      <c r="D15" s="147" t="s">
        <v>28</v>
      </c>
      <c r="E15" s="24" t="s">
        <v>1567</v>
      </c>
      <c r="F15" s="147" t="s">
        <v>1567</v>
      </c>
      <c r="G15" s="24" t="s">
        <v>21</v>
      </c>
      <c r="H15" s="19" t="s">
        <v>21</v>
      </c>
      <c r="I15" s="24" t="s">
        <v>4733</v>
      </c>
    </row>
    <row r="16" spans="1:9">
      <c r="A16" s="24" t="s">
        <v>1021</v>
      </c>
      <c r="B16" s="147" t="s">
        <v>1022</v>
      </c>
      <c r="C16" s="160"/>
      <c r="D16" s="147" t="s">
        <v>17</v>
      </c>
      <c r="E16" s="24" t="s">
        <v>17</v>
      </c>
      <c r="F16" s="147" t="s">
        <v>17</v>
      </c>
      <c r="G16" s="24" t="s">
        <v>17</v>
      </c>
      <c r="H16" s="19" t="s">
        <v>17</v>
      </c>
      <c r="I16" s="24" t="s">
        <v>4734</v>
      </c>
    </row>
    <row r="17" spans="1:9">
      <c r="A17" s="24" t="s">
        <v>1317</v>
      </c>
      <c r="B17" s="147" t="s">
        <v>1318</v>
      </c>
      <c r="C17" s="160"/>
      <c r="D17" s="147" t="s">
        <v>21</v>
      </c>
      <c r="E17" s="24" t="s">
        <v>21</v>
      </c>
      <c r="F17" s="147" t="s">
        <v>21</v>
      </c>
      <c r="G17" s="24" t="s">
        <v>17</v>
      </c>
      <c r="H17" s="19" t="s">
        <v>28</v>
      </c>
      <c r="I17" s="24" t="s">
        <v>4735</v>
      </c>
    </row>
    <row r="18" spans="1:9">
      <c r="A18" s="24" t="s">
        <v>1321</v>
      </c>
      <c r="B18" s="147" t="s">
        <v>1322</v>
      </c>
      <c r="C18" s="160"/>
      <c r="D18" s="147" t="s">
        <v>22</v>
      </c>
      <c r="E18" s="24" t="s">
        <v>22</v>
      </c>
      <c r="F18" s="147" t="s">
        <v>22</v>
      </c>
      <c r="G18" s="24" t="s">
        <v>17</v>
      </c>
      <c r="H18" s="19" t="s">
        <v>22</v>
      </c>
      <c r="I18" s="24" t="s">
        <v>4736</v>
      </c>
    </row>
    <row r="19" spans="1:9">
      <c r="A19" s="24" t="s">
        <v>1000</v>
      </c>
      <c r="B19" s="147" t="s">
        <v>1001</v>
      </c>
      <c r="C19" s="162"/>
      <c r="D19" s="147" t="s">
        <v>21</v>
      </c>
      <c r="E19" s="24" t="s">
        <v>21</v>
      </c>
      <c r="F19" s="147" t="s">
        <v>21</v>
      </c>
      <c r="G19" s="24" t="s">
        <v>21</v>
      </c>
      <c r="H19" s="19" t="s">
        <v>21</v>
      </c>
      <c r="I19" s="24" t="s">
        <v>4737</v>
      </c>
    </row>
    <row r="20" spans="1:9">
      <c r="A20" s="24" t="s">
        <v>1325</v>
      </c>
      <c r="B20" s="147" t="s">
        <v>1326</v>
      </c>
      <c r="C20" s="160"/>
      <c r="D20" s="147" t="s">
        <v>22</v>
      </c>
      <c r="E20" s="24" t="s">
        <v>22</v>
      </c>
      <c r="F20" s="147" t="s">
        <v>22</v>
      </c>
      <c r="G20" s="24" t="s">
        <v>17</v>
      </c>
      <c r="H20" s="19" t="s">
        <v>22</v>
      </c>
      <c r="I20" s="24" t="s">
        <v>4738</v>
      </c>
    </row>
    <row r="21" spans="1:9">
      <c r="A21" s="24" t="s">
        <v>1328</v>
      </c>
      <c r="B21" s="147" t="s">
        <v>1329</v>
      </c>
      <c r="C21" s="160"/>
      <c r="D21" s="147" t="s">
        <v>1567</v>
      </c>
      <c r="E21" s="24" t="s">
        <v>1567</v>
      </c>
      <c r="F21" s="147" t="s">
        <v>1567</v>
      </c>
      <c r="G21" s="24" t="s">
        <v>21</v>
      </c>
      <c r="H21" s="19" t="s">
        <v>1567</v>
      </c>
      <c r="I21" s="24" t="s">
        <v>4739</v>
      </c>
    </row>
    <row r="22" spans="1:9">
      <c r="A22" s="24" t="s">
        <v>988</v>
      </c>
      <c r="B22" s="147" t="s">
        <v>989</v>
      </c>
      <c r="C22" s="160"/>
      <c r="D22" s="147" t="s">
        <v>17</v>
      </c>
      <c r="E22" s="24" t="s">
        <v>17</v>
      </c>
      <c r="F22" s="147" t="s">
        <v>17</v>
      </c>
      <c r="G22" s="24" t="s">
        <v>17</v>
      </c>
      <c r="H22" s="19" t="s">
        <v>17</v>
      </c>
      <c r="I22" s="24" t="s">
        <v>4740</v>
      </c>
    </row>
    <row r="23" spans="1:9">
      <c r="A23" s="24" t="s">
        <v>1333</v>
      </c>
      <c r="B23" s="147" t="s">
        <v>1334</v>
      </c>
      <c r="C23" s="160"/>
      <c r="D23" s="147" t="s">
        <v>1567</v>
      </c>
      <c r="E23" s="24" t="s">
        <v>1562</v>
      </c>
      <c r="F23" s="147" t="s">
        <v>1562</v>
      </c>
      <c r="G23" s="24" t="s">
        <v>1562</v>
      </c>
      <c r="H23" s="19" t="s">
        <v>18</v>
      </c>
      <c r="I23" s="24" t="s">
        <v>4741</v>
      </c>
    </row>
    <row r="24" spans="1:9">
      <c r="A24" s="24" t="s">
        <v>1337</v>
      </c>
      <c r="B24" s="147" t="s">
        <v>1338</v>
      </c>
      <c r="C24" s="160"/>
      <c r="D24" s="147" t="s">
        <v>17</v>
      </c>
      <c r="E24" s="24" t="s">
        <v>1567</v>
      </c>
      <c r="F24" s="147" t="s">
        <v>1567</v>
      </c>
      <c r="G24" s="24" t="s">
        <v>17</v>
      </c>
      <c r="H24" s="19" t="s">
        <v>21</v>
      </c>
      <c r="I24" s="24" t="s">
        <v>4742</v>
      </c>
    </row>
    <row r="25" spans="1:9">
      <c r="A25" s="24" t="s">
        <v>1341</v>
      </c>
      <c r="B25" s="147" t="s">
        <v>1342</v>
      </c>
      <c r="C25" s="160"/>
      <c r="D25" s="147" t="s">
        <v>21</v>
      </c>
      <c r="E25" s="24" t="s">
        <v>1567</v>
      </c>
      <c r="F25" s="147" t="s">
        <v>21</v>
      </c>
      <c r="G25" s="24" t="s">
        <v>21</v>
      </c>
      <c r="H25" s="19" t="s">
        <v>21</v>
      </c>
      <c r="I25" s="94" t="s">
        <v>4743</v>
      </c>
    </row>
    <row r="26" spans="1:9">
      <c r="A26" s="24" t="s">
        <v>1344</v>
      </c>
      <c r="B26" s="147" t="s">
        <v>1345</v>
      </c>
      <c r="C26" s="160"/>
      <c r="D26" s="147" t="s">
        <v>1567</v>
      </c>
      <c r="E26" s="24" t="s">
        <v>1567</v>
      </c>
      <c r="F26" s="147" t="s">
        <v>1567</v>
      </c>
      <c r="G26" s="24" t="s">
        <v>1567</v>
      </c>
      <c r="H26" s="19" t="s">
        <v>1567</v>
      </c>
      <c r="I26" s="94" t="s">
        <v>4744</v>
      </c>
    </row>
    <row r="27" spans="1:9">
      <c r="A27" s="24" t="s">
        <v>1348</v>
      </c>
      <c r="B27" s="147" t="s">
        <v>1349</v>
      </c>
      <c r="C27" s="160"/>
      <c r="D27" s="147" t="s">
        <v>22</v>
      </c>
      <c r="E27" s="24" t="s">
        <v>22</v>
      </c>
      <c r="F27" s="147" t="s">
        <v>22</v>
      </c>
      <c r="G27" s="24" t="s">
        <v>22</v>
      </c>
      <c r="H27" s="19" t="s">
        <v>22</v>
      </c>
      <c r="I27" s="24" t="s">
        <v>4745</v>
      </c>
    </row>
    <row r="28" spans="1:9">
      <c r="A28" s="24" t="s">
        <v>927</v>
      </c>
      <c r="B28" s="147" t="s">
        <v>928</v>
      </c>
      <c r="C28" s="160"/>
      <c r="D28" s="147" t="s">
        <v>21</v>
      </c>
      <c r="E28" s="24" t="s">
        <v>21</v>
      </c>
      <c r="F28" s="147" t="s">
        <v>21</v>
      </c>
      <c r="G28" s="24" t="s">
        <v>21</v>
      </c>
      <c r="H28" s="19" t="s">
        <v>21</v>
      </c>
      <c r="I28" s="24" t="s">
        <v>4746</v>
      </c>
    </row>
    <row r="29" spans="1:9">
      <c r="A29" s="24" t="s">
        <v>1353</v>
      </c>
      <c r="B29" s="147" t="s">
        <v>1354</v>
      </c>
      <c r="C29" s="160"/>
      <c r="D29" s="147" t="s">
        <v>18</v>
      </c>
      <c r="E29" s="24" t="s">
        <v>18</v>
      </c>
      <c r="F29" s="147" t="s">
        <v>18</v>
      </c>
      <c r="G29" s="24" t="s">
        <v>18</v>
      </c>
      <c r="H29" s="19" t="s">
        <v>18</v>
      </c>
      <c r="I29" s="24" t="s">
        <v>4747</v>
      </c>
    </row>
    <row r="30" spans="1:9">
      <c r="A30" s="24" t="s">
        <v>886</v>
      </c>
      <c r="B30" s="147" t="s">
        <v>887</v>
      </c>
      <c r="C30" s="160"/>
      <c r="D30" s="147" t="s">
        <v>1567</v>
      </c>
      <c r="E30" s="24" t="s">
        <v>1567</v>
      </c>
      <c r="F30" s="147" t="s">
        <v>1567</v>
      </c>
      <c r="G30" s="24" t="s">
        <v>21</v>
      </c>
      <c r="H30" s="19" t="s">
        <v>1567</v>
      </c>
      <c r="I30" s="24" t="s">
        <v>4748</v>
      </c>
    </row>
    <row r="31" spans="1:9">
      <c r="A31" s="24" t="s">
        <v>1359</v>
      </c>
      <c r="B31" s="147" t="s">
        <v>1360</v>
      </c>
      <c r="C31" s="162"/>
      <c r="D31" s="147" t="s">
        <v>1567</v>
      </c>
      <c r="E31" s="24" t="s">
        <v>1567</v>
      </c>
      <c r="F31" s="147" t="s">
        <v>21</v>
      </c>
      <c r="G31" s="24" t="s">
        <v>21</v>
      </c>
      <c r="H31" s="19" t="s">
        <v>21</v>
      </c>
      <c r="I31" s="24" t="s">
        <v>4749</v>
      </c>
    </row>
    <row r="32" spans="1:9">
      <c r="A32" s="24" t="s">
        <v>1362</v>
      </c>
      <c r="B32" s="147" t="s">
        <v>1363</v>
      </c>
      <c r="C32" s="160"/>
      <c r="D32" s="147" t="s">
        <v>1562</v>
      </c>
      <c r="E32" s="24" t="s">
        <v>1562</v>
      </c>
      <c r="F32" s="147" t="s">
        <v>1562</v>
      </c>
      <c r="G32" s="24" t="s">
        <v>1562</v>
      </c>
      <c r="H32" s="19" t="s">
        <v>1562</v>
      </c>
      <c r="I32" s="94" t="s">
        <v>4750</v>
      </c>
    </row>
    <row r="33" spans="1:9">
      <c r="A33" s="24" t="s">
        <v>1365</v>
      </c>
      <c r="B33" s="147" t="s">
        <v>1366</v>
      </c>
      <c r="C33" s="160"/>
      <c r="D33" s="147" t="s">
        <v>1562</v>
      </c>
      <c r="E33" s="24" t="s">
        <v>1562</v>
      </c>
      <c r="F33" s="147" t="s">
        <v>1562</v>
      </c>
      <c r="G33" s="24" t="s">
        <v>1562</v>
      </c>
      <c r="H33" s="19" t="s">
        <v>1562</v>
      </c>
      <c r="I33" s="24" t="s">
        <v>4751</v>
      </c>
    </row>
    <row r="34" spans="1:9">
      <c r="A34" s="24" t="s">
        <v>979</v>
      </c>
      <c r="B34" s="147" t="s">
        <v>980</v>
      </c>
      <c r="C34" s="160"/>
      <c r="D34" s="147" t="s">
        <v>1567</v>
      </c>
      <c r="E34" s="24" t="s">
        <v>18</v>
      </c>
      <c r="F34" s="147" t="s">
        <v>1567</v>
      </c>
      <c r="G34" s="24" t="s">
        <v>1567</v>
      </c>
      <c r="H34" s="19" t="s">
        <v>1567</v>
      </c>
      <c r="I34" s="24" t="s">
        <v>4741</v>
      </c>
    </row>
    <row r="35" spans="1:9">
      <c r="A35" s="24" t="s">
        <v>1371</v>
      </c>
      <c r="B35" s="147" t="s">
        <v>1372</v>
      </c>
      <c r="C35" s="160"/>
      <c r="D35" s="147" t="s">
        <v>18</v>
      </c>
      <c r="E35" s="24" t="s">
        <v>1562</v>
      </c>
      <c r="F35" s="147" t="s">
        <v>1562</v>
      </c>
      <c r="G35" s="24" t="s">
        <v>21</v>
      </c>
      <c r="H35" s="19" t="s">
        <v>18</v>
      </c>
      <c r="I35" s="24" t="s">
        <v>4752</v>
      </c>
    </row>
    <row r="36" spans="1:9">
      <c r="A36" s="24" t="s">
        <v>1374</v>
      </c>
      <c r="B36" s="147" t="s">
        <v>1375</v>
      </c>
      <c r="C36" s="160"/>
      <c r="D36" s="147" t="s">
        <v>1574</v>
      </c>
      <c r="E36" s="24" t="s">
        <v>1562</v>
      </c>
      <c r="F36" s="147" t="s">
        <v>1562</v>
      </c>
      <c r="G36" s="24" t="s">
        <v>1562</v>
      </c>
      <c r="H36" s="19" t="s">
        <v>1562</v>
      </c>
      <c r="I36" s="24" t="s">
        <v>4753</v>
      </c>
    </row>
    <row r="37" spans="1:9">
      <c r="A37" s="24" t="s">
        <v>1377</v>
      </c>
      <c r="B37" s="147" t="s">
        <v>1378</v>
      </c>
      <c r="C37" s="160"/>
      <c r="D37" s="147" t="s">
        <v>18</v>
      </c>
      <c r="E37" s="24" t="s">
        <v>18</v>
      </c>
      <c r="F37" s="147" t="s">
        <v>18</v>
      </c>
      <c r="G37" s="24" t="s">
        <v>18</v>
      </c>
      <c r="H37" s="19" t="s">
        <v>18</v>
      </c>
      <c r="I37" s="24" t="s">
        <v>4741</v>
      </c>
    </row>
    <row r="38" spans="1:9">
      <c r="A38" s="24" t="s">
        <v>1027</v>
      </c>
      <c r="B38" s="147" t="s">
        <v>1028</v>
      </c>
      <c r="C38" s="160"/>
      <c r="D38" s="147" t="s">
        <v>28</v>
      </c>
      <c r="E38" s="24" t="s">
        <v>21</v>
      </c>
      <c r="F38" s="147" t="s">
        <v>21</v>
      </c>
      <c r="G38" s="24" t="s">
        <v>28</v>
      </c>
      <c r="H38" s="19" t="s">
        <v>28</v>
      </c>
      <c r="I38" s="24" t="s">
        <v>4754</v>
      </c>
    </row>
    <row r="39" spans="1:9">
      <c r="A39" s="24" t="s">
        <v>962</v>
      </c>
      <c r="B39" s="147" t="s">
        <v>963</v>
      </c>
      <c r="C39" s="160"/>
      <c r="D39" s="147" t="s">
        <v>28</v>
      </c>
      <c r="E39" s="24" t="s">
        <v>28</v>
      </c>
      <c r="F39" s="147" t="s">
        <v>28</v>
      </c>
      <c r="G39" s="24" t="s">
        <v>28</v>
      </c>
      <c r="H39" s="19" t="s">
        <v>28</v>
      </c>
      <c r="I39" s="24" t="s">
        <v>4755</v>
      </c>
    </row>
    <row r="40" spans="1:9">
      <c r="A40" s="24" t="s">
        <v>994</v>
      </c>
      <c r="B40" s="147" t="s">
        <v>995</v>
      </c>
      <c r="C40" s="160"/>
      <c r="D40" s="147" t="s">
        <v>17</v>
      </c>
      <c r="E40" s="24" t="s">
        <v>17</v>
      </c>
      <c r="F40" s="147" t="s">
        <v>17</v>
      </c>
      <c r="G40" s="24" t="s">
        <v>17</v>
      </c>
      <c r="H40" s="19" t="s">
        <v>17</v>
      </c>
      <c r="I40" s="24" t="s">
        <v>4756</v>
      </c>
    </row>
    <row r="41" spans="1:9">
      <c r="A41" s="24" t="s">
        <v>1385</v>
      </c>
      <c r="B41" s="147" t="s">
        <v>1386</v>
      </c>
      <c r="C41" s="160"/>
      <c r="D41" s="147" t="s">
        <v>1567</v>
      </c>
      <c r="E41" s="24" t="s">
        <v>1567</v>
      </c>
      <c r="F41" s="147" t="s">
        <v>18</v>
      </c>
      <c r="G41" s="24" t="s">
        <v>1567</v>
      </c>
      <c r="H41" s="19" t="s">
        <v>1567</v>
      </c>
      <c r="I41" s="94" t="s">
        <v>4757</v>
      </c>
    </row>
    <row r="42" spans="1:9">
      <c r="A42" s="41" t="s">
        <v>903</v>
      </c>
      <c r="B42" s="147" t="s">
        <v>904</v>
      </c>
      <c r="C42" s="162"/>
      <c r="D42" s="147" t="s">
        <v>1567</v>
      </c>
      <c r="E42" s="24" t="s">
        <v>1567</v>
      </c>
      <c r="F42" s="147" t="s">
        <v>1567</v>
      </c>
      <c r="G42" s="24" t="s">
        <v>21</v>
      </c>
      <c r="H42" s="19" t="s">
        <v>21</v>
      </c>
      <c r="I42" s="41" t="s">
        <v>4758</v>
      </c>
    </row>
    <row r="43" spans="1:9">
      <c r="A43" s="24" t="s">
        <v>1387</v>
      </c>
      <c r="B43" s="164" t="s">
        <v>1388</v>
      </c>
      <c r="C43" s="160"/>
      <c r="D43" s="147" t="s">
        <v>1567</v>
      </c>
      <c r="E43" s="24" t="s">
        <v>18</v>
      </c>
      <c r="F43" s="147" t="s">
        <v>1567</v>
      </c>
      <c r="G43" s="24" t="s">
        <v>1567</v>
      </c>
      <c r="H43" s="153" t="s">
        <v>1567</v>
      </c>
      <c r="I43" s="24" t="s">
        <v>4759</v>
      </c>
    </row>
    <row r="44" spans="1:9">
      <c r="A44" s="24" t="s">
        <v>1389</v>
      </c>
      <c r="B44" s="164" t="s">
        <v>2282</v>
      </c>
      <c r="C44" s="160"/>
      <c r="D44" s="147" t="s">
        <v>1562</v>
      </c>
      <c r="E44" s="24" t="s">
        <v>1562</v>
      </c>
      <c r="F44" s="147" t="s">
        <v>1562</v>
      </c>
      <c r="G44" s="24" t="s">
        <v>1562</v>
      </c>
      <c r="H44" s="153" t="s">
        <v>1562</v>
      </c>
      <c r="I44" s="24" t="s">
        <v>4760</v>
      </c>
    </row>
    <row r="45" spans="1:9">
      <c r="A45" s="24" t="s">
        <v>879</v>
      </c>
      <c r="B45" s="164" t="s">
        <v>880</v>
      </c>
      <c r="C45" s="160"/>
      <c r="D45" s="147" t="s">
        <v>18</v>
      </c>
      <c r="E45" s="24" t="s">
        <v>1567</v>
      </c>
      <c r="F45" s="147" t="s">
        <v>1567</v>
      </c>
      <c r="G45" s="24" t="s">
        <v>18</v>
      </c>
      <c r="H45" s="153" t="s">
        <v>1567</v>
      </c>
      <c r="I45" s="24" t="s">
        <v>4761</v>
      </c>
    </row>
    <row r="46" spans="1:9">
      <c r="A46" s="24" t="s">
        <v>1391</v>
      </c>
      <c r="B46" s="164" t="s">
        <v>1392</v>
      </c>
      <c r="C46" s="160"/>
      <c r="D46" s="147" t="s">
        <v>28</v>
      </c>
      <c r="E46" s="24" t="s">
        <v>28</v>
      </c>
      <c r="F46" s="147" t="s">
        <v>28</v>
      </c>
      <c r="G46" s="24" t="s">
        <v>28</v>
      </c>
      <c r="H46" s="153" t="s">
        <v>28</v>
      </c>
      <c r="I46" s="24" t="s">
        <v>4762</v>
      </c>
    </row>
    <row r="47" spans="1:9">
      <c r="A47" s="24" t="s">
        <v>1393</v>
      </c>
      <c r="B47" s="164" t="s">
        <v>215</v>
      </c>
      <c r="C47" s="160"/>
      <c r="D47" s="147" t="s">
        <v>1567</v>
      </c>
      <c r="E47" s="24" t="s">
        <v>1567</v>
      </c>
      <c r="F47" s="147" t="s">
        <v>1567</v>
      </c>
      <c r="G47" s="24" t="s">
        <v>1567</v>
      </c>
      <c r="H47" s="153" t="s">
        <v>1567</v>
      </c>
      <c r="I47" s="24" t="s">
        <v>4763</v>
      </c>
    </row>
    <row r="48" spans="1:9">
      <c r="A48" s="24" t="s">
        <v>1007</v>
      </c>
      <c r="B48" s="164" t="s">
        <v>1008</v>
      </c>
      <c r="C48" s="160"/>
      <c r="D48" s="147" t="s">
        <v>1562</v>
      </c>
      <c r="E48" s="24" t="s">
        <v>1562</v>
      </c>
      <c r="F48" s="147" t="s">
        <v>1562</v>
      </c>
      <c r="G48" s="24" t="s">
        <v>1562</v>
      </c>
      <c r="H48" s="153" t="s">
        <v>1562</v>
      </c>
      <c r="I48" s="24" t="s">
        <v>4764</v>
      </c>
    </row>
  </sheetData>
  <mergeCells count="1">
    <mergeCell ref="A2:I2"/>
  </mergeCells>
  <phoneticPr fontId="89" type="noConversion"/>
  <dataValidations count="1">
    <dataValidation type="list" allowBlank="1" showInputMessage="1" showErrorMessage="1" sqref="D3:H48" xr:uid="{00000000-0002-0000-2000-000000000000}">
      <formula1>"S,A+,A,B+,B,C+,C,D+,D,?,"</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千千潜秋乱品.acf.sc">
    <tabColor rgb="FFFFFFFF"/>
  </sheetPr>
  <dimension ref="A1:Q324"/>
  <sheetViews>
    <sheetView workbookViewId="0"/>
  </sheetViews>
  <sheetFormatPr baseColWidth="10" defaultColWidth="13.7109375" defaultRowHeight="18" customHeight="1"/>
  <cols>
    <col min="1" max="1" width="11" style="159" customWidth="1"/>
    <col min="2" max="2" width="34.85546875" style="159" customWidth="1"/>
    <col min="3" max="7" width="14.85546875" style="124" customWidth="1"/>
    <col min="8" max="9" width="41.5703125" style="1" customWidth="1"/>
    <col min="10" max="10" width="6" style="313" customWidth="1"/>
    <col min="11" max="11" width="12.5703125" style="159" customWidth="1"/>
    <col min="12" max="12" width="40.42578125" style="5" customWidth="1"/>
    <col min="13" max="14" width="21.5703125" style="1" customWidth="1"/>
    <col min="15" max="15" width="16.28515625" style="1" customWidth="1"/>
    <col min="16" max="16" width="84.28515625" style="1" customWidth="1"/>
    <col min="17" max="17" width="34.140625" style="313" customWidth="1"/>
  </cols>
  <sheetData>
    <row r="1" spans="1:17" ht="35.25" customHeight="1">
      <c r="A1" s="621" t="s">
        <v>4765</v>
      </c>
      <c r="B1" s="622"/>
      <c r="C1" s="580"/>
      <c r="D1" s="580"/>
      <c r="E1" s="580"/>
      <c r="F1" s="580"/>
      <c r="G1" s="580"/>
      <c r="H1" s="518"/>
      <c r="I1" s="543"/>
      <c r="J1" s="408"/>
      <c r="K1" s="625" t="s">
        <v>4766</v>
      </c>
      <c r="L1" s="542"/>
      <c r="M1" s="543"/>
      <c r="N1" s="543"/>
      <c r="O1" s="543"/>
      <c r="P1" s="543"/>
      <c r="Q1" s="408"/>
    </row>
    <row r="2" spans="1:17" ht="18" customHeight="1">
      <c r="A2" s="409" t="s">
        <v>4767</v>
      </c>
      <c r="B2" t="s">
        <v>4768</v>
      </c>
      <c r="C2"/>
      <c r="D2"/>
      <c r="E2"/>
      <c r="F2"/>
      <c r="G2"/>
      <c r="H2" s="410" t="s">
        <v>4769</v>
      </c>
      <c r="I2" s="411" t="s">
        <v>4770</v>
      </c>
      <c r="J2" s="408"/>
      <c r="K2" s="56" t="s">
        <v>4</v>
      </c>
      <c r="L2" s="94" t="s">
        <v>5</v>
      </c>
      <c r="M2" s="11" t="s">
        <v>4771</v>
      </c>
      <c r="N2" s="412" t="s">
        <v>4772</v>
      </c>
      <c r="O2" s="11" t="str">
        <f>IF(AND(ISNUMBER(MATCH(M2,{"F","E","D","D+","C","C+","B","B+","A","A+","S"},0)),ISNUMBER(MATCH(#REF!,{"F","E","D","D+","C","C+","B","B+","A","A+","S"},0)),ISNUMBER(MATCH(N6,{"F","E","D","D+","C","C+","B","B+","A","A+","S"},0)),ISNUMBER(MATCH(#REF!,{"F","E","D","D+","C","C+","B","B+","A","A+","S"},0))),LOOKUP(AVERAGE(_xlfn.SWITCH(M10,"F",0,"E",10,"D",20,"D+",30,"C",40,"C+",50,"B",60,"B+",70,"A",80,"A+",90,"S",100),_xlfn.SWITCH(#REF!,"F",0,"E",10,"D",20,"D+",30,"C",40,"C+",50,"B",60,"B+",70,"A",80,"A+",90,"S",100),_xlfn.SWITCH(N14,"F",0,"E",10,"D",20,"D+",30,"C",40,"C+",50,"B",60,"B+",70,"A",80,"A+",90,"S",100),_xlfn.SWITCH(#REF!,"F",0,"E",10,"D",20,"D+",30,"C",40,"C+",50,"B",60,"B+",70,"A",80,"A+",90,"S",100)),{0,15,25,35,45,55,65,75,85,95},{"D","D","D+","C","C+","B","B+","A","A+","S"}),"?")</f>
        <v>?</v>
      </c>
      <c r="P2" s="11" t="s">
        <v>4773</v>
      </c>
      <c r="Q2" s="408"/>
    </row>
    <row r="3" spans="1:17" ht="30" customHeight="1">
      <c r="A3" s="62" t="s">
        <v>4774</v>
      </c>
      <c r="B3" s="1" t="s">
        <v>15</v>
      </c>
      <c r="C3" s="1"/>
      <c r="D3" s="1"/>
      <c r="E3" s="1"/>
      <c r="F3" s="1"/>
      <c r="G3" s="1"/>
      <c r="H3" s="413" t="s">
        <v>1574</v>
      </c>
      <c r="I3" s="189"/>
      <c r="J3" s="2"/>
      <c r="K3" s="50" t="s">
        <v>19</v>
      </c>
      <c r="L3" s="414" t="s">
        <v>20</v>
      </c>
      <c r="M3" s="415" t="s">
        <v>1562</v>
      </c>
      <c r="N3" s="415" t="s">
        <v>1661</v>
      </c>
      <c r="O3" s="415" t="str">
        <f>IF(AND(ISNUMBER(MATCH(M3,{"F","E","D","D+","C","C+","B","B+","A","A+","S"},0)),ISNUMBER(MATCH(#REF!,{"F","E","D","D+","C","C+","B","B+","A","A+","S"},0)),ISNUMBER(MATCH(N7,{"F","E","D","D+","C","C+","B","B+","A","A+","S"},0)),ISNUMBER(MATCH(#REF!,{"F","E","D","D+","C","C+","B","B+","A","A+","S"},0))),LOOKUP(AVERAGE(_xlfn.SWITCH(M11,"F",0,"E",10,"D",20,"D+",30,"C",40,"C+",50,"B",60,"B+",70,"A",80,"A+",90,"S",100),_xlfn.SWITCH(#REF!,"F",0,"E",10,"D",20,"D+",30,"C",40,"C+",50,"B",60,"B+",70,"A",80,"A+",90,"S",100),_xlfn.SWITCH(N15,"F",0,"E",10,"D",20,"D+",30,"C",40,"C+",50,"B",60,"B+",70,"A",80,"A+",90,"S",100),_xlfn.SWITCH(#REF!,"F",0,"E",10,"D",20,"D+",30,"C",40,"C+",50,"B",60,"B+",70,"A",80,"A+",90,"S",100)),{0,15,25,35,45,55,65,75,85,95},{"D","D","D+","C","C+","B","B+","A","A+","S"}),"?")</f>
        <v>?</v>
      </c>
      <c r="P3" s="416"/>
      <c r="Q3" s="2"/>
    </row>
    <row r="4" spans="1:17" ht="27" customHeight="1">
      <c r="A4" s="417" t="s">
        <v>4775</v>
      </c>
      <c r="B4" s="54" t="s">
        <v>27</v>
      </c>
      <c r="C4" s="54"/>
      <c r="D4" s="54"/>
      <c r="E4" s="54"/>
      <c r="F4" s="54"/>
      <c r="G4" s="54"/>
      <c r="H4" s="189" t="s">
        <v>21</v>
      </c>
      <c r="I4" s="189"/>
      <c r="J4" s="2"/>
      <c r="K4" s="5" t="s">
        <v>29</v>
      </c>
      <c r="L4" s="12" t="s">
        <v>30</v>
      </c>
      <c r="M4" s="13" t="s">
        <v>1567</v>
      </c>
      <c r="N4" s="13" t="s">
        <v>1567</v>
      </c>
      <c r="O4" s="13" t="str">
        <f>IF(AND(ISNUMBER(MATCH(M4,{"F","E","D","D+","C","C+","B","B+","A","A+","S"},0)),ISNUMBER(MATCH(#REF!,{"F","E","D","D+","C","C+","B","B+","A","A+","S"},0)),ISNUMBER(MATCH(N8,{"F","E","D","D+","C","C+","B","B+","A","A+","S"},0)),ISNUMBER(MATCH(#REF!,{"F","E","D","D+","C","C+","B","B+","A","A+","S"},0))),LOOKUP(AVERAGE(_xlfn.SWITCH(M12,"F",0,"E",10,"D",20,"D+",30,"C",40,"C+",50,"B",60,"B+",70,"A",80,"A+",90,"S",100),_xlfn.SWITCH(#REF!,"F",0,"E",10,"D",20,"D+",30,"C",40,"C+",50,"B",60,"B+",70,"A",80,"A+",90,"S",100),_xlfn.SWITCH(N16,"F",0,"E",10,"D",20,"D+",30,"C",40,"C+",50,"B",60,"B+",70,"A",80,"A+",90,"S",100),_xlfn.SWITCH(#REF!,"F",0,"E",10,"D",20,"D+",30,"C",40,"C+",50,"B",60,"B+",70,"A",80,"A+",90,"S",100)),{0,15,25,35,45,55,65,75,85,95},{"D","D","D+","C","C+","B","B+","A","A+","S"}),"?")</f>
        <v>?</v>
      </c>
      <c r="P4" s="14"/>
      <c r="Q4" s="2"/>
    </row>
    <row r="5" spans="1:17" ht="21">
      <c r="A5" s="418" t="s">
        <v>4776</v>
      </c>
      <c r="B5" s="54" t="s">
        <v>35</v>
      </c>
      <c r="C5" s="419"/>
      <c r="D5" s="419"/>
      <c r="E5" s="419"/>
      <c r="F5" s="419"/>
      <c r="G5" s="419"/>
      <c r="H5" s="337" t="s">
        <v>1567</v>
      </c>
      <c r="I5" s="337"/>
      <c r="J5" s="2"/>
      <c r="K5" s="5" t="s">
        <v>36</v>
      </c>
      <c r="L5" s="12" t="s">
        <v>37</v>
      </c>
      <c r="M5" s="13" t="s">
        <v>1562</v>
      </c>
      <c r="N5" s="13" t="s">
        <v>1574</v>
      </c>
      <c r="O5" s="13" t="str">
        <f>IF(AND(ISNUMBER(MATCH(M5,{"F","E","D","D+","C","C+","B","B+","A","A+","S"},0)),ISNUMBER(MATCH(#REF!,{"F","E","D","D+","C","C+","B","B+","A","A+","S"},0)),ISNUMBER(MATCH(N9,{"F","E","D","D+","C","C+","B","B+","A","A+","S"},0)),ISNUMBER(MATCH(#REF!,{"F","E","D","D+","C","C+","B","B+","A","A+","S"},0))),LOOKUP(AVERAGE(_xlfn.SWITCH(M13,"F",0,"E",10,"D",20,"D+",30,"C",40,"C+",50,"B",60,"B+",70,"A",80,"A+",90,"S",100),_xlfn.SWITCH(#REF!,"F",0,"E",10,"D",20,"D+",30,"C",40,"C+",50,"B",60,"B+",70,"A",80,"A+",90,"S",100),_xlfn.SWITCH(N17,"F",0,"E",10,"D",20,"D+",30,"C",40,"C+",50,"B",60,"B+",70,"A",80,"A+",90,"S",100),_xlfn.SWITCH(#REF!,"F",0,"E",10,"D",20,"D+",30,"C",40,"C+",50,"B",60,"B+",70,"A",80,"A+",90,"S",100)),{0,15,25,35,45,55,65,75,85,95},{"D","D","D+","C","C+","B","B+","A","A+","S"}),"?")</f>
        <v>?</v>
      </c>
      <c r="P5" s="14" t="s">
        <v>4777</v>
      </c>
      <c r="Q5" s="2"/>
    </row>
    <row r="6" spans="1:17" ht="21">
      <c r="A6" s="54" t="s">
        <v>4778</v>
      </c>
      <c r="B6" s="54" t="s">
        <v>42</v>
      </c>
      <c r="C6" s="419"/>
      <c r="D6" s="419"/>
      <c r="E6" s="419"/>
      <c r="F6" s="419"/>
      <c r="G6" s="419" t="s">
        <v>2028</v>
      </c>
      <c r="H6" s="337"/>
      <c r="I6" s="337"/>
      <c r="J6" s="2"/>
      <c r="K6" s="5" t="s">
        <v>43</v>
      </c>
      <c r="L6" s="12" t="s">
        <v>44</v>
      </c>
      <c r="M6" s="13" t="s">
        <v>18</v>
      </c>
      <c r="N6" s="13" t="s">
        <v>18</v>
      </c>
      <c r="O6" s="13" t="str">
        <f>IF(AND(ISNUMBER(MATCH(M6,{"F","E","D","D+","C","C+","B","B+","A","A+","S"},0)),ISNUMBER(MATCH(#REF!,{"F","E","D","D+","C","C+","B","B+","A","A+","S"},0)),ISNUMBER(MATCH(N10,{"F","E","D","D+","C","C+","B","B+","A","A+","S"},0)),ISNUMBER(MATCH(#REF!,{"F","E","D","D+","C","C+","B","B+","A","A+","S"},0))),LOOKUP(AVERAGE(_xlfn.SWITCH(M14,"F",0,"E",10,"D",20,"D+",30,"C",40,"C+",50,"B",60,"B+",70,"A",80,"A+",90,"S",100),_xlfn.SWITCH(#REF!,"F",0,"E",10,"D",20,"D+",30,"C",40,"C+",50,"B",60,"B+",70,"A",80,"A+",90,"S",100),_xlfn.SWITCH(N18,"F",0,"E",10,"D",20,"D+",30,"C",40,"C+",50,"B",60,"B+",70,"A",80,"A+",90,"S",100),_xlfn.SWITCH(#REF!,"F",0,"E",10,"D",20,"D+",30,"C",40,"C+",50,"B",60,"B+",70,"A",80,"A+",90,"S",100)),{0,15,25,35,45,55,65,75,85,95},{"D","D","D+","C","C+","B","B+","A","A+","S"}),"?")</f>
        <v>?</v>
      </c>
      <c r="P6" s="14" t="s">
        <v>4779</v>
      </c>
      <c r="Q6" s="2"/>
    </row>
    <row r="7" spans="1:17" ht="21">
      <c r="A7" s="417" t="s">
        <v>370</v>
      </c>
      <c r="B7" s="54" t="s">
        <v>49</v>
      </c>
      <c r="C7" s="419"/>
      <c r="D7" s="419"/>
      <c r="E7" s="419"/>
      <c r="F7" s="419"/>
      <c r="G7" s="419" t="s">
        <v>3693</v>
      </c>
      <c r="H7" s="337" t="s">
        <v>21</v>
      </c>
      <c r="I7" s="337"/>
      <c r="J7" s="2"/>
      <c r="K7" s="5" t="s">
        <v>50</v>
      </c>
      <c r="L7" s="12" t="s">
        <v>51</v>
      </c>
      <c r="M7" s="13" t="s">
        <v>21</v>
      </c>
      <c r="N7" s="13" t="s">
        <v>1567</v>
      </c>
      <c r="O7" s="13" t="str">
        <f>IF(AND(ISNUMBER(MATCH(M7,{"F","E","D","D+","C","C+","B","B+","A","A+","S"},0)),ISNUMBER(MATCH(#REF!,{"F","E","D","D+","C","C+","B","B+","A","A+","S"},0)),ISNUMBER(MATCH(N11,{"F","E","D","D+","C","C+","B","B+","A","A+","S"},0)),ISNUMBER(MATCH(#REF!,{"F","E","D","D+","C","C+","B","B+","A","A+","S"},0))),LOOKUP(AVERAGE(_xlfn.SWITCH(M15,"F",0,"E",10,"D",20,"D+",30,"C",40,"C+",50,"B",60,"B+",70,"A",80,"A+",90,"S",100),_xlfn.SWITCH(#REF!,"F",0,"E",10,"D",20,"D+",30,"C",40,"C+",50,"B",60,"B+",70,"A",80,"A+",90,"S",100),_xlfn.SWITCH(N19,"F",0,"E",10,"D",20,"D+",30,"C",40,"C+",50,"B",60,"B+",70,"A",80,"A+",90,"S",100),_xlfn.SWITCH(#REF!,"F",0,"E",10,"D",20,"D+",30,"C",40,"C+",50,"B",60,"B+",70,"A",80,"A+",90,"S",100)),{0,15,25,35,45,55,65,75,85,95},{"D","D","D+","C","C+","B","B+","A","A+","S"}),"?")</f>
        <v>?</v>
      </c>
      <c r="P7" s="14" t="s">
        <v>4780</v>
      </c>
      <c r="Q7" s="2"/>
    </row>
    <row r="8" spans="1:17" ht="21">
      <c r="A8" s="418" t="s">
        <v>268</v>
      </c>
      <c r="B8" s="54" t="s">
        <v>56</v>
      </c>
      <c r="C8" s="419"/>
      <c r="D8" s="419"/>
      <c r="E8" s="419"/>
      <c r="F8" s="419"/>
      <c r="G8" s="419"/>
      <c r="H8" s="337" t="s">
        <v>21</v>
      </c>
      <c r="I8" s="337"/>
      <c r="J8" s="2"/>
      <c r="K8" s="5" t="s">
        <v>57</v>
      </c>
      <c r="L8" s="12" t="s">
        <v>58</v>
      </c>
      <c r="M8" s="13" t="s">
        <v>21</v>
      </c>
      <c r="N8" s="13" t="s">
        <v>21</v>
      </c>
      <c r="O8" s="13" t="str">
        <f>IF(AND(ISNUMBER(MATCH(M8,{"F","E","D","D+","C","C+","B","B+","A","A+","S"},0)),ISNUMBER(MATCH(#REF!,{"F","E","D","D+","C","C+","B","B+","A","A+","S"},0)),ISNUMBER(MATCH(N12,{"F","E","D","D+","C","C+","B","B+","A","A+","S"},0)),ISNUMBER(MATCH(#REF!,{"F","E","D","D+","C","C+","B","B+","A","A+","S"},0))),LOOKUP(AVERAGE(_xlfn.SWITCH(M16,"F",0,"E",10,"D",20,"D+",30,"C",40,"C+",50,"B",60,"B+",70,"A",80,"A+",90,"S",100),_xlfn.SWITCH(#REF!,"F",0,"E",10,"D",20,"D+",30,"C",40,"C+",50,"B",60,"B+",70,"A",80,"A+",90,"S",100),_xlfn.SWITCH(N20,"F",0,"E",10,"D",20,"D+",30,"C",40,"C+",50,"B",60,"B+",70,"A",80,"A+",90,"S",100),_xlfn.SWITCH(#REF!,"F",0,"E",10,"D",20,"D+",30,"C",40,"C+",50,"B",60,"B+",70,"A",80,"A+",90,"S",100)),{0,15,25,35,45,55,65,75,85,95},{"D","D","D+","C","C+","B","B+","A","A+","S"}),"?")</f>
        <v>?</v>
      </c>
      <c r="P8" s="14" t="s">
        <v>4781</v>
      </c>
      <c r="Q8" s="2"/>
    </row>
    <row r="9" spans="1:17" ht="21">
      <c r="A9" s="54" t="s">
        <v>4782</v>
      </c>
      <c r="B9" s="54" t="s">
        <v>63</v>
      </c>
      <c r="C9" s="419"/>
      <c r="D9" s="419"/>
      <c r="E9" s="419"/>
      <c r="F9" s="419"/>
      <c r="G9" s="419"/>
      <c r="H9" s="337" t="s">
        <v>1567</v>
      </c>
      <c r="I9" s="337"/>
      <c r="J9" s="2"/>
      <c r="K9" s="5" t="s">
        <v>64</v>
      </c>
      <c r="L9" s="12" t="s">
        <v>65</v>
      </c>
      <c r="M9" s="13" t="s">
        <v>21</v>
      </c>
      <c r="N9" s="13" t="s">
        <v>1567</v>
      </c>
      <c r="O9" s="13" t="str">
        <f>IF(AND(ISNUMBER(MATCH(M9,{"F","E","D","D+","C","C+","B","B+","A","A+","S"},0)),ISNUMBER(MATCH(#REF!,{"F","E","D","D+","C","C+","B","B+","A","A+","S"},0)),ISNUMBER(MATCH(N13,{"F","E","D","D+","C","C+","B","B+","A","A+","S"},0)),ISNUMBER(MATCH(#REF!,{"F","E","D","D+","C","C+","B","B+","A","A+","S"},0))),LOOKUP(AVERAGE(_xlfn.SWITCH(M17,"F",0,"E",10,"D",20,"D+",30,"C",40,"C+",50,"B",60,"B+",70,"A",80,"A+",90,"S",100),_xlfn.SWITCH(#REF!,"F",0,"E",10,"D",20,"D+",30,"C",40,"C+",50,"B",60,"B+",70,"A",80,"A+",90,"S",100),_xlfn.SWITCH(N21,"F",0,"E",10,"D",20,"D+",30,"C",40,"C+",50,"B",60,"B+",70,"A",80,"A+",90,"S",100),_xlfn.SWITCH(#REF!,"F",0,"E",10,"D",20,"D+",30,"C",40,"C+",50,"B",60,"B+",70,"A",80,"A+",90,"S",100)),{0,15,25,35,45,55,65,75,85,95},{"D","D","D+","C","C+","B","B+","A","A+","S"}),"?")</f>
        <v>?</v>
      </c>
      <c r="P9" s="14"/>
      <c r="Q9" s="2"/>
    </row>
    <row r="10" spans="1:17" ht="21">
      <c r="A10" s="54" t="s">
        <v>4783</v>
      </c>
      <c r="B10" s="54" t="s">
        <v>68</v>
      </c>
      <c r="C10" s="419"/>
      <c r="D10" s="419"/>
      <c r="E10" s="419"/>
      <c r="F10" s="419"/>
      <c r="G10" s="419"/>
      <c r="H10" s="337" t="s">
        <v>1574</v>
      </c>
      <c r="I10" s="337"/>
      <c r="J10" s="2"/>
      <c r="K10" s="5" t="s">
        <v>69</v>
      </c>
      <c r="L10" s="12" t="s">
        <v>70</v>
      </c>
      <c r="M10" s="13" t="s">
        <v>1567</v>
      </c>
      <c r="N10" s="13" t="s">
        <v>18</v>
      </c>
      <c r="O10" s="13" t="str">
        <f>IF(AND(ISNUMBER(MATCH(M10,{"F","E","D","D+","C","C+","B","B+","A","A+","S"},0)),ISNUMBER(MATCH(#REF!,{"F","E","D","D+","C","C+","B","B+","A","A+","S"},0)),ISNUMBER(MATCH(N14,{"F","E","D","D+","C","C+","B","B+","A","A+","S"},0)),ISNUMBER(MATCH(#REF!,{"F","E","D","D+","C","C+","B","B+","A","A+","S"},0))),LOOKUP(AVERAGE(_xlfn.SWITCH(M18,"F",0,"E",10,"D",20,"D+",30,"C",40,"C+",50,"B",60,"B+",70,"A",80,"A+",90,"S",100),_xlfn.SWITCH(#REF!,"F",0,"E",10,"D",20,"D+",30,"C",40,"C+",50,"B",60,"B+",70,"A",80,"A+",90,"S",100),_xlfn.SWITCH(N22,"F",0,"E",10,"D",20,"D+",30,"C",40,"C+",50,"B",60,"B+",70,"A",80,"A+",90,"S",100),_xlfn.SWITCH(#REF!,"F",0,"E",10,"D",20,"D+",30,"C",40,"C+",50,"B",60,"B+",70,"A",80,"A+",90,"S",100)),{0,15,25,35,45,55,65,75,85,95},{"D","D","D+","C","C+","B","B+","A","A+","S"}),"?")</f>
        <v>?</v>
      </c>
      <c r="P10" s="14" t="s">
        <v>4784</v>
      </c>
      <c r="Q10" s="2"/>
    </row>
    <row r="11" spans="1:17" ht="21">
      <c r="A11" s="54" t="s">
        <v>4785</v>
      </c>
      <c r="B11" s="54" t="s">
        <v>75</v>
      </c>
      <c r="C11" s="419"/>
      <c r="D11" s="419"/>
      <c r="E11" s="419"/>
      <c r="F11" s="419"/>
      <c r="G11" s="419"/>
      <c r="H11" s="337" t="s">
        <v>1593</v>
      </c>
      <c r="I11" s="337"/>
      <c r="J11" s="2"/>
      <c r="K11" s="5" t="s">
        <v>76</v>
      </c>
      <c r="L11" s="12" t="s">
        <v>77</v>
      </c>
      <c r="M11" s="13" t="s">
        <v>18</v>
      </c>
      <c r="N11" s="13" t="s">
        <v>18</v>
      </c>
      <c r="O11" s="13" t="str">
        <f>IF(AND(ISNUMBER(MATCH(M11,{"F","E","D","D+","C","C+","B","B+","A","A+","S"},0)),ISNUMBER(MATCH(#REF!,{"F","E","D","D+","C","C+","B","B+","A","A+","S"},0)),ISNUMBER(MATCH(N15,{"F","E","D","D+","C","C+","B","B+","A","A+","S"},0)),ISNUMBER(MATCH(#REF!,{"F","E","D","D+","C","C+","B","B+","A","A+","S"},0))),LOOKUP(AVERAGE(_xlfn.SWITCH(M19,"F",0,"E",10,"D",20,"D+",30,"C",40,"C+",50,"B",60,"B+",70,"A",80,"A+",90,"S",100),_xlfn.SWITCH(#REF!,"F",0,"E",10,"D",20,"D+",30,"C",40,"C+",50,"B",60,"B+",70,"A",80,"A+",90,"S",100),_xlfn.SWITCH(N23,"F",0,"E",10,"D",20,"D+",30,"C",40,"C+",50,"B",60,"B+",70,"A",80,"A+",90,"S",100),_xlfn.SWITCH(#REF!,"F",0,"E",10,"D",20,"D+",30,"C",40,"C+",50,"B",60,"B+",70,"A",80,"A+",90,"S",100)),{0,15,25,35,45,55,65,75,85,95},{"D","D","D+","C","C+","B","B+","A","A+","S"}),"?")</f>
        <v>?</v>
      </c>
      <c r="P11" s="14"/>
      <c r="Q11" s="2"/>
    </row>
    <row r="12" spans="1:17" ht="21">
      <c r="A12" s="54" t="s">
        <v>4786</v>
      </c>
      <c r="B12" s="54" t="s">
        <v>82</v>
      </c>
      <c r="C12" s="419"/>
      <c r="D12" s="419"/>
      <c r="E12" s="419"/>
      <c r="F12" s="419"/>
      <c r="G12" s="419" t="s">
        <v>2028</v>
      </c>
      <c r="H12" s="337" t="s">
        <v>1574</v>
      </c>
      <c r="I12" s="337"/>
      <c r="J12" s="2"/>
      <c r="K12" s="5" t="s">
        <v>83</v>
      </c>
      <c r="L12" s="12" t="s">
        <v>84</v>
      </c>
      <c r="M12" s="13" t="s">
        <v>21</v>
      </c>
      <c r="N12" s="13" t="s">
        <v>1567</v>
      </c>
      <c r="O12" s="13" t="str">
        <f>IF(AND(ISNUMBER(MATCH(M12,{"F","E","D","D+","C","C+","B","B+","A","A+","S"},0)),ISNUMBER(MATCH(#REF!,{"F","E","D","D+","C","C+","B","B+","A","A+","S"},0)),ISNUMBER(MATCH(N16,{"F","E","D","D+","C","C+","B","B+","A","A+","S"},0)),ISNUMBER(MATCH(#REF!,{"F","E","D","D+","C","C+","B","B+","A","A+","S"},0))),LOOKUP(AVERAGE(_xlfn.SWITCH(M20,"F",0,"E",10,"D",20,"D+",30,"C",40,"C+",50,"B",60,"B+",70,"A",80,"A+",90,"S",100),_xlfn.SWITCH(#REF!,"F",0,"E",10,"D",20,"D+",30,"C",40,"C+",50,"B",60,"B+",70,"A",80,"A+",90,"S",100),_xlfn.SWITCH(N24,"F",0,"E",10,"D",20,"D+",30,"C",40,"C+",50,"B",60,"B+",70,"A",80,"A+",90,"S",100),_xlfn.SWITCH(#REF!,"F",0,"E",10,"D",20,"D+",30,"C",40,"C+",50,"B",60,"B+",70,"A",80,"A+",90,"S",100)),{0,15,25,35,45,55,65,75,85,95},{"D","D","D+","C","C+","B","B+","A","A+","S"}),"?")</f>
        <v>?</v>
      </c>
      <c r="P12" s="14" t="s">
        <v>4787</v>
      </c>
      <c r="Q12" s="2"/>
    </row>
    <row r="13" spans="1:17" ht="21">
      <c r="A13" s="418" t="s">
        <v>493</v>
      </c>
      <c r="B13" s="54" t="s">
        <v>89</v>
      </c>
      <c r="C13" s="419"/>
      <c r="D13" s="419"/>
      <c r="E13" s="419"/>
      <c r="F13" s="419"/>
      <c r="G13" s="419"/>
      <c r="H13" s="337" t="s">
        <v>1567</v>
      </c>
      <c r="I13" s="337"/>
      <c r="J13" s="2"/>
      <c r="K13" s="5" t="s">
        <v>90</v>
      </c>
      <c r="L13" s="12" t="s">
        <v>91</v>
      </c>
      <c r="M13" s="13" t="s">
        <v>1567</v>
      </c>
      <c r="N13" s="13" t="s">
        <v>1567</v>
      </c>
      <c r="O13" s="13" t="str">
        <f>IF(AND(ISNUMBER(MATCH(M13,{"F","E","D","D+","C","C+","B","B+","A","A+","S"},0)),ISNUMBER(MATCH(#REF!,{"F","E","D","D+","C","C+","B","B+","A","A+","S"},0)),ISNUMBER(MATCH(N17,{"F","E","D","D+","C","C+","B","B+","A","A+","S"},0)),ISNUMBER(MATCH(#REF!,{"F","E","D","D+","C","C+","B","B+","A","A+","S"},0))),LOOKUP(AVERAGE(_xlfn.SWITCH(M21,"F",0,"E",10,"D",20,"D+",30,"C",40,"C+",50,"B",60,"B+",70,"A",80,"A+",90,"S",100),_xlfn.SWITCH(#REF!,"F",0,"E",10,"D",20,"D+",30,"C",40,"C+",50,"B",60,"B+",70,"A",80,"A+",90,"S",100),_xlfn.SWITCH(N25,"F",0,"E",10,"D",20,"D+",30,"C",40,"C+",50,"B",60,"B+",70,"A",80,"A+",90,"S",100),_xlfn.SWITCH(#REF!,"F",0,"E",10,"D",20,"D+",30,"C",40,"C+",50,"B",60,"B+",70,"A",80,"A+",90,"S",100)),{0,15,25,35,45,55,65,75,85,95},{"D","D","D+","C","C+","B","B+","A","A+","S"}),"?")</f>
        <v>?</v>
      </c>
      <c r="P13" s="14"/>
      <c r="Q13" s="2"/>
    </row>
    <row r="14" spans="1:17" ht="21">
      <c r="A14" s="418" t="s">
        <v>4788</v>
      </c>
      <c r="B14" s="54" t="s">
        <v>96</v>
      </c>
      <c r="C14" s="419"/>
      <c r="D14" s="419"/>
      <c r="E14" s="419"/>
      <c r="F14" s="419"/>
      <c r="G14" s="419"/>
      <c r="H14" s="337" t="s">
        <v>1567</v>
      </c>
      <c r="I14" s="337"/>
      <c r="J14" s="2"/>
      <c r="K14" s="5" t="s">
        <v>97</v>
      </c>
      <c r="L14" s="12" t="s">
        <v>98</v>
      </c>
      <c r="M14" s="13" t="s">
        <v>18</v>
      </c>
      <c r="N14" s="13" t="s">
        <v>18</v>
      </c>
      <c r="O14" s="13" t="str">
        <f>IF(AND(ISNUMBER(MATCH(M14,{"F","E","D","D+","C","C+","B","B+","A","A+","S"},0)),ISNUMBER(MATCH(#REF!,{"F","E","D","D+","C","C+","B","B+","A","A+","S"},0)),ISNUMBER(MATCH(N18,{"F","E","D","D+","C","C+","B","B+","A","A+","S"},0)),ISNUMBER(MATCH(#REF!,{"F","E","D","D+","C","C+","B","B+","A","A+","S"},0))),LOOKUP(AVERAGE(_xlfn.SWITCH(M22,"F",0,"E",10,"D",20,"D+",30,"C",40,"C+",50,"B",60,"B+",70,"A",80,"A+",90,"S",100),_xlfn.SWITCH(#REF!,"F",0,"E",10,"D",20,"D+",30,"C",40,"C+",50,"B",60,"B+",70,"A",80,"A+",90,"S",100),_xlfn.SWITCH(N26,"F",0,"E",10,"D",20,"D+",30,"C",40,"C+",50,"B",60,"B+",70,"A",80,"A+",90,"S",100),_xlfn.SWITCH(#REF!,"F",0,"E",10,"D",20,"D+",30,"C",40,"C+",50,"B",60,"B+",70,"A",80,"A+",90,"S",100)),{0,15,25,35,45,55,65,75,85,95},{"D","D","D+","C","C+","B","B+","A","A+","S"}),"?")</f>
        <v>?</v>
      </c>
      <c r="P14" s="14"/>
      <c r="Q14" s="2"/>
    </row>
    <row r="15" spans="1:17" ht="21">
      <c r="A15" s="54" t="s">
        <v>314</v>
      </c>
      <c r="B15" s="54" t="s">
        <v>103</v>
      </c>
      <c r="C15" s="419"/>
      <c r="D15" s="419"/>
      <c r="E15" s="419"/>
      <c r="F15" s="419"/>
      <c r="G15" s="419"/>
      <c r="H15" s="337" t="s">
        <v>1593</v>
      </c>
      <c r="I15" s="337"/>
      <c r="J15" s="2"/>
      <c r="K15" s="5" t="s">
        <v>104</v>
      </c>
      <c r="L15" s="12" t="s">
        <v>105</v>
      </c>
      <c r="M15" s="13" t="s">
        <v>17</v>
      </c>
      <c r="N15" s="13" t="s">
        <v>28</v>
      </c>
      <c r="O15" s="13" t="str">
        <f>IF(AND(ISNUMBER(MATCH(M15,{"F","E","D","D+","C","C+","B","B+","A","A+","S"},0)),ISNUMBER(MATCH(#REF!,{"F","E","D","D+","C","C+","B","B+","A","A+","S"},0)),ISNUMBER(MATCH(N19,{"F","E","D","D+","C","C+","B","B+","A","A+","S"},0)),ISNUMBER(MATCH(#REF!,{"F","E","D","D+","C","C+","B","B+","A","A+","S"},0))),LOOKUP(AVERAGE(_xlfn.SWITCH(M23,"F",0,"E",10,"D",20,"D+",30,"C",40,"C+",50,"B",60,"B+",70,"A",80,"A+",90,"S",100),_xlfn.SWITCH(#REF!,"F",0,"E",10,"D",20,"D+",30,"C",40,"C+",50,"B",60,"B+",70,"A",80,"A+",90,"S",100),_xlfn.SWITCH(N27,"F",0,"E",10,"D",20,"D+",30,"C",40,"C+",50,"B",60,"B+",70,"A",80,"A+",90,"S",100),_xlfn.SWITCH(#REF!,"F",0,"E",10,"D",20,"D+",30,"C",40,"C+",50,"B",60,"B+",70,"A",80,"A+",90,"S",100)),{0,15,25,35,45,55,65,75,85,95},{"D","D","D+","C","C+","B","B+","A","A+","S"}),"?")</f>
        <v>?</v>
      </c>
      <c r="P15" s="14"/>
      <c r="Q15" s="2"/>
    </row>
    <row r="16" spans="1:17" ht="21">
      <c r="A16" s="54" t="s">
        <v>434</v>
      </c>
      <c r="B16" s="54" t="s">
        <v>110</v>
      </c>
      <c r="C16" s="419"/>
      <c r="D16" s="419"/>
      <c r="E16" s="419"/>
      <c r="F16" s="419"/>
      <c r="G16" s="419"/>
      <c r="H16" s="337" t="s">
        <v>1593</v>
      </c>
      <c r="I16" s="337"/>
      <c r="J16" s="2"/>
      <c r="K16" s="5" t="s">
        <v>111</v>
      </c>
      <c r="L16" s="12" t="s">
        <v>112</v>
      </c>
      <c r="M16" s="13" t="s">
        <v>21</v>
      </c>
      <c r="N16" s="13" t="s">
        <v>21</v>
      </c>
      <c r="O16" s="13" t="str">
        <f>IF(AND(ISNUMBER(MATCH(M16,{"F","E","D","D+","C","C+","B","B+","A","A+","S"},0)),ISNUMBER(MATCH(#REF!,{"F","E","D","D+","C","C+","B","B+","A","A+","S"},0)),ISNUMBER(MATCH(N20,{"F","E","D","D+","C","C+","B","B+","A","A+","S"},0)),ISNUMBER(MATCH(#REF!,{"F","E","D","D+","C","C+","B","B+","A","A+","S"},0))),LOOKUP(AVERAGE(_xlfn.SWITCH(M24,"F",0,"E",10,"D",20,"D+",30,"C",40,"C+",50,"B",60,"B+",70,"A",80,"A+",90,"S",100),_xlfn.SWITCH(#REF!,"F",0,"E",10,"D",20,"D+",30,"C",40,"C+",50,"B",60,"B+",70,"A",80,"A+",90,"S",100),_xlfn.SWITCH(N28,"F",0,"E",10,"D",20,"D+",30,"C",40,"C+",50,"B",60,"B+",70,"A",80,"A+",90,"S",100),_xlfn.SWITCH(#REF!,"F",0,"E",10,"D",20,"D+",30,"C",40,"C+",50,"B",60,"B+",70,"A",80,"A+",90,"S",100)),{0,15,25,35,45,55,65,75,85,95},{"D","D","D+","C","C+","B","B+","A","A+","S"}),"?")</f>
        <v>?</v>
      </c>
      <c r="P16" s="14"/>
      <c r="Q16" s="2"/>
    </row>
    <row r="17" spans="1:17" ht="21">
      <c r="A17" s="54" t="s">
        <v>4789</v>
      </c>
      <c r="B17" s="54" t="s">
        <v>117</v>
      </c>
      <c r="C17" s="419"/>
      <c r="D17" s="419"/>
      <c r="E17" s="419"/>
      <c r="F17" s="419"/>
      <c r="G17" s="419" t="s">
        <v>2028</v>
      </c>
      <c r="H17" s="337"/>
      <c r="I17" s="337"/>
      <c r="J17" s="2"/>
      <c r="K17" s="5" t="s">
        <v>118</v>
      </c>
      <c r="L17" s="12" t="s">
        <v>119</v>
      </c>
      <c r="M17" s="13" t="s">
        <v>18</v>
      </c>
      <c r="N17" s="13" t="s">
        <v>1562</v>
      </c>
      <c r="O17" s="13" t="str">
        <f>IF(AND(ISNUMBER(MATCH(M17,{"F","E","D","D+","C","C+","B","B+","A","A+","S"},0)),ISNUMBER(MATCH(#REF!,{"F","E","D","D+","C","C+","B","B+","A","A+","S"},0)),ISNUMBER(MATCH(N21,{"F","E","D","D+","C","C+","B","B+","A","A+","S"},0)),ISNUMBER(MATCH(#REF!,{"F","E","D","D+","C","C+","B","B+","A","A+","S"},0))),LOOKUP(AVERAGE(_xlfn.SWITCH(M25,"F",0,"E",10,"D",20,"D+",30,"C",40,"C+",50,"B",60,"B+",70,"A",80,"A+",90,"S",100),_xlfn.SWITCH(#REF!,"F",0,"E",10,"D",20,"D+",30,"C",40,"C+",50,"B",60,"B+",70,"A",80,"A+",90,"S",100),_xlfn.SWITCH(N29,"F",0,"E",10,"D",20,"D+",30,"C",40,"C+",50,"B",60,"B+",70,"A",80,"A+",90,"S",100),_xlfn.SWITCH(#REF!,"F",0,"E",10,"D",20,"D+",30,"C",40,"C+",50,"B",60,"B+",70,"A",80,"A+",90,"S",100)),{0,15,25,35,45,55,65,75,85,95},{"D","D","D+","C","C+","B","B+","A","A+","S"}),"?")</f>
        <v>?</v>
      </c>
      <c r="P17" s="14" t="s">
        <v>4790</v>
      </c>
      <c r="Q17" s="2"/>
    </row>
    <row r="18" spans="1:17" ht="21">
      <c r="A18" s="418" t="s">
        <v>330</v>
      </c>
      <c r="B18" s="54" t="s">
        <v>124</v>
      </c>
      <c r="C18" s="419"/>
      <c r="D18" s="419"/>
      <c r="E18" s="419"/>
      <c r="F18" s="419"/>
      <c r="G18" s="419" t="s">
        <v>2028</v>
      </c>
      <c r="H18" s="337" t="s">
        <v>21</v>
      </c>
      <c r="I18" s="337"/>
      <c r="J18" s="2"/>
      <c r="K18" s="5" t="s">
        <v>125</v>
      </c>
      <c r="L18" s="12" t="s">
        <v>126</v>
      </c>
      <c r="M18" s="13" t="s">
        <v>18</v>
      </c>
      <c r="N18" s="13" t="s">
        <v>18</v>
      </c>
      <c r="O18" s="13" t="str">
        <f>IF(AND(ISNUMBER(MATCH(M18,{"F","E","D","D+","C","C+","B","B+","A","A+","S"},0)),ISNUMBER(MATCH(#REF!,{"F","E","D","D+","C","C+","B","B+","A","A+","S"},0)),ISNUMBER(MATCH(N22,{"F","E","D","D+","C","C+","B","B+","A","A+","S"},0)),ISNUMBER(MATCH(#REF!,{"F","E","D","D+","C","C+","B","B+","A","A+","S"},0))),LOOKUP(AVERAGE(_xlfn.SWITCH(M26,"F",0,"E",10,"D",20,"D+",30,"C",40,"C+",50,"B",60,"B+",70,"A",80,"A+",90,"S",100),_xlfn.SWITCH(#REF!,"F",0,"E",10,"D",20,"D+",30,"C",40,"C+",50,"B",60,"B+",70,"A",80,"A+",90,"S",100),_xlfn.SWITCH(N30,"F",0,"E",10,"D",20,"D+",30,"C",40,"C+",50,"B",60,"B+",70,"A",80,"A+",90,"S",100),_xlfn.SWITCH(#REF!,"F",0,"E",10,"D",20,"D+",30,"C",40,"C+",50,"B",60,"B+",70,"A",80,"A+",90,"S",100)),{0,15,25,35,45,55,65,75,85,95},{"D","D","D+","C","C+","B","B+","A","A+","S"}),"?")</f>
        <v>?</v>
      </c>
      <c r="P18" s="14"/>
      <c r="Q18" s="2"/>
    </row>
    <row r="19" spans="1:17" ht="21">
      <c r="A19" s="418" t="s">
        <v>128</v>
      </c>
      <c r="B19" s="54" t="s">
        <v>129</v>
      </c>
      <c r="C19" s="419"/>
      <c r="D19" s="419"/>
      <c r="E19" s="419"/>
      <c r="F19" s="419"/>
      <c r="G19" s="419"/>
      <c r="H19" s="337" t="s">
        <v>1567</v>
      </c>
      <c r="I19" s="337"/>
      <c r="J19" s="2"/>
      <c r="K19" s="5" t="s">
        <v>131</v>
      </c>
      <c r="L19" s="12" t="s">
        <v>132</v>
      </c>
      <c r="M19" s="13" t="s">
        <v>17</v>
      </c>
      <c r="N19" s="13" t="s">
        <v>28</v>
      </c>
      <c r="O19" s="13" t="str">
        <f>IF(AND(ISNUMBER(MATCH(M19,{"F","E","D","D+","C","C+","B","B+","A","A+","S"},0)),ISNUMBER(MATCH(#REF!,{"F","E","D","D+","C","C+","B","B+","A","A+","S"},0)),ISNUMBER(MATCH(N23,{"F","E","D","D+","C","C+","B","B+","A","A+","S"},0)),ISNUMBER(MATCH(#REF!,{"F","E","D","D+","C","C+","B","B+","A","A+","S"},0))),LOOKUP(AVERAGE(_xlfn.SWITCH(M27,"F",0,"E",10,"D",20,"D+",30,"C",40,"C+",50,"B",60,"B+",70,"A",80,"A+",90,"S",100),_xlfn.SWITCH(#REF!,"F",0,"E",10,"D",20,"D+",30,"C",40,"C+",50,"B",60,"B+",70,"A",80,"A+",90,"S",100),_xlfn.SWITCH(N31,"F",0,"E",10,"D",20,"D+",30,"C",40,"C+",50,"B",60,"B+",70,"A",80,"A+",90,"S",100),_xlfn.SWITCH(#REF!,"F",0,"E",10,"D",20,"D+",30,"C",40,"C+",50,"B",60,"B+",70,"A",80,"A+",90,"S",100)),{0,15,25,35,45,55,65,75,85,95},{"D","D","D+","C","C+","B","B+","A","A+","S"}),"?")</f>
        <v>?</v>
      </c>
      <c r="P19" s="14"/>
      <c r="Q19" s="2"/>
    </row>
    <row r="20" spans="1:17" ht="21">
      <c r="A20" s="418" t="s">
        <v>471</v>
      </c>
      <c r="B20" s="54" t="s">
        <v>137</v>
      </c>
      <c r="C20" s="419"/>
      <c r="D20" s="419"/>
      <c r="E20" s="419"/>
      <c r="F20" s="419"/>
      <c r="G20" s="419"/>
      <c r="H20" s="337" t="s">
        <v>1567</v>
      </c>
      <c r="I20" s="337"/>
      <c r="J20" s="2"/>
      <c r="K20" s="5" t="s">
        <v>138</v>
      </c>
      <c r="L20" s="12" t="s">
        <v>139</v>
      </c>
      <c r="M20" s="13" t="s">
        <v>1567</v>
      </c>
      <c r="N20" s="13" t="s">
        <v>18</v>
      </c>
      <c r="O20" s="13" t="str">
        <f>IF(AND(ISNUMBER(MATCH(M20,{"F","E","D","D+","C","C+","B","B+","A","A+","S"},0)),ISNUMBER(MATCH(#REF!,{"F","E","D","D+","C","C+","B","B+","A","A+","S"},0)),ISNUMBER(MATCH(N24,{"F","E","D","D+","C","C+","B","B+","A","A+","S"},0)),ISNUMBER(MATCH(#REF!,{"F","E","D","D+","C","C+","B","B+","A","A+","S"},0))),LOOKUP(AVERAGE(_xlfn.SWITCH(M28,"F",0,"E",10,"D",20,"D+",30,"C",40,"C+",50,"B",60,"B+",70,"A",80,"A+",90,"S",100),_xlfn.SWITCH(#REF!,"F",0,"E",10,"D",20,"D+",30,"C",40,"C+",50,"B",60,"B+",70,"A",80,"A+",90,"S",100),_xlfn.SWITCH(N32,"F",0,"E",10,"D",20,"D+",30,"C",40,"C+",50,"B",60,"B+",70,"A",80,"A+",90,"S",100),_xlfn.SWITCH(#REF!,"F",0,"E",10,"D",20,"D+",30,"C",40,"C+",50,"B",60,"B+",70,"A",80,"A+",90,"S",100)),{0,15,25,35,45,55,65,75,85,95},{"D","D","D+","C","C+","B","B+","A","A+","S"}),"?")</f>
        <v>?</v>
      </c>
      <c r="P20" s="14"/>
      <c r="Q20" s="2"/>
    </row>
    <row r="21" spans="1:17" ht="21">
      <c r="A21" s="54" t="s">
        <v>4791</v>
      </c>
      <c r="B21" s="54" t="s">
        <v>144</v>
      </c>
      <c r="C21" s="419"/>
      <c r="D21" s="419"/>
      <c r="E21" s="419"/>
      <c r="F21" s="419"/>
      <c r="G21" s="419"/>
      <c r="H21" s="337" t="s">
        <v>1593</v>
      </c>
      <c r="I21" s="337"/>
      <c r="J21" s="2"/>
      <c r="K21" s="5" t="s">
        <v>145</v>
      </c>
      <c r="L21" s="12" t="s">
        <v>146</v>
      </c>
      <c r="M21" s="13" t="s">
        <v>21</v>
      </c>
      <c r="N21" s="13" t="s">
        <v>1567</v>
      </c>
      <c r="O21" s="13" t="str">
        <f>IF(AND(ISNUMBER(MATCH(M21,{"F","E","D","D+","C","C+","B","B+","A","A+","S"},0)),ISNUMBER(MATCH(#REF!,{"F","E","D","D+","C","C+","B","B+","A","A+","S"},0)),ISNUMBER(MATCH(N25,{"F","E","D","D+","C","C+","B","B+","A","A+","S"},0)),ISNUMBER(MATCH(#REF!,{"F","E","D","D+","C","C+","B","B+","A","A+","S"},0))),LOOKUP(AVERAGE(_xlfn.SWITCH(M29,"F",0,"E",10,"D",20,"D+",30,"C",40,"C+",50,"B",60,"B+",70,"A",80,"A+",90,"S",100),_xlfn.SWITCH(#REF!,"F",0,"E",10,"D",20,"D+",30,"C",40,"C+",50,"B",60,"B+",70,"A",80,"A+",90,"S",100),_xlfn.SWITCH(N33,"F",0,"E",10,"D",20,"D+",30,"C",40,"C+",50,"B",60,"B+",70,"A",80,"A+",90,"S",100),_xlfn.SWITCH(#REF!,"F",0,"E",10,"D",20,"D+",30,"C",40,"C+",50,"B",60,"B+",70,"A",80,"A+",90,"S",100)),{0,15,25,35,45,55,65,75,85,95},{"D","D","D+","C","C+","B","B+","A","A+","S"}),"?")</f>
        <v>?</v>
      </c>
      <c r="P21" s="14"/>
      <c r="Q21" s="2"/>
    </row>
    <row r="22" spans="1:17" ht="21">
      <c r="A22" s="54" t="s">
        <v>4792</v>
      </c>
      <c r="B22" s="54" t="s">
        <v>151</v>
      </c>
      <c r="C22" s="419"/>
      <c r="D22" s="419"/>
      <c r="E22" s="419"/>
      <c r="F22" s="419"/>
      <c r="G22" s="419"/>
      <c r="H22" s="337" t="s">
        <v>1593</v>
      </c>
      <c r="I22" s="337"/>
      <c r="J22" s="2"/>
      <c r="K22" s="5" t="s">
        <v>152</v>
      </c>
      <c r="L22" s="12" t="s">
        <v>30</v>
      </c>
      <c r="M22" s="13" t="s">
        <v>18</v>
      </c>
      <c r="N22" s="13" t="s">
        <v>1567</v>
      </c>
      <c r="O22" s="13" t="str">
        <f>IF(AND(ISNUMBER(MATCH(M22,{"F","E","D","D+","C","C+","B","B+","A","A+","S"},0)),ISNUMBER(MATCH(#REF!,{"F","E","D","D+","C","C+","B","B+","A","A+","S"},0)),ISNUMBER(MATCH(N26,{"F","E","D","D+","C","C+","B","B+","A","A+","S"},0)),ISNUMBER(MATCH(#REF!,{"F","E","D","D+","C","C+","B","B+","A","A+","S"},0))),LOOKUP(AVERAGE(_xlfn.SWITCH(M30,"F",0,"E",10,"D",20,"D+",30,"C",40,"C+",50,"B",60,"B+",70,"A",80,"A+",90,"S",100),_xlfn.SWITCH(#REF!,"F",0,"E",10,"D",20,"D+",30,"C",40,"C+",50,"B",60,"B+",70,"A",80,"A+",90,"S",100),_xlfn.SWITCH(N34,"F",0,"E",10,"D",20,"D+",30,"C",40,"C+",50,"B",60,"B+",70,"A",80,"A+",90,"S",100),_xlfn.SWITCH(#REF!,"F",0,"E",10,"D",20,"D+",30,"C",40,"C+",50,"B",60,"B+",70,"A",80,"A+",90,"S",100)),{0,15,25,35,45,55,65,75,85,95},{"D","D","D+","C","C+","B","B+","A","A+","S"}),"?")</f>
        <v>?</v>
      </c>
      <c r="P22" s="14" t="s">
        <v>4793</v>
      </c>
      <c r="Q22" s="2"/>
    </row>
    <row r="23" spans="1:17" ht="21">
      <c r="A23" s="54" t="s">
        <v>4794</v>
      </c>
      <c r="B23" s="54" t="s">
        <v>157</v>
      </c>
      <c r="C23" s="419"/>
      <c r="D23" s="419"/>
      <c r="E23" s="419"/>
      <c r="F23" s="419"/>
      <c r="G23" s="419" t="s">
        <v>2028</v>
      </c>
      <c r="H23" s="337" t="s">
        <v>1593</v>
      </c>
      <c r="I23" s="337"/>
      <c r="J23" s="2"/>
      <c r="K23" s="5" t="s">
        <v>158</v>
      </c>
      <c r="L23" s="12" t="s">
        <v>159</v>
      </c>
      <c r="M23" s="13" t="s">
        <v>21</v>
      </c>
      <c r="N23" s="13" t="s">
        <v>1567</v>
      </c>
      <c r="O23" s="13" t="str">
        <f>IF(AND(ISNUMBER(MATCH(M23,{"F","E","D","D+","C","C+","B","B+","A","A+","S"},0)),ISNUMBER(MATCH(#REF!,{"F","E","D","D+","C","C+","B","B+","A","A+","S"},0)),ISNUMBER(MATCH(N27,{"F","E","D","D+","C","C+","B","B+","A","A+","S"},0)),ISNUMBER(MATCH(#REF!,{"F","E","D","D+","C","C+","B","B+","A","A+","S"},0))),LOOKUP(AVERAGE(_xlfn.SWITCH(M31,"F",0,"E",10,"D",20,"D+",30,"C",40,"C+",50,"B",60,"B+",70,"A",80,"A+",90,"S",100),_xlfn.SWITCH(#REF!,"F",0,"E",10,"D",20,"D+",30,"C",40,"C+",50,"B",60,"B+",70,"A",80,"A+",90,"S",100),_xlfn.SWITCH(N35,"F",0,"E",10,"D",20,"D+",30,"C",40,"C+",50,"B",60,"B+",70,"A",80,"A+",90,"S",100),_xlfn.SWITCH(#REF!,"F",0,"E",10,"D",20,"D+",30,"C",40,"C+",50,"B",60,"B+",70,"A",80,"A+",90,"S",100)),{0,15,25,35,45,55,65,75,85,95},{"D","D","D+","C","C+","B","B+","A","A+","S"}),"?")</f>
        <v>?</v>
      </c>
      <c r="P23" s="14" t="s">
        <v>4795</v>
      </c>
      <c r="Q23" s="2"/>
    </row>
    <row r="24" spans="1:17" ht="21">
      <c r="A24" s="54" t="s">
        <v>4796</v>
      </c>
      <c r="B24" s="54" t="s">
        <v>164</v>
      </c>
      <c r="C24" s="419"/>
      <c r="D24" s="419"/>
      <c r="E24" s="419"/>
      <c r="F24" s="419"/>
      <c r="G24" s="419"/>
      <c r="H24" s="337" t="s">
        <v>1593</v>
      </c>
      <c r="I24" s="337"/>
      <c r="J24" s="2"/>
      <c r="K24" s="5" t="s">
        <v>165</v>
      </c>
      <c r="L24" s="12" t="s">
        <v>166</v>
      </c>
      <c r="M24" s="13" t="s">
        <v>22</v>
      </c>
      <c r="N24" s="13" t="s">
        <v>22</v>
      </c>
      <c r="O24" s="13" t="s">
        <v>22</v>
      </c>
      <c r="P24" s="14"/>
      <c r="Q24" s="2"/>
    </row>
    <row r="25" spans="1:17" ht="21">
      <c r="A25" s="54" t="s">
        <v>4797</v>
      </c>
      <c r="B25" s="54" t="s">
        <v>171</v>
      </c>
      <c r="C25" s="419"/>
      <c r="D25" s="419"/>
      <c r="E25" s="419"/>
      <c r="F25" s="419"/>
      <c r="G25" s="419"/>
      <c r="H25" s="189" t="s">
        <v>1593</v>
      </c>
      <c r="I25" s="189"/>
      <c r="J25" s="2"/>
      <c r="K25" s="5" t="s">
        <v>172</v>
      </c>
      <c r="L25" s="12" t="s">
        <v>173</v>
      </c>
      <c r="M25" s="13" t="s">
        <v>1567</v>
      </c>
      <c r="N25" s="13" t="s">
        <v>1567</v>
      </c>
      <c r="O25" s="13" t="str">
        <f>IF(AND(ISNUMBER(MATCH(M25,{"F","E","D","D+","C","C+","B","B+","A","A+","S"},0)),ISNUMBER(MATCH(#REF!,{"F","E","D","D+","C","C+","B","B+","A","A+","S"},0)),ISNUMBER(MATCH(N29,{"F","E","D","D+","C","C+","B","B+","A","A+","S"},0)),ISNUMBER(MATCH(#REF!,{"F","E","D","D+","C","C+","B","B+","A","A+","S"},0))),LOOKUP(AVERAGE(_xlfn.SWITCH(M33,"F",0,"E",10,"D",20,"D+",30,"C",40,"C+",50,"B",60,"B+",70,"A",80,"A+",90,"S",100),_xlfn.SWITCH(#REF!,"F",0,"E",10,"D",20,"D+",30,"C",40,"C+",50,"B",60,"B+",70,"A",80,"A+",90,"S",100),_xlfn.SWITCH(N37,"F",0,"E",10,"D",20,"D+",30,"C",40,"C+",50,"B",60,"B+",70,"A",80,"A+",90,"S",100),_xlfn.SWITCH(#REF!,"F",0,"E",10,"D",20,"D+",30,"C",40,"C+",50,"B",60,"B+",70,"A",80,"A+",90,"S",100)),{0,15,25,35,45,55,65,75,85,95},{"D","D","D+","C","C+","B","B+","A","A+","S"}),"?")</f>
        <v>?</v>
      </c>
      <c r="P25" s="14" t="s">
        <v>4798</v>
      </c>
      <c r="Q25" s="2"/>
    </row>
    <row r="26" spans="1:17" ht="21">
      <c r="A26" s="54" t="s">
        <v>4799</v>
      </c>
      <c r="B26" s="54" t="s">
        <v>178</v>
      </c>
      <c r="C26" s="419"/>
      <c r="D26" s="419"/>
      <c r="E26" s="419"/>
      <c r="F26" s="419"/>
      <c r="G26" s="419"/>
      <c r="H26" s="189" t="s">
        <v>1593</v>
      </c>
      <c r="I26" s="189"/>
      <c r="J26" s="2"/>
      <c r="K26" s="5" t="s">
        <v>179</v>
      </c>
      <c r="L26" s="12" t="s">
        <v>180</v>
      </c>
      <c r="M26" s="13"/>
      <c r="N26" s="13"/>
      <c r="O26" s="13" t="str">
        <f>IF(AND(ISNUMBER(MATCH(M26,{"F","E","D","D+","C","C+","B","B+","A","A+","S"},0)),ISNUMBER(MATCH(#REF!,{"F","E","D","D+","C","C+","B","B+","A","A+","S"},0)),ISNUMBER(MATCH(N30,{"F","E","D","D+","C","C+","B","B+","A","A+","S"},0)),ISNUMBER(MATCH(#REF!,{"F","E","D","D+","C","C+","B","B+","A","A+","S"},0))),LOOKUP(AVERAGE(_xlfn.SWITCH(M34,"F",0,"E",10,"D",20,"D+",30,"C",40,"C+",50,"B",60,"B+",70,"A",80,"A+",90,"S",100),_xlfn.SWITCH(#REF!,"F",0,"E",10,"D",20,"D+",30,"C",40,"C+",50,"B",60,"B+",70,"A",80,"A+",90,"S",100),_xlfn.SWITCH(N38,"F",0,"E",10,"D",20,"D+",30,"C",40,"C+",50,"B",60,"B+",70,"A",80,"A+",90,"S",100),_xlfn.SWITCH(#REF!,"F",0,"E",10,"D",20,"D+",30,"C",40,"C+",50,"B",60,"B+",70,"A",80,"A+",90,"S",100)),{0,15,25,35,45,55,65,75,85,95},{"D","D","D+","C","C+","B","B+","A","A+","S"}),"?")</f>
        <v>?</v>
      </c>
      <c r="P26" s="14"/>
      <c r="Q26" s="2"/>
    </row>
    <row r="27" spans="1:17" ht="21">
      <c r="A27" s="54" t="s">
        <v>4800</v>
      </c>
      <c r="B27" s="54" t="s">
        <v>185</v>
      </c>
      <c r="C27" s="419"/>
      <c r="D27" s="419"/>
      <c r="E27" s="419"/>
      <c r="F27" s="419"/>
      <c r="G27" s="419"/>
      <c r="H27" s="189" t="s">
        <v>1593</v>
      </c>
      <c r="I27" s="189"/>
      <c r="J27" s="2"/>
      <c r="K27" s="5" t="s">
        <v>186</v>
      </c>
      <c r="L27" s="12" t="s">
        <v>187</v>
      </c>
      <c r="M27" s="13"/>
      <c r="N27" s="13"/>
      <c r="O27" s="13" t="str">
        <f>IF(AND(ISNUMBER(MATCH(M27,{"F","E","D","D+","C","C+","B","B+","A","A+","S"},0)),ISNUMBER(MATCH(#REF!,{"F","E","D","D+","C","C+","B","B+","A","A+","S"},0)),ISNUMBER(MATCH(N31,{"F","E","D","D+","C","C+","B","B+","A","A+","S"},0)),ISNUMBER(MATCH(#REF!,{"F","E","D","D+","C","C+","B","B+","A","A+","S"},0))),LOOKUP(AVERAGE(_xlfn.SWITCH(M35,"F",0,"E",10,"D",20,"D+",30,"C",40,"C+",50,"B",60,"B+",70,"A",80,"A+",90,"S",100),_xlfn.SWITCH(#REF!,"F",0,"E",10,"D",20,"D+",30,"C",40,"C+",50,"B",60,"B+",70,"A",80,"A+",90,"S",100),_xlfn.SWITCH(N39,"F",0,"E",10,"D",20,"D+",30,"C",40,"C+",50,"B",60,"B+",70,"A",80,"A+",90,"S",100),_xlfn.SWITCH(#REF!,"F",0,"E",10,"D",20,"D+",30,"C",40,"C+",50,"B",60,"B+",70,"A",80,"A+",90,"S",100)),{0,15,25,35,45,55,65,75,85,95},{"D","D","D+","C","C+","B","B+","A","A+","S"}),"?")</f>
        <v>?</v>
      </c>
      <c r="P27" s="14"/>
      <c r="Q27" s="2"/>
    </row>
    <row r="28" spans="1:17" ht="21">
      <c r="A28" s="54" t="s">
        <v>4801</v>
      </c>
      <c r="B28" s="54" t="s">
        <v>192</v>
      </c>
      <c r="C28" s="419"/>
      <c r="D28" s="419"/>
      <c r="E28" s="419"/>
      <c r="F28" s="419"/>
      <c r="G28" s="419"/>
      <c r="H28" s="189" t="s">
        <v>1593</v>
      </c>
      <c r="I28" s="189"/>
      <c r="J28" s="2"/>
      <c r="K28" s="5" t="s">
        <v>193</v>
      </c>
      <c r="L28" s="12" t="s">
        <v>194</v>
      </c>
      <c r="M28" s="13"/>
      <c r="N28" s="13"/>
      <c r="O28" s="13" t="str">
        <f>IF(AND(ISNUMBER(MATCH(M28,{"F","E","D","D+","C","C+","B","B+","A","A+","S"},0)),ISNUMBER(MATCH(#REF!,{"F","E","D","D+","C","C+","B","B+","A","A+","S"},0)),ISNUMBER(MATCH(N32,{"F","E","D","D+","C","C+","B","B+","A","A+","S"},0)),ISNUMBER(MATCH(#REF!,{"F","E","D","D+","C","C+","B","B+","A","A+","S"},0))),LOOKUP(AVERAGE(_xlfn.SWITCH(M36,"F",0,"E",10,"D",20,"D+",30,"C",40,"C+",50,"B",60,"B+",70,"A",80,"A+",90,"S",100),_xlfn.SWITCH(#REF!,"F",0,"E",10,"D",20,"D+",30,"C",40,"C+",50,"B",60,"B+",70,"A",80,"A+",90,"S",100),_xlfn.SWITCH(N40,"F",0,"E",10,"D",20,"D+",30,"C",40,"C+",50,"B",60,"B+",70,"A",80,"A+",90,"S",100),_xlfn.SWITCH(#REF!,"F",0,"E",10,"D",20,"D+",30,"C",40,"C+",50,"B",60,"B+",70,"A",80,"A+",90,"S",100)),{0,15,25,35,45,55,65,75,85,95},{"D","D","D+","C","C+","B","B+","A","A+","S"}),"?")</f>
        <v>?</v>
      </c>
      <c r="P28" s="14"/>
      <c r="Q28" s="2"/>
    </row>
    <row r="29" spans="1:17" ht="21">
      <c r="A29" s="418" t="s">
        <v>431</v>
      </c>
      <c r="B29" s="54" t="s">
        <v>199</v>
      </c>
      <c r="C29" s="419"/>
      <c r="D29" s="419"/>
      <c r="E29" s="419"/>
      <c r="F29" s="419"/>
      <c r="G29" s="419"/>
      <c r="H29" s="189" t="s">
        <v>1567</v>
      </c>
      <c r="I29" s="189"/>
      <c r="J29" s="2"/>
      <c r="K29" s="5" t="s">
        <v>200</v>
      </c>
      <c r="L29" s="12" t="s">
        <v>201</v>
      </c>
      <c r="M29" s="13"/>
      <c r="N29" s="13"/>
      <c r="O29" s="13" t="str">
        <f>IF(AND(ISNUMBER(MATCH(M29,{"F","E","D","D+","C","C+","B","B+","A","A+","S"},0)),ISNUMBER(MATCH(#REF!,{"F","E","D","D+","C","C+","B","B+","A","A+","S"},0)),ISNUMBER(MATCH(N33,{"F","E","D","D+","C","C+","B","B+","A","A+","S"},0)),ISNUMBER(MATCH(#REF!,{"F","E","D","D+","C","C+","B","B+","A","A+","S"},0))),LOOKUP(AVERAGE(_xlfn.SWITCH(M37,"F",0,"E",10,"D",20,"D+",30,"C",40,"C+",50,"B",60,"B+",70,"A",80,"A+",90,"S",100),_xlfn.SWITCH(#REF!,"F",0,"E",10,"D",20,"D+",30,"C",40,"C+",50,"B",60,"B+",70,"A",80,"A+",90,"S",100),_xlfn.SWITCH(N41,"F",0,"E",10,"D",20,"D+",30,"C",40,"C+",50,"B",60,"B+",70,"A",80,"A+",90,"S",100),_xlfn.SWITCH(#REF!,"F",0,"E",10,"D",20,"D+",30,"C",40,"C+",50,"B",60,"B+",70,"A",80,"A+",90,"S",100)),{0,15,25,35,45,55,65,75,85,95},{"D","D","D+","C","C+","B","B+","A","A+","S"}),"?")</f>
        <v>?</v>
      </c>
      <c r="P29" s="14"/>
      <c r="Q29" s="2"/>
    </row>
    <row r="30" spans="1:17" ht="21">
      <c r="A30" s="54" t="s">
        <v>4802</v>
      </c>
      <c r="B30" s="54" t="s">
        <v>206</v>
      </c>
      <c r="C30" s="419"/>
      <c r="D30" s="419"/>
      <c r="E30" s="419"/>
      <c r="F30" s="419"/>
      <c r="G30" s="419"/>
      <c r="H30" s="189" t="s">
        <v>1593</v>
      </c>
      <c r="I30" s="189"/>
      <c r="J30" s="2"/>
      <c r="K30" s="5" t="s">
        <v>207</v>
      </c>
      <c r="L30" s="12" t="s">
        <v>208</v>
      </c>
      <c r="M30" s="13"/>
      <c r="N30" s="13"/>
      <c r="O30" s="13" t="str">
        <f>IF(AND(ISNUMBER(MATCH(M30,{"F","E","D","D+","C","C+","B","B+","A","A+","S"},0)),ISNUMBER(MATCH(#REF!,{"F","E","D","D+","C","C+","B","B+","A","A+","S"},0)),ISNUMBER(MATCH(N34,{"F","E","D","D+","C","C+","B","B+","A","A+","S"},0)),ISNUMBER(MATCH(#REF!,{"F","E","D","D+","C","C+","B","B+","A","A+","S"},0))),LOOKUP(AVERAGE(_xlfn.SWITCH(M38,"F",0,"E",10,"D",20,"D+",30,"C",40,"C+",50,"B",60,"B+",70,"A",80,"A+",90,"S",100),_xlfn.SWITCH(#REF!,"F",0,"E",10,"D",20,"D+",30,"C",40,"C+",50,"B",60,"B+",70,"A",80,"A+",90,"S",100),_xlfn.SWITCH(N42,"F",0,"E",10,"D",20,"D+",30,"C",40,"C+",50,"B",60,"B+",70,"A",80,"A+",90,"S",100),_xlfn.SWITCH(#REF!,"F",0,"E",10,"D",20,"D+",30,"C",40,"C+",50,"B",60,"B+",70,"A",80,"A+",90,"S",100)),{0,15,25,35,45,55,65,75,85,95},{"D","D","D+","C","C+","B","B+","A","A+","S"}),"?")</f>
        <v>?</v>
      </c>
      <c r="P30" s="14"/>
      <c r="Q30" s="2"/>
    </row>
    <row r="31" spans="1:17" ht="21">
      <c r="A31" s="418" t="s">
        <v>465</v>
      </c>
      <c r="B31" s="54" t="s">
        <v>466</v>
      </c>
      <c r="C31" s="419"/>
      <c r="D31" s="419"/>
      <c r="E31" s="419"/>
      <c r="F31" s="419"/>
      <c r="G31" s="419"/>
      <c r="H31" s="189" t="s">
        <v>1567</v>
      </c>
      <c r="I31" s="189"/>
      <c r="J31" s="2"/>
      <c r="K31" s="5" t="s">
        <v>214</v>
      </c>
      <c r="L31" s="12" t="s">
        <v>215</v>
      </c>
      <c r="M31" s="13"/>
      <c r="N31" s="13"/>
      <c r="O31" s="13" t="str">
        <f>IF(AND(ISNUMBER(MATCH(M31,{"F","E","D","D+","C","C+","B","B+","A","A+","S"},0)),ISNUMBER(MATCH(#REF!,{"F","E","D","D+","C","C+","B","B+","A","A+","S"},0)),ISNUMBER(MATCH(N35,{"F","E","D","D+","C","C+","B","B+","A","A+","S"},0)),ISNUMBER(MATCH(#REF!,{"F","E","D","D+","C","C+","B","B+","A","A+","S"},0))),LOOKUP(AVERAGE(_xlfn.SWITCH(M39,"F",0,"E",10,"D",20,"D+",30,"C",40,"C+",50,"B",60,"B+",70,"A",80,"A+",90,"S",100),_xlfn.SWITCH(#REF!,"F",0,"E",10,"D",20,"D+",30,"C",40,"C+",50,"B",60,"B+",70,"A",80,"A+",90,"S",100),_xlfn.SWITCH(N43,"F",0,"E",10,"D",20,"D+",30,"C",40,"C+",50,"B",60,"B+",70,"A",80,"A+",90,"S",100),_xlfn.SWITCH(#REF!,"F",0,"E",10,"D",20,"D+",30,"C",40,"C+",50,"B",60,"B+",70,"A",80,"A+",90,"S",100)),{0,15,25,35,45,55,65,75,85,95},{"D","D","D+","C","C+","B","B+","A","A+","S"}),"?")</f>
        <v>?</v>
      </c>
      <c r="P31" s="14"/>
      <c r="Q31" s="2"/>
    </row>
    <row r="32" spans="1:17" ht="21">
      <c r="A32" s="54" t="s">
        <v>4803</v>
      </c>
      <c r="B32" s="54" t="s">
        <v>219</v>
      </c>
      <c r="C32" s="419"/>
      <c r="D32" s="419"/>
      <c r="E32" s="419"/>
      <c r="F32" s="419"/>
      <c r="G32" s="419"/>
      <c r="H32" s="189" t="s">
        <v>1593</v>
      </c>
      <c r="I32" s="189"/>
      <c r="J32" s="2"/>
      <c r="K32" s="5" t="s">
        <v>220</v>
      </c>
      <c r="L32" s="12" t="s">
        <v>221</v>
      </c>
      <c r="M32" s="13"/>
      <c r="N32" s="13"/>
      <c r="O32" s="13" t="str">
        <f>IF(AND(ISNUMBER(MATCH(M32,{"F","E","D","D+","C","C+","B","B+","A","A+","S"},0)),ISNUMBER(MATCH(#REF!,{"F","E","D","D+","C","C+","B","B+","A","A+","S"},0)),ISNUMBER(MATCH(N36,{"F","E","D","D+","C","C+","B","B+","A","A+","S"},0)),ISNUMBER(MATCH(#REF!,{"F","E","D","D+","C","C+","B","B+","A","A+","S"},0))),LOOKUP(AVERAGE(_xlfn.SWITCH(M40,"F",0,"E",10,"D",20,"D+",30,"C",40,"C+",50,"B",60,"B+",70,"A",80,"A+",90,"S",100),_xlfn.SWITCH(#REF!,"F",0,"E",10,"D",20,"D+",30,"C",40,"C+",50,"B",60,"B+",70,"A",80,"A+",90,"S",100),_xlfn.SWITCH(N44,"F",0,"E",10,"D",20,"D+",30,"C",40,"C+",50,"B",60,"B+",70,"A",80,"A+",90,"S",100),_xlfn.SWITCH(#REF!,"F",0,"E",10,"D",20,"D+",30,"C",40,"C+",50,"B",60,"B+",70,"A",80,"A+",90,"S",100)),{0,15,25,35,45,55,65,75,85,95},{"D","D","D+","C","C+","B","B+","A","A+","S"}),"?")</f>
        <v>?</v>
      </c>
      <c r="P32" s="14"/>
      <c r="Q32" s="2"/>
    </row>
    <row r="33" spans="1:17" ht="21">
      <c r="A33" s="418" t="s">
        <v>325</v>
      </c>
      <c r="B33" s="54" t="s">
        <v>226</v>
      </c>
      <c r="C33" s="419"/>
      <c r="D33" s="419"/>
      <c r="E33" s="419"/>
      <c r="F33" s="419"/>
      <c r="G33" s="419"/>
      <c r="H33" s="189" t="s">
        <v>1567</v>
      </c>
      <c r="I33" s="189"/>
      <c r="J33" s="2"/>
      <c r="K33" s="5" t="s">
        <v>227</v>
      </c>
      <c r="L33" s="12" t="s">
        <v>228</v>
      </c>
      <c r="M33" s="13"/>
      <c r="N33" s="13"/>
      <c r="O33" s="13" t="str">
        <f>IF(AND(ISNUMBER(MATCH(M33,{"F","E","D","D+","C","C+","B","B+","A","A+","S"},0)),ISNUMBER(MATCH(#REF!,{"F","E","D","D+","C","C+","B","B+","A","A+","S"},0)),ISNUMBER(MATCH(N37,{"F","E","D","D+","C","C+","B","B+","A","A+","S"},0)),ISNUMBER(MATCH(#REF!,{"F","E","D","D+","C","C+","B","B+","A","A+","S"},0))),LOOKUP(AVERAGE(_xlfn.SWITCH(M41,"F",0,"E",10,"D",20,"D+",30,"C",40,"C+",50,"B",60,"B+",70,"A",80,"A+",90,"S",100),_xlfn.SWITCH(#REF!,"F",0,"E",10,"D",20,"D+",30,"C",40,"C+",50,"B",60,"B+",70,"A",80,"A+",90,"S",100),_xlfn.SWITCH(N45,"F",0,"E",10,"D",20,"D+",30,"C",40,"C+",50,"B",60,"B+",70,"A",80,"A+",90,"S",100),_xlfn.SWITCH(#REF!,"F",0,"E",10,"D",20,"D+",30,"C",40,"C+",50,"B",60,"B+",70,"A",80,"A+",90,"S",100)),{0,15,25,35,45,55,65,75,85,95},{"D","D","D+","C","C+","B","B+","A","A+","S"}),"?")</f>
        <v>?</v>
      </c>
      <c r="P33" s="14"/>
      <c r="Q33" s="2"/>
    </row>
    <row r="34" spans="1:17" ht="21">
      <c r="A34" s="54" t="s">
        <v>4804</v>
      </c>
      <c r="B34" s="54" t="s">
        <v>233</v>
      </c>
      <c r="C34" s="419"/>
      <c r="D34" s="419"/>
      <c r="E34" s="419"/>
      <c r="F34" s="419"/>
      <c r="G34" s="419"/>
      <c r="H34" s="189" t="s">
        <v>1593</v>
      </c>
      <c r="I34" s="189"/>
      <c r="J34" s="2"/>
      <c r="K34" s="5" t="s">
        <v>234</v>
      </c>
      <c r="L34" s="12" t="s">
        <v>68</v>
      </c>
      <c r="M34" s="13"/>
      <c r="N34" s="13"/>
      <c r="O34" s="13" t="str">
        <f>IF(AND(ISNUMBER(MATCH(M34,{"F","E","D","D+","C","C+","B","B+","A","A+","S"},0)),ISNUMBER(MATCH(#REF!,{"F","E","D","D+","C","C+","B","B+","A","A+","S"},0)),ISNUMBER(MATCH(N38,{"F","E","D","D+","C","C+","B","B+","A","A+","S"},0)),ISNUMBER(MATCH(#REF!,{"F","E","D","D+","C","C+","B","B+","A","A+","S"},0))),LOOKUP(AVERAGE(_xlfn.SWITCH(M42,"F",0,"E",10,"D",20,"D+",30,"C",40,"C+",50,"B",60,"B+",70,"A",80,"A+",90,"S",100),_xlfn.SWITCH(#REF!,"F",0,"E",10,"D",20,"D+",30,"C",40,"C+",50,"B",60,"B+",70,"A",80,"A+",90,"S",100),_xlfn.SWITCH(N46,"F",0,"E",10,"D",20,"D+",30,"C",40,"C+",50,"B",60,"B+",70,"A",80,"A+",90,"S",100),_xlfn.SWITCH(#REF!,"F",0,"E",10,"D",20,"D+",30,"C",40,"C+",50,"B",60,"B+",70,"A",80,"A+",90,"S",100)),{0,15,25,35,45,55,65,75,85,95},{"D","D","D+","C","C+","B","B+","A","A+","S"}),"?")</f>
        <v>?</v>
      </c>
      <c r="P34" s="14"/>
      <c r="Q34" s="2"/>
    </row>
    <row r="35" spans="1:17" ht="21">
      <c r="A35" s="418" t="s">
        <v>4805</v>
      </c>
      <c r="B35" s="54" t="s">
        <v>239</v>
      </c>
      <c r="C35" s="419"/>
      <c r="D35" s="419"/>
      <c r="E35" s="419"/>
      <c r="F35" s="419"/>
      <c r="G35" s="419"/>
      <c r="H35" s="189" t="s">
        <v>1567</v>
      </c>
      <c r="I35" s="189"/>
      <c r="J35" s="2"/>
      <c r="K35" s="5" t="s">
        <v>240</v>
      </c>
      <c r="L35" s="12" t="s">
        <v>241</v>
      </c>
      <c r="M35" s="13"/>
      <c r="N35" s="13"/>
      <c r="O35" s="13" t="str">
        <f>IF(AND(ISNUMBER(MATCH(M35,{"F","E","D","D+","C","C+","B","B+","A","A+","S"},0)),ISNUMBER(MATCH(#REF!,{"F","E","D","D+","C","C+","B","B+","A","A+","S"},0)),ISNUMBER(MATCH(N39,{"F","E","D","D+","C","C+","B","B+","A","A+","S"},0)),ISNUMBER(MATCH(#REF!,{"F","E","D","D+","C","C+","B","B+","A","A+","S"},0))),LOOKUP(AVERAGE(_xlfn.SWITCH(M43,"F",0,"E",10,"D",20,"D+",30,"C",40,"C+",50,"B",60,"B+",70,"A",80,"A+",90,"S",100),_xlfn.SWITCH(#REF!,"F",0,"E",10,"D",20,"D+",30,"C",40,"C+",50,"B",60,"B+",70,"A",80,"A+",90,"S",100),_xlfn.SWITCH(N47,"F",0,"E",10,"D",20,"D+",30,"C",40,"C+",50,"B",60,"B+",70,"A",80,"A+",90,"S",100),_xlfn.SWITCH(#REF!,"F",0,"E",10,"D",20,"D+",30,"C",40,"C+",50,"B",60,"B+",70,"A",80,"A+",90,"S",100)),{0,15,25,35,45,55,65,75,85,95},{"D","D","D+","C","C+","B","B+","A","A+","S"}),"?")</f>
        <v>?</v>
      </c>
      <c r="P35" s="14"/>
      <c r="Q35" s="2"/>
    </row>
    <row r="36" spans="1:17" ht="21">
      <c r="A36" s="54" t="s">
        <v>499</v>
      </c>
      <c r="B36" s="54" t="s">
        <v>244</v>
      </c>
      <c r="C36" s="419"/>
      <c r="D36" s="419"/>
      <c r="E36" s="419"/>
      <c r="F36" s="419"/>
      <c r="G36" s="419"/>
      <c r="H36" s="189" t="s">
        <v>1593</v>
      </c>
      <c r="I36" s="189"/>
      <c r="J36" s="2"/>
      <c r="K36" s="5" t="s">
        <v>245</v>
      </c>
      <c r="L36" s="12" t="s">
        <v>246</v>
      </c>
      <c r="M36" s="13"/>
      <c r="N36" s="13"/>
      <c r="O36" s="13" t="str">
        <f>IF(AND(ISNUMBER(MATCH(M36,{"F","E","D","D+","C","C+","B","B+","A","A+","S"},0)),ISNUMBER(MATCH(#REF!,{"F","E","D","D+","C","C+","B","B+","A","A+","S"},0)),ISNUMBER(MATCH(N40,{"F","E","D","D+","C","C+","B","B+","A","A+","S"},0)),ISNUMBER(MATCH(#REF!,{"F","E","D","D+","C","C+","B","B+","A","A+","S"},0))),LOOKUP(AVERAGE(_xlfn.SWITCH(M44,"F",0,"E",10,"D",20,"D+",30,"C",40,"C+",50,"B",60,"B+",70,"A",80,"A+",90,"S",100),_xlfn.SWITCH(#REF!,"F",0,"E",10,"D",20,"D+",30,"C",40,"C+",50,"B",60,"B+",70,"A",80,"A+",90,"S",100),_xlfn.SWITCH(N48,"F",0,"E",10,"D",20,"D+",30,"C",40,"C+",50,"B",60,"B+",70,"A",80,"A+",90,"S",100),_xlfn.SWITCH(#REF!,"F",0,"E",10,"D",20,"D+",30,"C",40,"C+",50,"B",60,"B+",70,"A",80,"A+",90,"S",100)),{0,15,25,35,45,55,65,75,85,95},{"D","D","D+","C","C+","B","B+","A","A+","S"}),"?")</f>
        <v>?</v>
      </c>
      <c r="P36" s="14"/>
      <c r="Q36" s="2"/>
    </row>
    <row r="37" spans="1:17" ht="21">
      <c r="A37" s="417" t="s">
        <v>79</v>
      </c>
      <c r="B37" s="54" t="s">
        <v>80</v>
      </c>
      <c r="C37" s="419"/>
      <c r="D37" s="419"/>
      <c r="E37" s="419"/>
      <c r="F37" s="419"/>
      <c r="G37" s="419"/>
      <c r="H37" s="189" t="s">
        <v>17</v>
      </c>
      <c r="I37" s="189"/>
      <c r="J37" s="2"/>
      <c r="K37" s="5" t="s">
        <v>251</v>
      </c>
      <c r="L37" s="12" t="s">
        <v>252</v>
      </c>
      <c r="M37" s="13"/>
      <c r="N37" s="13"/>
      <c r="O37" s="13" t="str">
        <f>IF(AND(ISNUMBER(MATCH(M37,{"F","E","D","D+","C","C+","B","B+","A","A+","S"},0)),ISNUMBER(MATCH(#REF!,{"F","E","D","D+","C","C+","B","B+","A","A+","S"},0)),ISNUMBER(MATCH(N41,{"F","E","D","D+","C","C+","B","B+","A","A+","S"},0)),ISNUMBER(MATCH(#REF!,{"F","E","D","D+","C","C+","B","B+","A","A+","S"},0))),LOOKUP(AVERAGE(_xlfn.SWITCH(M45,"F",0,"E",10,"D",20,"D+",30,"C",40,"C+",50,"B",60,"B+",70,"A",80,"A+",90,"S",100),_xlfn.SWITCH(#REF!,"F",0,"E",10,"D",20,"D+",30,"C",40,"C+",50,"B",60,"B+",70,"A",80,"A+",90,"S",100),_xlfn.SWITCH(N49,"F",0,"E",10,"D",20,"D+",30,"C",40,"C+",50,"B",60,"B+",70,"A",80,"A+",90,"S",100),_xlfn.SWITCH(#REF!,"F",0,"E",10,"D",20,"D+",30,"C",40,"C+",50,"B",60,"B+",70,"A",80,"A+",90,"S",100)),{0,15,25,35,45,55,65,75,85,95},{"D","D","D+","C","C+","B","B+","A","A+","S"}),"?")</f>
        <v>?</v>
      </c>
      <c r="P37" s="14"/>
      <c r="Q37" s="2"/>
    </row>
    <row r="38" spans="1:17" ht="21">
      <c r="A38" s="54" t="s">
        <v>4806</v>
      </c>
      <c r="B38" s="54" t="s">
        <v>257</v>
      </c>
      <c r="C38" s="419"/>
      <c r="D38" s="419"/>
      <c r="E38" s="419"/>
      <c r="F38" s="419"/>
      <c r="G38" s="419" t="s">
        <v>2028</v>
      </c>
      <c r="H38" s="189" t="s">
        <v>1593</v>
      </c>
      <c r="I38" s="189"/>
      <c r="J38" s="2"/>
      <c r="K38" s="5" t="s">
        <v>258</v>
      </c>
      <c r="L38" s="12" t="s">
        <v>259</v>
      </c>
      <c r="M38" s="13"/>
      <c r="N38" s="13"/>
      <c r="O38" s="13" t="str">
        <f>IF(AND(ISNUMBER(MATCH(M38,{"F","E","D","D+","C","C+","B","B+","A","A+","S"},0)),ISNUMBER(MATCH(#REF!,{"F","E","D","D+","C","C+","B","B+","A","A+","S"},0)),ISNUMBER(MATCH(N42,{"F","E","D","D+","C","C+","B","B+","A","A+","S"},0)),ISNUMBER(MATCH(#REF!,{"F","E","D","D+","C","C+","B","B+","A","A+","S"},0))),LOOKUP(AVERAGE(_xlfn.SWITCH(M46,"F",0,"E",10,"D",20,"D+",30,"C",40,"C+",50,"B",60,"B+",70,"A",80,"A+",90,"S",100),_xlfn.SWITCH(#REF!,"F",0,"E",10,"D",20,"D+",30,"C",40,"C+",50,"B",60,"B+",70,"A",80,"A+",90,"S",100),_xlfn.SWITCH(N50,"F",0,"E",10,"D",20,"D+",30,"C",40,"C+",50,"B",60,"B+",70,"A",80,"A+",90,"S",100),_xlfn.SWITCH(#REF!,"F",0,"E",10,"D",20,"D+",30,"C",40,"C+",50,"B",60,"B+",70,"A",80,"A+",90,"S",100)),{0,15,25,35,45,55,65,75,85,95},{"D","D","D+","C","C+","B","B+","A","A+","S"}),"?")</f>
        <v>?</v>
      </c>
      <c r="P38" s="14"/>
      <c r="Q38" s="2"/>
    </row>
    <row r="39" spans="1:17" ht="21">
      <c r="A39" s="54" t="s">
        <v>4807</v>
      </c>
      <c r="B39" s="54" t="s">
        <v>264</v>
      </c>
      <c r="C39" s="419"/>
      <c r="D39" s="419"/>
      <c r="E39" s="419"/>
      <c r="F39" s="419"/>
      <c r="G39" s="419" t="s">
        <v>22</v>
      </c>
      <c r="H39" s="189" t="s">
        <v>1593</v>
      </c>
      <c r="I39" s="189"/>
      <c r="J39" s="2"/>
      <c r="K39" s="5" t="s">
        <v>265</v>
      </c>
      <c r="L39" s="12" t="s">
        <v>266</v>
      </c>
      <c r="M39" s="13"/>
      <c r="N39" s="13"/>
      <c r="O39" s="13" t="str">
        <f>IF(AND(ISNUMBER(MATCH(M39,{"F","E","D","D+","C","C+","B","B+","A","A+","S"},0)),ISNUMBER(MATCH(#REF!,{"F","E","D","D+","C","C+","B","B+","A","A+","S"},0)),ISNUMBER(MATCH(N43,{"F","E","D","D+","C","C+","B","B+","A","A+","S"},0)),ISNUMBER(MATCH(#REF!,{"F","E","D","D+","C","C+","B","B+","A","A+","S"},0))),LOOKUP(AVERAGE(_xlfn.SWITCH(M47,"F",0,"E",10,"D",20,"D+",30,"C",40,"C+",50,"B",60,"B+",70,"A",80,"A+",90,"S",100),_xlfn.SWITCH(#REF!,"F",0,"E",10,"D",20,"D+",30,"C",40,"C+",50,"B",60,"B+",70,"A",80,"A+",90,"S",100),_xlfn.SWITCH(N51,"F",0,"E",10,"D",20,"D+",30,"C",40,"C+",50,"B",60,"B+",70,"A",80,"A+",90,"S",100),_xlfn.SWITCH(#REF!,"F",0,"E",10,"D",20,"D+",30,"C",40,"C+",50,"B",60,"B+",70,"A",80,"A+",90,"S",100)),{0,15,25,35,45,55,65,75,85,95},{"D","D","D+","C","C+","B","B+","A","A+","S"}),"?")</f>
        <v>?</v>
      </c>
      <c r="P39" s="14"/>
      <c r="Q39" s="2"/>
    </row>
    <row r="40" spans="1:17" ht="21">
      <c r="A40" s="54" t="s">
        <v>4808</v>
      </c>
      <c r="B40" s="54" t="s">
        <v>270</v>
      </c>
      <c r="C40" s="419"/>
      <c r="D40" s="419"/>
      <c r="E40" s="419"/>
      <c r="F40" s="419"/>
      <c r="G40" s="419" t="s">
        <v>22</v>
      </c>
      <c r="H40" s="189" t="s">
        <v>1593</v>
      </c>
      <c r="I40" s="189"/>
      <c r="J40" s="2"/>
      <c r="K40" s="5" t="s">
        <v>271</v>
      </c>
      <c r="L40" s="12" t="s">
        <v>272</v>
      </c>
      <c r="M40" s="13"/>
      <c r="N40" s="13"/>
      <c r="O40" s="13" t="str">
        <f>IF(AND(ISNUMBER(MATCH(M40,{"F","E","D","D+","C","C+","B","B+","A","A+","S"},0)),ISNUMBER(MATCH(#REF!,{"F","E","D","D+","C","C+","B","B+","A","A+","S"},0)),ISNUMBER(MATCH(N44,{"F","E","D","D+","C","C+","B","B+","A","A+","S"},0)),ISNUMBER(MATCH(#REF!,{"F","E","D","D+","C","C+","B","B+","A","A+","S"},0))),LOOKUP(AVERAGE(_xlfn.SWITCH(M48,"F",0,"E",10,"D",20,"D+",30,"C",40,"C+",50,"B",60,"B+",70,"A",80,"A+",90,"S",100),_xlfn.SWITCH(#REF!,"F",0,"E",10,"D",20,"D+",30,"C",40,"C+",50,"B",60,"B+",70,"A",80,"A+",90,"S",100),_xlfn.SWITCH(N52,"F",0,"E",10,"D",20,"D+",30,"C",40,"C+",50,"B",60,"B+",70,"A",80,"A+",90,"S",100),_xlfn.SWITCH(#REF!,"F",0,"E",10,"D",20,"D+",30,"C",40,"C+",50,"B",60,"B+",70,"A",80,"A+",90,"S",100)),{0,15,25,35,45,55,65,75,85,95},{"D","D","D+","C","C+","B","B+","A","A+","S"}),"?")</f>
        <v>?</v>
      </c>
      <c r="P40" s="14"/>
      <c r="Q40" s="2"/>
    </row>
    <row r="41" spans="1:17" ht="21">
      <c r="A41" s="54" t="s">
        <v>4809</v>
      </c>
      <c r="B41" s="54" t="s">
        <v>275</v>
      </c>
      <c r="C41" s="419"/>
      <c r="D41" s="419"/>
      <c r="E41" s="419"/>
      <c r="F41" s="419"/>
      <c r="G41" s="419"/>
      <c r="H41" s="189" t="s">
        <v>1574</v>
      </c>
      <c r="I41" s="189"/>
      <c r="J41" s="2"/>
      <c r="K41" s="5" t="s">
        <v>121</v>
      </c>
      <c r="L41" s="12" t="s">
        <v>122</v>
      </c>
      <c r="M41" s="13"/>
      <c r="N41" s="13"/>
      <c r="O41" s="13" t="str">
        <f>IF(AND(ISNUMBER(MATCH(M41,{"F","E","D","D+","C","C+","B","B+","A","A+","S"},0)),ISNUMBER(MATCH(#REF!,{"F","E","D","D+","C","C+","B","B+","A","A+","S"},0)),ISNUMBER(MATCH(N45,{"F","E","D","D+","C","C+","B","B+","A","A+","S"},0)),ISNUMBER(MATCH(#REF!,{"F","E","D","D+","C","C+","B","B+","A","A+","S"},0))),LOOKUP(AVERAGE(_xlfn.SWITCH(M49,"F",0,"E",10,"D",20,"D+",30,"C",40,"C+",50,"B",60,"B+",70,"A",80,"A+",90,"S",100),_xlfn.SWITCH(#REF!,"F",0,"E",10,"D",20,"D+",30,"C",40,"C+",50,"B",60,"B+",70,"A",80,"A+",90,"S",100),_xlfn.SWITCH(N53,"F",0,"E",10,"D",20,"D+",30,"C",40,"C+",50,"B",60,"B+",70,"A",80,"A+",90,"S",100),_xlfn.SWITCH(#REF!,"F",0,"E",10,"D",20,"D+",30,"C",40,"C+",50,"B",60,"B+",70,"A",80,"A+",90,"S",100)),{0,15,25,35,45,55,65,75,85,95},{"D","D","D+","C","C+","B","B+","A","A+","S"}),"?")</f>
        <v>?</v>
      </c>
      <c r="P41" s="14"/>
      <c r="Q41" s="2"/>
    </row>
    <row r="42" spans="1:17" ht="21">
      <c r="A42" s="418" t="s">
        <v>297</v>
      </c>
      <c r="B42" s="54" t="s">
        <v>280</v>
      </c>
      <c r="C42" s="419"/>
      <c r="D42" s="419"/>
      <c r="E42" s="419"/>
      <c r="F42" s="419"/>
      <c r="G42" s="419"/>
      <c r="H42" s="189" t="s">
        <v>1567</v>
      </c>
      <c r="I42" s="189"/>
      <c r="J42" s="2"/>
      <c r="K42" s="5" t="s">
        <v>281</v>
      </c>
      <c r="L42" s="12" t="s">
        <v>282</v>
      </c>
      <c r="M42" s="13"/>
      <c r="N42" s="13"/>
      <c r="O42" s="13" t="str">
        <f>IF(AND(ISNUMBER(MATCH(M42,{"F","E","D","D+","C","C+","B","B+","A","A+","S"},0)),ISNUMBER(MATCH(#REF!,{"F","E","D","D+","C","C+","B","B+","A","A+","S"},0)),ISNUMBER(MATCH(N46,{"F","E","D","D+","C","C+","B","B+","A","A+","S"},0)),ISNUMBER(MATCH(#REF!,{"F","E","D","D+","C","C+","B","B+","A","A+","S"},0))),LOOKUP(AVERAGE(_xlfn.SWITCH(M50,"F",0,"E",10,"D",20,"D+",30,"C",40,"C+",50,"B",60,"B+",70,"A",80,"A+",90,"S",100),_xlfn.SWITCH(#REF!,"F",0,"E",10,"D",20,"D+",30,"C",40,"C+",50,"B",60,"B+",70,"A",80,"A+",90,"S",100),_xlfn.SWITCH(N54,"F",0,"E",10,"D",20,"D+",30,"C",40,"C+",50,"B",60,"B+",70,"A",80,"A+",90,"S",100),_xlfn.SWITCH(#REF!,"F",0,"E",10,"D",20,"D+",30,"C",40,"C+",50,"B",60,"B+",70,"A",80,"A+",90,"S",100)),{0,15,25,35,45,55,65,75,85,95},{"D","D","D+","C","C+","B","B+","A","A+","S"}),"?")</f>
        <v>?</v>
      </c>
      <c r="P42" s="14"/>
      <c r="Q42" s="2"/>
    </row>
    <row r="43" spans="1:17" ht="21">
      <c r="A43" s="418" t="s">
        <v>53</v>
      </c>
      <c r="B43" s="54" t="s">
        <v>54</v>
      </c>
      <c r="C43" s="419"/>
      <c r="D43" s="419"/>
      <c r="E43" s="419"/>
      <c r="F43" s="419"/>
      <c r="G43" s="419"/>
      <c r="H43" s="189" t="s">
        <v>1567</v>
      </c>
      <c r="I43" s="189"/>
      <c r="J43" s="2"/>
      <c r="K43" s="5" t="s">
        <v>287</v>
      </c>
      <c r="L43" s="12" t="s">
        <v>288</v>
      </c>
      <c r="M43" s="13"/>
      <c r="N43" s="13"/>
      <c r="O43" s="13" t="str">
        <f>IF(AND(ISNUMBER(MATCH(M43,{"F","E","D","D+","C","C+","B","B+","A","A+","S"},0)),ISNUMBER(MATCH(#REF!,{"F","E","D","D+","C","C+","B","B+","A","A+","S"},0)),ISNUMBER(MATCH(N47,{"F","E","D","D+","C","C+","B","B+","A","A+","S"},0)),ISNUMBER(MATCH(#REF!,{"F","E","D","D+","C","C+","B","B+","A","A+","S"},0))),LOOKUP(AVERAGE(_xlfn.SWITCH(M51,"F",0,"E",10,"D",20,"D+",30,"C",40,"C+",50,"B",60,"B+",70,"A",80,"A+",90,"S",100),_xlfn.SWITCH(#REF!,"F",0,"E",10,"D",20,"D+",30,"C",40,"C+",50,"B",60,"B+",70,"A",80,"A+",90,"S",100),_xlfn.SWITCH(N55,"F",0,"E",10,"D",20,"D+",30,"C",40,"C+",50,"B",60,"B+",70,"A",80,"A+",90,"S",100),_xlfn.SWITCH(#REF!,"F",0,"E",10,"D",20,"D+",30,"C",40,"C+",50,"B",60,"B+",70,"A",80,"A+",90,"S",100)),{0,15,25,35,45,55,65,75,85,95},{"D","D","D+","C","C+","B","B+","A","A+","S"}),"?")</f>
        <v>?</v>
      </c>
      <c r="P43" s="14"/>
      <c r="Q43" s="2"/>
    </row>
    <row r="44" spans="1:17" ht="21">
      <c r="A44" s="54" t="s">
        <v>4810</v>
      </c>
      <c r="B44" s="54" t="s">
        <v>293</v>
      </c>
      <c r="C44" s="419"/>
      <c r="D44" s="419"/>
      <c r="E44" s="419"/>
      <c r="F44" s="419"/>
      <c r="G44" s="419"/>
      <c r="H44" s="189" t="s">
        <v>1567</v>
      </c>
      <c r="I44" s="189"/>
      <c r="J44" s="2"/>
      <c r="K44" s="5" t="s">
        <v>294</v>
      </c>
      <c r="L44" s="12" t="s">
        <v>295</v>
      </c>
      <c r="M44" s="13"/>
      <c r="N44" s="13"/>
      <c r="O44" s="13" t="str">
        <f>IF(AND(ISNUMBER(MATCH(M44,{"F","E","D","D+","C","C+","B","B+","A","A+","S"},0)),ISNUMBER(MATCH(#REF!,{"F","E","D","D+","C","C+","B","B+","A","A+","S"},0)),ISNUMBER(MATCH(N48,{"F","E","D","D+","C","C+","B","B+","A","A+","S"},0)),ISNUMBER(MATCH(#REF!,{"F","E","D","D+","C","C+","B","B+","A","A+","S"},0))),LOOKUP(AVERAGE(_xlfn.SWITCH(M52,"F",0,"E",10,"D",20,"D+",30,"C",40,"C+",50,"B",60,"B+",70,"A",80,"A+",90,"S",100),_xlfn.SWITCH(#REF!,"F",0,"E",10,"D",20,"D+",30,"C",40,"C+",50,"B",60,"B+",70,"A",80,"A+",90,"S",100),_xlfn.SWITCH(N56,"F",0,"E",10,"D",20,"D+",30,"C",40,"C+",50,"B",60,"B+",70,"A",80,"A+",90,"S",100),_xlfn.SWITCH(#REF!,"F",0,"E",10,"D",20,"D+",30,"C",40,"C+",50,"B",60,"B+",70,"A",80,"A+",90,"S",100)),{0,15,25,35,45,55,65,75,85,95},{"D","D","D+","C","C+","B","B+","A","A+","S"}),"?")</f>
        <v>?</v>
      </c>
      <c r="P44" s="14"/>
      <c r="Q44" s="2"/>
    </row>
    <row r="45" spans="1:17" ht="21">
      <c r="A45" s="54" t="s">
        <v>4811</v>
      </c>
      <c r="B45" s="54" t="s">
        <v>299</v>
      </c>
      <c r="C45" s="419"/>
      <c r="D45" s="419"/>
      <c r="E45" s="419"/>
      <c r="F45" s="419"/>
      <c r="G45" s="419"/>
      <c r="H45" s="189" t="s">
        <v>1593</v>
      </c>
      <c r="I45" s="189"/>
      <c r="J45" s="2"/>
      <c r="K45" s="5" t="s">
        <v>39</v>
      </c>
      <c r="L45" s="12" t="s">
        <v>40</v>
      </c>
      <c r="M45" s="13"/>
      <c r="N45" s="13"/>
      <c r="O45" s="13" t="str">
        <f>IF(AND(ISNUMBER(MATCH(M45,{"F","E","D","D+","C","C+","B","B+","A","A+","S"},0)),ISNUMBER(MATCH(#REF!,{"F","E","D","D+","C","C+","B","B+","A","A+","S"},0)),ISNUMBER(MATCH(N49,{"F","E","D","D+","C","C+","B","B+","A","A+","S"},0)),ISNUMBER(MATCH(#REF!,{"F","E","D","D+","C","C+","B","B+","A","A+","S"},0))),LOOKUP(AVERAGE(_xlfn.SWITCH(M53,"F",0,"E",10,"D",20,"D+",30,"C",40,"C+",50,"B",60,"B+",70,"A",80,"A+",90,"S",100),_xlfn.SWITCH(#REF!,"F",0,"E",10,"D",20,"D+",30,"C",40,"C+",50,"B",60,"B+",70,"A",80,"A+",90,"S",100),_xlfn.SWITCH(N57,"F",0,"E",10,"D",20,"D+",30,"C",40,"C+",50,"B",60,"B+",70,"A",80,"A+",90,"S",100),_xlfn.SWITCH(#REF!,"F",0,"E",10,"D",20,"D+",30,"C",40,"C+",50,"B",60,"B+",70,"A",80,"A+",90,"S",100)),{0,15,25,35,45,55,65,75,85,95},{"D","D","D+","C","C+","B","B+","A","A+","S"}),"?")</f>
        <v>?</v>
      </c>
      <c r="P45" s="14"/>
      <c r="Q45" s="2"/>
    </row>
    <row r="46" spans="1:17" ht="21">
      <c r="A46" s="54" t="s">
        <v>4812</v>
      </c>
      <c r="B46" s="54" t="s">
        <v>303</v>
      </c>
      <c r="C46" s="419"/>
      <c r="D46" s="419"/>
      <c r="E46" s="419"/>
      <c r="F46" s="419"/>
      <c r="G46" s="419"/>
      <c r="H46" s="189" t="s">
        <v>1593</v>
      </c>
      <c r="I46" s="189"/>
      <c r="J46" s="2"/>
      <c r="K46" s="5" t="s">
        <v>304</v>
      </c>
      <c r="L46" s="12" t="s">
        <v>305</v>
      </c>
      <c r="M46" s="13"/>
      <c r="N46" s="13"/>
      <c r="O46" s="13" t="str">
        <f>IF(AND(ISNUMBER(MATCH(M46,{"F","E","D","D+","C","C+","B","B+","A","A+","S"},0)),ISNUMBER(MATCH(#REF!,{"F","E","D","D+","C","C+","B","B+","A","A+","S"},0)),ISNUMBER(MATCH(N50,{"F","E","D","D+","C","C+","B","B+","A","A+","S"},0)),ISNUMBER(MATCH(#REF!,{"F","E","D","D+","C","C+","B","B+","A","A+","S"},0))),LOOKUP(AVERAGE(_xlfn.SWITCH(M54,"F",0,"E",10,"D",20,"D+",30,"C",40,"C+",50,"B",60,"B+",70,"A",80,"A+",90,"S",100),_xlfn.SWITCH(#REF!,"F",0,"E",10,"D",20,"D+",30,"C",40,"C+",50,"B",60,"B+",70,"A",80,"A+",90,"S",100),_xlfn.SWITCH(N58,"F",0,"E",10,"D",20,"D+",30,"C",40,"C+",50,"B",60,"B+",70,"A",80,"A+",90,"S",100),_xlfn.SWITCH(#REF!,"F",0,"E",10,"D",20,"D+",30,"C",40,"C+",50,"B",60,"B+",70,"A",80,"A+",90,"S",100)),{0,15,25,35,45,55,65,75,85,95},{"D","D","D+","C","C+","B","B+","A","A+","S"}),"?")</f>
        <v>?</v>
      </c>
      <c r="P46" s="14"/>
      <c r="Q46" s="2"/>
    </row>
    <row r="47" spans="1:17" ht="21">
      <c r="A47" s="54" t="s">
        <v>4813</v>
      </c>
      <c r="B47" s="54" t="s">
        <v>310</v>
      </c>
      <c r="C47" s="419"/>
      <c r="D47" s="419"/>
      <c r="E47" s="419"/>
      <c r="F47" s="419"/>
      <c r="G47" s="419"/>
      <c r="H47" s="189" t="s">
        <v>1593</v>
      </c>
      <c r="I47" s="189"/>
      <c r="J47" s="2"/>
      <c r="K47" s="5" t="s">
        <v>311</v>
      </c>
      <c r="L47" s="12" t="s">
        <v>312</v>
      </c>
      <c r="M47" s="13"/>
      <c r="N47" s="13"/>
      <c r="O47" s="13" t="str">
        <f>IF(AND(ISNUMBER(MATCH(M47,{"F","E","D","D+","C","C+","B","B+","A","A+","S"},0)),ISNUMBER(MATCH(#REF!,{"F","E","D","D+","C","C+","B","B+","A","A+","S"},0)),ISNUMBER(MATCH(N51,{"F","E","D","D+","C","C+","B","B+","A","A+","S"},0)),ISNUMBER(MATCH(#REF!,{"F","E","D","D+","C","C+","B","B+","A","A+","S"},0))),LOOKUP(AVERAGE(_xlfn.SWITCH(M55,"F",0,"E",10,"D",20,"D+",30,"C",40,"C+",50,"B",60,"B+",70,"A",80,"A+",90,"S",100),_xlfn.SWITCH(#REF!,"F",0,"E",10,"D",20,"D+",30,"C",40,"C+",50,"B",60,"B+",70,"A",80,"A+",90,"S",100),_xlfn.SWITCH(N59,"F",0,"E",10,"D",20,"D+",30,"C",40,"C+",50,"B",60,"B+",70,"A",80,"A+",90,"S",100),_xlfn.SWITCH(#REF!,"F",0,"E",10,"D",20,"D+",30,"C",40,"C+",50,"B",60,"B+",70,"A",80,"A+",90,"S",100)),{0,15,25,35,45,55,65,75,85,95},{"D","D","D+","C","C+","B","B+","A","A+","S"}),"?")</f>
        <v>?</v>
      </c>
      <c r="P47" s="14"/>
      <c r="Q47" s="2"/>
    </row>
    <row r="48" spans="1:17" ht="21">
      <c r="A48" s="54" t="s">
        <v>4814</v>
      </c>
      <c r="B48" s="54" t="s">
        <v>316</v>
      </c>
      <c r="C48" s="419"/>
      <c r="D48" s="419"/>
      <c r="E48" s="419"/>
      <c r="F48" s="419"/>
      <c r="G48" s="419"/>
      <c r="H48" s="189" t="s">
        <v>1593</v>
      </c>
      <c r="I48" s="189"/>
      <c r="J48" s="2"/>
      <c r="K48" s="5" t="s">
        <v>317</v>
      </c>
      <c r="L48" s="12" t="s">
        <v>318</v>
      </c>
      <c r="M48" s="13"/>
      <c r="N48" s="13"/>
      <c r="O48" s="13" t="str">
        <f>IF(AND(ISNUMBER(MATCH(M48,{"F","E","D","D+","C","C+","B","B+","A","A+","S"},0)),ISNUMBER(MATCH(#REF!,{"F","E","D","D+","C","C+","B","B+","A","A+","S"},0)),ISNUMBER(MATCH(N52,{"F","E","D","D+","C","C+","B","B+","A","A+","S"},0)),ISNUMBER(MATCH(#REF!,{"F","E","D","D+","C","C+","B","B+","A","A+","S"},0))),LOOKUP(AVERAGE(_xlfn.SWITCH(M56,"F",0,"E",10,"D",20,"D+",30,"C",40,"C+",50,"B",60,"B+",70,"A",80,"A+",90,"S",100),_xlfn.SWITCH(#REF!,"F",0,"E",10,"D",20,"D+",30,"C",40,"C+",50,"B",60,"B+",70,"A",80,"A+",90,"S",100),_xlfn.SWITCH(N60,"F",0,"E",10,"D",20,"D+",30,"C",40,"C+",50,"B",60,"B+",70,"A",80,"A+",90,"S",100),_xlfn.SWITCH(#REF!,"F",0,"E",10,"D",20,"D+",30,"C",40,"C+",50,"B",60,"B+",70,"A",80,"A+",90,"S",100)),{0,15,25,35,45,55,65,75,85,95},{"D","D","D+","C","C+","B","B+","A","A+","S"}),"?")</f>
        <v>?</v>
      </c>
      <c r="P48" s="14"/>
      <c r="Q48" s="2"/>
    </row>
    <row r="49" spans="1:17" ht="21">
      <c r="A49" s="418" t="s">
        <v>161</v>
      </c>
      <c r="B49" s="54" t="s">
        <v>162</v>
      </c>
      <c r="C49" s="419"/>
      <c r="D49" s="419"/>
      <c r="E49" s="419"/>
      <c r="F49" s="419"/>
      <c r="G49" s="419"/>
      <c r="H49" s="189" t="s">
        <v>1567</v>
      </c>
      <c r="I49" s="189"/>
      <c r="J49" s="2"/>
      <c r="K49" s="5" t="s">
        <v>323</v>
      </c>
      <c r="L49" s="12" t="s">
        <v>185</v>
      </c>
      <c r="M49" s="13"/>
      <c r="N49" s="13"/>
      <c r="O49" s="13" t="str">
        <f>IF(AND(ISNUMBER(MATCH(M49,{"F","E","D","D+","C","C+","B","B+","A","A+","S"},0)),ISNUMBER(MATCH(#REF!,{"F","E","D","D+","C","C+","B","B+","A","A+","S"},0)),ISNUMBER(MATCH(N53,{"F","E","D","D+","C","C+","B","B+","A","A+","S"},0)),ISNUMBER(MATCH(#REF!,{"F","E","D","D+","C","C+","B","B+","A","A+","S"},0))),LOOKUP(AVERAGE(_xlfn.SWITCH(M57,"F",0,"E",10,"D",20,"D+",30,"C",40,"C+",50,"B",60,"B+",70,"A",80,"A+",90,"S",100),_xlfn.SWITCH(#REF!,"F",0,"E",10,"D",20,"D+",30,"C",40,"C+",50,"B",60,"B+",70,"A",80,"A+",90,"S",100),_xlfn.SWITCH(N61,"F",0,"E",10,"D",20,"D+",30,"C",40,"C+",50,"B",60,"B+",70,"A",80,"A+",90,"S",100),_xlfn.SWITCH(#REF!,"F",0,"E",10,"D",20,"D+",30,"C",40,"C+",50,"B",60,"B+",70,"A",80,"A+",90,"S",100)),{0,15,25,35,45,55,65,75,85,95},{"D","D","D+","C","C+","B","B+","A","A+","S"}),"?")</f>
        <v>?</v>
      </c>
      <c r="P49" s="14"/>
      <c r="Q49" s="2"/>
    </row>
    <row r="50" spans="1:17" ht="21">
      <c r="A50" s="418" t="s">
        <v>93</v>
      </c>
      <c r="B50" s="54" t="s">
        <v>94</v>
      </c>
      <c r="C50" s="419"/>
      <c r="D50" s="419"/>
      <c r="E50" s="419"/>
      <c r="F50" s="419"/>
      <c r="G50" s="419"/>
      <c r="H50" s="189" t="s">
        <v>1567</v>
      </c>
      <c r="I50" s="189"/>
      <c r="J50" s="2"/>
      <c r="K50" s="5" t="s">
        <v>327</v>
      </c>
      <c r="L50" s="12" t="s">
        <v>328</v>
      </c>
      <c r="M50" s="13"/>
      <c r="N50" s="13"/>
      <c r="O50" s="13" t="str">
        <f>IF(AND(ISNUMBER(MATCH(M50,{"F","E","D","D+","C","C+","B","B+","A","A+","S"},0)),ISNUMBER(MATCH(#REF!,{"F","E","D","D+","C","C+","B","B+","A","A+","S"},0)),ISNUMBER(MATCH(N54,{"F","E","D","D+","C","C+","B","B+","A","A+","S"},0)),ISNUMBER(MATCH(#REF!,{"F","E","D","D+","C","C+","B","B+","A","A+","S"},0))),LOOKUP(AVERAGE(_xlfn.SWITCH(M58,"F",0,"E",10,"D",20,"D+",30,"C",40,"C+",50,"B",60,"B+",70,"A",80,"A+",90,"S",100),_xlfn.SWITCH(#REF!,"F",0,"E",10,"D",20,"D+",30,"C",40,"C+",50,"B",60,"B+",70,"A",80,"A+",90,"S",100),_xlfn.SWITCH(N62,"F",0,"E",10,"D",20,"D+",30,"C",40,"C+",50,"B",60,"B+",70,"A",80,"A+",90,"S",100),_xlfn.SWITCH(#REF!,"F",0,"E",10,"D",20,"D+",30,"C",40,"C+",50,"B",60,"B+",70,"A",80,"A+",90,"S",100)),{0,15,25,35,45,55,65,75,85,95},{"D","D","D+","C","C+","B","B+","A","A+","S"}),"?")</f>
        <v>?</v>
      </c>
      <c r="P50" s="14"/>
      <c r="Q50" s="2"/>
    </row>
    <row r="51" spans="1:17" ht="21">
      <c r="A51" s="54" t="s">
        <v>4815</v>
      </c>
      <c r="B51" s="54" t="s">
        <v>332</v>
      </c>
      <c r="C51" s="419"/>
      <c r="D51" s="419"/>
      <c r="E51" s="419"/>
      <c r="F51" s="419"/>
      <c r="G51" s="419"/>
      <c r="H51" s="189" t="s">
        <v>1593</v>
      </c>
      <c r="I51" s="189"/>
      <c r="J51" s="2"/>
      <c r="K51" s="5" t="s">
        <v>217</v>
      </c>
      <c r="L51" s="12" t="s">
        <v>68</v>
      </c>
      <c r="M51" s="13"/>
      <c r="N51" s="13"/>
      <c r="O51" s="13" t="str">
        <f>IF(AND(ISNUMBER(MATCH(M51,{"F","E","D","D+","C","C+","B","B+","A","A+","S"},0)),ISNUMBER(MATCH(#REF!,{"F","E","D","D+","C","C+","B","B+","A","A+","S"},0)),ISNUMBER(MATCH(N55,{"F","E","D","D+","C","C+","B","B+","A","A+","S"},0)),ISNUMBER(MATCH(#REF!,{"F","E","D","D+","C","C+","B","B+","A","A+","S"},0))),LOOKUP(AVERAGE(_xlfn.SWITCH(M59,"F",0,"E",10,"D",20,"D+",30,"C",40,"C+",50,"B",60,"B+",70,"A",80,"A+",90,"S",100),_xlfn.SWITCH(#REF!,"F",0,"E",10,"D",20,"D+",30,"C",40,"C+",50,"B",60,"B+",70,"A",80,"A+",90,"S",100),_xlfn.SWITCH(N63,"F",0,"E",10,"D",20,"D+",30,"C",40,"C+",50,"B",60,"B+",70,"A",80,"A+",90,"S",100),_xlfn.SWITCH(#REF!,"F",0,"E",10,"D",20,"D+",30,"C",40,"C+",50,"B",60,"B+",70,"A",80,"A+",90,"S",100)),{0,15,25,35,45,55,65,75,85,95},{"D","D","D+","C","C+","B","B+","A","A+","S"}),"?")</f>
        <v>?</v>
      </c>
      <c r="P51" s="14"/>
      <c r="Q51" s="2"/>
    </row>
    <row r="52" spans="1:17" ht="21">
      <c r="A52" s="54" t="s">
        <v>4816</v>
      </c>
      <c r="B52" s="54" t="s">
        <v>335</v>
      </c>
      <c r="C52" s="419"/>
      <c r="D52" s="419"/>
      <c r="E52" s="419"/>
      <c r="F52" s="419"/>
      <c r="G52" s="419" t="s">
        <v>22</v>
      </c>
      <c r="H52" s="189" t="s">
        <v>1593</v>
      </c>
      <c r="I52" s="189"/>
      <c r="J52" s="2"/>
      <c r="K52" s="5" t="s">
        <v>336</v>
      </c>
      <c r="L52" s="12" t="s">
        <v>337</v>
      </c>
      <c r="M52" s="13"/>
      <c r="N52" s="13"/>
      <c r="O52" s="13" t="str">
        <f>IF(AND(ISNUMBER(MATCH(M52,{"F","E","D","D+","C","C+","B","B+","A","A+","S"},0)),ISNUMBER(MATCH(#REF!,{"F","E","D","D+","C","C+","B","B+","A","A+","S"},0)),ISNUMBER(MATCH(N56,{"F","E","D","D+","C","C+","B","B+","A","A+","S"},0)),ISNUMBER(MATCH(#REF!,{"F","E","D","D+","C","C+","B","B+","A","A+","S"},0))),LOOKUP(AVERAGE(_xlfn.SWITCH(M60,"F",0,"E",10,"D",20,"D+",30,"C",40,"C+",50,"B",60,"B+",70,"A",80,"A+",90,"S",100),_xlfn.SWITCH(#REF!,"F",0,"E",10,"D",20,"D+",30,"C",40,"C+",50,"B",60,"B+",70,"A",80,"A+",90,"S",100),_xlfn.SWITCH(N64,"F",0,"E",10,"D",20,"D+",30,"C",40,"C+",50,"B",60,"B+",70,"A",80,"A+",90,"S",100),_xlfn.SWITCH(#REF!,"F",0,"E",10,"D",20,"D+",30,"C",40,"C+",50,"B",60,"B+",70,"A",80,"A+",90,"S",100)),{0,15,25,35,45,55,65,75,85,95},{"D","D","D+","C","C+","B","B+","A","A+","S"}),"?")</f>
        <v>?</v>
      </c>
      <c r="P52" s="14"/>
      <c r="Q52" s="2"/>
    </row>
    <row r="53" spans="1:17" ht="21">
      <c r="A53" s="54" t="s">
        <v>4817</v>
      </c>
      <c r="B53" s="54" t="s">
        <v>340</v>
      </c>
      <c r="C53" s="419"/>
      <c r="D53" s="419"/>
      <c r="E53" s="419"/>
      <c r="F53" s="419"/>
      <c r="G53" s="419" t="s">
        <v>22</v>
      </c>
      <c r="H53" s="189" t="s">
        <v>1593</v>
      </c>
      <c r="I53" s="189"/>
      <c r="J53" s="2"/>
      <c r="K53" s="5" t="s">
        <v>341</v>
      </c>
      <c r="L53" s="12" t="s">
        <v>342</v>
      </c>
      <c r="M53" s="13"/>
      <c r="N53" s="13"/>
      <c r="O53" s="13" t="str">
        <f>IF(AND(ISNUMBER(MATCH(M53,{"F","E","D","D+","C","C+","B","B+","A","A+","S"},0)),ISNUMBER(MATCH(#REF!,{"F","E","D","D+","C","C+","B","B+","A","A+","S"},0)),ISNUMBER(MATCH(N57,{"F","E","D","D+","C","C+","B","B+","A","A+","S"},0)),ISNUMBER(MATCH(#REF!,{"F","E","D","D+","C","C+","B","B+","A","A+","S"},0))),LOOKUP(AVERAGE(_xlfn.SWITCH(M61,"F",0,"E",10,"D",20,"D+",30,"C",40,"C+",50,"B",60,"B+",70,"A",80,"A+",90,"S",100),_xlfn.SWITCH(#REF!,"F",0,"E",10,"D",20,"D+",30,"C",40,"C+",50,"B",60,"B+",70,"A",80,"A+",90,"S",100),_xlfn.SWITCH(N65,"F",0,"E",10,"D",20,"D+",30,"C",40,"C+",50,"B",60,"B+",70,"A",80,"A+",90,"S",100),_xlfn.SWITCH(#REF!,"F",0,"E",10,"D",20,"D+",30,"C",40,"C+",50,"B",60,"B+",70,"A",80,"A+",90,"S",100)),{0,15,25,35,45,55,65,75,85,95},{"D","D","D+","C","C+","B","B+","A","A+","S"}),"?")</f>
        <v>?</v>
      </c>
      <c r="P53" s="14"/>
      <c r="Q53" s="2"/>
    </row>
    <row r="54" spans="1:17" ht="21">
      <c r="A54" s="418" t="s">
        <v>482</v>
      </c>
      <c r="B54" s="54" t="s">
        <v>347</v>
      </c>
      <c r="C54" s="419"/>
      <c r="D54" s="419"/>
      <c r="E54" s="419"/>
      <c r="F54" s="419"/>
      <c r="G54" s="419"/>
      <c r="H54" s="189" t="s">
        <v>21</v>
      </c>
      <c r="I54" s="189"/>
      <c r="J54" s="2"/>
      <c r="K54" s="5" t="s">
        <v>348</v>
      </c>
      <c r="L54" s="12" t="s">
        <v>349</v>
      </c>
      <c r="M54" s="13"/>
      <c r="N54" s="13"/>
      <c r="O54" s="13" t="str">
        <f>IF(AND(ISNUMBER(MATCH(M54,{"F","E","D","D+","C","C+","B","B+","A","A+","S"},0)),ISNUMBER(MATCH(#REF!,{"F","E","D","D+","C","C+","B","B+","A","A+","S"},0)),ISNUMBER(MATCH(N58,{"F","E","D","D+","C","C+","B","B+","A","A+","S"},0)),ISNUMBER(MATCH(#REF!,{"F","E","D","D+","C","C+","B","B+","A","A+","S"},0))),LOOKUP(AVERAGE(_xlfn.SWITCH(M62,"F",0,"E",10,"D",20,"D+",30,"C",40,"C+",50,"B",60,"B+",70,"A",80,"A+",90,"S",100),_xlfn.SWITCH(#REF!,"F",0,"E",10,"D",20,"D+",30,"C",40,"C+",50,"B",60,"B+",70,"A",80,"A+",90,"S",100),_xlfn.SWITCH(N66,"F",0,"E",10,"D",20,"D+",30,"C",40,"C+",50,"B",60,"B+",70,"A",80,"A+",90,"S",100),_xlfn.SWITCH(#REF!,"F",0,"E",10,"D",20,"D+",30,"C",40,"C+",50,"B",60,"B+",70,"A",80,"A+",90,"S",100)),{0,15,25,35,45,55,65,75,85,95},{"D","D","D+","C","C+","B","B+","A","A+","S"}),"?")</f>
        <v>?</v>
      </c>
      <c r="P54" s="14"/>
      <c r="Q54" s="2"/>
    </row>
    <row r="55" spans="1:17" ht="21">
      <c r="A55" s="54" t="s">
        <v>4818</v>
      </c>
      <c r="B55" s="54" t="s">
        <v>354</v>
      </c>
      <c r="C55" s="419"/>
      <c r="D55" s="419"/>
      <c r="E55" s="419"/>
      <c r="F55" s="419"/>
      <c r="G55" s="419" t="s">
        <v>22</v>
      </c>
      <c r="H55" s="189"/>
      <c r="I55" s="189"/>
      <c r="J55" s="2"/>
      <c r="K55" s="5" t="s">
        <v>355</v>
      </c>
      <c r="L55" s="12" t="s">
        <v>356</v>
      </c>
      <c r="M55" s="13"/>
      <c r="N55" s="13"/>
      <c r="O55" s="13" t="str">
        <f>IF(AND(ISNUMBER(MATCH(M55,{"F","E","D","D+","C","C+","B","B+","A","A+","S"},0)),ISNUMBER(MATCH(#REF!,{"F","E","D","D+","C","C+","B","B+","A","A+","S"},0)),ISNUMBER(MATCH(N59,{"F","E","D","D+","C","C+","B","B+","A","A+","S"},0)),ISNUMBER(MATCH(#REF!,{"F","E","D","D+","C","C+","B","B+","A","A+","S"},0))),LOOKUP(AVERAGE(_xlfn.SWITCH(M63,"F",0,"E",10,"D",20,"D+",30,"C",40,"C+",50,"B",60,"B+",70,"A",80,"A+",90,"S",100),_xlfn.SWITCH(#REF!,"F",0,"E",10,"D",20,"D+",30,"C",40,"C+",50,"B",60,"B+",70,"A",80,"A+",90,"S",100),_xlfn.SWITCH(N67,"F",0,"E",10,"D",20,"D+",30,"C",40,"C+",50,"B",60,"B+",70,"A",80,"A+",90,"S",100),_xlfn.SWITCH(#REF!,"F",0,"E",10,"D",20,"D+",30,"C",40,"C+",50,"B",60,"B+",70,"A",80,"A+",90,"S",100)),{0,15,25,35,45,55,65,75,85,95},{"D","D","D+","C","C+","B","B+","A","A+","S"}),"?")</f>
        <v>?</v>
      </c>
      <c r="P55" s="14"/>
      <c r="Q55" s="2"/>
    </row>
    <row r="56" spans="1:17" ht="21">
      <c r="A56" s="417" t="s">
        <v>392</v>
      </c>
      <c r="B56" s="54" t="s">
        <v>359</v>
      </c>
      <c r="C56" s="419"/>
      <c r="D56" s="419"/>
      <c r="E56" s="419"/>
      <c r="F56" s="419"/>
      <c r="G56" s="419"/>
      <c r="H56" s="189" t="s">
        <v>17</v>
      </c>
      <c r="I56" s="189"/>
      <c r="J56" s="2"/>
      <c r="K56" s="5" t="s">
        <v>360</v>
      </c>
      <c r="L56" s="12" t="s">
        <v>361</v>
      </c>
      <c r="M56" s="13"/>
      <c r="N56" s="13"/>
      <c r="O56" s="13" t="str">
        <f>IF(AND(ISNUMBER(MATCH(M56,{"F","E","D","D+","C","C+","B","B+","A","A+","S"},0)),ISNUMBER(MATCH(#REF!,{"F","E","D","D+","C","C+","B","B+","A","A+","S"},0)),ISNUMBER(MATCH(N60,{"F","E","D","D+","C","C+","B","B+","A","A+","S"},0)),ISNUMBER(MATCH(#REF!,{"F","E","D","D+","C","C+","B","B+","A","A+","S"},0))),LOOKUP(AVERAGE(_xlfn.SWITCH(M64,"F",0,"E",10,"D",20,"D+",30,"C",40,"C+",50,"B",60,"B+",70,"A",80,"A+",90,"S",100),_xlfn.SWITCH(#REF!,"F",0,"E",10,"D",20,"D+",30,"C",40,"C+",50,"B",60,"B+",70,"A",80,"A+",90,"S",100),_xlfn.SWITCH(N68,"F",0,"E",10,"D",20,"D+",30,"C",40,"C+",50,"B",60,"B+",70,"A",80,"A+",90,"S",100),_xlfn.SWITCH(#REF!,"F",0,"E",10,"D",20,"D+",30,"C",40,"C+",50,"B",60,"B+",70,"A",80,"A+",90,"S",100)),{0,15,25,35,45,55,65,75,85,95},{"D","D","D+","C","C+","B","B+","A","A+","S"}),"?")</f>
        <v>?</v>
      </c>
      <c r="P56" s="14"/>
      <c r="Q56" s="2"/>
    </row>
    <row r="57" spans="1:17" ht="21">
      <c r="A57" s="54" t="s">
        <v>4819</v>
      </c>
      <c r="B57" s="54" t="s">
        <v>366</v>
      </c>
      <c r="C57" s="419"/>
      <c r="D57" s="419"/>
      <c r="E57" s="419"/>
      <c r="F57" s="419"/>
      <c r="G57" s="419"/>
      <c r="H57" s="189" t="s">
        <v>1593</v>
      </c>
      <c r="I57" s="189"/>
      <c r="J57" s="2"/>
      <c r="K57" s="5" t="s">
        <v>367</v>
      </c>
      <c r="L57" s="12" t="s">
        <v>368</v>
      </c>
      <c r="M57" s="13"/>
      <c r="N57" s="13"/>
      <c r="O57" s="13" t="str">
        <f>IF(AND(ISNUMBER(MATCH(M57,{"F","E","D","D+","C","C+","B","B+","A","A+","S"},0)),ISNUMBER(MATCH(#REF!,{"F","E","D","D+","C","C+","B","B+","A","A+","S"},0)),ISNUMBER(MATCH(N61,{"F","E","D","D+","C","C+","B","B+","A","A+","S"},0)),ISNUMBER(MATCH(#REF!,{"F","E","D","D+","C","C+","B","B+","A","A+","S"},0))),LOOKUP(AVERAGE(_xlfn.SWITCH(M65,"F",0,"E",10,"D",20,"D+",30,"C",40,"C+",50,"B",60,"B+",70,"A",80,"A+",90,"S",100),_xlfn.SWITCH(#REF!,"F",0,"E",10,"D",20,"D+",30,"C",40,"C+",50,"B",60,"B+",70,"A",80,"A+",90,"S",100),_xlfn.SWITCH(N69,"F",0,"E",10,"D",20,"D+",30,"C",40,"C+",50,"B",60,"B+",70,"A",80,"A+",90,"S",100),_xlfn.SWITCH(#REF!,"F",0,"E",10,"D",20,"D+",30,"C",40,"C+",50,"B",60,"B+",70,"A",80,"A+",90,"S",100)),{0,15,25,35,45,55,65,75,85,95},{"D","D","D+","C","C+","B","B+","A","A+","S"}),"?")</f>
        <v>?</v>
      </c>
      <c r="P57" s="14"/>
      <c r="Q57" s="2"/>
    </row>
    <row r="58" spans="1:17" ht="21">
      <c r="A58" s="54" t="s">
        <v>4820</v>
      </c>
      <c r="B58" s="54" t="s">
        <v>4821</v>
      </c>
      <c r="C58" s="419"/>
      <c r="D58" s="419"/>
      <c r="E58" s="419"/>
      <c r="F58" s="419"/>
      <c r="G58" s="419"/>
      <c r="H58" s="189" t="s">
        <v>1593</v>
      </c>
      <c r="I58" s="189"/>
      <c r="J58" s="2"/>
      <c r="K58" s="5" t="s">
        <v>210</v>
      </c>
      <c r="L58" s="12" t="s">
        <v>211</v>
      </c>
      <c r="M58" s="13"/>
      <c r="N58" s="13"/>
      <c r="O58" s="13" t="str">
        <f>IF(AND(ISNUMBER(MATCH(M58,{"F","E","D","D+","C","C+","B","B+","A","A+","S"},0)),ISNUMBER(MATCH(#REF!,{"F","E","D","D+","C","C+","B","B+","A","A+","S"},0)),ISNUMBER(MATCH(N62,{"F","E","D","D+","C","C+","B","B+","A","A+","S"},0)),ISNUMBER(MATCH(#REF!,{"F","E","D","D+","C","C+","B","B+","A","A+","S"},0))),LOOKUP(AVERAGE(_xlfn.SWITCH(M66,"F",0,"E",10,"D",20,"D+",30,"C",40,"C+",50,"B",60,"B+",70,"A",80,"A+",90,"S",100),_xlfn.SWITCH(#REF!,"F",0,"E",10,"D",20,"D+",30,"C",40,"C+",50,"B",60,"B+",70,"A",80,"A+",90,"S",100),_xlfn.SWITCH(N70,"F",0,"E",10,"D",20,"D+",30,"C",40,"C+",50,"B",60,"B+",70,"A",80,"A+",90,"S",100),_xlfn.SWITCH(#REF!,"F",0,"E",10,"D",20,"D+",30,"C",40,"C+",50,"B",60,"B+",70,"A",80,"A+",90,"S",100)),{0,15,25,35,45,55,65,75,85,95},{"D","D","D+","C","C+","B","B+","A","A+","S"}),"?")</f>
        <v>?</v>
      </c>
      <c r="P58" s="14"/>
      <c r="Q58" s="2"/>
    </row>
    <row r="59" spans="1:17" ht="21">
      <c r="A59" s="418" t="s">
        <v>277</v>
      </c>
      <c r="B59" s="54" t="s">
        <v>278</v>
      </c>
      <c r="C59" s="419"/>
      <c r="D59" s="419"/>
      <c r="E59" s="419"/>
      <c r="F59" s="419"/>
      <c r="G59" s="419"/>
      <c r="H59" s="189" t="s">
        <v>21</v>
      </c>
      <c r="I59" s="189"/>
      <c r="J59" s="2"/>
      <c r="K59" s="5" t="s">
        <v>377</v>
      </c>
      <c r="L59" s="12" t="s">
        <v>378</v>
      </c>
      <c r="M59" s="13"/>
      <c r="N59" s="13"/>
      <c r="O59" s="13" t="str">
        <f>IF(AND(ISNUMBER(MATCH(M59,{"F","E","D","D+","C","C+","B","B+","A","A+","S"},0)),ISNUMBER(MATCH(#REF!,{"F","E","D","D+","C","C+","B","B+","A","A+","S"},0)),ISNUMBER(MATCH(N63,{"F","E","D","D+","C","C+","B","B+","A","A+","S"},0)),ISNUMBER(MATCH(#REF!,{"F","E","D","D+","C","C+","B","B+","A","A+","S"},0))),LOOKUP(AVERAGE(_xlfn.SWITCH(M67,"F",0,"E",10,"D",20,"D+",30,"C",40,"C+",50,"B",60,"B+",70,"A",80,"A+",90,"S",100),_xlfn.SWITCH(#REF!,"F",0,"E",10,"D",20,"D+",30,"C",40,"C+",50,"B",60,"B+",70,"A",80,"A+",90,"S",100),_xlfn.SWITCH(N71,"F",0,"E",10,"D",20,"D+",30,"C",40,"C+",50,"B",60,"B+",70,"A",80,"A+",90,"S",100),_xlfn.SWITCH(#REF!,"F",0,"E",10,"D",20,"D+",30,"C",40,"C+",50,"B",60,"B+",70,"A",80,"A+",90,"S",100)),{0,15,25,35,45,55,65,75,85,95},{"D","D","D+","C","C+","B","B+","A","A+","S"}),"?")</f>
        <v>?</v>
      </c>
      <c r="P59" s="14"/>
      <c r="Q59" s="2"/>
    </row>
    <row r="60" spans="1:17" ht="21">
      <c r="A60" s="418" t="s">
        <v>4822</v>
      </c>
      <c r="B60" s="54" t="s">
        <v>383</v>
      </c>
      <c r="C60" s="419"/>
      <c r="D60" s="419"/>
      <c r="E60" s="419"/>
      <c r="F60" s="419"/>
      <c r="G60" s="419"/>
      <c r="H60" s="189" t="s">
        <v>1567</v>
      </c>
      <c r="I60" s="189"/>
      <c r="J60" s="2"/>
      <c r="K60" s="5" t="s">
        <v>384</v>
      </c>
      <c r="L60" s="12" t="s">
        <v>385</v>
      </c>
      <c r="M60" s="13"/>
      <c r="N60" s="13"/>
      <c r="O60" s="13" t="str">
        <f>IF(AND(ISNUMBER(MATCH(M60,{"F","E","D","D+","C","C+","B","B+","A","A+","S"},0)),ISNUMBER(MATCH(#REF!,{"F","E","D","D+","C","C+","B","B+","A","A+","S"},0)),ISNUMBER(MATCH(N64,{"F","E","D","D+","C","C+","B","B+","A","A+","S"},0)),ISNUMBER(MATCH(#REF!,{"F","E","D","D+","C","C+","B","B+","A","A+","S"},0))),LOOKUP(AVERAGE(_xlfn.SWITCH(M68,"F",0,"E",10,"D",20,"D+",30,"C",40,"C+",50,"B",60,"B+",70,"A",80,"A+",90,"S",100),_xlfn.SWITCH(#REF!,"F",0,"E",10,"D",20,"D+",30,"C",40,"C+",50,"B",60,"B+",70,"A",80,"A+",90,"S",100),_xlfn.SWITCH(N72,"F",0,"E",10,"D",20,"D+",30,"C",40,"C+",50,"B",60,"B+",70,"A",80,"A+",90,"S",100),_xlfn.SWITCH(#REF!,"F",0,"E",10,"D",20,"D+",30,"C",40,"C+",50,"B",60,"B+",70,"A",80,"A+",90,"S",100)),{0,15,25,35,45,55,65,75,85,95},{"D","D","D+","C","C+","B","B+","A","A+","S"}),"?")</f>
        <v>?</v>
      </c>
      <c r="P60" s="14"/>
      <c r="Q60" s="2"/>
    </row>
    <row r="61" spans="1:17" ht="21">
      <c r="A61" s="54" t="s">
        <v>4823</v>
      </c>
      <c r="B61" s="54" t="s">
        <v>388</v>
      </c>
      <c r="C61" s="419"/>
      <c r="D61" s="419"/>
      <c r="E61" s="419"/>
      <c r="F61" s="419"/>
      <c r="G61" s="419"/>
      <c r="H61" s="189" t="s">
        <v>1593</v>
      </c>
      <c r="I61" s="189"/>
      <c r="J61" s="2"/>
      <c r="K61" s="5" t="s">
        <v>389</v>
      </c>
      <c r="L61" s="12" t="s">
        <v>390</v>
      </c>
      <c r="M61" s="13"/>
      <c r="N61" s="13"/>
      <c r="O61" s="13" t="str">
        <f>IF(AND(ISNUMBER(MATCH(M61,{"F","E","D","D+","C","C+","B","B+","A","A+","S"},0)),ISNUMBER(MATCH(#REF!,{"F","E","D","D+","C","C+","B","B+","A","A+","S"},0)),ISNUMBER(MATCH(N65,{"F","E","D","D+","C","C+","B","B+","A","A+","S"},0)),ISNUMBER(MATCH(#REF!,{"F","E","D","D+","C","C+","B","B+","A","A+","S"},0))),LOOKUP(AVERAGE(_xlfn.SWITCH(M69,"F",0,"E",10,"D",20,"D+",30,"C",40,"C+",50,"B",60,"B+",70,"A",80,"A+",90,"S",100),_xlfn.SWITCH(#REF!,"F",0,"E",10,"D",20,"D+",30,"C",40,"C+",50,"B",60,"B+",70,"A",80,"A+",90,"S",100),_xlfn.SWITCH(N73,"F",0,"E",10,"D",20,"D+",30,"C",40,"C+",50,"B",60,"B+",70,"A",80,"A+",90,"S",100),_xlfn.SWITCH(#REF!,"F",0,"E",10,"D",20,"D+",30,"C",40,"C+",50,"B",60,"B+",70,"A",80,"A+",90,"S",100)),{0,15,25,35,45,55,65,75,85,95},{"D","D","D+","C","C+","B","B+","A","A+","S"}),"?")</f>
        <v>?</v>
      </c>
      <c r="P61" s="14"/>
      <c r="Q61" s="2"/>
    </row>
    <row r="62" spans="1:17" ht="21">
      <c r="A62" s="54" t="s">
        <v>4824</v>
      </c>
      <c r="B62" s="54" t="s">
        <v>394</v>
      </c>
      <c r="C62" s="419"/>
      <c r="D62" s="419"/>
      <c r="E62" s="419"/>
      <c r="F62" s="419"/>
      <c r="G62" s="419"/>
      <c r="H62" s="189" t="s">
        <v>1593</v>
      </c>
      <c r="I62" s="189"/>
      <c r="J62" s="2"/>
      <c r="K62" s="5" t="s">
        <v>395</v>
      </c>
      <c r="L62" s="12" t="s">
        <v>396</v>
      </c>
      <c r="M62" s="13"/>
      <c r="N62" s="13"/>
      <c r="O62" s="13" t="str">
        <f>IF(AND(ISNUMBER(MATCH(M62,{"F","E","D","D+","C","C+","B","B+","A","A+","S"},0)),ISNUMBER(MATCH(#REF!,{"F","E","D","D+","C","C+","B","B+","A","A+","S"},0)),ISNUMBER(MATCH(N66,{"F","E","D","D+","C","C+","B","B+","A","A+","S"},0)),ISNUMBER(MATCH(#REF!,{"F","E","D","D+","C","C+","B","B+","A","A+","S"},0))),LOOKUP(AVERAGE(_xlfn.SWITCH(M70,"F",0,"E",10,"D",20,"D+",30,"C",40,"C+",50,"B",60,"B+",70,"A",80,"A+",90,"S",100),_xlfn.SWITCH(#REF!,"F",0,"E",10,"D",20,"D+",30,"C",40,"C+",50,"B",60,"B+",70,"A",80,"A+",90,"S",100),_xlfn.SWITCH(N74,"F",0,"E",10,"D",20,"D+",30,"C",40,"C+",50,"B",60,"B+",70,"A",80,"A+",90,"S",100),_xlfn.SWITCH(#REF!,"F",0,"E",10,"D",20,"D+",30,"C",40,"C+",50,"B",60,"B+",70,"A",80,"A+",90,"S",100)),{0,15,25,35,45,55,65,75,85,95},{"D","D","D+","C","C+","B","B+","A","A+","S"}),"?")</f>
        <v>?</v>
      </c>
      <c r="P62" s="14"/>
      <c r="Q62" s="2"/>
    </row>
    <row r="63" spans="1:17" ht="21">
      <c r="A63" s="54" t="s">
        <v>4825</v>
      </c>
      <c r="B63" s="54" t="s">
        <v>400</v>
      </c>
      <c r="C63" s="419"/>
      <c r="D63" s="419"/>
      <c r="E63" s="419"/>
      <c r="F63" s="419"/>
      <c r="G63" s="419"/>
      <c r="H63" s="189" t="s">
        <v>1593</v>
      </c>
      <c r="I63" s="189"/>
      <c r="J63" s="2"/>
      <c r="K63" s="5" t="s">
        <v>401</v>
      </c>
      <c r="L63" s="12" t="s">
        <v>402</v>
      </c>
      <c r="M63" s="13"/>
      <c r="N63" s="13"/>
      <c r="O63" s="13" t="str">
        <f>IF(AND(ISNUMBER(MATCH(M63,{"F","E","D","D+","C","C+","B","B+","A","A+","S"},0)),ISNUMBER(MATCH(#REF!,{"F","E","D","D+","C","C+","B","B+","A","A+","S"},0)),ISNUMBER(MATCH(N67,{"F","E","D","D+","C","C+","B","B+","A","A+","S"},0)),ISNUMBER(MATCH(#REF!,{"F","E","D","D+","C","C+","B","B+","A","A+","S"},0))),LOOKUP(AVERAGE(_xlfn.SWITCH(M71,"F",0,"E",10,"D",20,"D+",30,"C",40,"C+",50,"B",60,"B+",70,"A",80,"A+",90,"S",100),_xlfn.SWITCH(#REF!,"F",0,"E",10,"D",20,"D+",30,"C",40,"C+",50,"B",60,"B+",70,"A",80,"A+",90,"S",100),_xlfn.SWITCH(N75,"F",0,"E",10,"D",20,"D+",30,"C",40,"C+",50,"B",60,"B+",70,"A",80,"A+",90,"S",100),_xlfn.SWITCH(#REF!,"F",0,"E",10,"D",20,"D+",30,"C",40,"C+",50,"B",60,"B+",70,"A",80,"A+",90,"S",100)),{0,15,25,35,45,55,65,75,85,95},{"D","D","D+","C","C+","B","B+","A","A+","S"}),"?")</f>
        <v>?</v>
      </c>
      <c r="P63" s="14"/>
      <c r="Q63" s="2"/>
    </row>
    <row r="64" spans="1:17" ht="21">
      <c r="A64" s="54" t="s">
        <v>4826</v>
      </c>
      <c r="B64" s="54" t="s">
        <v>405</v>
      </c>
      <c r="C64" s="419"/>
      <c r="D64" s="419"/>
      <c r="E64" s="419"/>
      <c r="F64" s="419"/>
      <c r="G64" s="419"/>
      <c r="H64" s="189" t="s">
        <v>1593</v>
      </c>
      <c r="I64" s="189"/>
      <c r="J64" s="2"/>
      <c r="K64" s="5" t="s">
        <v>374</v>
      </c>
      <c r="L64" s="12" t="s">
        <v>375</v>
      </c>
      <c r="M64" s="13"/>
      <c r="N64" s="13"/>
      <c r="O64" s="13" t="str">
        <f>IF(AND(ISNUMBER(MATCH(M64,{"F","E","D","D+","C","C+","B","B+","A","A+","S"},0)),ISNUMBER(MATCH(#REF!,{"F","E","D","D+","C","C+","B","B+","A","A+","S"},0)),ISNUMBER(MATCH(N68,{"F","E","D","D+","C","C+","B","B+","A","A+","S"},0)),ISNUMBER(MATCH(#REF!,{"F","E","D","D+","C","C+","B","B+","A","A+","S"},0))),LOOKUP(AVERAGE(_xlfn.SWITCH(M72,"F",0,"E",10,"D",20,"D+",30,"C",40,"C+",50,"B",60,"B+",70,"A",80,"A+",90,"S",100),_xlfn.SWITCH(#REF!,"F",0,"E",10,"D",20,"D+",30,"C",40,"C+",50,"B",60,"B+",70,"A",80,"A+",90,"S",100),_xlfn.SWITCH(N76,"F",0,"E",10,"D",20,"D+",30,"C",40,"C+",50,"B",60,"B+",70,"A",80,"A+",90,"S",100),_xlfn.SWITCH(#REF!,"F",0,"E",10,"D",20,"D+",30,"C",40,"C+",50,"B",60,"B+",70,"A",80,"A+",90,"S",100)),{0,15,25,35,45,55,65,75,85,95},{"D","D","D+","C","C+","B","B+","A","A+","S"}),"?")</f>
        <v>?</v>
      </c>
      <c r="P64" s="14"/>
      <c r="Q64" s="2"/>
    </row>
    <row r="65" spans="1:17" ht="21">
      <c r="A65" s="54" t="s">
        <v>307</v>
      </c>
      <c r="B65" s="54" t="s">
        <v>308</v>
      </c>
      <c r="C65" s="419"/>
      <c r="D65" s="419"/>
      <c r="E65" s="419"/>
      <c r="F65" s="419"/>
      <c r="G65" s="419"/>
      <c r="H65" s="189" t="s">
        <v>1593</v>
      </c>
      <c r="I65" s="189"/>
      <c r="J65" s="2"/>
      <c r="K65" s="5" t="s">
        <v>230</v>
      </c>
      <c r="L65" s="12" t="s">
        <v>231</v>
      </c>
      <c r="M65" s="13"/>
      <c r="N65" s="13"/>
      <c r="O65" s="13" t="str">
        <f>IF(AND(ISNUMBER(MATCH(M65,{"F","E","D","D+","C","C+","B","B+","A","A+","S"},0)),ISNUMBER(MATCH(#REF!,{"F","E","D","D+","C","C+","B","B+","A","A+","S"},0)),ISNUMBER(MATCH(N69,{"F","E","D","D+","C","C+","B","B+","A","A+","S"},0)),ISNUMBER(MATCH(#REF!,{"F","E","D","D+","C","C+","B","B+","A","A+","S"},0))),LOOKUP(AVERAGE(_xlfn.SWITCH(M73,"F",0,"E",10,"D",20,"D+",30,"C",40,"C+",50,"B",60,"B+",70,"A",80,"A+",90,"S",100),_xlfn.SWITCH(#REF!,"F",0,"E",10,"D",20,"D+",30,"C",40,"C+",50,"B",60,"B+",70,"A",80,"A+",90,"S",100),_xlfn.SWITCH(N77,"F",0,"E",10,"D",20,"D+",30,"C",40,"C+",50,"B",60,"B+",70,"A",80,"A+",90,"S",100),_xlfn.SWITCH(#REF!,"F",0,"E",10,"D",20,"D+",30,"C",40,"C+",50,"B",60,"B+",70,"A",80,"A+",90,"S",100)),{0,15,25,35,45,55,65,75,85,95},{"D","D","D+","C","C+","B","B+","A","A+","S"}),"?")</f>
        <v>?</v>
      </c>
      <c r="P65" s="14"/>
      <c r="Q65" s="2"/>
    </row>
    <row r="66" spans="1:17" ht="21">
      <c r="A66" s="54" t="s">
        <v>4827</v>
      </c>
      <c r="B66" s="54" t="s">
        <v>414</v>
      </c>
      <c r="C66" s="419"/>
      <c r="D66" s="419"/>
      <c r="E66" s="419"/>
      <c r="F66" s="419"/>
      <c r="G66" s="419"/>
      <c r="H66" s="189" t="s">
        <v>1567</v>
      </c>
      <c r="I66" s="189"/>
      <c r="J66" s="2"/>
      <c r="K66" s="5" t="s">
        <v>86</v>
      </c>
      <c r="L66" s="12" t="s">
        <v>87</v>
      </c>
      <c r="M66" s="13"/>
      <c r="N66" s="13"/>
      <c r="O66" s="13" t="str">
        <f>IF(AND(ISNUMBER(MATCH(M66,{"F","E","D","D+","C","C+","B","B+","A","A+","S"},0)),ISNUMBER(MATCH(#REF!,{"F","E","D","D+","C","C+","B","B+","A","A+","S"},0)),ISNUMBER(MATCH(N70,{"F","E","D","D+","C","C+","B","B+","A","A+","S"},0)),ISNUMBER(MATCH(#REF!,{"F","E","D","D+","C","C+","B","B+","A","A+","S"},0))),LOOKUP(AVERAGE(_xlfn.SWITCH(M74,"F",0,"E",10,"D",20,"D+",30,"C",40,"C+",50,"B",60,"B+",70,"A",80,"A+",90,"S",100),_xlfn.SWITCH(#REF!,"F",0,"E",10,"D",20,"D+",30,"C",40,"C+",50,"B",60,"B+",70,"A",80,"A+",90,"S",100),_xlfn.SWITCH(N78,"F",0,"E",10,"D",20,"D+",30,"C",40,"C+",50,"B",60,"B+",70,"A",80,"A+",90,"S",100),_xlfn.SWITCH(#REF!,"F",0,"E",10,"D",20,"D+",30,"C",40,"C+",50,"B",60,"B+",70,"A",80,"A+",90,"S",100)),{0,15,25,35,45,55,65,75,85,95},{"D","D","D+","C","C+","B","B+","A","A+","S"}),"?")</f>
        <v>?</v>
      </c>
      <c r="P66" s="14"/>
      <c r="Q66" s="2"/>
    </row>
    <row r="67" spans="1:17" ht="21">
      <c r="A67" s="54" t="s">
        <v>4828</v>
      </c>
      <c r="B67" s="54" t="s">
        <v>417</v>
      </c>
      <c r="C67" s="419"/>
      <c r="D67" s="419"/>
      <c r="E67" s="419"/>
      <c r="F67" s="419"/>
      <c r="G67" s="419"/>
      <c r="H67" s="189" t="s">
        <v>1593</v>
      </c>
      <c r="I67" s="189"/>
      <c r="J67" s="2"/>
      <c r="K67" s="5" t="s">
        <v>100</v>
      </c>
      <c r="L67" s="12" t="s">
        <v>101</v>
      </c>
      <c r="M67" s="13"/>
      <c r="N67" s="13"/>
      <c r="O67" s="13" t="str">
        <f>IF(AND(ISNUMBER(MATCH(M67,{"F","E","D","D+","C","C+","B","B+","A","A+","S"},0)),ISNUMBER(MATCH(#REF!,{"F","E","D","D+","C","C+","B","B+","A","A+","S"},0)),ISNUMBER(MATCH(N71,{"F","E","D","D+","C","C+","B","B+","A","A+","S"},0)),ISNUMBER(MATCH(#REF!,{"F","E","D","D+","C","C+","B","B+","A","A+","S"},0))),LOOKUP(AVERAGE(_xlfn.SWITCH(M75,"F",0,"E",10,"D",20,"D+",30,"C",40,"C+",50,"B",60,"B+",70,"A",80,"A+",90,"S",100),_xlfn.SWITCH(#REF!,"F",0,"E",10,"D",20,"D+",30,"C",40,"C+",50,"B",60,"B+",70,"A",80,"A+",90,"S",100),_xlfn.SWITCH(N79,"F",0,"E",10,"D",20,"D+",30,"C",40,"C+",50,"B",60,"B+",70,"A",80,"A+",90,"S",100),_xlfn.SWITCH(#REF!,"F",0,"E",10,"D",20,"D+",30,"C",40,"C+",50,"B",60,"B+",70,"A",80,"A+",90,"S",100)),{0,15,25,35,45,55,65,75,85,95},{"D","D","D+","C","C+","B","B+","A","A+","S"}),"?")</f>
        <v>?</v>
      </c>
      <c r="P67" s="14"/>
      <c r="Q67" s="2"/>
    </row>
    <row r="68" spans="1:17" ht="21">
      <c r="A68" s="418" t="s">
        <v>114</v>
      </c>
      <c r="B68" s="54" t="s">
        <v>115</v>
      </c>
      <c r="C68" s="419"/>
      <c r="D68" s="419"/>
      <c r="E68" s="419"/>
      <c r="F68" s="419"/>
      <c r="G68" s="419"/>
      <c r="H68" s="189" t="s">
        <v>1567</v>
      </c>
      <c r="I68" s="189"/>
      <c r="J68" s="2"/>
      <c r="K68" s="5" t="s">
        <v>423</v>
      </c>
      <c r="L68" s="12" t="s">
        <v>424</v>
      </c>
      <c r="M68" s="13"/>
      <c r="N68" s="13"/>
      <c r="O68" s="13" t="str">
        <f>IF(AND(ISNUMBER(MATCH(M68,{"F","E","D","D+","C","C+","B","B+","A","A+","S"},0)),ISNUMBER(MATCH(#REF!,{"F","E","D","D+","C","C+","B","B+","A","A+","S"},0)),ISNUMBER(MATCH(N72,{"F","E","D","D+","C","C+","B","B+","A","A+","S"},0)),ISNUMBER(MATCH(#REF!,{"F","E","D","D+","C","C+","B","B+","A","A+","S"},0))),LOOKUP(AVERAGE(_xlfn.SWITCH(M76,"F",0,"E",10,"D",20,"D+",30,"C",40,"C+",50,"B",60,"B+",70,"A",80,"A+",90,"S",100),_xlfn.SWITCH(#REF!,"F",0,"E",10,"D",20,"D+",30,"C",40,"C+",50,"B",60,"B+",70,"A",80,"A+",90,"S",100),_xlfn.SWITCH(N80,"F",0,"E",10,"D",20,"D+",30,"C",40,"C+",50,"B",60,"B+",70,"A",80,"A+",90,"S",100),_xlfn.SWITCH(#REF!,"F",0,"E",10,"D",20,"D+",30,"C",40,"C+",50,"B",60,"B+",70,"A",80,"A+",90,"S",100)),{0,15,25,35,45,55,65,75,85,95},{"D","D","D+","C","C+","B","B+","A","A+","S"}),"?")</f>
        <v>?</v>
      </c>
      <c r="P68" s="14"/>
      <c r="Q68" s="2"/>
    </row>
    <row r="69" spans="1:17" ht="21">
      <c r="A69" s="54" t="s">
        <v>4829</v>
      </c>
      <c r="B69" s="54" t="s">
        <v>427</v>
      </c>
      <c r="C69" s="419"/>
      <c r="D69" s="419"/>
      <c r="E69" s="419"/>
      <c r="F69" s="419"/>
      <c r="G69" s="419"/>
      <c r="H69" s="189" t="s">
        <v>1593</v>
      </c>
      <c r="I69" s="189"/>
      <c r="J69" s="2"/>
      <c r="K69" s="5" t="s">
        <v>428</v>
      </c>
      <c r="L69" s="12" t="s">
        <v>429</v>
      </c>
      <c r="M69" s="13"/>
      <c r="N69" s="13"/>
      <c r="O69" s="13" t="str">
        <f>IF(AND(ISNUMBER(MATCH(M69,{"F","E","D","D+","C","C+","B","B+","A","A+","S"},0)),ISNUMBER(MATCH(#REF!,{"F","E","D","D+","C","C+","B","B+","A","A+","S"},0)),ISNUMBER(MATCH(N73,{"F","E","D","D+","C","C+","B","B+","A","A+","S"},0)),ISNUMBER(MATCH(#REF!,{"F","E","D","D+","C","C+","B","B+","A","A+","S"},0))),LOOKUP(AVERAGE(_xlfn.SWITCH(M77,"F",0,"E",10,"D",20,"D+",30,"C",40,"C+",50,"B",60,"B+",70,"A",80,"A+",90,"S",100),_xlfn.SWITCH(#REF!,"F",0,"E",10,"D",20,"D+",30,"C",40,"C+",50,"B",60,"B+",70,"A",80,"A+",90,"S",100),_xlfn.SWITCH(N81,"F",0,"E",10,"D",20,"D+",30,"C",40,"C+",50,"B",60,"B+",70,"A",80,"A+",90,"S",100),_xlfn.SWITCH(#REF!,"F",0,"E",10,"D",20,"D+",30,"C",40,"C+",50,"B",60,"B+",70,"A",80,"A+",90,"S",100)),{0,15,25,35,45,55,65,75,85,95},{"D","D","D+","C","C+","B","B+","A","A+","S"}),"?")</f>
        <v>?</v>
      </c>
      <c r="P69" s="14"/>
      <c r="Q69" s="2"/>
    </row>
    <row r="70" spans="1:17" ht="21">
      <c r="A70" s="418" t="s">
        <v>148</v>
      </c>
      <c r="B70" s="54" t="s">
        <v>149</v>
      </c>
      <c r="C70" s="419"/>
      <c r="D70" s="419"/>
      <c r="E70" s="419"/>
      <c r="F70" s="419"/>
      <c r="G70" s="419"/>
      <c r="H70" s="189" t="s">
        <v>1567</v>
      </c>
      <c r="I70" s="189"/>
      <c r="J70" s="2"/>
      <c r="K70" s="5" t="s">
        <v>261</v>
      </c>
      <c r="L70" s="12" t="s">
        <v>262</v>
      </c>
      <c r="M70" s="13"/>
      <c r="N70" s="13"/>
      <c r="O70" s="13" t="str">
        <f>IF(AND(ISNUMBER(MATCH(M70,{"F","E","D","D+","C","C+","B","B+","A","A+","S"},0)),ISNUMBER(MATCH(#REF!,{"F","E","D","D+","C","C+","B","B+","A","A+","S"},0)),ISNUMBER(MATCH(N74,{"F","E","D","D+","C","C+","B","B+","A","A+","S"},0)),ISNUMBER(MATCH(#REF!,{"F","E","D","D+","C","C+","B","B+","A","A+","S"},0))),LOOKUP(AVERAGE(_xlfn.SWITCH(M78,"F",0,"E",10,"D",20,"D+",30,"C",40,"C+",50,"B",60,"B+",70,"A",80,"A+",90,"S",100),_xlfn.SWITCH(#REF!,"F",0,"E",10,"D",20,"D+",30,"C",40,"C+",50,"B",60,"B+",70,"A",80,"A+",90,"S",100),_xlfn.SWITCH(N82,"F",0,"E",10,"D",20,"D+",30,"C",40,"C+",50,"B",60,"B+",70,"A",80,"A+",90,"S",100),_xlfn.SWITCH(#REF!,"F",0,"E",10,"D",20,"D+",30,"C",40,"C+",50,"B",60,"B+",70,"A",80,"A+",90,"S",100)),{0,15,25,35,45,55,65,75,85,95},{"D","D","D+","C","C+","B","B+","A","A+","S"}),"?")</f>
        <v>?</v>
      </c>
      <c r="P70" s="14"/>
      <c r="Q70" s="2"/>
    </row>
    <row r="71" spans="1:17" ht="21">
      <c r="A71" s="54" t="s">
        <v>4830</v>
      </c>
      <c r="B71" s="54" t="s">
        <v>436</v>
      </c>
      <c r="C71" s="419"/>
      <c r="D71" s="419"/>
      <c r="E71" s="419"/>
      <c r="F71" s="419"/>
      <c r="G71" s="419"/>
      <c r="H71" s="189" t="s">
        <v>1593</v>
      </c>
      <c r="I71" s="189"/>
      <c r="J71" s="2"/>
      <c r="K71" s="5" t="s">
        <v>437</v>
      </c>
      <c r="L71" s="12" t="s">
        <v>438</v>
      </c>
      <c r="M71" s="13"/>
      <c r="N71" s="13"/>
      <c r="O71" s="13" t="str">
        <f>IF(AND(ISNUMBER(MATCH(M71,{"F","E","D","D+","C","C+","B","B+","A","A+","S"},0)),ISNUMBER(MATCH(#REF!,{"F","E","D","D+","C","C+","B","B+","A","A+","S"},0)),ISNUMBER(MATCH(N75,{"F","E","D","D+","C","C+","B","B+","A","A+","S"},0)),ISNUMBER(MATCH(#REF!,{"F","E","D","D+","C","C+","B","B+","A","A+","S"},0))),LOOKUP(AVERAGE(_xlfn.SWITCH(M79,"F",0,"E",10,"D",20,"D+",30,"C",40,"C+",50,"B",60,"B+",70,"A",80,"A+",90,"S",100),_xlfn.SWITCH(#REF!,"F",0,"E",10,"D",20,"D+",30,"C",40,"C+",50,"B",60,"B+",70,"A",80,"A+",90,"S",100),_xlfn.SWITCH(N83,"F",0,"E",10,"D",20,"D+",30,"C",40,"C+",50,"B",60,"B+",70,"A",80,"A+",90,"S",100),_xlfn.SWITCH(#REF!,"F",0,"E",10,"D",20,"D+",30,"C",40,"C+",50,"B",60,"B+",70,"A",80,"A+",90,"S",100)),{0,15,25,35,45,55,65,75,85,95},{"D","D","D+","C","C+","B","B+","A","A+","S"}),"?")</f>
        <v>?</v>
      </c>
      <c r="P71" s="14"/>
      <c r="Q71" s="2"/>
    </row>
    <row r="72" spans="1:17" ht="21">
      <c r="A72" s="54" t="s">
        <v>4831</v>
      </c>
      <c r="B72" s="54" t="s">
        <v>443</v>
      </c>
      <c r="C72" s="419"/>
      <c r="D72" s="419"/>
      <c r="E72" s="419"/>
      <c r="F72" s="419"/>
      <c r="G72" s="419"/>
      <c r="H72" s="189" t="s">
        <v>1593</v>
      </c>
      <c r="I72" s="189"/>
      <c r="J72" s="2"/>
      <c r="K72" s="5" t="s">
        <v>444</v>
      </c>
      <c r="L72" s="12" t="s">
        <v>445</v>
      </c>
      <c r="M72" s="13"/>
      <c r="N72" s="13"/>
      <c r="O72" s="13" t="str">
        <f>IF(AND(ISNUMBER(MATCH(M72,{"F","E","D","D+","C","C+","B","B+","A","A+","S"},0)),ISNUMBER(MATCH(#REF!,{"F","E","D","D+","C","C+","B","B+","A","A+","S"},0)),ISNUMBER(MATCH(N76,{"F","E","D","D+","C","C+","B","B+","A","A+","S"},0)),ISNUMBER(MATCH(#REF!,{"F","E","D","D+","C","C+","B","B+","A","A+","S"},0))),LOOKUP(AVERAGE(_xlfn.SWITCH(M80,"F",0,"E",10,"D",20,"D+",30,"C",40,"C+",50,"B",60,"B+",70,"A",80,"A+",90,"S",100),_xlfn.SWITCH(#REF!,"F",0,"E",10,"D",20,"D+",30,"C",40,"C+",50,"B",60,"B+",70,"A",80,"A+",90,"S",100),_xlfn.SWITCH(N84,"F",0,"E",10,"D",20,"D+",30,"C",40,"C+",50,"B",60,"B+",70,"A",80,"A+",90,"S",100),_xlfn.SWITCH(#REF!,"F",0,"E",10,"D",20,"D+",30,"C",40,"C+",50,"B",60,"B+",70,"A",80,"A+",90,"S",100)),{0,15,25,35,45,55,65,75,85,95},{"D","D","D+","C","C+","B","B+","A","A+","S"}),"?")</f>
        <v>?</v>
      </c>
      <c r="P72" s="14"/>
      <c r="Q72" s="2"/>
    </row>
    <row r="73" spans="1:17" ht="21">
      <c r="A73" s="54" t="s">
        <v>46</v>
      </c>
      <c r="B73" s="54" t="s">
        <v>47</v>
      </c>
      <c r="C73" s="419"/>
      <c r="D73" s="419"/>
      <c r="E73" s="419"/>
      <c r="F73" s="419"/>
      <c r="G73" s="419"/>
      <c r="H73" s="189" t="s">
        <v>1593</v>
      </c>
      <c r="I73" s="189"/>
      <c r="J73" s="2"/>
      <c r="K73" s="5" t="s">
        <v>448</v>
      </c>
      <c r="L73" s="12" t="s">
        <v>449</v>
      </c>
      <c r="M73" s="13"/>
      <c r="N73" s="13"/>
      <c r="O73" s="13" t="str">
        <f>IF(AND(ISNUMBER(MATCH(M73,{"F","E","D","D+","C","C+","B","B+","A","A+","S"},0)),ISNUMBER(MATCH(#REF!,{"F","E","D","D+","C","C+","B","B+","A","A+","S"},0)),ISNUMBER(MATCH(N77,{"F","E","D","D+","C","C+","B","B+","A","A+","S"},0)),ISNUMBER(MATCH(#REF!,{"F","E","D","D+","C","C+","B","B+","A","A+","S"},0))),LOOKUP(AVERAGE(_xlfn.SWITCH(M81,"F",0,"E",10,"D",20,"D+",30,"C",40,"C+",50,"B",60,"B+",70,"A",80,"A+",90,"S",100),_xlfn.SWITCH(#REF!,"F",0,"E",10,"D",20,"D+",30,"C",40,"C+",50,"B",60,"B+",70,"A",80,"A+",90,"S",100),_xlfn.SWITCH(N85,"F",0,"E",10,"D",20,"D+",30,"C",40,"C+",50,"B",60,"B+",70,"A",80,"A+",90,"S",100),_xlfn.SWITCH(#REF!,"F",0,"E",10,"D",20,"D+",30,"C",40,"C+",50,"B",60,"B+",70,"A",80,"A+",90,"S",100)),{0,15,25,35,45,55,65,75,85,95},{"D","D","D+","C","C+","B","B+","A","A+","S"}),"?")</f>
        <v>?</v>
      </c>
      <c r="P73" s="14"/>
      <c r="Q73" s="2"/>
    </row>
    <row r="74" spans="1:17" ht="21">
      <c r="A74" s="54" t="s">
        <v>168</v>
      </c>
      <c r="B74" s="54" t="s">
        <v>169</v>
      </c>
      <c r="C74" s="419"/>
      <c r="D74" s="419"/>
      <c r="E74" s="419"/>
      <c r="F74" s="419"/>
      <c r="G74" s="419"/>
      <c r="H74" s="189" t="s">
        <v>21</v>
      </c>
      <c r="I74" s="189"/>
      <c r="J74" s="2"/>
      <c r="K74" s="5" t="s">
        <v>452</v>
      </c>
      <c r="L74" s="12" t="s">
        <v>453</v>
      </c>
      <c r="M74" s="13"/>
      <c r="N74" s="13"/>
      <c r="O74" s="13" t="str">
        <f>IF(AND(ISNUMBER(MATCH(M74,{"F","E","D","D+","C","C+","B","B+","A","A+","S"},0)),ISNUMBER(MATCH(#REF!,{"F","E","D","D+","C","C+","B","B+","A","A+","S"},0)),ISNUMBER(MATCH(N78,{"F","E","D","D+","C","C+","B","B+","A","A+","S"},0)),ISNUMBER(MATCH(#REF!,{"F","E","D","D+","C","C+","B","B+","A","A+","S"},0))),LOOKUP(AVERAGE(_xlfn.SWITCH(M82,"F",0,"E",10,"D",20,"D+",30,"C",40,"C+",50,"B",60,"B+",70,"A",80,"A+",90,"S",100),_xlfn.SWITCH(#REF!,"F",0,"E",10,"D",20,"D+",30,"C",40,"C+",50,"B",60,"B+",70,"A",80,"A+",90,"S",100),_xlfn.SWITCH(N86,"F",0,"E",10,"D",20,"D+",30,"C",40,"C+",50,"B",60,"B+",70,"A",80,"A+",90,"S",100),_xlfn.SWITCH(#REF!,"F",0,"E",10,"D",20,"D+",30,"C",40,"C+",50,"B",60,"B+",70,"A",80,"A+",90,"S",100)),{0,15,25,35,45,55,65,75,85,95},{"D","D","D+","C","C+","B","B+","A","A+","S"}),"?")</f>
        <v>?</v>
      </c>
      <c r="P74" s="14"/>
      <c r="Q74" s="2"/>
    </row>
    <row r="75" spans="1:17" ht="21">
      <c r="A75" s="418" t="s">
        <v>196</v>
      </c>
      <c r="B75" s="54" t="s">
        <v>197</v>
      </c>
      <c r="C75" s="419"/>
      <c r="D75" s="419"/>
      <c r="E75" s="419"/>
      <c r="F75" s="419"/>
      <c r="G75" s="419" t="s">
        <v>22</v>
      </c>
      <c r="H75" s="189" t="s">
        <v>21</v>
      </c>
      <c r="I75" s="189"/>
      <c r="J75" s="2"/>
      <c r="K75" s="5" t="s">
        <v>456</v>
      </c>
      <c r="L75" s="12" t="s">
        <v>457</v>
      </c>
      <c r="M75" s="13"/>
      <c r="N75" s="13"/>
      <c r="O75" s="13" t="str">
        <f>IF(AND(ISNUMBER(MATCH(M75,{"F","E","D","D+","C","C+","B","B+","A","A+","S"},0)),ISNUMBER(MATCH(#REF!,{"F","E","D","D+","C","C+","B","B+","A","A+","S"},0)),ISNUMBER(MATCH(N79,{"F","E","D","D+","C","C+","B","B+","A","A+","S"},0)),ISNUMBER(MATCH(#REF!,{"F","E","D","D+","C","C+","B","B+","A","A+","S"},0))),LOOKUP(AVERAGE(_xlfn.SWITCH(M83,"F",0,"E",10,"D",20,"D+",30,"C",40,"C+",50,"B",60,"B+",70,"A",80,"A+",90,"S",100),_xlfn.SWITCH(#REF!,"F",0,"E",10,"D",20,"D+",30,"C",40,"C+",50,"B",60,"B+",70,"A",80,"A+",90,"S",100),_xlfn.SWITCH(N87,"F",0,"E",10,"D",20,"D+",30,"C",40,"C+",50,"B",60,"B+",70,"A",80,"A+",90,"S",100),_xlfn.SWITCH(#REF!,"F",0,"E",10,"D",20,"D+",30,"C",40,"C+",50,"B",60,"B+",70,"A",80,"A+",90,"S",100)),{0,15,25,35,45,55,65,75,85,95},{"D","D","D+","C","C+","B","B+","A","A+","S"}),"?")</f>
        <v>?</v>
      </c>
      <c r="P75" s="14"/>
      <c r="Q75" s="2"/>
    </row>
    <row r="76" spans="1:17" ht="21">
      <c r="A76" s="54" t="s">
        <v>4832</v>
      </c>
      <c r="B76" s="54" t="s">
        <v>378</v>
      </c>
      <c r="C76" s="419"/>
      <c r="D76" s="419"/>
      <c r="E76" s="419"/>
      <c r="F76" s="419"/>
      <c r="G76" s="419"/>
      <c r="H76" s="189" t="s">
        <v>1593</v>
      </c>
      <c r="I76" s="189"/>
      <c r="J76" s="2"/>
      <c r="K76" s="5" t="s">
        <v>462</v>
      </c>
      <c r="L76" s="12" t="s">
        <v>463</v>
      </c>
      <c r="M76" s="13"/>
      <c r="N76" s="13"/>
      <c r="O76" s="13" t="str">
        <f>IF(AND(ISNUMBER(MATCH(M76,{"F","E","D","D+","C","C+","B","B+","A","A+","S"},0)),ISNUMBER(MATCH(#REF!,{"F","E","D","D+","C","C+","B","B+","A","A+","S"},0)),ISNUMBER(MATCH(N80,{"F","E","D","D+","C","C+","B","B+","A","A+","S"},0)),ISNUMBER(MATCH(#REF!,{"F","E","D","D+","C","C+","B","B+","A","A+","S"},0))),LOOKUP(AVERAGE(_xlfn.SWITCH(M84,"F",0,"E",10,"D",20,"D+",30,"C",40,"C+",50,"B",60,"B+",70,"A",80,"A+",90,"S",100),_xlfn.SWITCH(#REF!,"F",0,"E",10,"D",20,"D+",30,"C",40,"C+",50,"B",60,"B+",70,"A",80,"A+",90,"S",100),_xlfn.SWITCH(N88,"F",0,"E",10,"D",20,"D+",30,"C",40,"C+",50,"B",60,"B+",70,"A",80,"A+",90,"S",100),_xlfn.SWITCH(#REF!,"F",0,"E",10,"D",20,"D+",30,"C",40,"C+",50,"B",60,"B+",70,"A",80,"A+",90,"S",100)),{0,15,25,35,45,55,65,75,85,95},{"D","D","D+","C","C+","B","B+","A","A+","S"}),"?")</f>
        <v>?</v>
      </c>
      <c r="P76" s="14"/>
      <c r="Q76" s="2"/>
    </row>
    <row r="77" spans="1:17" ht="21">
      <c r="A77" s="417" t="s">
        <v>398</v>
      </c>
      <c r="B77" s="54" t="s">
        <v>30</v>
      </c>
      <c r="C77" s="419"/>
      <c r="D77" s="419"/>
      <c r="E77" s="419"/>
      <c r="F77" s="419"/>
      <c r="G77" s="419"/>
      <c r="H77" s="189" t="s">
        <v>17</v>
      </c>
      <c r="I77" s="189"/>
      <c r="J77" s="2"/>
      <c r="K77" s="5" t="s">
        <v>468</v>
      </c>
      <c r="L77" s="12" t="s">
        <v>469</v>
      </c>
      <c r="M77" s="13"/>
      <c r="N77" s="13"/>
      <c r="O77" s="13" t="str">
        <f>IF(AND(ISNUMBER(MATCH(M77,{"F","E","D","D+","C","C+","B","B+","A","A+","S"},0)),ISNUMBER(MATCH(#REF!,{"F","E","D","D+","C","C+","B","B+","A","A+","S"},0)),ISNUMBER(MATCH(N81,{"F","E","D","D+","C","C+","B","B+","A","A+","S"},0)),ISNUMBER(MATCH(#REF!,{"F","E","D","D+","C","C+","B","B+","A","A+","S"},0))),LOOKUP(AVERAGE(_xlfn.SWITCH(M85,"F",0,"E",10,"D",20,"D+",30,"C",40,"C+",50,"B",60,"B+",70,"A",80,"A+",90,"S",100),_xlfn.SWITCH(#REF!,"F",0,"E",10,"D",20,"D+",30,"C",40,"C+",50,"B",60,"B+",70,"A",80,"A+",90,"S",100),_xlfn.SWITCH(N89,"F",0,"E",10,"D",20,"D+",30,"C",40,"C+",50,"B",60,"B+",70,"A",80,"A+",90,"S",100),_xlfn.SWITCH(#REF!,"F",0,"E",10,"D",20,"D+",30,"C",40,"C+",50,"B",60,"B+",70,"A",80,"A+",90,"S",100)),{0,15,25,35,45,55,65,75,85,95},{"D","D","D+","C","C+","B","B+","A","A+","S"}),"?")</f>
        <v>?</v>
      </c>
      <c r="P77" s="14"/>
      <c r="Q77" s="2"/>
    </row>
    <row r="78" spans="1:17" ht="21">
      <c r="A78" s="54" t="s">
        <v>4833</v>
      </c>
      <c r="B78" s="54" t="s">
        <v>473</v>
      </c>
      <c r="C78" s="419"/>
      <c r="D78" s="419"/>
      <c r="E78" s="419"/>
      <c r="F78" s="419"/>
      <c r="G78" s="419"/>
      <c r="H78" s="189" t="s">
        <v>1567</v>
      </c>
      <c r="I78" s="189"/>
      <c r="J78" s="2"/>
      <c r="K78" s="5" t="s">
        <v>175</v>
      </c>
      <c r="L78" s="12" t="s">
        <v>176</v>
      </c>
      <c r="M78" s="13"/>
      <c r="N78" s="13"/>
      <c r="O78" s="13" t="str">
        <f>IF(AND(ISNUMBER(MATCH(M78,{"F","E","D","D+","C","C+","B","B+","A","A+","S"},0)),ISNUMBER(MATCH(#REF!,{"F","E","D","D+","C","C+","B","B+","A","A+","S"},0)),ISNUMBER(MATCH(N82,{"F","E","D","D+","C","C+","B","B+","A","A+","S"},0)),ISNUMBER(MATCH(#REF!,{"F","E","D","D+","C","C+","B","B+","A","A+","S"},0))),LOOKUP(AVERAGE(_xlfn.SWITCH(M86,"F",0,"E",10,"D",20,"D+",30,"C",40,"C+",50,"B",60,"B+",70,"A",80,"A+",90,"S",100),_xlfn.SWITCH(#REF!,"F",0,"E",10,"D",20,"D+",30,"C",40,"C+",50,"B",60,"B+",70,"A",80,"A+",90,"S",100),_xlfn.SWITCH(N90,"F",0,"E",10,"D",20,"D+",30,"C",40,"C+",50,"B",60,"B+",70,"A",80,"A+",90,"S",100),_xlfn.SWITCH(#REF!,"F",0,"E",10,"D",20,"D+",30,"C",40,"C+",50,"B",60,"B+",70,"A",80,"A+",90,"S",100)),{0,15,25,35,45,55,65,75,85,95},{"D","D","D+","C","C+","B","B+","A","A+","S"}),"?")</f>
        <v>?</v>
      </c>
      <c r="P78" s="14"/>
      <c r="Q78" s="2"/>
    </row>
    <row r="79" spans="1:17" ht="21">
      <c r="A79" s="54" t="s">
        <v>4834</v>
      </c>
      <c r="B79" s="54" t="s">
        <v>476</v>
      </c>
      <c r="C79" s="419"/>
      <c r="D79" s="419"/>
      <c r="E79" s="419"/>
      <c r="F79" s="419"/>
      <c r="G79" s="419" t="s">
        <v>22</v>
      </c>
      <c r="H79" s="189" t="s">
        <v>1567</v>
      </c>
      <c r="I79" s="189"/>
      <c r="J79" s="2"/>
      <c r="K79" s="5" t="s">
        <v>189</v>
      </c>
      <c r="L79" s="12" t="s">
        <v>190</v>
      </c>
      <c r="M79" s="13"/>
      <c r="N79" s="13"/>
      <c r="O79" s="13" t="str">
        <f>IF(AND(ISNUMBER(MATCH(M79,{"F","E","D","D+","C","C+","B","B+","A","A+","S"},0)),ISNUMBER(MATCH(#REF!,{"F","E","D","D+","C","C+","B","B+","A","A+","S"},0)),ISNUMBER(MATCH(N83,{"F","E","D","D+","C","C+","B","B+","A","A+","S"},0)),ISNUMBER(MATCH(#REF!,{"F","E","D","D+","C","C+","B","B+","A","A+","S"},0))),LOOKUP(AVERAGE(_xlfn.SWITCH(M87,"F",0,"E",10,"D",20,"D+",30,"C",40,"C+",50,"B",60,"B+",70,"A",80,"A+",90,"S",100),_xlfn.SWITCH(#REF!,"F",0,"E",10,"D",20,"D+",30,"C",40,"C+",50,"B",60,"B+",70,"A",80,"A+",90,"S",100),_xlfn.SWITCH(N91,"F",0,"E",10,"D",20,"D+",30,"C",40,"C+",50,"B",60,"B+",70,"A",80,"A+",90,"S",100),_xlfn.SWITCH(#REF!,"F",0,"E",10,"D",20,"D+",30,"C",40,"C+",50,"B",60,"B+",70,"A",80,"A+",90,"S",100)),{0,15,25,35,45,55,65,75,85,95},{"D","D","D+","C","C+","B","B+","A","A+","S"}),"?")</f>
        <v>?</v>
      </c>
      <c r="P79" s="14"/>
      <c r="Q79" s="2"/>
    </row>
    <row r="80" spans="1:17" ht="21">
      <c r="A80" s="418" t="s">
        <v>320</v>
      </c>
      <c r="B80" s="54" t="s">
        <v>321</v>
      </c>
      <c r="C80" s="419"/>
      <c r="D80" s="419"/>
      <c r="E80" s="419"/>
      <c r="F80" s="419"/>
      <c r="G80" s="419"/>
      <c r="H80" s="189" t="s">
        <v>1567</v>
      </c>
      <c r="I80" s="189"/>
      <c r="J80" s="2"/>
      <c r="K80" s="5" t="s">
        <v>479</v>
      </c>
      <c r="L80" s="12" t="s">
        <v>480</v>
      </c>
      <c r="M80" s="13"/>
      <c r="N80" s="13"/>
      <c r="O80" s="13" t="str">
        <f>IF(AND(ISNUMBER(MATCH(M80,{"F","E","D","D+","C","C+","B","B+","A","A+","S"},0)),ISNUMBER(MATCH(#REF!,{"F","E","D","D+","C","C+","B","B+","A","A+","S"},0)),ISNUMBER(MATCH(N84,{"F","E","D","D+","C","C+","B","B+","A","A+","S"},0)),ISNUMBER(MATCH(#REF!,{"F","E","D","D+","C","C+","B","B+","A","A+","S"},0))),LOOKUP(AVERAGE(_xlfn.SWITCH(M88,"F",0,"E",10,"D",20,"D+",30,"C",40,"C+",50,"B",60,"B+",70,"A",80,"A+",90,"S",100),_xlfn.SWITCH(#REF!,"F",0,"E",10,"D",20,"D+",30,"C",40,"C+",50,"B",60,"B+",70,"A",80,"A+",90,"S",100),_xlfn.SWITCH(N92,"F",0,"E",10,"D",20,"D+",30,"C",40,"C+",50,"B",60,"B+",70,"A",80,"A+",90,"S",100),_xlfn.SWITCH(#REF!,"F",0,"E",10,"D",20,"D+",30,"C",40,"C+",50,"B",60,"B+",70,"A",80,"A+",90,"S",100)),{0,15,25,35,45,55,65,75,85,95},{"D","D","D+","C","C+","B","B+","A","A+","S"}),"?")</f>
        <v>?</v>
      </c>
      <c r="P80" s="14"/>
      <c r="Q80" s="2"/>
    </row>
    <row r="81" spans="1:17" ht="21">
      <c r="A81" s="54" t="s">
        <v>4835</v>
      </c>
      <c r="B81" s="54" t="s">
        <v>484</v>
      </c>
      <c r="C81" s="419"/>
      <c r="D81" s="419"/>
      <c r="E81" s="419"/>
      <c r="F81" s="419"/>
      <c r="G81" s="419"/>
      <c r="H81" s="189" t="s">
        <v>1574</v>
      </c>
      <c r="I81" s="189"/>
      <c r="J81" s="2"/>
      <c r="K81" s="5" t="s">
        <v>485</v>
      </c>
      <c r="L81" s="12" t="s">
        <v>486</v>
      </c>
      <c r="M81" s="13"/>
      <c r="N81" s="13"/>
      <c r="O81" s="13" t="str">
        <f>IF(AND(ISNUMBER(MATCH(M81,{"F","E","D","D+","C","C+","B","B+","A","A+","S"},0)),ISNUMBER(MATCH(#REF!,{"F","E","D","D+","C","C+","B","B+","A","A+","S"},0)),ISNUMBER(MATCH(N85,{"F","E","D","D+","C","C+","B","B+","A","A+","S"},0)),ISNUMBER(MATCH(#REF!,{"F","E","D","D+","C","C+","B","B+","A","A+","S"},0))),LOOKUP(AVERAGE(_xlfn.SWITCH(M89,"F",0,"E",10,"D",20,"D+",30,"C",40,"C+",50,"B",60,"B+",70,"A",80,"A+",90,"S",100),_xlfn.SWITCH(#REF!,"F",0,"E",10,"D",20,"D+",30,"C",40,"C+",50,"B",60,"B+",70,"A",80,"A+",90,"S",100),_xlfn.SWITCH(N93,"F",0,"E",10,"D",20,"D+",30,"C",40,"C+",50,"B",60,"B+",70,"A",80,"A+",90,"S",100),_xlfn.SWITCH(#REF!,"F",0,"E",10,"D",20,"D+",30,"C",40,"C+",50,"B",60,"B+",70,"A",80,"A+",90,"S",100)),{0,15,25,35,45,55,65,75,85,95},{"D","D","D+","C","C+","B","B+","A","A+","S"}),"?")</f>
        <v>?</v>
      </c>
      <c r="P81" s="14"/>
      <c r="Q81" s="2"/>
    </row>
    <row r="82" spans="1:17" ht="21">
      <c r="A82" s="418" t="s">
        <v>4836</v>
      </c>
      <c r="B82" s="54" t="s">
        <v>489</v>
      </c>
      <c r="C82" s="419"/>
      <c r="D82" s="419"/>
      <c r="E82" s="419"/>
      <c r="F82" s="419"/>
      <c r="G82" s="419"/>
      <c r="H82" s="189" t="s">
        <v>21</v>
      </c>
      <c r="I82" s="189"/>
      <c r="J82" s="2"/>
      <c r="K82" s="5" t="s">
        <v>490</v>
      </c>
      <c r="L82" s="12" t="s">
        <v>491</v>
      </c>
      <c r="M82" s="13"/>
      <c r="N82" s="13"/>
      <c r="O82" s="13" t="str">
        <f>IF(AND(ISNUMBER(MATCH(M82,{"F","E","D","D+","C","C+","B","B+","A","A+","S"},0)),ISNUMBER(MATCH(#REF!,{"F","E","D","D+","C","C+","B","B+","A","A+","S"},0)),ISNUMBER(MATCH(N86,{"F","E","D","D+","C","C+","B","B+","A","A+","S"},0)),ISNUMBER(MATCH(#REF!,{"F","E","D","D+","C","C+","B","B+","A","A+","S"},0))),LOOKUP(AVERAGE(_xlfn.SWITCH(M90,"F",0,"E",10,"D",20,"D+",30,"C",40,"C+",50,"B",60,"B+",70,"A",80,"A+",90,"S",100),_xlfn.SWITCH(#REF!,"F",0,"E",10,"D",20,"D+",30,"C",40,"C+",50,"B",60,"B+",70,"A",80,"A+",90,"S",100),_xlfn.SWITCH(N94,"F",0,"E",10,"D",20,"D+",30,"C",40,"C+",50,"B",60,"B+",70,"A",80,"A+",90,"S",100),_xlfn.SWITCH(#REF!,"F",0,"E",10,"D",20,"D+",30,"C",40,"C+",50,"B",60,"B+",70,"A",80,"A+",90,"S",100)),{0,15,25,35,45,55,65,75,85,95},{"D","D","D+","C","C+","B","B+","A","A+","S"}),"?")</f>
        <v>?</v>
      </c>
      <c r="P82" s="14"/>
      <c r="Q82" s="2"/>
    </row>
    <row r="83" spans="1:17" ht="21">
      <c r="A83" s="54" t="s">
        <v>4837</v>
      </c>
      <c r="B83" s="54" t="s">
        <v>495</v>
      </c>
      <c r="C83" s="419"/>
      <c r="D83" s="419"/>
      <c r="E83" s="419"/>
      <c r="F83" s="419"/>
      <c r="G83" s="419"/>
      <c r="H83" s="189" t="s">
        <v>1593</v>
      </c>
      <c r="I83" s="189"/>
      <c r="J83" s="2"/>
      <c r="K83" s="5" t="s">
        <v>496</v>
      </c>
      <c r="L83" s="12" t="s">
        <v>497</v>
      </c>
      <c r="M83" s="13"/>
      <c r="N83" s="13"/>
      <c r="O83" s="13" t="str">
        <f>IF(AND(ISNUMBER(MATCH(M83,{"F","E","D","D+","C","C+","B","B+","A","A+","S"},0)),ISNUMBER(MATCH(#REF!,{"F","E","D","D+","C","C+","B","B+","A","A+","S"},0)),ISNUMBER(MATCH(N87,{"F","E","D","D+","C","C+","B","B+","A","A+","S"},0)),ISNUMBER(MATCH(#REF!,{"F","E","D","D+","C","C+","B","B+","A","A+","S"},0))),LOOKUP(AVERAGE(_xlfn.SWITCH(M91,"F",0,"E",10,"D",20,"D+",30,"C",40,"C+",50,"B",60,"B+",70,"A",80,"A+",90,"S",100),_xlfn.SWITCH(#REF!,"F",0,"E",10,"D",20,"D+",30,"C",40,"C+",50,"B",60,"B+",70,"A",80,"A+",90,"S",100),_xlfn.SWITCH(N95,"F",0,"E",10,"D",20,"D+",30,"C",40,"C+",50,"B",60,"B+",70,"A",80,"A+",90,"S",100),_xlfn.SWITCH(#REF!,"F",0,"E",10,"D",20,"D+",30,"C",40,"C+",50,"B",60,"B+",70,"A",80,"A+",90,"S",100)),{0,15,25,35,45,55,65,75,85,95},{"D","D","D+","C","C+","B","B+","A","A+","S"}),"?")</f>
        <v>?</v>
      </c>
      <c r="P83" s="14"/>
      <c r="Q83" s="2"/>
    </row>
    <row r="84" spans="1:17" ht="21">
      <c r="A84" s="54" t="s">
        <v>4838</v>
      </c>
      <c r="B84" s="54" t="s">
        <v>501</v>
      </c>
      <c r="C84" s="419"/>
      <c r="D84" s="419"/>
      <c r="E84" s="419"/>
      <c r="F84" s="419"/>
      <c r="G84" s="419"/>
      <c r="H84" s="189" t="s">
        <v>1593</v>
      </c>
      <c r="I84" s="189"/>
      <c r="J84" s="2"/>
      <c r="K84" s="5" t="s">
        <v>502</v>
      </c>
      <c r="L84" s="12" t="s">
        <v>503</v>
      </c>
      <c r="M84" s="13"/>
      <c r="N84" s="13"/>
      <c r="O84" s="13" t="str">
        <f>IF(AND(ISNUMBER(MATCH(M84,{"F","E","D","D+","C","C+","B","B+","A","A+","S"},0)),ISNUMBER(MATCH(#REF!,{"F","E","D","D+","C","C+","B","B+","A","A+","S"},0)),ISNUMBER(MATCH(N88,{"F","E","D","D+","C","C+","B","B+","A","A+","S"},0)),ISNUMBER(MATCH(#REF!,{"F","E","D","D+","C","C+","B","B+","A","A+","S"},0))),LOOKUP(AVERAGE(_xlfn.SWITCH(M92,"F",0,"E",10,"D",20,"D+",30,"C",40,"C+",50,"B",60,"B+",70,"A",80,"A+",90,"S",100),_xlfn.SWITCH(#REF!,"F",0,"E",10,"D",20,"D+",30,"C",40,"C+",50,"B",60,"B+",70,"A",80,"A+",90,"S",100),_xlfn.SWITCH(N96,"F",0,"E",10,"D",20,"D+",30,"C",40,"C+",50,"B",60,"B+",70,"A",80,"A+",90,"S",100),_xlfn.SWITCH(#REF!,"F",0,"E",10,"D",20,"D+",30,"C",40,"C+",50,"B",60,"B+",70,"A",80,"A+",90,"S",100)),{0,15,25,35,45,55,65,75,85,95},{"D","D","D+","C","C+","B","B+","A","A+","S"}),"?")</f>
        <v>?</v>
      </c>
      <c r="P84" s="14"/>
      <c r="Q84" s="2"/>
    </row>
    <row r="85" spans="1:17" ht="21">
      <c r="A85" s="54" t="s">
        <v>4839</v>
      </c>
      <c r="B85" s="54" t="s">
        <v>506</v>
      </c>
      <c r="C85" s="419"/>
      <c r="D85" s="419"/>
      <c r="E85" s="419"/>
      <c r="F85" s="419"/>
      <c r="G85" s="419"/>
      <c r="H85" s="189" t="s">
        <v>1574</v>
      </c>
      <c r="I85" s="189"/>
      <c r="J85" s="2"/>
      <c r="K85" s="5" t="s">
        <v>507</v>
      </c>
      <c r="L85" s="12" t="s">
        <v>508</v>
      </c>
      <c r="M85" s="13"/>
      <c r="N85" s="13"/>
      <c r="O85" s="13" t="str">
        <f>IF(AND(ISNUMBER(MATCH(M85,{"F","E","D","D+","C","C+","B","B+","A","A+","S"},0)),ISNUMBER(MATCH(#REF!,{"F","E","D","D+","C","C+","B","B+","A","A+","S"},0)),ISNUMBER(MATCH(N89,{"F","E","D","D+","C","C+","B","B+","A","A+","S"},0)),ISNUMBER(MATCH(#REF!,{"F","E","D","D+","C","C+","B","B+","A","A+","S"},0))),LOOKUP(AVERAGE(_xlfn.SWITCH(M93,"F",0,"E",10,"D",20,"D+",30,"C",40,"C+",50,"B",60,"B+",70,"A",80,"A+",90,"S",100),_xlfn.SWITCH(#REF!,"F",0,"E",10,"D",20,"D+",30,"C",40,"C+",50,"B",60,"B+",70,"A",80,"A+",90,"S",100),_xlfn.SWITCH(N97,"F",0,"E",10,"D",20,"D+",30,"C",40,"C+",50,"B",60,"B+",70,"A",80,"A+",90,"S",100),_xlfn.SWITCH(#REF!,"F",0,"E",10,"D",20,"D+",30,"C",40,"C+",50,"B",60,"B+",70,"A",80,"A+",90,"S",100)),{0,15,25,35,45,55,65,75,85,95},{"D","D","D+","C","C+","B","B+","A","A+","S"}),"?")</f>
        <v>?</v>
      </c>
      <c r="P85" s="14"/>
      <c r="Q85" s="2"/>
    </row>
    <row r="86" spans="1:17" ht="21">
      <c r="A86" s="418" t="s">
        <v>236</v>
      </c>
      <c r="B86" s="54" t="s">
        <v>237</v>
      </c>
      <c r="C86" s="419"/>
      <c r="D86" s="419"/>
      <c r="E86" s="419"/>
      <c r="F86" s="419"/>
      <c r="G86" s="419"/>
      <c r="H86" s="189" t="s">
        <v>21</v>
      </c>
      <c r="I86" s="189"/>
      <c r="J86" s="2"/>
      <c r="K86" s="5" t="s">
        <v>182</v>
      </c>
      <c r="L86" s="12" t="s">
        <v>183</v>
      </c>
      <c r="M86" s="13"/>
      <c r="N86" s="13"/>
      <c r="O86" s="13" t="str">
        <f>IF(AND(ISNUMBER(MATCH(M86,{"F","E","D","D+","C","C+","B","B+","A","A+","S"},0)),ISNUMBER(MATCH(#REF!,{"F","E","D","D+","C","C+","B","B+","A","A+","S"},0)),ISNUMBER(MATCH(N90,{"F","E","D","D+","C","C+","B","B+","A","A+","S"},0)),ISNUMBER(MATCH(#REF!,{"F","E","D","D+","C","C+","B","B+","A","A+","S"},0))),LOOKUP(AVERAGE(_xlfn.SWITCH(M94,"F",0,"E",10,"D",20,"D+",30,"C",40,"C+",50,"B",60,"B+",70,"A",80,"A+",90,"S",100),_xlfn.SWITCH(#REF!,"F",0,"E",10,"D",20,"D+",30,"C",40,"C+",50,"B",60,"B+",70,"A",80,"A+",90,"S",100),_xlfn.SWITCH(N98,"F",0,"E",10,"D",20,"D+",30,"C",40,"C+",50,"B",60,"B+",70,"A",80,"A+",90,"S",100),_xlfn.SWITCH(#REF!,"F",0,"E",10,"D",20,"D+",30,"C",40,"C+",50,"B",60,"B+",70,"A",80,"A+",90,"S",100)),{0,15,25,35,45,55,65,75,85,95},{"D","D","D+","C","C+","B","B+","A","A+","S"}),"?")</f>
        <v>?</v>
      </c>
      <c r="P86" s="14"/>
      <c r="Q86" s="2"/>
    </row>
    <row r="87" spans="1:17" ht="21">
      <c r="A87" s="418" t="s">
        <v>4840</v>
      </c>
      <c r="B87" s="54" t="s">
        <v>511</v>
      </c>
      <c r="C87" s="419"/>
      <c r="D87" s="419"/>
      <c r="E87" s="419"/>
      <c r="F87" s="419"/>
      <c r="G87" s="419"/>
      <c r="H87" s="189" t="s">
        <v>1567</v>
      </c>
      <c r="I87" s="189"/>
      <c r="J87" s="2"/>
      <c r="K87" s="5" t="s">
        <v>512</v>
      </c>
      <c r="L87" s="12" t="s">
        <v>513</v>
      </c>
      <c r="M87" s="13"/>
      <c r="N87" s="13"/>
      <c r="O87" s="13" t="str">
        <f>IF(AND(ISNUMBER(MATCH(M87,{"F","E","D","D+","C","C+","B","B+","A","A+","S"},0)),ISNUMBER(MATCH(#REF!,{"F","E","D","D+","C","C+","B","B+","A","A+","S"},0)),ISNUMBER(MATCH(N91,{"F","E","D","D+","C","C+","B","B+","A","A+","S"},0)),ISNUMBER(MATCH(#REF!,{"F","E","D","D+","C","C+","B","B+","A","A+","S"},0))),LOOKUP(AVERAGE(_xlfn.SWITCH(M95,"F",0,"E",10,"D",20,"D+",30,"C",40,"C+",50,"B",60,"B+",70,"A",80,"A+",90,"S",100),_xlfn.SWITCH(#REF!,"F",0,"E",10,"D",20,"D+",30,"C",40,"C+",50,"B",60,"B+",70,"A",80,"A+",90,"S",100),_xlfn.SWITCH(N99,"F",0,"E",10,"D",20,"D+",30,"C",40,"C+",50,"B",60,"B+",70,"A",80,"A+",90,"S",100),_xlfn.SWITCH(#REF!,"F",0,"E",10,"D",20,"D+",30,"C",40,"C+",50,"B",60,"B+",70,"A",80,"A+",90,"S",100)),{0,15,25,35,45,55,65,75,85,95},{"D","D","D+","C","C+","B","B+","A","A+","S"}),"?")</f>
        <v>?</v>
      </c>
      <c r="P87" s="14"/>
      <c r="Q87" s="2"/>
    </row>
    <row r="88" spans="1:17" ht="21">
      <c r="A88" s="54" t="s">
        <v>223</v>
      </c>
      <c r="B88" s="54" t="s">
        <v>224</v>
      </c>
      <c r="C88" s="419"/>
      <c r="D88" s="419"/>
      <c r="E88" s="419"/>
      <c r="F88" s="419"/>
      <c r="G88" s="419"/>
      <c r="H88" s="189" t="s">
        <v>1593</v>
      </c>
      <c r="I88" s="189"/>
      <c r="J88" s="2"/>
      <c r="K88" s="5" t="s">
        <v>518</v>
      </c>
      <c r="L88" s="12" t="s">
        <v>519</v>
      </c>
      <c r="M88" s="13"/>
      <c r="N88" s="13"/>
      <c r="O88" s="13" t="str">
        <f>IF(AND(ISNUMBER(MATCH(M88,{"F","E","D","D+","C","C+","B","B+","A","A+","S"},0)),ISNUMBER(MATCH(#REF!,{"F","E","D","D+","C","C+","B","B+","A","A+","S"},0)),ISNUMBER(MATCH(N92,{"F","E","D","D+","C","C+","B","B+","A","A+","S"},0)),ISNUMBER(MATCH(#REF!,{"F","E","D","D+","C","C+","B","B+","A","A+","S"},0))),LOOKUP(AVERAGE(_xlfn.SWITCH(M96,"F",0,"E",10,"D",20,"D+",30,"C",40,"C+",50,"B",60,"B+",70,"A",80,"A+",90,"S",100),_xlfn.SWITCH(#REF!,"F",0,"E",10,"D",20,"D+",30,"C",40,"C+",50,"B",60,"B+",70,"A",80,"A+",90,"S",100),_xlfn.SWITCH(N100,"F",0,"E",10,"D",20,"D+",30,"C",40,"C+",50,"B",60,"B+",70,"A",80,"A+",90,"S",100),_xlfn.SWITCH(#REF!,"F",0,"E",10,"D",20,"D+",30,"C",40,"C+",50,"B",60,"B+",70,"A",80,"A+",90,"S",100)),{0,15,25,35,45,55,65,75,85,95},{"D","D","D+","C","C+","B","B+","A","A+","S"}),"?")</f>
        <v>?</v>
      </c>
      <c r="P88" s="14"/>
      <c r="Q88" s="2"/>
    </row>
    <row r="89" spans="1:17" ht="21">
      <c r="A89" s="418" t="s">
        <v>459</v>
      </c>
      <c r="B89" s="54" t="s">
        <v>460</v>
      </c>
      <c r="C89" s="419"/>
      <c r="D89" s="419"/>
      <c r="E89" s="419"/>
      <c r="F89" s="419"/>
      <c r="G89" s="419"/>
      <c r="H89" s="189" t="s">
        <v>21</v>
      </c>
      <c r="I89" s="189"/>
      <c r="J89" s="2"/>
      <c r="K89" s="5" t="s">
        <v>524</v>
      </c>
      <c r="L89" s="12" t="s">
        <v>525</v>
      </c>
      <c r="M89" s="13"/>
      <c r="N89" s="13"/>
      <c r="O89" s="13" t="str">
        <f>IF(AND(ISNUMBER(MATCH(M89,{"F","E","D","D+","C","C+","B","B+","A","A+","S"},0)),ISNUMBER(MATCH(#REF!,{"F","E","D","D+","C","C+","B","B+","A","A+","S"},0)),ISNUMBER(MATCH(N93,{"F","E","D","D+","C","C+","B","B+","A","A+","S"},0)),ISNUMBER(MATCH(#REF!,{"F","E","D","D+","C","C+","B","B+","A","A+","S"},0))),LOOKUP(AVERAGE(_xlfn.SWITCH(M97,"F",0,"E",10,"D",20,"D+",30,"C",40,"C+",50,"B",60,"B+",70,"A",80,"A+",90,"S",100),_xlfn.SWITCH(#REF!,"F",0,"E",10,"D",20,"D+",30,"C",40,"C+",50,"B",60,"B+",70,"A",80,"A+",90,"S",100),_xlfn.SWITCH(N101,"F",0,"E",10,"D",20,"D+",30,"C",40,"C+",50,"B",60,"B+",70,"A",80,"A+",90,"S",100),_xlfn.SWITCH(#REF!,"F",0,"E",10,"D",20,"D+",30,"C",40,"C+",50,"B",60,"B+",70,"A",80,"A+",90,"S",100)),{0,15,25,35,45,55,65,75,85,95},{"D","D","D+","C","C+","B","B+","A","A+","S"}),"?")</f>
        <v>?</v>
      </c>
      <c r="P89" s="14"/>
      <c r="Q89" s="2"/>
    </row>
    <row r="90" spans="1:17" ht="21">
      <c r="A90" s="54" t="s">
        <v>4841</v>
      </c>
      <c r="B90" s="54" t="s">
        <v>530</v>
      </c>
      <c r="C90" s="419"/>
      <c r="D90" s="419"/>
      <c r="E90" s="419"/>
      <c r="F90" s="419"/>
      <c r="G90" s="419"/>
      <c r="H90" s="189" t="s">
        <v>1593</v>
      </c>
      <c r="I90" s="189"/>
      <c r="J90" s="2"/>
      <c r="K90" s="5" t="s">
        <v>72</v>
      </c>
      <c r="L90" s="12" t="s">
        <v>73</v>
      </c>
      <c r="M90" s="13"/>
      <c r="N90" s="13"/>
      <c r="O90" s="13" t="str">
        <f>IF(AND(ISNUMBER(MATCH(M90,{"F","E","D","D+","C","C+","B","B+","A","A+","S"},0)),ISNUMBER(MATCH(#REF!,{"F","E","D","D+","C","C+","B","B+","A","A+","S"},0)),ISNUMBER(MATCH(N94,{"F","E","D","D+","C","C+","B","B+","A","A+","S"},0)),ISNUMBER(MATCH(#REF!,{"F","E","D","D+","C","C+","B","B+","A","A+","S"},0))),LOOKUP(AVERAGE(_xlfn.SWITCH(M98,"F",0,"E",10,"D",20,"D+",30,"C",40,"C+",50,"B",60,"B+",70,"A",80,"A+",90,"S",100),_xlfn.SWITCH(#REF!,"F",0,"E",10,"D",20,"D+",30,"C",40,"C+",50,"B",60,"B+",70,"A",80,"A+",90,"S",100),_xlfn.SWITCH(N102,"F",0,"E",10,"D",20,"D+",30,"C",40,"C+",50,"B",60,"B+",70,"A",80,"A+",90,"S",100),_xlfn.SWITCH(#REF!,"F",0,"E",10,"D",20,"D+",30,"C",40,"C+",50,"B",60,"B+",70,"A",80,"A+",90,"S",100)),{0,15,25,35,45,55,65,75,85,95},{"D","D","D+","C","C+","B","B+","A","A+","S"}),"?")</f>
        <v>?</v>
      </c>
      <c r="P90" s="14"/>
      <c r="Q90" s="2"/>
    </row>
    <row r="91" spans="1:17" ht="21">
      <c r="A91" s="54" t="s">
        <v>4842</v>
      </c>
      <c r="B91" s="54" t="s">
        <v>535</v>
      </c>
      <c r="C91" s="419"/>
      <c r="D91" s="419"/>
      <c r="E91" s="419"/>
      <c r="F91" s="419"/>
      <c r="G91" s="419"/>
      <c r="H91" s="189" t="s">
        <v>1593</v>
      </c>
      <c r="I91" s="189"/>
      <c r="J91" s="2"/>
      <c r="K91" s="5" t="s">
        <v>536</v>
      </c>
      <c r="L91" s="12" t="s">
        <v>537</v>
      </c>
      <c r="M91" s="13"/>
      <c r="N91" s="13"/>
      <c r="O91" s="13" t="str">
        <f>IF(AND(ISNUMBER(MATCH(M91,{"F","E","D","D+","C","C+","B","B+","A","A+","S"},0)),ISNUMBER(MATCH(#REF!,{"F","E","D","D+","C","C+","B","B+","A","A+","S"},0)),ISNUMBER(MATCH(N95,{"F","E","D","D+","C","C+","B","B+","A","A+","S"},0)),ISNUMBER(MATCH(#REF!,{"F","E","D","D+","C","C+","B","B+","A","A+","S"},0))),LOOKUP(AVERAGE(_xlfn.SWITCH(M99,"F",0,"E",10,"D",20,"D+",30,"C",40,"C+",50,"B",60,"B+",70,"A",80,"A+",90,"S",100),_xlfn.SWITCH(#REF!,"F",0,"E",10,"D",20,"D+",30,"C",40,"C+",50,"B",60,"B+",70,"A",80,"A+",90,"S",100),_xlfn.SWITCH(N103,"F",0,"E",10,"D",20,"D+",30,"C",40,"C+",50,"B",60,"B+",70,"A",80,"A+",90,"S",100),_xlfn.SWITCH(#REF!,"F",0,"E",10,"D",20,"D+",30,"C",40,"C+",50,"B",60,"B+",70,"A",80,"A+",90,"S",100)),{0,15,25,35,45,55,65,75,85,95},{"D","D","D+","C","C+","B","B+","A","A+","S"}),"?")</f>
        <v>?</v>
      </c>
      <c r="P91" s="14"/>
      <c r="Q91" s="2"/>
    </row>
    <row r="92" spans="1:17" ht="21">
      <c r="A92" s="54" t="s">
        <v>4843</v>
      </c>
      <c r="B92" s="54" t="s">
        <v>542</v>
      </c>
      <c r="C92" s="419"/>
      <c r="D92" s="419"/>
      <c r="E92" s="419"/>
      <c r="F92" s="419"/>
      <c r="G92" s="419"/>
      <c r="H92" s="189" t="s">
        <v>1593</v>
      </c>
      <c r="I92" s="189"/>
      <c r="J92" s="2"/>
      <c r="K92" s="5" t="s">
        <v>543</v>
      </c>
      <c r="L92" s="12" t="s">
        <v>544</v>
      </c>
      <c r="M92" s="13"/>
      <c r="N92" s="13"/>
      <c r="O92" s="13" t="str">
        <f>IF(AND(ISNUMBER(MATCH(M92,{"F","E","D","D+","C","C+","B","B+","A","A+","S"},0)),ISNUMBER(MATCH(#REF!,{"F","E","D","D+","C","C+","B","B+","A","A+","S"},0)),ISNUMBER(MATCH(N96,{"F","E","D","D+","C","C+","B","B+","A","A+","S"},0)),ISNUMBER(MATCH(#REF!,{"F","E","D","D+","C","C+","B","B+","A","A+","S"},0))),LOOKUP(AVERAGE(_xlfn.SWITCH(M100,"F",0,"E",10,"D",20,"D+",30,"C",40,"C+",50,"B",60,"B+",70,"A",80,"A+",90,"S",100),_xlfn.SWITCH(#REF!,"F",0,"E",10,"D",20,"D+",30,"C",40,"C+",50,"B",60,"B+",70,"A",80,"A+",90,"S",100),_xlfn.SWITCH(N104,"F",0,"E",10,"D",20,"D+",30,"C",40,"C+",50,"B",60,"B+",70,"A",80,"A+",90,"S",100),_xlfn.SWITCH(#REF!,"F",0,"E",10,"D",20,"D+",30,"C",40,"C+",50,"B",60,"B+",70,"A",80,"A+",90,"S",100)),{0,15,25,35,45,55,65,75,85,95},{"D","D","D+","C","C+","B","B+","A","A+","S"}),"?")</f>
        <v>?</v>
      </c>
      <c r="P92" s="14"/>
      <c r="Q92" s="2"/>
    </row>
    <row r="93" spans="1:17" ht="21">
      <c r="A93" s="418" t="s">
        <v>24</v>
      </c>
      <c r="B93" s="54" t="s">
        <v>25</v>
      </c>
      <c r="C93" s="419"/>
      <c r="D93" s="419"/>
      <c r="E93" s="419"/>
      <c r="F93" s="419"/>
      <c r="G93" s="419"/>
      <c r="H93" s="189" t="s">
        <v>1567</v>
      </c>
      <c r="I93" s="189"/>
      <c r="J93" s="2"/>
      <c r="K93" s="5" t="s">
        <v>363</v>
      </c>
      <c r="L93" s="12" t="s">
        <v>364</v>
      </c>
      <c r="M93" s="13"/>
      <c r="N93" s="13"/>
      <c r="O93" s="13" t="str">
        <f>IF(AND(ISNUMBER(MATCH(M93,{"F","E","D","D+","C","C+","B","B+","A","A+","S"},0)),ISNUMBER(MATCH(#REF!,{"F","E","D","D+","C","C+","B","B+","A","A+","S"},0)),ISNUMBER(MATCH(N97,{"F","E","D","D+","C","C+","B","B+","A","A+","S"},0)),ISNUMBER(MATCH(#REF!,{"F","E","D","D+","C","C+","B","B+","A","A+","S"},0))),LOOKUP(AVERAGE(_xlfn.SWITCH(M101,"F",0,"E",10,"D",20,"D+",30,"C",40,"C+",50,"B",60,"B+",70,"A",80,"A+",90,"S",100),_xlfn.SWITCH(#REF!,"F",0,"E",10,"D",20,"D+",30,"C",40,"C+",50,"B",60,"B+",70,"A",80,"A+",90,"S",100),_xlfn.SWITCH(N105,"F",0,"E",10,"D",20,"D+",30,"C",40,"C+",50,"B",60,"B+",70,"A",80,"A+",90,"S",100),_xlfn.SWITCH(#REF!,"F",0,"E",10,"D",20,"D+",30,"C",40,"C+",50,"B",60,"B+",70,"A",80,"A+",90,"S",100)),{0,15,25,35,45,55,65,75,85,95},{"D","D","D+","C","C+","B","B+","A","A+","S"}),"?")</f>
        <v>?</v>
      </c>
      <c r="P93" s="14"/>
      <c r="Q93" s="2"/>
    </row>
    <row r="94" spans="1:17" ht="21">
      <c r="A94" s="54" t="s">
        <v>351</v>
      </c>
      <c r="B94" s="54" t="s">
        <v>352</v>
      </c>
      <c r="C94" s="419"/>
      <c r="D94" s="419"/>
      <c r="E94" s="419"/>
      <c r="F94" s="419"/>
      <c r="G94" s="419"/>
      <c r="H94" s="189" t="s">
        <v>1593</v>
      </c>
      <c r="I94" s="189"/>
      <c r="J94" s="2"/>
      <c r="K94" s="5" t="s">
        <v>554</v>
      </c>
      <c r="L94" s="12" t="s">
        <v>555</v>
      </c>
      <c r="M94" s="13"/>
      <c r="N94" s="13"/>
      <c r="O94" s="13" t="str">
        <f>IF(AND(ISNUMBER(MATCH(M94,{"F","E","D","D+","C","C+","B","B+","A","A+","S"},0)),ISNUMBER(MATCH(#REF!,{"F","E","D","D+","C","C+","B","B+","A","A+","S"},0)),ISNUMBER(MATCH(N98,{"F","E","D","D+","C","C+","B","B+","A","A+","S"},0)),ISNUMBER(MATCH(#REF!,{"F","E","D","D+","C","C+","B","B+","A","A+","S"},0))),LOOKUP(AVERAGE(_xlfn.SWITCH(M102,"F",0,"E",10,"D",20,"D+",30,"C",40,"C+",50,"B",60,"B+",70,"A",80,"A+",90,"S",100),_xlfn.SWITCH(#REF!,"F",0,"E",10,"D",20,"D+",30,"C",40,"C+",50,"B",60,"B+",70,"A",80,"A+",90,"S",100),_xlfn.SWITCH(N106,"F",0,"E",10,"D",20,"D+",30,"C",40,"C+",50,"B",60,"B+",70,"A",80,"A+",90,"S",100),_xlfn.SWITCH(#REF!,"F",0,"E",10,"D",20,"D+",30,"C",40,"C+",50,"B",60,"B+",70,"A",80,"A+",90,"S",100)),{0,15,25,35,45,55,65,75,85,95},{"D","D","D+","C","C+","B","B+","A","A+","S"}),"?")</f>
        <v>?</v>
      </c>
      <c r="P94" s="14"/>
      <c r="Q94" s="2"/>
    </row>
    <row r="95" spans="1:17" ht="21">
      <c r="A95" s="54" t="s">
        <v>4844</v>
      </c>
      <c r="B95" s="54" t="s">
        <v>560</v>
      </c>
      <c r="C95" s="419"/>
      <c r="D95" s="419"/>
      <c r="E95" s="419"/>
      <c r="F95" s="419"/>
      <c r="G95" s="419"/>
      <c r="H95" s="189" t="s">
        <v>1593</v>
      </c>
      <c r="I95" s="189"/>
      <c r="J95" s="2"/>
      <c r="K95" s="5" t="s">
        <v>561</v>
      </c>
      <c r="L95" s="12"/>
      <c r="M95" s="13"/>
      <c r="N95" s="13"/>
      <c r="O95" s="13" t="str">
        <f>IF(AND(ISNUMBER(MATCH(M95,{"F","E","D","D+","C","C+","B","B+","A","A+","S"},0)),ISNUMBER(MATCH(#REF!,{"F","E","D","D+","C","C+","B","B+","A","A+","S"},0)),ISNUMBER(MATCH(N99,{"F","E","D","D+","C","C+","B","B+","A","A+","S"},0)),ISNUMBER(MATCH(#REF!,{"F","E","D","D+","C","C+","B","B+","A","A+","S"},0))),LOOKUP(AVERAGE(_xlfn.SWITCH(M103,"F",0,"E",10,"D",20,"D+",30,"C",40,"C+",50,"B",60,"B+",70,"A",80,"A+",90,"S",100),_xlfn.SWITCH(#REF!,"F",0,"E",10,"D",20,"D+",30,"C",40,"C+",50,"B",60,"B+",70,"A",80,"A+",90,"S",100),_xlfn.SWITCH(N107,"F",0,"E",10,"D",20,"D+",30,"C",40,"C+",50,"B",60,"B+",70,"A",80,"A+",90,"S",100),_xlfn.SWITCH(#REF!,"F",0,"E",10,"D",20,"D+",30,"C",40,"C+",50,"B",60,"B+",70,"A",80,"A+",90,"S",100)),{0,15,25,35,45,55,65,75,85,95},{"D","D","D+","C","C+","B","B+","A","A+","S"}),"?")</f>
        <v>?</v>
      </c>
      <c r="P95" s="14"/>
      <c r="Q95" s="2"/>
    </row>
    <row r="96" spans="1:17" ht="21">
      <c r="A96" s="418" t="s">
        <v>440</v>
      </c>
      <c r="B96" s="54" t="s">
        <v>441</v>
      </c>
      <c r="C96" s="419"/>
      <c r="D96" s="419"/>
      <c r="E96" s="419"/>
      <c r="F96" s="419"/>
      <c r="G96" s="419"/>
      <c r="H96" s="189" t="s">
        <v>21</v>
      </c>
      <c r="I96" s="189"/>
      <c r="J96" s="2"/>
      <c r="K96" s="5" t="s">
        <v>566</v>
      </c>
      <c r="L96" s="12" t="s">
        <v>567</v>
      </c>
      <c r="M96" s="13"/>
      <c r="N96" s="13"/>
      <c r="O96" s="13" t="str">
        <f>IF(AND(ISNUMBER(MATCH(M96,{"F","E","D","D+","C","C+","B","B+","A","A+","S"},0)),ISNUMBER(MATCH(#REF!,{"F","E","D","D+","C","C+","B","B+","A","A+","S"},0)),ISNUMBER(MATCH(N100,{"F","E","D","D+","C","C+","B","B+","A","A+","S"},0)),ISNUMBER(MATCH(#REF!,{"F","E","D","D+","C","C+","B","B+","A","A+","S"},0))),LOOKUP(AVERAGE(_xlfn.SWITCH(M104,"F",0,"E",10,"D",20,"D+",30,"C",40,"C+",50,"B",60,"B+",70,"A",80,"A+",90,"S",100),_xlfn.SWITCH(#REF!,"F",0,"E",10,"D",20,"D+",30,"C",40,"C+",50,"B",60,"B+",70,"A",80,"A+",90,"S",100),_xlfn.SWITCH(N108,"F",0,"E",10,"D",20,"D+",30,"C",40,"C+",50,"B",60,"B+",70,"A",80,"A+",90,"S",100),_xlfn.SWITCH(#REF!,"F",0,"E",10,"D",20,"D+",30,"C",40,"C+",50,"B",60,"B+",70,"A",80,"A+",90,"S",100)),{0,15,25,35,45,55,65,75,85,95},{"D","D","D+","C","C+","B","B+","A","A+","S"}),"?")</f>
        <v>?</v>
      </c>
      <c r="P96" s="14"/>
      <c r="Q96" s="2"/>
    </row>
    <row r="97" spans="1:17" ht="21">
      <c r="A97" s="54" t="s">
        <v>4845</v>
      </c>
      <c r="B97" s="54" t="s">
        <v>572</v>
      </c>
      <c r="C97" s="419"/>
      <c r="D97" s="419"/>
      <c r="E97" s="419"/>
      <c r="F97" s="419"/>
      <c r="G97" s="419"/>
      <c r="H97" s="189" t="s">
        <v>1567</v>
      </c>
      <c r="I97" s="189"/>
      <c r="J97" s="2"/>
      <c r="K97" s="5" t="s">
        <v>573</v>
      </c>
      <c r="L97" s="12" t="s">
        <v>574</v>
      </c>
      <c r="M97" s="13"/>
      <c r="N97" s="13"/>
      <c r="O97" s="13" t="str">
        <f>IF(AND(ISNUMBER(MATCH(M97,{"F","E","D","D+","C","C+","B","B+","A","A+","S"},0)),ISNUMBER(MATCH(#REF!,{"F","E","D","D+","C","C+","B","B+","A","A+","S"},0)),ISNUMBER(MATCH(N101,{"F","E","D","D+","C","C+","B","B+","A","A+","S"},0)),ISNUMBER(MATCH(#REF!,{"F","E","D","D+","C","C+","B","B+","A","A+","S"},0))),LOOKUP(AVERAGE(_xlfn.SWITCH(M105,"F",0,"E",10,"D",20,"D+",30,"C",40,"C+",50,"B",60,"B+",70,"A",80,"A+",90,"S",100),_xlfn.SWITCH(#REF!,"F",0,"E",10,"D",20,"D+",30,"C",40,"C+",50,"B",60,"B+",70,"A",80,"A+",90,"S",100),_xlfn.SWITCH(N109,"F",0,"E",10,"D",20,"D+",30,"C",40,"C+",50,"B",60,"B+",70,"A",80,"A+",90,"S",100),_xlfn.SWITCH(#REF!,"F",0,"E",10,"D",20,"D+",30,"C",40,"C+",50,"B",60,"B+",70,"A",80,"A+",90,"S",100)),{0,15,25,35,45,55,65,75,85,95},{"D","D","D+","C","C+","B","B+","A","A+","S"}),"?")</f>
        <v>?</v>
      </c>
      <c r="P97" s="14"/>
      <c r="Q97" s="2"/>
    </row>
    <row r="98" spans="1:17" ht="21">
      <c r="A98" s="418" t="s">
        <v>4846</v>
      </c>
      <c r="B98" s="54" t="s">
        <v>579</v>
      </c>
      <c r="C98" s="419"/>
      <c r="D98" s="419"/>
      <c r="E98" s="419"/>
      <c r="F98" s="419"/>
      <c r="G98" s="419"/>
      <c r="H98" s="189" t="s">
        <v>21</v>
      </c>
      <c r="I98" s="189"/>
      <c r="J98" s="2"/>
      <c r="K98" s="5" t="s">
        <v>580</v>
      </c>
      <c r="L98" s="12" t="s">
        <v>581</v>
      </c>
      <c r="M98" s="13"/>
      <c r="N98" s="13"/>
      <c r="O98" s="13" t="str">
        <f>IF(AND(ISNUMBER(MATCH(M98,{"F","E","D","D+","C","C+","B","B+","A","A+","S"},0)),ISNUMBER(MATCH(#REF!,{"F","E","D","D+","C","C+","B","B+","A","A+","S"},0)),ISNUMBER(MATCH(N102,{"F","E","D","D+","C","C+","B","B+","A","A+","S"},0)),ISNUMBER(MATCH(#REF!,{"F","E","D","D+","C","C+","B","B+","A","A+","S"},0))),LOOKUP(AVERAGE(_xlfn.SWITCH(M106,"F",0,"E",10,"D",20,"D+",30,"C",40,"C+",50,"B",60,"B+",70,"A",80,"A+",90,"S",100),_xlfn.SWITCH(#REF!,"F",0,"E",10,"D",20,"D+",30,"C",40,"C+",50,"B",60,"B+",70,"A",80,"A+",90,"S",100),_xlfn.SWITCH(N110,"F",0,"E",10,"D",20,"D+",30,"C",40,"C+",50,"B",60,"B+",70,"A",80,"A+",90,"S",100),_xlfn.SWITCH(#REF!,"F",0,"E",10,"D",20,"D+",30,"C",40,"C+",50,"B",60,"B+",70,"A",80,"A+",90,"S",100)),{0,15,25,35,45,55,65,75,85,95},{"D","D","D+","C","C+","B","B+","A","A+","S"}),"?")</f>
        <v>?</v>
      </c>
      <c r="P98" s="14"/>
      <c r="Q98" s="2"/>
    </row>
    <row r="99" spans="1:17" ht="21">
      <c r="A99" s="54" t="s">
        <v>4847</v>
      </c>
      <c r="B99" s="54" t="s">
        <v>586</v>
      </c>
      <c r="C99" s="419"/>
      <c r="D99" s="419"/>
      <c r="E99" s="419"/>
      <c r="F99" s="419"/>
      <c r="G99" s="419"/>
      <c r="H99" s="189" t="s">
        <v>1593</v>
      </c>
      <c r="I99" s="189"/>
      <c r="J99" s="2"/>
      <c r="K99" s="5" t="s">
        <v>154</v>
      </c>
      <c r="L99" s="12" t="s">
        <v>155</v>
      </c>
      <c r="M99" s="13"/>
      <c r="N99" s="13"/>
      <c r="O99" s="13" t="str">
        <f>IF(AND(ISNUMBER(MATCH(M99,{"F","E","D","D+","C","C+","B","B+","A","A+","S"},0)),ISNUMBER(MATCH(#REF!,{"F","E","D","D+","C","C+","B","B+","A","A+","S"},0)),ISNUMBER(MATCH(N103,{"F","E","D","D+","C","C+","B","B+","A","A+","S"},0)),ISNUMBER(MATCH(#REF!,{"F","E","D","D+","C","C+","B","B+","A","A+","S"},0))),LOOKUP(AVERAGE(_xlfn.SWITCH(M107,"F",0,"E",10,"D",20,"D+",30,"C",40,"C+",50,"B",60,"B+",70,"A",80,"A+",90,"S",100),_xlfn.SWITCH(#REF!,"F",0,"E",10,"D",20,"D+",30,"C",40,"C+",50,"B",60,"B+",70,"A",80,"A+",90,"S",100),_xlfn.SWITCH(N111,"F",0,"E",10,"D",20,"D+",30,"C",40,"C+",50,"B",60,"B+",70,"A",80,"A+",90,"S",100),_xlfn.SWITCH(#REF!,"F",0,"E",10,"D",20,"D+",30,"C",40,"C+",50,"B",60,"B+",70,"A",80,"A+",90,"S",100)),{0,15,25,35,45,55,65,75,85,95},{"D","D","D+","C","C+","B","B+","A","A+","S"}),"?")</f>
        <v>?</v>
      </c>
      <c r="P99" s="14"/>
      <c r="Q99" s="2"/>
    </row>
    <row r="100" spans="1:17" ht="21">
      <c r="A100" s="54" t="s">
        <v>4848</v>
      </c>
      <c r="B100" s="54" t="s">
        <v>4140</v>
      </c>
      <c r="C100" s="419"/>
      <c r="D100" s="419"/>
      <c r="E100" s="419"/>
      <c r="F100" s="419"/>
      <c r="G100" s="419"/>
      <c r="H100" s="189" t="s">
        <v>1593</v>
      </c>
      <c r="I100" s="189"/>
      <c r="J100" s="2"/>
      <c r="K100" s="5" t="s">
        <v>248</v>
      </c>
      <c r="L100" s="12" t="s">
        <v>249</v>
      </c>
      <c r="M100" s="13"/>
      <c r="N100" s="13"/>
      <c r="O100" s="13" t="str">
        <f>IF(AND(ISNUMBER(MATCH(M100,{"F","E","D","D+","C","C+","B","B+","A","A+","S"},0)),ISNUMBER(MATCH(#REF!,{"F","E","D","D+","C","C+","B","B+","A","A+","S"},0)),ISNUMBER(MATCH(N104,{"F","E","D","D+","C","C+","B","B+","A","A+","S"},0)),ISNUMBER(MATCH(#REF!,{"F","E","D","D+","C","C+","B","B+","A","A+","S"},0))),LOOKUP(AVERAGE(_xlfn.SWITCH(M108,"F",0,"E",10,"D",20,"D+",30,"C",40,"C+",50,"B",60,"B+",70,"A",80,"A+",90,"S",100),_xlfn.SWITCH(#REF!,"F",0,"E",10,"D",20,"D+",30,"C",40,"C+",50,"B",60,"B+",70,"A",80,"A+",90,"S",100),_xlfn.SWITCH(N112,"F",0,"E",10,"D",20,"D+",30,"C",40,"C+",50,"B",60,"B+",70,"A",80,"A+",90,"S",100),_xlfn.SWITCH(#REF!,"F",0,"E",10,"D",20,"D+",30,"C",40,"C+",50,"B",60,"B+",70,"A",80,"A+",90,"S",100)),{0,15,25,35,45,55,65,75,85,95},{"D","D","D+","C","C+","B","B+","A","A+","S"}),"?")</f>
        <v>?</v>
      </c>
      <c r="P100" s="14"/>
      <c r="Q100" s="2"/>
    </row>
    <row r="101" spans="1:17" ht="21">
      <c r="A101" s="54" t="s">
        <v>4849</v>
      </c>
      <c r="B101" s="54" t="s">
        <v>596</v>
      </c>
      <c r="C101" s="419"/>
      <c r="D101" s="419"/>
      <c r="E101" s="419"/>
      <c r="F101" s="419"/>
      <c r="G101" s="419"/>
      <c r="H101" s="189" t="s">
        <v>1593</v>
      </c>
      <c r="I101" s="189"/>
      <c r="J101" s="2"/>
      <c r="K101" s="5" t="s">
        <v>597</v>
      </c>
      <c r="L101" s="12" t="s">
        <v>598</v>
      </c>
      <c r="M101" s="13"/>
      <c r="N101" s="13"/>
      <c r="O101" s="13" t="str">
        <f>IF(AND(ISNUMBER(MATCH(M101,{"F","E","D","D+","C","C+","B","B+","A","A+","S"},0)),ISNUMBER(MATCH(#REF!,{"F","E","D","D+","C","C+","B","B+","A","A+","S"},0)),ISNUMBER(MATCH(N105,{"F","E","D","D+","C","C+","B","B+","A","A+","S"},0)),ISNUMBER(MATCH(#REF!,{"F","E","D","D+","C","C+","B","B+","A","A+","S"},0))),LOOKUP(AVERAGE(_xlfn.SWITCH(M109,"F",0,"E",10,"D",20,"D+",30,"C",40,"C+",50,"B",60,"B+",70,"A",80,"A+",90,"S",100),_xlfn.SWITCH(#REF!,"F",0,"E",10,"D",20,"D+",30,"C",40,"C+",50,"B",60,"B+",70,"A",80,"A+",90,"S",100),_xlfn.SWITCH(N113,"F",0,"E",10,"D",20,"D+",30,"C",40,"C+",50,"B",60,"B+",70,"A",80,"A+",90,"S",100),_xlfn.SWITCH(#REF!,"F",0,"E",10,"D",20,"D+",30,"C",40,"C+",50,"B",60,"B+",70,"A",80,"A+",90,"S",100)),{0,15,25,35,45,55,65,75,85,95},{"D","D","D+","C","C+","B","B+","A","A+","S"}),"?")</f>
        <v>?</v>
      </c>
      <c r="P101" s="14"/>
      <c r="Q101" s="2"/>
    </row>
    <row r="102" spans="1:17" ht="21">
      <c r="A102" s="54" t="s">
        <v>4850</v>
      </c>
      <c r="B102" s="54" t="s">
        <v>603</v>
      </c>
      <c r="C102" s="419"/>
      <c r="D102" s="419"/>
      <c r="E102" s="419"/>
      <c r="F102" s="419"/>
      <c r="G102" s="419"/>
      <c r="H102" s="189" t="s">
        <v>1593</v>
      </c>
      <c r="I102" s="189"/>
      <c r="J102" s="2"/>
      <c r="K102" s="5" t="s">
        <v>141</v>
      </c>
      <c r="L102" s="12" t="s">
        <v>142</v>
      </c>
      <c r="M102" s="13"/>
      <c r="N102" s="13"/>
      <c r="O102" s="13" t="str">
        <f>IF(AND(ISNUMBER(MATCH(M102,{"F","E","D","D+","C","C+","B","B+","A","A+","S"},0)),ISNUMBER(MATCH(#REF!,{"F","E","D","D+","C","C+","B","B+","A","A+","S"},0)),ISNUMBER(MATCH(N106,{"F","E","D","D+","C","C+","B","B+","A","A+","S"},0)),ISNUMBER(MATCH(#REF!,{"F","E","D","D+","C","C+","B","B+","A","A+","S"},0))),LOOKUP(AVERAGE(_xlfn.SWITCH(M110,"F",0,"E",10,"D",20,"D+",30,"C",40,"C+",50,"B",60,"B+",70,"A",80,"A+",90,"S",100),_xlfn.SWITCH(#REF!,"F",0,"E",10,"D",20,"D+",30,"C",40,"C+",50,"B",60,"B+",70,"A",80,"A+",90,"S",100),_xlfn.SWITCH(N114,"F",0,"E",10,"D",20,"D+",30,"C",40,"C+",50,"B",60,"B+",70,"A",80,"A+",90,"S",100),_xlfn.SWITCH(#REF!,"F",0,"E",10,"D",20,"D+",30,"C",40,"C+",50,"B",60,"B+",70,"A",80,"A+",90,"S",100)),{0,15,25,35,45,55,65,75,85,95},{"D","D","D+","C","C+","B","B+","A","A+","S"}),"?")</f>
        <v>?</v>
      </c>
      <c r="P102" s="14"/>
      <c r="Q102" s="2"/>
    </row>
    <row r="103" spans="1:17" ht="21">
      <c r="A103" s="417" t="s">
        <v>380</v>
      </c>
      <c r="B103" s="54" t="s">
        <v>381</v>
      </c>
      <c r="C103" s="419"/>
      <c r="D103" s="419"/>
      <c r="E103" s="419"/>
      <c r="F103" s="419"/>
      <c r="G103" s="419"/>
      <c r="H103" s="189" t="s">
        <v>17</v>
      </c>
      <c r="I103" s="189"/>
      <c r="J103" s="2"/>
      <c r="K103" s="5" t="s">
        <v>608</v>
      </c>
      <c r="L103" s="12" t="s">
        <v>609</v>
      </c>
      <c r="M103" s="13"/>
      <c r="N103" s="13"/>
      <c r="O103" s="13" t="str">
        <f>IF(AND(ISNUMBER(MATCH(M103,{"F","E","D","D+","C","C+","B","B+","A","A+","S"},0)),ISNUMBER(MATCH(#REF!,{"F","E","D","D+","C","C+","B","B+","A","A+","S"},0)),ISNUMBER(MATCH(N107,{"F","E","D","D+","C","C+","B","B+","A","A+","S"},0)),ISNUMBER(MATCH(#REF!,{"F","E","D","D+","C","C+","B","B+","A","A+","S"},0))),LOOKUP(AVERAGE(_xlfn.SWITCH(M111,"F",0,"E",10,"D",20,"D+",30,"C",40,"C+",50,"B",60,"B+",70,"A",80,"A+",90,"S",100),_xlfn.SWITCH(#REF!,"F",0,"E",10,"D",20,"D+",30,"C",40,"C+",50,"B",60,"B+",70,"A",80,"A+",90,"S",100),_xlfn.SWITCH(N115,"F",0,"E",10,"D",20,"D+",30,"C",40,"C+",50,"B",60,"B+",70,"A",80,"A+",90,"S",100),_xlfn.SWITCH(#REF!,"F",0,"E",10,"D",20,"D+",30,"C",40,"C+",50,"B",60,"B+",70,"A",80,"A+",90,"S",100)),{0,15,25,35,45,55,65,75,85,95},{"D","D","D+","C","C+","B","B+","A","A+","S"}),"?")</f>
        <v>?</v>
      </c>
      <c r="P103" s="14"/>
      <c r="Q103" s="2"/>
    </row>
    <row r="104" spans="1:17" ht="21">
      <c r="A104" s="418" t="s">
        <v>107</v>
      </c>
      <c r="B104" s="54" t="s">
        <v>108</v>
      </c>
      <c r="C104" s="419"/>
      <c r="D104" s="419"/>
      <c r="E104" s="419"/>
      <c r="F104" s="419"/>
      <c r="G104" s="419"/>
      <c r="H104" s="189" t="s">
        <v>1567</v>
      </c>
      <c r="I104" s="189"/>
      <c r="J104" s="2"/>
      <c r="K104" s="5" t="s">
        <v>614</v>
      </c>
      <c r="L104" s="12" t="s">
        <v>615</v>
      </c>
      <c r="M104" s="13"/>
      <c r="N104" s="13"/>
      <c r="O104" s="13" t="str">
        <f>IF(AND(ISNUMBER(MATCH(M104,{"F","E","D","D+","C","C+","B","B+","A","A+","S"},0)),ISNUMBER(MATCH(#REF!,{"F","E","D","D+","C","C+","B","B+","A","A+","S"},0)),ISNUMBER(MATCH(N108,{"F","E","D","D+","C","C+","B","B+","A","A+","S"},0)),ISNUMBER(MATCH(#REF!,{"F","E","D","D+","C","C+","B","B+","A","A+","S"},0))),LOOKUP(AVERAGE(_xlfn.SWITCH(M112,"F",0,"E",10,"D",20,"D+",30,"C",40,"C+",50,"B",60,"B+",70,"A",80,"A+",90,"S",100),_xlfn.SWITCH(#REF!,"F",0,"E",10,"D",20,"D+",30,"C",40,"C+",50,"B",60,"B+",70,"A",80,"A+",90,"S",100),_xlfn.SWITCH(N116,"F",0,"E",10,"D",20,"D+",30,"C",40,"C+",50,"B",60,"B+",70,"A",80,"A+",90,"S",100),_xlfn.SWITCH(#REF!,"F",0,"E",10,"D",20,"D+",30,"C",40,"C+",50,"B",60,"B+",70,"A",80,"A+",90,"S",100)),{0,15,25,35,45,55,65,75,85,95},{"D","D","D+","C","C+","B","B+","A","A+","S"}),"?")</f>
        <v>?</v>
      </c>
      <c r="P104" s="14"/>
      <c r="Q104" s="2"/>
    </row>
    <row r="105" spans="1:17" ht="21">
      <c r="A105" s="420"/>
      <c r="B105" s="420"/>
      <c r="C105" s="421"/>
      <c r="D105" s="421"/>
      <c r="E105" s="421"/>
      <c r="F105" s="421"/>
      <c r="G105" s="421"/>
      <c r="H105" s="422"/>
      <c r="I105" s="422"/>
      <c r="J105" s="423"/>
      <c r="K105" s="5" t="s">
        <v>620</v>
      </c>
      <c r="L105" s="12" t="s">
        <v>621</v>
      </c>
      <c r="M105" s="13"/>
      <c r="N105" s="13"/>
      <c r="O105" s="13" t="str">
        <f>IF(AND(ISNUMBER(MATCH(M105,{"F","E","D","D+","C","C+","B","B+","A","A+","S"},0)),ISNUMBER(MATCH(#REF!,{"F","E","D","D+","C","C+","B","B+","A","A+","S"},0)),ISNUMBER(MATCH(N109,{"F","E","D","D+","C","C+","B","B+","A","A+","S"},0)),ISNUMBER(MATCH(#REF!,{"F","E","D","D+","C","C+","B","B+","A","A+","S"},0))),LOOKUP(AVERAGE(_xlfn.SWITCH(M113,"F",0,"E",10,"D",20,"D+",30,"C",40,"C+",50,"B",60,"B+",70,"A",80,"A+",90,"S",100),_xlfn.SWITCH(#REF!,"F",0,"E",10,"D",20,"D+",30,"C",40,"C+",50,"B",60,"B+",70,"A",80,"A+",90,"S",100),_xlfn.SWITCH(N117,"F",0,"E",10,"D",20,"D+",30,"C",40,"C+",50,"B",60,"B+",70,"A",80,"A+",90,"S",100),_xlfn.SWITCH(#REF!,"F",0,"E",10,"D",20,"D+",30,"C",40,"C+",50,"B",60,"B+",70,"A",80,"A+",90,"S",100)),{0,15,25,35,45,55,65,75,85,95},{"D","D","D+","C","C+","B","B+","A","A+","S"}),"?")</f>
        <v>?</v>
      </c>
      <c r="P105" s="14"/>
      <c r="Q105" s="423"/>
    </row>
    <row r="106" spans="1:17" ht="21">
      <c r="A106" s="54" t="s">
        <v>593</v>
      </c>
      <c r="B106" s="54" t="s">
        <v>594</v>
      </c>
      <c r="C106" s="419"/>
      <c r="D106" s="419"/>
      <c r="E106" s="419"/>
      <c r="F106" s="419"/>
      <c r="G106" s="419"/>
      <c r="H106" s="189" t="s">
        <v>1567</v>
      </c>
      <c r="I106" s="189"/>
      <c r="J106" s="2"/>
      <c r="K106" s="5" t="s">
        <v>419</v>
      </c>
      <c r="L106" s="12" t="s">
        <v>420</v>
      </c>
      <c r="M106" s="13"/>
      <c r="N106" s="13"/>
      <c r="O106" s="13" t="str">
        <f>IF(AND(ISNUMBER(MATCH(M106,{"F","E","D","D+","C","C+","B","B+","A","A+","S"},0)),ISNUMBER(MATCH(#REF!,{"F","E","D","D+","C","C+","B","B+","A","A+","S"},0)),ISNUMBER(MATCH(N110,{"F","E","D","D+","C","C+","B","B+","A","A+","S"},0)),ISNUMBER(MATCH(#REF!,{"F","E","D","D+","C","C+","B","B+","A","A+","S"},0))),LOOKUP(AVERAGE(_xlfn.SWITCH(M114,"F",0,"E",10,"D",20,"D+",30,"C",40,"C+",50,"B",60,"B+",70,"A",80,"A+",90,"S",100),_xlfn.SWITCH(#REF!,"F",0,"E",10,"D",20,"D+",30,"C",40,"C+",50,"B",60,"B+",70,"A",80,"A+",90,"S",100),_xlfn.SWITCH(N118,"F",0,"E",10,"D",20,"D+",30,"C",40,"C+",50,"B",60,"B+",70,"A",80,"A+",90,"S",100),_xlfn.SWITCH(#REF!,"F",0,"E",10,"D",20,"D+",30,"C",40,"C+",50,"B",60,"B+",70,"A",80,"A+",90,"S",100)),{0,15,25,35,45,55,65,75,85,95},{"D","D","D+","C","C+","B","B+","A","A+","S"}),"?")</f>
        <v>?</v>
      </c>
      <c r="P106" s="14"/>
      <c r="Q106" s="2"/>
    </row>
    <row r="107" spans="1:17" ht="19.5" customHeight="1">
      <c r="A107" s="424" t="s">
        <v>4851</v>
      </c>
      <c r="B107" s="20" t="s">
        <v>640</v>
      </c>
      <c r="C107" s="20"/>
      <c r="D107" s="20"/>
      <c r="E107" s="20"/>
      <c r="F107" s="20"/>
      <c r="G107" s="20"/>
      <c r="H107" s="425" t="s">
        <v>17</v>
      </c>
      <c r="I107" s="426"/>
      <c r="J107" s="2"/>
      <c r="K107" s="5" t="s">
        <v>628</v>
      </c>
      <c r="L107" s="12" t="s">
        <v>629</v>
      </c>
      <c r="M107" s="13"/>
      <c r="N107" s="13"/>
      <c r="O107" s="13" t="str">
        <f>IF(AND(ISNUMBER(MATCH(M107,{"F","E","D","D+","C","C+","B","B+","A","A+","S"},0)),ISNUMBER(MATCH(#REF!,{"F","E","D","D+","C","C+","B","B+","A","A+","S"},0)),ISNUMBER(MATCH(N111,{"F","E","D","D+","C","C+","B","B+","A","A+","S"},0)),ISNUMBER(MATCH(#REF!,{"F","E","D","D+","C","C+","B","B+","A","A+","S"},0))),LOOKUP(AVERAGE(_xlfn.SWITCH(M115,"F",0,"E",10,"D",20,"D+",30,"C",40,"C+",50,"B",60,"B+",70,"A",80,"A+",90,"S",100),_xlfn.SWITCH(#REF!,"F",0,"E",10,"D",20,"D+",30,"C",40,"C+",50,"B",60,"B+",70,"A",80,"A+",90,"S",100),_xlfn.SWITCH(N119,"F",0,"E",10,"D",20,"D+",30,"C",40,"C+",50,"B",60,"B+",70,"A",80,"A+",90,"S",100),_xlfn.SWITCH(#REF!,"F",0,"E",10,"D",20,"D+",30,"C",40,"C+",50,"B",60,"B+",70,"A",80,"A+",90,"S",100)),{0,15,25,35,45,55,65,75,85,95},{"D","D","D+","C","C+","B","B+","A","A+","S"}),"?")</f>
        <v>?</v>
      </c>
      <c r="P107" s="14"/>
      <c r="Q107" s="2"/>
    </row>
    <row r="108" spans="1:17" ht="14.25" customHeight="1">
      <c r="A108" s="22" t="s">
        <v>4852</v>
      </c>
      <c r="B108" s="21" t="s">
        <v>645</v>
      </c>
      <c r="C108" s="21"/>
      <c r="D108" s="21"/>
      <c r="E108" s="21"/>
      <c r="F108" s="21"/>
      <c r="G108" s="21"/>
      <c r="H108" s="427" t="s">
        <v>1567</v>
      </c>
      <c r="I108" s="428"/>
      <c r="J108" s="2"/>
      <c r="K108" s="5" t="s">
        <v>634</v>
      </c>
      <c r="L108" s="12" t="s">
        <v>635</v>
      </c>
      <c r="M108" s="13"/>
      <c r="N108" s="13"/>
      <c r="O108" s="13" t="str">
        <f>IF(AND(ISNUMBER(MATCH(M108,{"F","E","D","D+","C","C+","B","B+","A","A+","S"},0)),ISNUMBER(MATCH(#REF!,{"F","E","D","D+","C","C+","B","B+","A","A+","S"},0)),ISNUMBER(MATCH(N112,{"F","E","D","D+","C","C+","B","B+","A","A+","S"},0)),ISNUMBER(MATCH(#REF!,{"F","E","D","D+","C","C+","B","B+","A","A+","S"},0))),LOOKUP(AVERAGE(_xlfn.SWITCH(M116,"F",0,"E",10,"D",20,"D+",30,"C",40,"C+",50,"B",60,"B+",70,"A",80,"A+",90,"S",100),_xlfn.SWITCH(#REF!,"F",0,"E",10,"D",20,"D+",30,"C",40,"C+",50,"B",60,"B+",70,"A",80,"A+",90,"S",100),_xlfn.SWITCH(N120,"F",0,"E",10,"D",20,"D+",30,"C",40,"C+",50,"B",60,"B+",70,"A",80,"A+",90,"S",100),_xlfn.SWITCH(#REF!,"F",0,"E",10,"D",20,"D+",30,"C",40,"C+",50,"B",60,"B+",70,"A",80,"A+",90,"S",100)),{0,15,25,35,45,55,65,75,85,95},{"D","D","D+","C","C+","B","B+","A","A+","S"}),"?")</f>
        <v>?</v>
      </c>
      <c r="P108" s="14"/>
      <c r="Q108" s="2"/>
    </row>
    <row r="109" spans="1:17" ht="21">
      <c r="A109" s="54" t="s">
        <v>4853</v>
      </c>
      <c r="B109" s="54" t="s">
        <v>652</v>
      </c>
      <c r="C109" s="54"/>
      <c r="D109" s="54"/>
      <c r="E109" s="54"/>
      <c r="F109" s="54"/>
      <c r="G109" s="54"/>
      <c r="H109" s="189" t="s">
        <v>1593</v>
      </c>
      <c r="I109" s="337"/>
      <c r="J109" s="2"/>
      <c r="K109" s="5" t="s">
        <v>284</v>
      </c>
      <c r="L109" s="12" t="s">
        <v>285</v>
      </c>
      <c r="M109" s="13"/>
      <c r="N109" s="13"/>
      <c r="O109" s="13" t="str">
        <f>IF(AND(ISNUMBER(MATCH(M109,{"F","E","D","D+","C","C+","B","B+","A","A+","S"},0)),ISNUMBER(MATCH(#REF!,{"F","E","D","D+","C","C+","B","B+","A","A+","S"},0)),ISNUMBER(MATCH(N113,{"F","E","D","D+","C","C+","B","B+","A","A+","S"},0)),ISNUMBER(MATCH(#REF!,{"F","E","D","D+","C","C+","B","B+","A","A+","S"},0))),LOOKUP(AVERAGE(_xlfn.SWITCH(M117,"F",0,"E",10,"D",20,"D+",30,"C",40,"C+",50,"B",60,"B+",70,"A",80,"A+",90,"S",100),_xlfn.SWITCH(#REF!,"F",0,"E",10,"D",20,"D+",30,"C",40,"C+",50,"B",60,"B+",70,"A",80,"A+",90,"S",100),_xlfn.SWITCH(N121,"F",0,"E",10,"D",20,"D+",30,"C",40,"C+",50,"B",60,"B+",70,"A",80,"A+",90,"S",100),_xlfn.SWITCH(#REF!,"F",0,"E",10,"D",20,"D+",30,"C",40,"C+",50,"B",60,"B+",70,"A",80,"A+",90,"S",100)),{0,15,25,35,45,55,65,75,85,95},{"D","D","D+","C","C+","B","B+","A","A+","S"}),"?")</f>
        <v>?</v>
      </c>
      <c r="P109" s="14"/>
      <c r="Q109" s="2"/>
    </row>
    <row r="110" spans="1:17" ht="21">
      <c r="A110" s="418" t="s">
        <v>799</v>
      </c>
      <c r="B110" s="54" t="s">
        <v>659</v>
      </c>
      <c r="C110" s="54"/>
      <c r="D110" s="54"/>
      <c r="E110" s="54"/>
      <c r="F110" s="54"/>
      <c r="G110" s="54"/>
      <c r="H110" s="189" t="s">
        <v>21</v>
      </c>
      <c r="I110" s="189"/>
      <c r="J110" s="2"/>
      <c r="K110" s="5" t="s">
        <v>646</v>
      </c>
      <c r="L110" s="12" t="s">
        <v>647</v>
      </c>
      <c r="M110" s="13"/>
      <c r="N110" s="13"/>
      <c r="O110" s="13" t="str">
        <f>IF(AND(ISNUMBER(MATCH(M110,{"F","E","D","D+","C","C+","B","B+","A","A+","S"},0)),ISNUMBER(MATCH(#REF!,{"F","E","D","D+","C","C+","B","B+","A","A+","S"},0)),ISNUMBER(MATCH(N114,{"F","E","D","D+","C","C+","B","B+","A","A+","S"},0)),ISNUMBER(MATCH(#REF!,{"F","E","D","D+","C","C+","B","B+","A","A+","S"},0))),LOOKUP(AVERAGE(_xlfn.SWITCH(M118,"F",0,"E",10,"D",20,"D+",30,"C",40,"C+",50,"B",60,"B+",70,"A",80,"A+",90,"S",100),_xlfn.SWITCH(#REF!,"F",0,"E",10,"D",20,"D+",30,"C",40,"C+",50,"B",60,"B+",70,"A",80,"A+",90,"S",100),_xlfn.SWITCH(N122,"F",0,"E",10,"D",20,"D+",30,"C",40,"C+",50,"B",60,"B+",70,"A",80,"A+",90,"S",100),_xlfn.SWITCH(#REF!,"F",0,"E",10,"D",20,"D+",30,"C",40,"C+",50,"B",60,"B+",70,"A",80,"A+",90,"S",100)),{0,15,25,35,45,55,65,75,85,95},{"D","D","D+","C","C+","B","B+","A","A+","S"}),"?")</f>
        <v>?</v>
      </c>
      <c r="P110" s="14"/>
      <c r="Q110" s="2"/>
    </row>
    <row r="111" spans="1:17" ht="21">
      <c r="A111" s="418" t="s">
        <v>4854</v>
      </c>
      <c r="B111" s="54" t="s">
        <v>4855</v>
      </c>
      <c r="C111" s="54"/>
      <c r="D111" s="54"/>
      <c r="E111" s="54"/>
      <c r="F111" s="54"/>
      <c r="G111" s="54"/>
      <c r="H111" s="189" t="s">
        <v>21</v>
      </c>
      <c r="I111" s="189"/>
      <c r="J111" s="2"/>
      <c r="K111" s="5" t="s">
        <v>653</v>
      </c>
      <c r="L111" s="12" t="s">
        <v>654</v>
      </c>
      <c r="M111" s="13"/>
      <c r="N111" s="13"/>
      <c r="O111" s="13" t="str">
        <f>IF(AND(ISNUMBER(MATCH(M111,{"F","E","D","D+","C","C+","B","B+","A","A+","S"},0)),ISNUMBER(MATCH(#REF!,{"F","E","D","D+","C","C+","B","B+","A","A+","S"},0)),ISNUMBER(MATCH(N115,{"F","E","D","D+","C","C+","B","B+","A","A+","S"},0)),ISNUMBER(MATCH(#REF!,{"F","E","D","D+","C","C+","B","B+","A","A+","S"},0))),LOOKUP(AVERAGE(_xlfn.SWITCH(M119,"F",0,"E",10,"D",20,"D+",30,"C",40,"C+",50,"B",60,"B+",70,"A",80,"A+",90,"S",100),_xlfn.SWITCH(#REF!,"F",0,"E",10,"D",20,"D+",30,"C",40,"C+",50,"B",60,"B+",70,"A",80,"A+",90,"S",100),_xlfn.SWITCH(N123,"F",0,"E",10,"D",20,"D+",30,"C",40,"C+",50,"B",60,"B+",70,"A",80,"A+",90,"S",100),_xlfn.SWITCH(#REF!,"F",0,"E",10,"D",20,"D+",30,"C",40,"C+",50,"B",60,"B+",70,"A",80,"A+",90,"S",100)),{0,15,25,35,45,55,65,75,85,95},{"D","D","D+","C","C+","B","B+","A","A+","S"}),"?")</f>
        <v>?</v>
      </c>
      <c r="P111" s="14"/>
      <c r="Q111" s="2"/>
    </row>
    <row r="112" spans="1:17" ht="21">
      <c r="A112" s="54" t="s">
        <v>4856</v>
      </c>
      <c r="B112" s="54" t="s">
        <v>668</v>
      </c>
      <c r="C112" s="54"/>
      <c r="D112" s="54"/>
      <c r="E112" s="54"/>
      <c r="F112" s="54"/>
      <c r="G112" s="54"/>
      <c r="H112" s="189" t="s">
        <v>1574</v>
      </c>
      <c r="I112" s="189"/>
      <c r="J112" s="2"/>
      <c r="K112" s="5" t="s">
        <v>203</v>
      </c>
      <c r="L112" s="12" t="s">
        <v>204</v>
      </c>
      <c r="M112" s="13"/>
      <c r="N112" s="13"/>
      <c r="O112" s="13" t="str">
        <f>IF(AND(ISNUMBER(MATCH(M112,{"F","E","D","D+","C","C+","B","B+","A","A+","S"},0)),ISNUMBER(MATCH(#REF!,{"F","E","D","D+","C","C+","B","B+","A","A+","S"},0)),ISNUMBER(MATCH(N116,{"F","E","D","D+","C","C+","B","B+","A","A+","S"},0)),ISNUMBER(MATCH(#REF!,{"F","E","D","D+","C","C+","B","B+","A","A+","S"},0))),LOOKUP(AVERAGE(_xlfn.SWITCH(M120,"F",0,"E",10,"D",20,"D+",30,"C",40,"C+",50,"B",60,"B+",70,"A",80,"A+",90,"S",100),_xlfn.SWITCH(#REF!,"F",0,"E",10,"D",20,"D+",30,"C",40,"C+",50,"B",60,"B+",70,"A",80,"A+",90,"S",100),_xlfn.SWITCH(N124,"F",0,"E",10,"D",20,"D+",30,"C",40,"C+",50,"B",60,"B+",70,"A",80,"A+",90,"S",100),_xlfn.SWITCH(#REF!,"F",0,"E",10,"D",20,"D+",30,"C",40,"C+",50,"B",60,"B+",70,"A",80,"A+",90,"S",100)),{0,15,25,35,45,55,65,75,85,95},{"D","D","D+","C","C+","B","B+","A","A+","S"}),"?")</f>
        <v>?</v>
      </c>
      <c r="P112" s="14"/>
      <c r="Q112" s="2"/>
    </row>
    <row r="113" spans="1:17" ht="21">
      <c r="A113" s="54" t="s">
        <v>4857</v>
      </c>
      <c r="B113" s="54" t="s">
        <v>675</v>
      </c>
      <c r="C113" s="54"/>
      <c r="D113" s="54"/>
      <c r="E113" s="54"/>
      <c r="F113" s="54"/>
      <c r="G113" s="54"/>
      <c r="H113" s="189" t="s">
        <v>1593</v>
      </c>
      <c r="I113" s="189"/>
      <c r="J113" s="2"/>
      <c r="K113" s="5" t="s">
        <v>60</v>
      </c>
      <c r="L113" s="12" t="s">
        <v>61</v>
      </c>
      <c r="M113" s="13"/>
      <c r="N113" s="13"/>
      <c r="O113" s="13" t="str">
        <f>IF(AND(ISNUMBER(MATCH(M113,{"F","E","D","D+","C","C+","B","B+","A","A+","S"},0)),ISNUMBER(MATCH(#REF!,{"F","E","D","D+","C","C+","B","B+","A","A+","S"},0)),ISNUMBER(MATCH(N117,{"F","E","D","D+","C","C+","B","B+","A","A+","S"},0)),ISNUMBER(MATCH(#REF!,{"F","E","D","D+","C","C+","B","B+","A","A+","S"},0))),LOOKUP(AVERAGE(_xlfn.SWITCH(M121,"F",0,"E",10,"D",20,"D+",30,"C",40,"C+",50,"B",60,"B+",70,"A",80,"A+",90,"S",100),_xlfn.SWITCH(#REF!,"F",0,"E",10,"D",20,"D+",30,"C",40,"C+",50,"B",60,"B+",70,"A",80,"A+",90,"S",100),_xlfn.SWITCH(N125,"F",0,"E",10,"D",20,"D+",30,"C",40,"C+",50,"B",60,"B+",70,"A",80,"A+",90,"S",100),_xlfn.SWITCH(#REF!,"F",0,"E",10,"D",20,"D+",30,"C",40,"C+",50,"B",60,"B+",70,"A",80,"A+",90,"S",100)),{0,15,25,35,45,55,65,75,85,95},{"D","D","D+","C","C+","B","B+","A","A+","S"}),"?")</f>
        <v>?</v>
      </c>
      <c r="P113" s="14"/>
      <c r="Q113" s="2"/>
    </row>
    <row r="114" spans="1:17" ht="21">
      <c r="A114" s="418" t="s">
        <v>665</v>
      </c>
      <c r="B114" s="54" t="s">
        <v>666</v>
      </c>
      <c r="C114" s="54"/>
      <c r="D114" s="54"/>
      <c r="E114" s="54"/>
      <c r="F114" s="54"/>
      <c r="G114" s="54"/>
      <c r="H114" s="189" t="s">
        <v>1567</v>
      </c>
      <c r="I114" s="189"/>
      <c r="J114" s="2"/>
      <c r="K114" s="5" t="s">
        <v>669</v>
      </c>
      <c r="L114" s="12" t="s">
        <v>670</v>
      </c>
      <c r="M114" s="13"/>
      <c r="N114" s="13"/>
      <c r="O114" s="13" t="str">
        <f>IF(AND(ISNUMBER(MATCH(M114,{"F","E","D","D+","C","C+","B","B+","A","A+","S"},0)),ISNUMBER(MATCH(#REF!,{"F","E","D","D+","C","C+","B","B+","A","A+","S"},0)),ISNUMBER(MATCH(N118,{"F","E","D","D+","C","C+","B","B+","A","A+","S"},0)),ISNUMBER(MATCH(#REF!,{"F","E","D","D+","C","C+","B","B+","A","A+","S"},0))),LOOKUP(AVERAGE(_xlfn.SWITCH(M122,"F",0,"E",10,"D",20,"D+",30,"C",40,"C+",50,"B",60,"B+",70,"A",80,"A+",90,"S",100),_xlfn.SWITCH(#REF!,"F",0,"E",10,"D",20,"D+",30,"C",40,"C+",50,"B",60,"B+",70,"A",80,"A+",90,"S",100),_xlfn.SWITCH(N126,"F",0,"E",10,"D",20,"D+",30,"C",40,"C+",50,"B",60,"B+",70,"A",80,"A+",90,"S",100),_xlfn.SWITCH(#REF!,"F",0,"E",10,"D",20,"D+",30,"C",40,"C+",50,"B",60,"B+",70,"A",80,"A+",90,"S",100)),{0,15,25,35,45,55,65,75,85,95},{"D","D","D+","C","C+","B","B+","A","A+","S"}),"?")</f>
        <v>?</v>
      </c>
      <c r="P114" s="14"/>
      <c r="Q114" s="2"/>
    </row>
    <row r="115" spans="1:17" ht="21">
      <c r="A115" s="54" t="s">
        <v>4858</v>
      </c>
      <c r="B115" s="54" t="s">
        <v>688</v>
      </c>
      <c r="C115" s="54"/>
      <c r="D115" s="54"/>
      <c r="E115" s="54"/>
      <c r="F115" s="54"/>
      <c r="G115" s="54"/>
      <c r="H115" s="189" t="s">
        <v>1567</v>
      </c>
      <c r="I115" s="189"/>
      <c r="J115" s="2"/>
      <c r="K115" s="5" t="s">
        <v>676</v>
      </c>
      <c r="L115" s="12" t="s">
        <v>677</v>
      </c>
      <c r="M115" s="13"/>
      <c r="N115" s="13"/>
      <c r="O115" s="13" t="str">
        <f>IF(AND(ISNUMBER(MATCH(M115,{"F","E","D","D+","C","C+","B","B+","A","A+","S"},0)),ISNUMBER(MATCH(#REF!,{"F","E","D","D+","C","C+","B","B+","A","A+","S"},0)),ISNUMBER(MATCH(N119,{"F","E","D","D+","C","C+","B","B+","A","A+","S"},0)),ISNUMBER(MATCH(#REF!,{"F","E","D","D+","C","C+","B","B+","A","A+","S"},0))),LOOKUP(AVERAGE(_xlfn.SWITCH(M123,"F",0,"E",10,"D",20,"D+",30,"C",40,"C+",50,"B",60,"B+",70,"A",80,"A+",90,"S",100),_xlfn.SWITCH(#REF!,"F",0,"E",10,"D",20,"D+",30,"C",40,"C+",50,"B",60,"B+",70,"A",80,"A+",90,"S",100),_xlfn.SWITCH(N127,"F",0,"E",10,"D",20,"D+",30,"C",40,"C+",50,"B",60,"B+",70,"A",80,"A+",90,"S",100),_xlfn.SWITCH(#REF!,"F",0,"E",10,"D",20,"D+",30,"C",40,"C+",50,"B",60,"B+",70,"A",80,"A+",90,"S",100)),{0,15,25,35,45,55,65,75,85,95},{"D","D","D+","C","C+","B","B+","A","A+","S"}),"?")</f>
        <v>?</v>
      </c>
      <c r="P115" s="14"/>
      <c r="Q115" s="2"/>
    </row>
    <row r="116" spans="1:17" ht="21">
      <c r="A116" s="54" t="s">
        <v>4859</v>
      </c>
      <c r="B116" s="54" t="s">
        <v>695</v>
      </c>
      <c r="C116" s="54"/>
      <c r="D116" s="54"/>
      <c r="E116" s="54"/>
      <c r="F116" s="54"/>
      <c r="G116" s="54"/>
      <c r="H116" s="189" t="s">
        <v>1593</v>
      </c>
      <c r="I116" s="189"/>
      <c r="J116" s="2"/>
      <c r="K116" s="5" t="s">
        <v>682</v>
      </c>
      <c r="L116" s="12" t="s">
        <v>683</v>
      </c>
      <c r="M116" s="13"/>
      <c r="N116" s="13"/>
      <c r="O116" s="13" t="str">
        <f>IF(AND(ISNUMBER(MATCH(M116,{"F","E","D","D+","C","C+","B","B+","A","A+","S"},0)),ISNUMBER(MATCH(#REF!,{"F","E","D","D+","C","C+","B","B+","A","A+","S"},0)),ISNUMBER(MATCH(N120,{"F","E","D","D+","C","C+","B","B+","A","A+","S"},0)),ISNUMBER(MATCH(#REF!,{"F","E","D","D+","C","C+","B","B+","A","A+","S"},0))),LOOKUP(AVERAGE(_xlfn.SWITCH(M124,"F",0,"E",10,"D",20,"D+",30,"C",40,"C+",50,"B",60,"B+",70,"A",80,"A+",90,"S",100),_xlfn.SWITCH(#REF!,"F",0,"E",10,"D",20,"D+",30,"C",40,"C+",50,"B",60,"B+",70,"A",80,"A+",90,"S",100),_xlfn.SWITCH(N128,"F",0,"E",10,"D",20,"D+",30,"C",40,"C+",50,"B",60,"B+",70,"A",80,"A+",90,"S",100),_xlfn.SWITCH(#REF!,"F",0,"E",10,"D",20,"D+",30,"C",40,"C+",50,"B",60,"B+",70,"A",80,"A+",90,"S",100)),{0,15,25,35,45,55,65,75,85,95},{"D","D","D+","C","C+","B","B+","A","A+","S"}),"?")</f>
        <v>?</v>
      </c>
      <c r="P116" s="14"/>
      <c r="Q116" s="2"/>
    </row>
    <row r="117" spans="1:17" ht="21">
      <c r="A117" s="54" t="s">
        <v>4860</v>
      </c>
      <c r="B117" s="54" t="s">
        <v>702</v>
      </c>
      <c r="C117" s="54"/>
      <c r="D117" s="54"/>
      <c r="E117" s="54"/>
      <c r="F117" s="54"/>
      <c r="G117" s="54" t="s">
        <v>22</v>
      </c>
      <c r="H117" s="189" t="s">
        <v>1593</v>
      </c>
      <c r="I117" s="189"/>
      <c r="J117" s="2"/>
      <c r="K117" s="5" t="s">
        <v>689</v>
      </c>
      <c r="L117" s="12" t="s">
        <v>690</v>
      </c>
      <c r="M117" s="13"/>
      <c r="N117" s="13"/>
      <c r="O117" s="13" t="str">
        <f>IF(AND(ISNUMBER(MATCH(M117,{"F","E","D","D+","C","C+","B","B+","A","A+","S"},0)),ISNUMBER(MATCH(#REF!,{"F","E","D","D+","C","C+","B","B+","A","A+","S"},0)),ISNUMBER(MATCH(N121,{"F","E","D","D+","C","C+","B","B+","A","A+","S"},0)),ISNUMBER(MATCH(#REF!,{"F","E","D","D+","C","C+","B","B+","A","A+","S"},0))),LOOKUP(AVERAGE(_xlfn.SWITCH(M125,"F",0,"E",10,"D",20,"D+",30,"C",40,"C+",50,"B",60,"B+",70,"A",80,"A+",90,"S",100),_xlfn.SWITCH(#REF!,"F",0,"E",10,"D",20,"D+",30,"C",40,"C+",50,"B",60,"B+",70,"A",80,"A+",90,"S",100),_xlfn.SWITCH(N129,"F",0,"E",10,"D",20,"D+",30,"C",40,"C+",50,"B",60,"B+",70,"A",80,"A+",90,"S",100),_xlfn.SWITCH(#REF!,"F",0,"E",10,"D",20,"D+",30,"C",40,"C+",50,"B",60,"B+",70,"A",80,"A+",90,"S",100)),{0,15,25,35,45,55,65,75,85,95},{"D","D","D+","C","C+","B","B+","A","A+","S"}),"?")</f>
        <v>?</v>
      </c>
      <c r="P117" s="14"/>
      <c r="Q117" s="2"/>
    </row>
    <row r="118" spans="1:17" ht="21">
      <c r="A118" s="54" t="s">
        <v>4861</v>
      </c>
      <c r="B118" s="54" t="s">
        <v>709</v>
      </c>
      <c r="C118" s="54"/>
      <c r="D118" s="54"/>
      <c r="E118" s="54"/>
      <c r="F118" s="54"/>
      <c r="G118" s="54"/>
      <c r="H118" s="189" t="s">
        <v>1593</v>
      </c>
      <c r="I118" s="189"/>
      <c r="J118" s="2"/>
      <c r="K118" s="5" t="s">
        <v>696</v>
      </c>
      <c r="L118" s="12" t="s">
        <v>697</v>
      </c>
      <c r="M118" s="13"/>
      <c r="N118" s="13"/>
      <c r="O118" s="13" t="str">
        <f>IF(AND(ISNUMBER(MATCH(M118,{"F","E","D","D+","C","C+","B","B+","A","A+","S"},0)),ISNUMBER(MATCH(#REF!,{"F","E","D","D+","C","C+","B","B+","A","A+","S"},0)),ISNUMBER(MATCH(N122,{"F","E","D","D+","C","C+","B","B+","A","A+","S"},0)),ISNUMBER(MATCH(#REF!,{"F","E","D","D+","C","C+","B","B+","A","A+","S"},0))),LOOKUP(AVERAGE(_xlfn.SWITCH(M126,"F",0,"E",10,"D",20,"D+",30,"C",40,"C+",50,"B",60,"B+",70,"A",80,"A+",90,"S",100),_xlfn.SWITCH(#REF!,"F",0,"E",10,"D",20,"D+",30,"C",40,"C+",50,"B",60,"B+",70,"A",80,"A+",90,"S",100),_xlfn.SWITCH(N130,"F",0,"E",10,"D",20,"D+",30,"C",40,"C+",50,"B",60,"B+",70,"A",80,"A+",90,"S",100),_xlfn.SWITCH(#REF!,"F",0,"E",10,"D",20,"D+",30,"C",40,"C+",50,"B",60,"B+",70,"A",80,"A+",90,"S",100)),{0,15,25,35,45,55,65,75,85,95},{"D","D","D+","C","C+","B","B+","A","A+","S"}),"?")</f>
        <v>?</v>
      </c>
      <c r="P118" s="14"/>
      <c r="Q118" s="2"/>
    </row>
    <row r="119" spans="1:17" ht="21">
      <c r="A119" s="54" t="s">
        <v>4862</v>
      </c>
      <c r="B119" s="54" t="s">
        <v>4863</v>
      </c>
      <c r="C119" s="54"/>
      <c r="D119" s="54"/>
      <c r="E119" s="54"/>
      <c r="F119" s="54"/>
      <c r="G119" s="54" t="s">
        <v>22</v>
      </c>
      <c r="H119" s="189" t="s">
        <v>1593</v>
      </c>
      <c r="I119" s="189"/>
      <c r="J119" s="2"/>
      <c r="K119" s="5" t="s">
        <v>703</v>
      </c>
      <c r="L119" s="12" t="s">
        <v>704</v>
      </c>
      <c r="M119" s="13"/>
      <c r="N119" s="13"/>
      <c r="O119" s="13" t="str">
        <f>IF(AND(ISNUMBER(MATCH(M119,{"F","E","D","D+","C","C+","B","B+","A","A+","S"},0)),ISNUMBER(MATCH(#REF!,{"F","E","D","D+","C","C+","B","B+","A","A+","S"},0)),ISNUMBER(MATCH(N123,{"F","E","D","D+","C","C+","B","B+","A","A+","S"},0)),ISNUMBER(MATCH(#REF!,{"F","E","D","D+","C","C+","B","B+","A","A+","S"},0))),LOOKUP(AVERAGE(_xlfn.SWITCH(M127,"F",0,"E",10,"D",20,"D+",30,"C",40,"C+",50,"B",60,"B+",70,"A",80,"A+",90,"S",100),_xlfn.SWITCH(#REF!,"F",0,"E",10,"D",20,"D+",30,"C",40,"C+",50,"B",60,"B+",70,"A",80,"A+",90,"S",100),_xlfn.SWITCH(N131,"F",0,"E",10,"D",20,"D+",30,"C",40,"C+",50,"B",60,"B+",70,"A",80,"A+",90,"S",100),_xlfn.SWITCH(#REF!,"F",0,"E",10,"D",20,"D+",30,"C",40,"C+",50,"B",60,"B+",70,"A",80,"A+",90,"S",100)),{0,15,25,35,45,55,65,75,85,95},{"D","D","D+","C","C+","B","B+","A","A+","S"}),"?")</f>
        <v>?</v>
      </c>
      <c r="P119" s="14"/>
      <c r="Q119" s="2"/>
    </row>
    <row r="120" spans="1:17" ht="21">
      <c r="A120" s="54" t="s">
        <v>4864</v>
      </c>
      <c r="B120" s="54" t="s">
        <v>2657</v>
      </c>
      <c r="C120" s="54"/>
      <c r="D120" s="54"/>
      <c r="E120" s="54"/>
      <c r="F120" s="54"/>
      <c r="G120" s="54"/>
      <c r="H120" s="189" t="s">
        <v>1593</v>
      </c>
      <c r="I120" s="189"/>
      <c r="J120" s="2"/>
      <c r="K120" s="5" t="s">
        <v>710</v>
      </c>
      <c r="L120" s="12" t="s">
        <v>711</v>
      </c>
      <c r="M120" s="13"/>
      <c r="N120" s="13"/>
      <c r="O120" s="13" t="str">
        <f>IF(AND(ISNUMBER(MATCH(M120,{"F","E","D","D+","C","C+","B","B+","A","A+","S"},0)),ISNUMBER(MATCH(#REF!,{"F","E","D","D+","C","C+","B","B+","A","A+","S"},0)),ISNUMBER(MATCH(N122,{"F","E","D","D+","C","C+","B","B+","A","A+","S"},0)),ISNUMBER(MATCH(#REF!,{"F","E","D","D+","C","C+","B","B+","A","A+","S"},0))),LOOKUP(AVERAGE(_xlfn.SWITCH(M124,"F",0,"E",10,"D",20,"D+",30,"C",40,"C+",50,"B",60,"B+",70,"A",80,"A+",90,"S",100),_xlfn.SWITCH(#REF!,"F",0,"E",10,"D",20,"D+",30,"C",40,"C+",50,"B",60,"B+",70,"A",80,"A+",90,"S",100),_xlfn.SWITCH(N126,"F",0,"E",10,"D",20,"D+",30,"C",40,"C+",50,"B",60,"B+",70,"A",80,"A+",90,"S",100),_xlfn.SWITCH(#REF!,"F",0,"E",10,"D",20,"D+",30,"C",40,"C+",50,"B",60,"B+",70,"A",80,"A+",90,"S",100)),{0,15,25,35,45,55,65,75,85,95},{"D","D","D+","C","C+","B","B+","A","A+","S"}),"?")</f>
        <v>?</v>
      </c>
      <c r="P120" s="14"/>
      <c r="Q120" s="2"/>
    </row>
    <row r="121" spans="1:17" ht="21">
      <c r="A121" s="54" t="s">
        <v>557</v>
      </c>
      <c r="B121" s="54" t="s">
        <v>558</v>
      </c>
      <c r="C121" s="54"/>
      <c r="D121" s="54"/>
      <c r="E121" s="54"/>
      <c r="F121" s="54"/>
      <c r="G121" s="54"/>
      <c r="H121" s="189" t="s">
        <v>1567</v>
      </c>
      <c r="I121" s="189"/>
      <c r="J121" s="2"/>
      <c r="K121" s="5" t="s">
        <v>717</v>
      </c>
      <c r="L121" s="12" t="s">
        <v>718</v>
      </c>
      <c r="M121" s="13"/>
      <c r="N121" s="13"/>
      <c r="O121" s="13" t="str">
        <f>IF(AND(ISNUMBER(MATCH(M121,{"F","E","D","D+","C","C+","B","B+","A","A+","S"},0)),ISNUMBER(MATCH(#REF!,{"F","E","D","D+","C","C+","B","B+","A","A+","S"},0)),ISNUMBER(MATCH(N123,{"F","E","D","D+","C","C+","B","B+","A","A+","S"},0)),ISNUMBER(MATCH(#REF!,{"F","E","D","D+","C","C+","B","B+","A","A+","S"},0))),LOOKUP(AVERAGE(_xlfn.SWITCH(M125,"F",0,"E",10,"D",20,"D+",30,"C",40,"C+",50,"B",60,"B+",70,"A",80,"A+",90,"S",100),_xlfn.SWITCH(#REF!,"F",0,"E",10,"D",20,"D+",30,"C",40,"C+",50,"B",60,"B+",70,"A",80,"A+",90,"S",100),_xlfn.SWITCH(N127,"F",0,"E",10,"D",20,"D+",30,"C",40,"C+",50,"B",60,"B+",70,"A",80,"A+",90,"S",100),_xlfn.SWITCH(#REF!,"F",0,"E",10,"D",20,"D+",30,"C",40,"C+",50,"B",60,"B+",70,"A",80,"A+",90,"S",100)),{0,15,25,35,45,55,65,75,85,95},{"D","D","D+","C","C+","B","B+","A","A+","S"}),"?")</f>
        <v>?</v>
      </c>
      <c r="P121" s="14"/>
      <c r="Q121" s="2"/>
    </row>
    <row r="122" spans="1:17" ht="21">
      <c r="A122" s="418" t="s">
        <v>685</v>
      </c>
      <c r="B122" s="54" t="s">
        <v>686</v>
      </c>
      <c r="C122" s="54"/>
      <c r="D122" s="54"/>
      <c r="E122" s="54"/>
      <c r="F122" s="54"/>
      <c r="G122" s="54"/>
      <c r="H122" s="189" t="s">
        <v>21</v>
      </c>
      <c r="I122" s="189"/>
      <c r="J122" s="2"/>
      <c r="K122" s="5" t="s">
        <v>134</v>
      </c>
      <c r="L122" s="12" t="s">
        <v>135</v>
      </c>
      <c r="M122" s="13"/>
      <c r="N122" s="13"/>
      <c r="O122" s="13" t="str">
        <f>IF(AND(ISNUMBER(MATCH(M122,{"F","E","D","D+","C","C+","B","B+","A","A+","S"},0)),ISNUMBER(MATCH(#REF!,{"F","E","D","D+","C","C+","B","B+","A","A+","S"},0)),ISNUMBER(MATCH(N124,{"F","E","D","D+","C","C+","B","B+","A","A+","S"},0)),ISNUMBER(MATCH(#REF!,{"F","E","D","D+","C","C+","B","B+","A","A+","S"},0))),LOOKUP(AVERAGE(_xlfn.SWITCH(M126,"F",0,"E",10,"D",20,"D+",30,"C",40,"C+",50,"B",60,"B+",70,"A",80,"A+",90,"S",100),_xlfn.SWITCH(#REF!,"F",0,"E",10,"D",20,"D+",30,"C",40,"C+",50,"B",60,"B+",70,"A",80,"A+",90,"S",100),_xlfn.SWITCH(N128,"F",0,"E",10,"D",20,"D+",30,"C",40,"C+",50,"B",60,"B+",70,"A",80,"A+",90,"S",100),_xlfn.SWITCH(#REF!,"F",0,"E",10,"D",20,"D+",30,"C",40,"C+",50,"B",60,"B+",70,"A",80,"A+",90,"S",100)),{0,15,25,35,45,55,65,75,85,95},{"D","D","D+","C","C+","B","B+","A","A+","S"}),"?")</f>
        <v>?</v>
      </c>
      <c r="P122" s="14"/>
      <c r="Q122" s="2"/>
    </row>
    <row r="123" spans="1:17" ht="21">
      <c r="A123" s="417" t="s">
        <v>699</v>
      </c>
      <c r="B123" s="54" t="s">
        <v>700</v>
      </c>
      <c r="C123" s="54"/>
      <c r="D123" s="54"/>
      <c r="E123" s="54"/>
      <c r="F123" s="54"/>
      <c r="G123" s="54"/>
      <c r="H123" s="189" t="s">
        <v>17</v>
      </c>
      <c r="I123" s="189"/>
      <c r="J123" s="2"/>
      <c r="K123" s="5" t="s">
        <v>728</v>
      </c>
      <c r="L123" s="12" t="s">
        <v>729</v>
      </c>
      <c r="M123" s="13"/>
      <c r="N123" s="13"/>
      <c r="O123" s="13" t="str">
        <f>IF(AND(ISNUMBER(MATCH(M123,{"F","E","D","D+","C","C+","B","B+","A","A+","S"},0)),ISNUMBER(MATCH(#REF!,{"F","E","D","D+","C","C+","B","B+","A","A+","S"},0)),ISNUMBER(MATCH(N127,{"F","E","D","D+","C","C+","B","B+","A","A+","S"},0)),ISNUMBER(MATCH(#REF!,{"F","E","D","D+","C","C+","B","B+","A","A+","S"},0))),LOOKUP(AVERAGE(_xlfn.SWITCH(M131,"F",0,"E",10,"D",20,"D+",30,"C",40,"C+",50,"B",60,"B+",70,"A",80,"A+",90,"S",100),_xlfn.SWITCH(#REF!,"F",0,"E",10,"D",20,"D+",30,"C",40,"C+",50,"B",60,"B+",70,"A",80,"A+",90,"S",100),_xlfn.SWITCH(N135,"F",0,"E",10,"D",20,"D+",30,"C",40,"C+",50,"B",60,"B+",70,"A",80,"A+",90,"S",100),_xlfn.SWITCH(#REF!,"F",0,"E",10,"D",20,"D+",30,"C",40,"C+",50,"B",60,"B+",70,"A",80,"A+",90,"S",100)),{0,15,25,35,45,55,65,75,85,95},{"D","D","D+","C","C+","B","B+","A","A+","S"}),"?")</f>
        <v>?</v>
      </c>
      <c r="P123" s="14"/>
      <c r="Q123" s="2"/>
    </row>
    <row r="124" spans="1:17" ht="21">
      <c r="A124" s="417" t="s">
        <v>4865</v>
      </c>
      <c r="B124" s="54" t="s">
        <v>742</v>
      </c>
      <c r="C124" s="54"/>
      <c r="D124" s="54"/>
      <c r="E124" s="54"/>
      <c r="F124" s="54"/>
      <c r="G124" s="54"/>
      <c r="H124" s="189" t="s">
        <v>17</v>
      </c>
      <c r="I124" s="189"/>
      <c r="J124" s="2"/>
      <c r="K124" s="5" t="s">
        <v>290</v>
      </c>
      <c r="L124" s="12" t="s">
        <v>291</v>
      </c>
      <c r="M124" s="13"/>
      <c r="N124" s="13"/>
      <c r="O124" s="13" t="str">
        <f>IF(AND(ISNUMBER(MATCH(M124,{"F","E","D","D+","C","C+","B","B+","A","A+","S"},0)),ISNUMBER(MATCH(#REF!,{"F","E","D","D+","C","C+","B","B+","A","A+","S"},0)),ISNUMBER(MATCH(N128,{"F","E","D","D+","C","C+","B","B+","A","A+","S"},0)),ISNUMBER(MATCH(#REF!,{"F","E","D","D+","C","C+","B","B+","A","A+","S"},0))),LOOKUP(AVERAGE(_xlfn.SWITCH(M132,"F",0,"E",10,"D",20,"D+",30,"C",40,"C+",50,"B",60,"B+",70,"A",80,"A+",90,"S",100),_xlfn.SWITCH(#REF!,"F",0,"E",10,"D",20,"D+",30,"C",40,"C+",50,"B",60,"B+",70,"A",80,"A+",90,"S",100),_xlfn.SWITCH(N136,"F",0,"E",10,"D",20,"D+",30,"C",40,"C+",50,"B",60,"B+",70,"A",80,"A+",90,"S",100),_xlfn.SWITCH(#REF!,"F",0,"E",10,"D",20,"D+",30,"C",40,"C+",50,"B",60,"B+",70,"A",80,"A+",90,"S",100)),{0,15,25,35,45,55,65,75,85,95},{"D","D","D+","C","C+","B","B+","A","A+","S"}),"?")</f>
        <v>?</v>
      </c>
      <c r="P124" s="14"/>
      <c r="Q124" s="2"/>
    </row>
    <row r="125" spans="1:17" ht="21">
      <c r="A125" s="418" t="s">
        <v>692</v>
      </c>
      <c r="B125" s="54" t="s">
        <v>693</v>
      </c>
      <c r="C125" s="54"/>
      <c r="D125" s="54"/>
      <c r="E125" s="54"/>
      <c r="F125" s="54"/>
      <c r="G125" s="54"/>
      <c r="H125" s="189" t="s">
        <v>21</v>
      </c>
      <c r="I125" s="189"/>
      <c r="J125" s="2"/>
      <c r="K125" s="5" t="s">
        <v>254</v>
      </c>
      <c r="L125" s="12" t="s">
        <v>255</v>
      </c>
      <c r="M125" s="13"/>
      <c r="N125" s="13"/>
      <c r="O125" s="13" t="str">
        <f>IF(AND(ISNUMBER(MATCH(M125,{"F","E","D","D+","C","C+","B","B+","A","A+","S"},0)),ISNUMBER(MATCH(#REF!,{"F","E","D","D+","C","C+","B","B+","A","A+","S"},0)),ISNUMBER(MATCH(N129,{"F","E","D","D+","C","C+","B","B+","A","A+","S"},0)),ISNUMBER(MATCH(#REF!,{"F","E","D","D+","C","C+","B","B+","A","A+","S"},0))),LOOKUP(AVERAGE(_xlfn.SWITCH(M133,"F",0,"E",10,"D",20,"D+",30,"C",40,"C+",50,"B",60,"B+",70,"A",80,"A+",90,"S",100),_xlfn.SWITCH(#REF!,"F",0,"E",10,"D",20,"D+",30,"C",40,"C+",50,"B",60,"B+",70,"A",80,"A+",90,"S",100),_xlfn.SWITCH(N137,"F",0,"E",10,"D",20,"D+",30,"C",40,"C+",50,"B",60,"B+",70,"A",80,"A+",90,"S",100),_xlfn.SWITCH(#REF!,"F",0,"E",10,"D",20,"D+",30,"C",40,"C+",50,"B",60,"B+",70,"A",80,"A+",90,"S",100)),{0,15,25,35,45,55,65,75,85,95},{"D","D","D+","C","C+","B","B+","A","A+","S"}),"?")</f>
        <v>?</v>
      </c>
      <c r="P125" s="14"/>
      <c r="Q125" s="2"/>
    </row>
    <row r="126" spans="1:17" ht="21">
      <c r="A126" s="54" t="s">
        <v>4866</v>
      </c>
      <c r="B126" s="54" t="s">
        <v>753</v>
      </c>
      <c r="C126" s="54"/>
      <c r="D126" s="54"/>
      <c r="E126" s="54"/>
      <c r="F126" s="54"/>
      <c r="G126" s="54"/>
      <c r="H126" s="189" t="s">
        <v>1593</v>
      </c>
      <c r="I126" s="189"/>
      <c r="J126" s="2"/>
      <c r="K126" s="5" t="s">
        <v>407</v>
      </c>
      <c r="L126" s="12" t="s">
        <v>408</v>
      </c>
      <c r="M126" s="13"/>
      <c r="N126" s="13"/>
      <c r="O126" s="13" t="str">
        <f>IF(AND(ISNUMBER(MATCH(M126,{"F","E","D","D+","C","C+","B","B+","A","A+","S"},0)),ISNUMBER(MATCH(#REF!,{"F","E","D","D+","C","C+","B","B+","A","A+","S"},0)),ISNUMBER(MATCH(N130,{"F","E","D","D+","C","C+","B","B+","A","A+","S"},0)),ISNUMBER(MATCH(#REF!,{"F","E","D","D+","C","C+","B","B+","A","A+","S"},0))),LOOKUP(AVERAGE(_xlfn.SWITCH(M134,"F",0,"E",10,"D",20,"D+",30,"C",40,"C+",50,"B",60,"B+",70,"A",80,"A+",90,"S",100),_xlfn.SWITCH(#REF!,"F",0,"E",10,"D",20,"D+",30,"C",40,"C+",50,"B",60,"B+",70,"A",80,"A+",90,"S",100),_xlfn.SWITCH(N138,"F",0,"E",10,"D",20,"D+",30,"C",40,"C+",50,"B",60,"B+",70,"A",80,"A+",90,"S",100),_xlfn.SWITCH(#REF!,"F",0,"E",10,"D",20,"D+",30,"C",40,"C+",50,"B",60,"B+",70,"A",80,"A+",90,"S",100)),{0,15,25,35,45,55,65,75,85,95},{"D","D","D+","C","C+","B","B+","A","A+","S"}),"?")</f>
        <v>?</v>
      </c>
      <c r="P126" s="54"/>
      <c r="Q126" s="2"/>
    </row>
    <row r="127" spans="1:17" ht="21">
      <c r="A127" s="418" t="s">
        <v>588</v>
      </c>
      <c r="B127" s="54" t="s">
        <v>589</v>
      </c>
      <c r="C127" s="54"/>
      <c r="D127" s="54"/>
      <c r="E127" s="54"/>
      <c r="F127" s="54"/>
      <c r="G127" s="54"/>
      <c r="H127" s="189" t="s">
        <v>21</v>
      </c>
      <c r="I127" s="189"/>
      <c r="J127" s="2"/>
      <c r="K127" s="5" t="s">
        <v>747</v>
      </c>
      <c r="L127" s="12" t="s">
        <v>748</v>
      </c>
      <c r="M127" s="13"/>
      <c r="N127" s="13"/>
      <c r="O127" s="13" t="str">
        <f>IF(AND(ISNUMBER(MATCH(M127,{"F","E","D","D+","C","C+","B","B+","A","A+","S"},0)),ISNUMBER(MATCH(#REF!,{"F","E","D","D+","C","C+","B","B+","A","A+","S"},0)),ISNUMBER(MATCH(N131,{"F","E","D","D+","C","C+","B","B+","A","A+","S"},0)),ISNUMBER(MATCH(#REF!,{"F","E","D","D+","C","C+","B","B+","A","A+","S"},0))),LOOKUP(AVERAGE(_xlfn.SWITCH(M135,"F",0,"E",10,"D",20,"D+",30,"C",40,"C+",50,"B",60,"B+",70,"A",80,"A+",90,"S",100),_xlfn.SWITCH(#REF!,"F",0,"E",10,"D",20,"D+",30,"C",40,"C+",50,"B",60,"B+",70,"A",80,"A+",90,"S",100),_xlfn.SWITCH(N139,"F",0,"E",10,"D",20,"D+",30,"C",40,"C+",50,"B",60,"B+",70,"A",80,"A+",90,"S",100),_xlfn.SWITCH(#REF!,"F",0,"E",10,"D",20,"D+",30,"C",40,"C+",50,"B",60,"B+",70,"A",80,"A+",90,"S",100)),{0,15,25,35,45,55,65,75,85,95},{"D","D","D+","C","C+","B","B+","A","A+","S"}),"?")</f>
        <v>?</v>
      </c>
      <c r="P127" s="54"/>
      <c r="Q127" s="2"/>
    </row>
    <row r="128" spans="1:17">
      <c r="A128" s="54" t="s">
        <v>4867</v>
      </c>
      <c r="B128" s="54" t="s">
        <v>4868</v>
      </c>
      <c r="C128" s="54"/>
      <c r="D128" s="54"/>
      <c r="E128" s="54"/>
      <c r="F128" s="54"/>
      <c r="G128" s="54"/>
      <c r="H128" s="189" t="s">
        <v>1593</v>
      </c>
      <c r="I128" s="189"/>
      <c r="K128" s="24" t="s">
        <v>411</v>
      </c>
      <c r="L128" s="25" t="s">
        <v>412</v>
      </c>
      <c r="M128" s="19"/>
      <c r="N128" s="19"/>
      <c r="O128" s="19" t="str">
        <f>IF(AND(ISNUMBER(MATCH(M128,{"F","E","D","D+","C","C+","B","B+","A","A+","S"},0)),ISNUMBER(MATCH(#REF!,{"F","E","D","D+","C","C+","B","B+","A","A+","S"},0)),ISNUMBER(MATCH(N132,{"F","E","D","D+","C","C+","B","B+","A","A+","S"},0)),ISNUMBER(MATCH(#REF!,{"F","E","D","D+","C","C+","B","B+","A","A+","S"},0))),LOOKUP(AVERAGE(_xlfn.SWITCH(M136,"F",0,"E",10,"D",20,"D+",30,"C",40,"C+",50,"B",60,"B+",70,"A",80,"A+",90,"S",100),_xlfn.SWITCH(#REF!,"F",0,"E",10,"D",20,"D+",30,"C",40,"C+",50,"B",60,"B+",70,"A",80,"A+",90,"S",100),_xlfn.SWITCH(N140,"F",0,"E",10,"D",20,"D+",30,"C",40,"C+",50,"B",60,"B+",70,"A",80,"A+",90,"S",100),_xlfn.SWITCH(#REF!,"F",0,"E",10,"D",20,"D+",30,"C",40,"C+",50,"B",60,"B+",70,"A",80,"A+",90,"S",100)),{0,15,25,35,45,55,65,75,85,95},{"D","D","D+","C","C+","B","B+","A","A+","S"}),"?")</f>
        <v>?</v>
      </c>
    </row>
    <row r="129" spans="1:16">
      <c r="A129" s="54" t="s">
        <v>4869</v>
      </c>
      <c r="B129" s="54" t="s">
        <v>768</v>
      </c>
      <c r="C129" s="54"/>
      <c r="D129" s="54"/>
      <c r="E129" s="54"/>
      <c r="F129" s="54"/>
      <c r="G129" s="54"/>
      <c r="H129" s="189" t="s">
        <v>1593</v>
      </c>
      <c r="I129" s="189"/>
      <c r="K129" s="24" t="s">
        <v>32</v>
      </c>
      <c r="L129" s="25" t="s">
        <v>33</v>
      </c>
      <c r="M129" s="19"/>
      <c r="N129" s="19"/>
      <c r="O129" s="19" t="str">
        <f>IF(AND(ISNUMBER(MATCH(M129,{"F","E","D","D+","C","C+","B","B+","A","A+","S"},0)),ISNUMBER(MATCH(#REF!,{"F","E","D","D+","C","C+","B","B+","A","A+","S"},0)),ISNUMBER(MATCH(N133,{"F","E","D","D+","C","C+","B","B+","A","A+","S"},0)),ISNUMBER(MATCH(#REF!,{"F","E","D","D+","C","C+","B","B+","A","A+","S"},0))),LOOKUP(AVERAGE(_xlfn.SWITCH(M137,"F",0,"E",10,"D",20,"D+",30,"C",40,"C+",50,"B",60,"B+",70,"A",80,"A+",90,"S",100),_xlfn.SWITCH(#REF!,"F",0,"E",10,"D",20,"D+",30,"C",40,"C+",50,"B",60,"B+",70,"A",80,"A+",90,"S",100),_xlfn.SWITCH(N141,"F",0,"E",10,"D",20,"D+",30,"C",40,"C+",50,"B",60,"B+",70,"A",80,"A+",90,"S",100),_xlfn.SWITCH(#REF!,"F",0,"E",10,"D",20,"D+",30,"C",40,"C+",50,"B",60,"B+",70,"A",80,"A+",90,"S",100)),{0,15,25,35,45,55,65,75,85,95},{"D","D","D+","C","C+","B","B+","A","A+","S"}),"?")</f>
        <v>?</v>
      </c>
    </row>
    <row r="130" spans="1:16">
      <c r="A130" s="54" t="s">
        <v>4870</v>
      </c>
      <c r="B130" s="54" t="s">
        <v>773</v>
      </c>
      <c r="C130" s="54"/>
      <c r="D130" s="54"/>
      <c r="E130" s="54"/>
      <c r="F130" s="54"/>
      <c r="G130" s="54"/>
      <c r="H130" s="189" t="s">
        <v>1593</v>
      </c>
      <c r="I130" s="189"/>
      <c r="K130" s="24" t="s">
        <v>301</v>
      </c>
      <c r="L130" s="25" t="s">
        <v>280</v>
      </c>
      <c r="M130" s="19"/>
      <c r="N130" s="19"/>
      <c r="O130" s="19" t="str">
        <f>IF(AND(ISNUMBER(MATCH(M130,{"F","E","D","D+","C","C+","B","B+","A","A+","S"},0)),ISNUMBER(MATCH(#REF!,{"F","E","D","D+","C","C+","B","B+","A","A+","S"},0)),ISNUMBER(MATCH(N134,{"F","E","D","D+","C","C+","B","B+","A","A+","S"},0)),ISNUMBER(MATCH(#REF!,{"F","E","D","D+","C","C+","B","B+","A","A+","S"},0))),LOOKUP(AVERAGE(_xlfn.SWITCH(M138,"F",0,"E",10,"D",20,"D+",30,"C",40,"C+",50,"B",60,"B+",70,"A",80,"A+",90,"S",100),_xlfn.SWITCH(#REF!,"F",0,"E",10,"D",20,"D+",30,"C",40,"C+",50,"B",60,"B+",70,"A",80,"A+",90,"S",100),_xlfn.SWITCH(N142,"F",0,"E",10,"D",20,"D+",30,"C",40,"C+",50,"B",60,"B+",70,"A",80,"A+",90,"S",100),_xlfn.SWITCH(#REF!,"F",0,"E",10,"D",20,"D+",30,"C",40,"C+",50,"B",60,"B+",70,"A",80,"A+",90,"S",100)),{0,15,25,35,45,55,65,75,85,95},{"D","D","D+","C","C+","B","B+","A","A+","S"}),"?")</f>
        <v>?</v>
      </c>
    </row>
    <row r="131" spans="1:16">
      <c r="A131" s="418" t="s">
        <v>4871</v>
      </c>
      <c r="B131" s="54" t="s">
        <v>780</v>
      </c>
      <c r="C131" s="54"/>
      <c r="D131" s="54"/>
      <c r="E131" s="54"/>
      <c r="F131" s="54"/>
      <c r="G131" s="54"/>
      <c r="H131" s="189" t="s">
        <v>1567</v>
      </c>
      <c r="I131" s="189"/>
      <c r="K131" s="24" t="s">
        <v>344</v>
      </c>
      <c r="L131" s="25" t="s">
        <v>345</v>
      </c>
      <c r="M131" s="19"/>
      <c r="N131" s="19"/>
      <c r="O131" s="19" t="str">
        <f>IF(AND(ISNUMBER(MATCH(M131,{"F","E","D","D+","C","C+","B","B+","A","A+","S"},0)),ISNUMBER(MATCH(#REF!,{"F","E","D","D+","C","C+","B","B+","A","A+","S"},0)),ISNUMBER(MATCH(N135,{"F","E","D","D+","C","C+","B","B+","A","A+","S"},0)),ISNUMBER(MATCH(#REF!,{"F","E","D","D+","C","C+","B","B+","A","A+","S"},0))),LOOKUP(AVERAGE(_xlfn.SWITCH(M139,"F",0,"E",10,"D",20,"D+",30,"C",40,"C+",50,"B",60,"B+",70,"A",80,"A+",90,"S",100),_xlfn.SWITCH(#REF!,"F",0,"E",10,"D",20,"D+",30,"C",40,"C+",50,"B",60,"B+",70,"A",80,"A+",90,"S",100),_xlfn.SWITCH(N143,"F",0,"E",10,"D",20,"D+",30,"C",40,"C+",50,"B",60,"B+",70,"A",80,"A+",90,"S",100),_xlfn.SWITCH(#REF!,"F",0,"E",10,"D",20,"D+",30,"C",40,"C+",50,"B",60,"B+",70,"A",80,"A+",90,"S",100)),{0,15,25,35,45,55,65,75,85,95},{"D","D","D+","C","C+","B","B+","A","A+","S"}),"?")</f>
        <v>?</v>
      </c>
    </row>
    <row r="132" spans="1:16">
      <c r="A132" s="54" t="s">
        <v>4872</v>
      </c>
      <c r="B132" s="54" t="s">
        <v>786</v>
      </c>
      <c r="C132" s="54"/>
      <c r="D132" s="54"/>
      <c r="E132" s="54"/>
      <c r="F132" s="54"/>
      <c r="G132" s="54"/>
      <c r="H132" s="189" t="s">
        <v>1593</v>
      </c>
      <c r="I132" s="189"/>
      <c r="K132" s="24" t="s">
        <v>774</v>
      </c>
      <c r="L132" s="25" t="s">
        <v>775</v>
      </c>
      <c r="M132" s="19"/>
      <c r="N132" s="19"/>
      <c r="O132" s="19" t="str">
        <f>IF(AND(ISNUMBER(MATCH(M132,{"F","E","D","D+","C","C+","B","B+","A","A+","S"},0)),ISNUMBER(MATCH(#REF!,{"F","E","D","D+","C","C+","B","B+","A","A+","S"},0)),ISNUMBER(MATCH(N136,{"F","E","D","D+","C","C+","B","B+","A","A+","S"},0)),ISNUMBER(MATCH(#REF!,{"F","E","D","D+","C","C+","B","B+","A","A+","S"},0))),LOOKUP(AVERAGE(_xlfn.SWITCH(M140,"F",0,"E",10,"D",20,"D+",30,"C",40,"C+",50,"B",60,"B+",70,"A",80,"A+",90,"S",100),_xlfn.SWITCH(#REF!,"F",0,"E",10,"D",20,"D+",30,"C",40,"C+",50,"B",60,"B+",70,"A",80,"A+",90,"S",100),_xlfn.SWITCH(N144,"F",0,"E",10,"D",20,"D+",30,"C",40,"C+",50,"B",60,"B+",70,"A",80,"A+",90,"S",100),_xlfn.SWITCH(#REF!,"F",0,"E",10,"D",20,"D+",30,"C",40,"C+",50,"B",60,"B+",70,"A",80,"A+",90,"S",100)),{0,15,25,35,45,55,65,75,85,95},{"D","D","D+","C","C+","B","B+","A","A+","S"}),"?")</f>
        <v>?</v>
      </c>
    </row>
    <row r="133" spans="1:16">
      <c r="A133" s="54" t="s">
        <v>4873</v>
      </c>
      <c r="B133" s="54" t="s">
        <v>792</v>
      </c>
      <c r="C133" s="54"/>
      <c r="D133" s="54"/>
      <c r="E133" s="54"/>
      <c r="F133" s="54"/>
      <c r="G133" s="54"/>
      <c r="H133" s="189" t="s">
        <v>1593</v>
      </c>
      <c r="I133" s="189"/>
      <c r="K133" s="24" t="s">
        <v>781</v>
      </c>
      <c r="L133" s="25" t="s">
        <v>544</v>
      </c>
      <c r="M133" s="19"/>
      <c r="N133" s="19"/>
      <c r="O133" s="19" t="str">
        <f>IF(AND(ISNUMBER(MATCH(M133,{"F","E","D","D+","C","C+","B","B+","A","A+","S"},0)),ISNUMBER(MATCH(#REF!,{"F","E","D","D+","C","C+","B","B+","A","A+","S"},0)),ISNUMBER(MATCH(N137,{"F","E","D","D+","C","C+","B","B+","A","A+","S"},0)),ISNUMBER(MATCH(#REF!,{"F","E","D","D+","C","C+","B","B+","A","A+","S"},0))),LOOKUP(AVERAGE(_xlfn.SWITCH(M141,"F",0,"E",10,"D",20,"D+",30,"C",40,"C+",50,"B",60,"B+",70,"A",80,"A+",90,"S",100),_xlfn.SWITCH(#REF!,"F",0,"E",10,"D",20,"D+",30,"C",40,"C+",50,"B",60,"B+",70,"A",80,"A+",90,"S",100),_xlfn.SWITCH(N145,"F",0,"E",10,"D",20,"D+",30,"C",40,"C+",50,"B",60,"B+",70,"A",80,"A+",90,"S",100),_xlfn.SWITCH(#REF!,"F",0,"E",10,"D",20,"D+",30,"C",40,"C+",50,"B",60,"B+",70,"A",80,"A+",90,"S",100)),{0,15,25,35,45,55,65,75,85,95},{"D","D","D+","C","C+","B","B+","A","A+","S"}),"?")</f>
        <v>?</v>
      </c>
    </row>
    <row r="134" spans="1:16">
      <c r="A134" s="54" t="s">
        <v>4874</v>
      </c>
      <c r="B134" s="54" t="s">
        <v>797</v>
      </c>
      <c r="C134" s="54"/>
      <c r="D134" s="54"/>
      <c r="E134" s="54"/>
      <c r="F134" s="54"/>
      <c r="G134" s="54"/>
      <c r="H134" s="189" t="s">
        <v>1593</v>
      </c>
      <c r="I134" s="189"/>
      <c r="K134" s="549" t="s">
        <v>787</v>
      </c>
      <c r="L134" s="547"/>
      <c r="M134" s="557"/>
      <c r="N134" s="557"/>
      <c r="O134" s="557" t="str">
        <f>IF(AND(ISNUMBER(MATCH(M134,{"F","E","D","D+","C","C+","B","B+","A","A+","S"},0)),ISNUMBER(MATCH(#REF!,{"F","E","D","D+","C","C+","B","B+","A","A+","S"},0)),ISNUMBER(MATCH(N138,{"F","E","D","D+","C","C+","B","B+","A","A+","S"},0)),ISNUMBER(MATCH(#REF!,{"F","E","D","D+","C","C+","B","B+","A","A+","S"},0))),LOOKUP(AVERAGE(_xlfn.SWITCH(M142,"F",0,"E",10,"D",20,"D+",30,"C",40,"C+",50,"B",60,"B+",70,"A",80,"A+",90,"S",100),_xlfn.SWITCH(#REF!,"F",0,"E",10,"D",20,"D+",30,"C",40,"C+",50,"B",60,"B+",70,"A",80,"A+",90,"S",100),_xlfn.SWITCH(N146,"F",0,"E",10,"D",20,"D+",30,"C",40,"C+",50,"B",60,"B+",70,"A",80,"A+",90,"S",100),_xlfn.SWITCH(#REF!,"F",0,"E",10,"D",20,"D+",30,"C",40,"C+",50,"B",60,"B+",70,"A",80,"A+",90,"S",100)),{0,15,25,35,45,55,65,75,85,95},{"D","D","D+","C","C+","B","B+","A","A+","S"}),"?")</f>
        <v>?</v>
      </c>
      <c r="P134" s="543"/>
    </row>
    <row r="135" spans="1:16">
      <c r="A135" s="54" t="s">
        <v>4875</v>
      </c>
      <c r="B135" s="54" t="s">
        <v>801</v>
      </c>
      <c r="C135" s="54"/>
      <c r="D135" s="54"/>
      <c r="E135" s="54"/>
      <c r="F135" s="54"/>
      <c r="G135" s="54"/>
      <c r="H135" s="189" t="s">
        <v>1593</v>
      </c>
      <c r="I135" s="189"/>
      <c r="K135" s="546"/>
      <c r="L135" s="547"/>
      <c r="M135" s="548"/>
      <c r="N135" s="548"/>
      <c r="O135" s="548" t="str">
        <f>IF(AND(ISNUMBER(MATCH(M135,{"F","E","D","D+","C","C+","B","B+","A","A+","S"},0)),ISNUMBER(MATCH(#REF!,{"F","E","D","D+","C","C+","B","B+","A","A+","S"},0)),ISNUMBER(MATCH(N139,{"F","E","D","D+","C","C+","B","B+","A","A+","S"},0)),ISNUMBER(MATCH(#REF!,{"F","E","D","D+","C","C+","B","B+","A","A+","S"},0))),LOOKUP(AVERAGE(_xlfn.SWITCH(M143,"F",0,"E",10,"D",20,"D+",30,"C",40,"C+",50,"B",60,"B+",70,"A",80,"A+",90,"S",100),_xlfn.SWITCH(#REF!,"F",0,"E",10,"D",20,"D+",30,"C",40,"C+",50,"B",60,"B+",70,"A",80,"A+",90,"S",100),_xlfn.SWITCH(N147,"F",0,"E",10,"D",20,"D+",30,"C",40,"C+",50,"B",60,"B+",70,"A",80,"A+",90,"S",100),_xlfn.SWITCH(#REF!,"F",0,"E",10,"D",20,"D+",30,"C",40,"C+",50,"B",60,"B+",70,"A",80,"A+",90,"S",100)),{0,15,25,35,45,55,65,75,85,95},{"D","D","D+","C","C+","B","B+","A","A+","S"}),"?")</f>
        <v>?</v>
      </c>
      <c r="P135" s="543"/>
    </row>
    <row r="136" spans="1:16">
      <c r="A136" s="54" t="s">
        <v>823</v>
      </c>
      <c r="B136" s="54" t="s">
        <v>824</v>
      </c>
      <c r="C136" s="54"/>
      <c r="D136" s="54"/>
      <c r="E136" s="54"/>
      <c r="F136" s="54"/>
      <c r="G136" s="54"/>
      <c r="H136" s="189" t="s">
        <v>1567</v>
      </c>
      <c r="I136" s="189"/>
      <c r="K136" s="63" t="s">
        <v>4</v>
      </c>
      <c r="L136" s="94" t="s">
        <v>5</v>
      </c>
      <c r="M136" s="11" t="s">
        <v>6</v>
      </c>
      <c r="N136" s="11" t="s">
        <v>8</v>
      </c>
      <c r="O136" s="11" t="str">
        <f>IF(AND(ISNUMBER(MATCH(M136,{"F","E","D","D+","C","C+","B","B+","A","A+","S"},0)),ISNUMBER(MATCH(#REF!,{"F","E","D","D+","C","C+","B","B+","A","A+","S"},0)),ISNUMBER(MATCH(N140,{"F","E","D","D+","C","C+","B","B+","A","A+","S"},0)),ISNUMBER(MATCH(#REF!,{"F","E","D","D+","C","C+","B","B+","A","A+","S"},0))),LOOKUP(AVERAGE(_xlfn.SWITCH(M144,"F",0,"E",10,"D",20,"D+",30,"C",40,"C+",50,"B",60,"B+",70,"A",80,"A+",90,"S",100),_xlfn.SWITCH(#REF!,"F",0,"E",10,"D",20,"D+",30,"C",40,"C+",50,"B",60,"B+",70,"A",80,"A+",90,"S",100),_xlfn.SWITCH(N148,"F",0,"E",10,"D",20,"D+",30,"C",40,"C+",50,"B",60,"B+",70,"A",80,"A+",90,"S",100),_xlfn.SWITCH(#REF!,"F",0,"E",10,"D",20,"D+",30,"C",40,"C+",50,"B",60,"B+",70,"A",80,"A+",90,"S",100)),{0,15,25,35,45,55,65,75,85,95},{"D","D","D+","C","C+","B","B+","A","A+","S"}),"?")</f>
        <v>?</v>
      </c>
      <c r="P136" s="11" t="s">
        <v>11</v>
      </c>
    </row>
    <row r="137" spans="1:16">
      <c r="A137" s="418" t="s">
        <v>735</v>
      </c>
      <c r="B137" s="54" t="s">
        <v>736</v>
      </c>
      <c r="C137" s="54"/>
      <c r="D137" s="54"/>
      <c r="E137" s="54"/>
      <c r="F137" s="54"/>
      <c r="G137" s="54"/>
      <c r="H137" s="189" t="s">
        <v>21</v>
      </c>
      <c r="I137" s="189"/>
      <c r="K137" s="59" t="s">
        <v>802</v>
      </c>
      <c r="L137" s="429" t="s">
        <v>803</v>
      </c>
      <c r="M137" s="430"/>
      <c r="N137" s="430"/>
      <c r="O137" s="430" t="str">
        <f>IF(AND(ISNUMBER(MATCH(M137,{"F","E","D","D+","C","C+","B","B+","A","A+","S"},0)),ISNUMBER(MATCH(#REF!,{"F","E","D","D+","C","C+","B","B+","A","A+","S"},0)),ISNUMBER(MATCH(N141,{"F","E","D","D+","C","C+","B","B+","A","A+","S"},0)),ISNUMBER(MATCH(#REF!,{"F","E","D","D+","C","C+","B","B+","A","A+","S"},0))),LOOKUP(AVERAGE(_xlfn.SWITCH(M145,"F",0,"E",10,"D",20,"D+",30,"C",40,"C+",50,"B",60,"B+",70,"A",80,"A+",90,"S",100),_xlfn.SWITCH(#REF!,"F",0,"E",10,"D",20,"D+",30,"C",40,"C+",50,"B",60,"B+",70,"A",80,"A+",90,"S",100),_xlfn.SWITCH(N149,"F",0,"E",10,"D",20,"D+",30,"C",40,"C+",50,"B",60,"B+",70,"A",80,"A+",90,"S",100),_xlfn.SWITCH(#REF!,"F",0,"E",10,"D",20,"D+",30,"C",40,"C+",50,"B",60,"B+",70,"A",80,"A+",90,"S",100)),{0,15,25,35,45,55,65,75,85,95},{"D","D","D+","C","C+","B","B+","A","A+","S"}),"?")</f>
        <v>?</v>
      </c>
      <c r="P137" s="431"/>
    </row>
    <row r="138" spans="1:16">
      <c r="A138" s="54" t="s">
        <v>4876</v>
      </c>
      <c r="B138" s="54" t="s">
        <v>819</v>
      </c>
      <c r="C138" s="54"/>
      <c r="D138" s="54"/>
      <c r="E138" s="54"/>
      <c r="F138" s="54"/>
      <c r="G138" s="54"/>
      <c r="H138" s="189" t="s">
        <v>1593</v>
      </c>
      <c r="I138" s="189"/>
      <c r="K138" s="5" t="s">
        <v>809</v>
      </c>
      <c r="L138" s="12" t="s">
        <v>810</v>
      </c>
      <c r="M138" s="13"/>
      <c r="N138" s="13"/>
      <c r="O138" s="13" t="str">
        <f>IF(AND(ISNUMBER(MATCH(M138,{"F","E","D","D+","C","C+","B","B+","A","A+","S"},0)),ISNUMBER(MATCH(#REF!,{"F","E","D","D+","C","C+","B","B+","A","A+","S"},0)),ISNUMBER(MATCH(N142,{"F","E","D","D+","C","C+","B","B+","A","A+","S"},0)),ISNUMBER(MATCH(#REF!,{"F","E","D","D+","C","C+","B","B+","A","A+","S"},0))),LOOKUP(AVERAGE(_xlfn.SWITCH(M146,"F",0,"E",10,"D",20,"D+",30,"C",40,"C+",50,"B",60,"B+",70,"A",80,"A+",90,"S",100),_xlfn.SWITCH(#REF!,"F",0,"E",10,"D",20,"D+",30,"C",40,"C+",50,"B",60,"B+",70,"A",80,"A+",90,"S",100),_xlfn.SWITCH(N150,"F",0,"E",10,"D",20,"D+",30,"C",40,"C+",50,"B",60,"B+",70,"A",80,"A+",90,"S",100),_xlfn.SWITCH(#REF!,"F",0,"E",10,"D",20,"D+",30,"C",40,"C+",50,"B",60,"B+",70,"A",80,"A+",90,"S",100)),{0,15,25,35,45,55,65,75,85,95},{"D","D","D+","C","C+","B","B+","A","A+","S"}),"?")</f>
        <v>?</v>
      </c>
      <c r="P138" s="54"/>
    </row>
    <row r="139" spans="1:16">
      <c r="A139" s="54" t="s">
        <v>4877</v>
      </c>
      <c r="B139" s="54" t="s">
        <v>826</v>
      </c>
      <c r="C139" s="54"/>
      <c r="D139" s="54"/>
      <c r="E139" s="54"/>
      <c r="F139" s="54"/>
      <c r="G139" s="54"/>
      <c r="H139" s="189" t="s">
        <v>1593</v>
      </c>
      <c r="I139" s="189"/>
      <c r="K139" s="24" t="s">
        <v>755</v>
      </c>
      <c r="L139" s="25" t="s">
        <v>756</v>
      </c>
      <c r="M139" s="19"/>
      <c r="N139" s="19"/>
      <c r="O139" s="19" t="str">
        <f>IF(AND(ISNUMBER(MATCH(M139,{"F","E","D","D+","C","C+","B","B+","A","A+","S"},0)),ISNUMBER(MATCH(#REF!,{"F","E","D","D+","C","C+","B","B+","A","A+","S"},0)),ISNUMBER(MATCH(N143,{"F","E","D","D+","C","C+","B","B+","A","A+","S"},0)),ISNUMBER(MATCH(#REF!,{"F","E","D","D+","C","C+","B","B+","A","A+","S"},0))),LOOKUP(AVERAGE(_xlfn.SWITCH(M147,"F",0,"E",10,"D",20,"D+",30,"C",40,"C+",50,"B",60,"B+",70,"A",80,"A+",90,"S",100),_xlfn.SWITCH(#REF!,"F",0,"E",10,"D",20,"D+",30,"C",40,"C+",50,"B",60,"B+",70,"A",80,"A+",90,"S",100),_xlfn.SWITCH(N151,"F",0,"E",10,"D",20,"D+",30,"C",40,"C+",50,"B",60,"B+",70,"A",80,"A+",90,"S",100),_xlfn.SWITCH(#REF!,"F",0,"E",10,"D",20,"D+",30,"C",40,"C+",50,"B",60,"B+",70,"A",80,"A+",90,"S",100)),{0,15,25,35,45,55,65,75,85,95},{"D","D","D+","C","C+","B","B+","A","A+","S"}),"?")</f>
        <v>?</v>
      </c>
    </row>
    <row r="140" spans="1:16">
      <c r="A140" s="418" t="s">
        <v>4878</v>
      </c>
      <c r="B140" s="54" t="s">
        <v>833</v>
      </c>
      <c r="C140" s="54"/>
      <c r="D140" s="54"/>
      <c r="E140" s="54"/>
      <c r="F140" s="54"/>
      <c r="G140" s="54"/>
      <c r="H140" s="189" t="s">
        <v>21</v>
      </c>
      <c r="I140" s="189"/>
      <c r="K140" s="24" t="s">
        <v>820</v>
      </c>
      <c r="L140" s="25" t="s">
        <v>821</v>
      </c>
      <c r="M140" s="19"/>
      <c r="N140" s="19"/>
      <c r="O140" s="19" t="str">
        <f>IF(AND(ISNUMBER(MATCH(M140,{"F","E","D","D+","C","C+","B","B+","A","A+","S"},0)),ISNUMBER(MATCH(#REF!,{"F","E","D","D+","C","C+","B","B+","A","A+","S"},0)),ISNUMBER(MATCH(N144,{"F","E","D","D+","C","C+","B","B+","A","A+","S"},0)),ISNUMBER(MATCH(#REF!,{"F","E","D","D+","C","C+","B","B+","A","A+","S"},0))),LOOKUP(AVERAGE(_xlfn.SWITCH(M148,"F",0,"E",10,"D",20,"D+",30,"C",40,"C+",50,"B",60,"B+",70,"A",80,"A+",90,"S",100),_xlfn.SWITCH(#REF!,"F",0,"E",10,"D",20,"D+",30,"C",40,"C+",50,"B",60,"B+",70,"A",80,"A+",90,"S",100),_xlfn.SWITCH(N152,"F",0,"E",10,"D",20,"D+",30,"C",40,"C+",50,"B",60,"B+",70,"A",80,"A+",90,"S",100),_xlfn.SWITCH(#REF!,"F",0,"E",10,"D",20,"D+",30,"C",40,"C+",50,"B",60,"B+",70,"A",80,"A+",90,"S",100)),{0,15,25,35,45,55,65,75,85,95},{"D","D","D+","C","C+","B","B+","A","A+","S"}),"?")</f>
        <v>?</v>
      </c>
    </row>
    <row r="141" spans="1:16">
      <c r="A141" s="54" t="s">
        <v>744</v>
      </c>
      <c r="B141" s="54" t="s">
        <v>745</v>
      </c>
      <c r="C141" s="54"/>
      <c r="D141" s="54"/>
      <c r="E141" s="54"/>
      <c r="F141" s="54"/>
      <c r="G141" s="54"/>
      <c r="H141" s="189" t="s">
        <v>1567</v>
      </c>
      <c r="I141" s="189"/>
      <c r="K141" s="24" t="s">
        <v>827</v>
      </c>
      <c r="L141" s="25" t="s">
        <v>828</v>
      </c>
      <c r="M141" s="19"/>
      <c r="N141" s="19"/>
      <c r="O141" s="19" t="str">
        <f>IF(AND(ISNUMBER(MATCH(M141,{"F","E","D","D+","C","C+","B","B+","A","A+","S"},0)),ISNUMBER(MATCH(#REF!,{"F","E","D","D+","C","C+","B","B+","A","A+","S"},0)),ISNUMBER(MATCH(N145,{"F","E","D","D+","C","C+","B","B+","A","A+","S"},0)),ISNUMBER(MATCH(#REF!,{"F","E","D","D+","C","C+","B","B+","A","A+","S"},0))),LOOKUP(AVERAGE(_xlfn.SWITCH(M149,"F",0,"E",10,"D",20,"D+",30,"C",40,"C+",50,"B",60,"B+",70,"A",80,"A+",90,"S",100),_xlfn.SWITCH(#REF!,"F",0,"E",10,"D",20,"D+",30,"C",40,"C+",50,"B",60,"B+",70,"A",80,"A+",90,"S",100),_xlfn.SWITCH(N153,"F",0,"E",10,"D",20,"D+",30,"C",40,"C+",50,"B",60,"B+",70,"A",80,"A+",90,"S",100),_xlfn.SWITCH(#REF!,"F",0,"E",10,"D",20,"D+",30,"C",40,"C+",50,"B",60,"B+",70,"A",80,"A+",90,"S",100)),{0,15,25,35,45,55,65,75,85,95},{"D","D","D+","C","C+","B","B+","A","A+","S"}),"?")</f>
        <v>?</v>
      </c>
    </row>
    <row r="142" spans="1:16">
      <c r="A142" s="417" t="s">
        <v>626</v>
      </c>
      <c r="B142" s="54" t="s">
        <v>627</v>
      </c>
      <c r="C142" s="54"/>
      <c r="D142" s="54"/>
      <c r="E142" s="54"/>
      <c r="F142" s="54"/>
      <c r="G142" s="54"/>
      <c r="H142" s="189" t="s">
        <v>17</v>
      </c>
      <c r="I142" s="189"/>
      <c r="K142" s="24" t="s">
        <v>812</v>
      </c>
      <c r="L142" s="25" t="s">
        <v>813</v>
      </c>
      <c r="M142" s="19"/>
      <c r="N142" s="19"/>
      <c r="O142" s="19" t="str">
        <f>IF(AND(ISNUMBER(MATCH(M142,{"F","E","D","D+","C","C+","B","B+","A","A+","S"},0)),ISNUMBER(MATCH(#REF!,{"F","E","D","D+","C","C+","B","B+","A","A+","S"},0)),ISNUMBER(MATCH(N146,{"F","E","D","D+","C","C+","B","B+","A","A+","S"},0)),ISNUMBER(MATCH(#REF!,{"F","E","D","D+","C","C+","B","B+","A","A+","S"},0))),LOOKUP(AVERAGE(_xlfn.SWITCH(M150,"F",0,"E",10,"D",20,"D+",30,"C",40,"C+",50,"B",60,"B+",70,"A",80,"A+",90,"S",100),_xlfn.SWITCH(#REF!,"F",0,"E",10,"D",20,"D+",30,"C",40,"C+",50,"B",60,"B+",70,"A",80,"A+",90,"S",100),_xlfn.SWITCH(N154,"F",0,"E",10,"D",20,"D+",30,"C",40,"C+",50,"B",60,"B+",70,"A",80,"A+",90,"S",100),_xlfn.SWITCH(#REF!,"F",0,"E",10,"D",20,"D+",30,"C",40,"C+",50,"B",60,"B+",70,"A",80,"A+",90,"S",100)),{0,15,25,35,45,55,65,75,85,95},{"D","D","D+","C","C+","B","B+","A","A+","S"}),"?")</f>
        <v>?</v>
      </c>
    </row>
    <row r="143" spans="1:16">
      <c r="A143" s="54" t="s">
        <v>4879</v>
      </c>
      <c r="B143" s="54" t="s">
        <v>851</v>
      </c>
      <c r="C143" s="54"/>
      <c r="D143" s="54"/>
      <c r="E143" s="54"/>
      <c r="F143" s="54"/>
      <c r="G143" s="54"/>
      <c r="H143" s="189" t="s">
        <v>1593</v>
      </c>
      <c r="I143" s="189"/>
      <c r="K143" s="24" t="s">
        <v>839</v>
      </c>
      <c r="L143" s="25" t="s">
        <v>840</v>
      </c>
      <c r="M143" s="19"/>
      <c r="N143" s="19"/>
      <c r="O143" s="19" t="str">
        <f>IF(AND(ISNUMBER(MATCH(M143,{"F","E","D","D+","C","C+","B","B+","A","A+","S"},0)),ISNUMBER(MATCH(#REF!,{"F","E","D","D+","C","C+","B","B+","A","A+","S"},0)),ISNUMBER(MATCH(N147,{"F","E","D","D+","C","C+","B","B+","A","A+","S"},0)),ISNUMBER(MATCH(#REF!,{"F","E","D","D+","C","C+","B","B+","A","A+","S"},0))),LOOKUP(AVERAGE(_xlfn.SWITCH(M151,"F",0,"E",10,"D",20,"D+",30,"C",40,"C+",50,"B",60,"B+",70,"A",80,"A+",90,"S",100),_xlfn.SWITCH(#REF!,"F",0,"E",10,"D",20,"D+",30,"C",40,"C+",50,"B",60,"B+",70,"A",80,"A+",90,"S",100),_xlfn.SWITCH(N155,"F",0,"E",10,"D",20,"D+",30,"C",40,"C+",50,"B",60,"B+",70,"A",80,"A+",90,"S",100),_xlfn.SWITCH(#REF!,"F",0,"E",10,"D",20,"D+",30,"C",40,"C+",50,"B",60,"B+",70,"A",80,"A+",90,"S",100)),{0,15,25,35,45,55,65,75,85,95},{"D","D","D+","C","C+","B","B+","A","A+","S"}),"?")</f>
        <v>?</v>
      </c>
    </row>
    <row r="144" spans="1:16">
      <c r="A144" s="418" t="s">
        <v>661</v>
      </c>
      <c r="B144" s="54" t="s">
        <v>662</v>
      </c>
      <c r="C144" s="54"/>
      <c r="D144" s="54"/>
      <c r="E144" s="54"/>
      <c r="F144" s="54"/>
      <c r="G144" s="54"/>
      <c r="H144" s="189" t="s">
        <v>21</v>
      </c>
      <c r="I144" s="189"/>
      <c r="K144" s="24" t="s">
        <v>845</v>
      </c>
      <c r="L144" s="25" t="s">
        <v>846</v>
      </c>
      <c r="M144" s="19"/>
      <c r="N144" s="19"/>
      <c r="O144" s="19" t="str">
        <f>IF(AND(ISNUMBER(MATCH(M144,{"F","E","D","D+","C","C+","B","B+","A","A+","S"},0)),ISNUMBER(MATCH(#REF!,{"F","E","D","D+","C","C+","B","B+","A","A+","S"},0)),ISNUMBER(MATCH(N148,{"F","E","D","D+","C","C+","B","B+","A","A+","S"},0)),ISNUMBER(MATCH(#REF!,{"F","E","D","D+","C","C+","B","B+","A","A+","S"},0))),LOOKUP(AVERAGE(_xlfn.SWITCH(M152,"F",0,"E",10,"D",20,"D+",30,"C",40,"C+",50,"B",60,"B+",70,"A",80,"A+",90,"S",100),_xlfn.SWITCH(#REF!,"F",0,"E",10,"D",20,"D+",30,"C",40,"C+",50,"B",60,"B+",70,"A",80,"A+",90,"S",100),_xlfn.SWITCH(N156,"F",0,"E",10,"D",20,"D+",30,"C",40,"C+",50,"B",60,"B+",70,"A",80,"A+",90,"S",100),_xlfn.SWITCH(#REF!,"F",0,"E",10,"D",20,"D+",30,"C",40,"C+",50,"B",60,"B+",70,"A",80,"A+",90,"S",100)),{0,15,25,35,45,55,65,75,85,95},{"D","D","D+","C","C+","B","B+","A","A+","S"}),"?")</f>
        <v>?</v>
      </c>
    </row>
    <row r="145" spans="1:15">
      <c r="A145" s="54" t="s">
        <v>4880</v>
      </c>
      <c r="B145" s="54" t="s">
        <v>860</v>
      </c>
      <c r="C145" s="54"/>
      <c r="D145" s="54"/>
      <c r="E145" s="54"/>
      <c r="F145" s="54"/>
      <c r="G145" s="54"/>
      <c r="H145" s="189" t="s">
        <v>1567</v>
      </c>
      <c r="I145" s="189"/>
      <c r="K145" s="24" t="s">
        <v>617</v>
      </c>
      <c r="L145" s="25" t="s">
        <v>618</v>
      </c>
      <c r="M145" s="19"/>
      <c r="N145" s="19"/>
      <c r="O145" s="19" t="str">
        <f>IF(AND(ISNUMBER(MATCH(M145,{"F","E","D","D+","C","C+","B","B+","A","A+","S"},0)),ISNUMBER(MATCH(#REF!,{"F","E","D","D+","C","C+","B","B+","A","A+","S"},0)),ISNUMBER(MATCH(N149,{"F","E","D","D+","C","C+","B","B+","A","A+","S"},0)),ISNUMBER(MATCH(#REF!,{"F","E","D","D+","C","C+","B","B+","A","A+","S"},0))),LOOKUP(AVERAGE(_xlfn.SWITCH(M153,"F",0,"E",10,"D",20,"D+",30,"C",40,"C+",50,"B",60,"B+",70,"A",80,"A+",90,"S",100),_xlfn.SWITCH(#REF!,"F",0,"E",10,"D",20,"D+",30,"C",40,"C+",50,"B",60,"B+",70,"A",80,"A+",90,"S",100),_xlfn.SWITCH(N157,"F",0,"E",10,"D",20,"D+",30,"C",40,"C+",50,"B",60,"B+",70,"A",80,"A+",90,"S",100),_xlfn.SWITCH(#REF!,"F",0,"E",10,"D",20,"D+",30,"C",40,"C+",50,"B",60,"B+",70,"A",80,"A+",90,"S",100)),{0,15,25,35,45,55,65,75,85,95},{"D","D","D+","C","C+","B","B+","A","A+","S"}),"?")</f>
        <v>?</v>
      </c>
    </row>
    <row r="146" spans="1:15">
      <c r="A146" s="418" t="s">
        <v>4881</v>
      </c>
      <c r="B146" s="54" t="s">
        <v>4882</v>
      </c>
      <c r="C146" s="54"/>
      <c r="D146" s="54"/>
      <c r="E146" s="54"/>
      <c r="F146" s="54"/>
      <c r="G146" s="54"/>
      <c r="H146" s="189" t="s">
        <v>1567</v>
      </c>
      <c r="I146" s="189"/>
      <c r="K146" s="24" t="s">
        <v>856</v>
      </c>
      <c r="L146" s="25" t="s">
        <v>857</v>
      </c>
      <c r="M146" s="19"/>
      <c r="N146" s="19"/>
      <c r="O146" s="19" t="str">
        <f>IF(AND(ISNUMBER(MATCH(M146,{"F","E","D","D+","C","C+","B","B+","A","A+","S"},0)),ISNUMBER(MATCH(#REF!,{"F","E","D","D+","C","C+","B","B+","A","A+","S"},0)),ISNUMBER(MATCH(N150,{"F","E","D","D+","C","C+","B","B+","A","A+","S"},0)),ISNUMBER(MATCH(#REF!,{"F","E","D","D+","C","C+","B","B+","A","A+","S"},0))),LOOKUP(AVERAGE(_xlfn.SWITCH(M154,"F",0,"E",10,"D",20,"D+",30,"C",40,"C+",50,"B",60,"B+",70,"A",80,"A+",90,"S",100),_xlfn.SWITCH(#REF!,"F",0,"E",10,"D",20,"D+",30,"C",40,"C+",50,"B",60,"B+",70,"A",80,"A+",90,"S",100),_xlfn.SWITCH(N158,"F",0,"E",10,"D",20,"D+",30,"C",40,"C+",50,"B",60,"B+",70,"A",80,"A+",90,"S",100),_xlfn.SWITCH(#REF!,"F",0,"E",10,"D",20,"D+",30,"C",40,"C+",50,"B",60,"B+",70,"A",80,"A+",90,"S",100)),{0,15,25,35,45,55,65,75,85,95},{"D","D","D+","C","C+","B","B+","A","A+","S"}),"?")</f>
        <v>?</v>
      </c>
    </row>
    <row r="147" spans="1:15">
      <c r="A147" s="54" t="s">
        <v>4883</v>
      </c>
      <c r="B147" s="54" t="s">
        <v>866</v>
      </c>
      <c r="C147" s="54"/>
      <c r="D147" s="54"/>
      <c r="E147" s="54"/>
      <c r="F147" s="54"/>
      <c r="G147" s="54"/>
      <c r="H147" s="189" t="s">
        <v>1593</v>
      </c>
      <c r="I147" s="189"/>
      <c r="K147" s="24" t="s">
        <v>783</v>
      </c>
      <c r="L147" s="25" t="s">
        <v>784</v>
      </c>
      <c r="M147" s="19"/>
      <c r="N147" s="19"/>
      <c r="O147" s="19" t="str">
        <f>IF(AND(ISNUMBER(MATCH(M147,{"F","E","D","D+","C","C+","B","B+","A","A+","S"},0)),ISNUMBER(MATCH(#REF!,{"F","E","D","D+","C","C+","B","B+","A","A+","S"},0)),ISNUMBER(MATCH(N151,{"F","E","D","D+","C","C+","B","B+","A","A+","S"},0)),ISNUMBER(MATCH(#REF!,{"F","E","D","D+","C","C+","B","B+","A","A+","S"},0))),LOOKUP(AVERAGE(_xlfn.SWITCH(M155,"F",0,"E",10,"D",20,"D+",30,"C",40,"C+",50,"B",60,"B+",70,"A",80,"A+",90,"S",100),_xlfn.SWITCH(#REF!,"F",0,"E",10,"D",20,"D+",30,"C",40,"C+",50,"B",60,"B+",70,"A",80,"A+",90,"S",100),_xlfn.SWITCH(N159,"F",0,"E",10,"D",20,"D+",30,"C",40,"C+",50,"B",60,"B+",70,"A",80,"A+",90,"S",100),_xlfn.SWITCH(#REF!,"F",0,"E",10,"D",20,"D+",30,"C",40,"C+",50,"B",60,"B+",70,"A",80,"A+",90,"S",100)),{0,15,25,35,45,55,65,75,85,95},{"D","D","D+","C","C+","B","B+","A","A+","S"}),"?")</f>
        <v>?</v>
      </c>
    </row>
    <row r="148" spans="1:15">
      <c r="A148" s="418" t="s">
        <v>842</v>
      </c>
      <c r="B148" s="54" t="s">
        <v>843</v>
      </c>
      <c r="C148" s="54"/>
      <c r="D148" s="54"/>
      <c r="E148" s="54"/>
      <c r="F148" s="54"/>
      <c r="G148" s="54"/>
      <c r="H148" s="189" t="s">
        <v>21</v>
      </c>
      <c r="I148" s="189"/>
      <c r="K148" s="24" t="s">
        <v>863</v>
      </c>
      <c r="L148" s="25" t="s">
        <v>864</v>
      </c>
      <c r="M148" s="19"/>
      <c r="N148" s="19"/>
      <c r="O148" s="19" t="str">
        <f>IF(AND(ISNUMBER(MATCH(M148,{"F","E","D","D+","C","C+","B","B+","A","A+","S"},0)),ISNUMBER(MATCH(#REF!,{"F","E","D","D+","C","C+","B","B+","A","A+","S"},0)),ISNUMBER(MATCH(N152,{"F","E","D","D+","C","C+","B","B+","A","A+","S"},0)),ISNUMBER(MATCH(#REF!,{"F","E","D","D+","C","C+","B","B+","A","A+","S"},0))),LOOKUP(AVERAGE(_xlfn.SWITCH(M156,"F",0,"E",10,"D",20,"D+",30,"C",40,"C+",50,"B",60,"B+",70,"A",80,"A+",90,"S",100),_xlfn.SWITCH(#REF!,"F",0,"E",10,"D",20,"D+",30,"C",40,"C+",50,"B",60,"B+",70,"A",80,"A+",90,"S",100),_xlfn.SWITCH(N160,"F",0,"E",10,"D",20,"D+",30,"C",40,"C+",50,"B",60,"B+",70,"A",80,"A+",90,"S",100),_xlfn.SWITCH(#REF!,"F",0,"E",10,"D",20,"D+",30,"C",40,"C+",50,"B",60,"B+",70,"A",80,"A+",90,"S",100)),{0,15,25,35,45,55,65,75,85,95},{"D","D","D+","C","C+","B","B+","A","A+","S"}),"?")</f>
        <v>?</v>
      </c>
    </row>
    <row r="149" spans="1:15">
      <c r="A149" s="54" t="s">
        <v>4884</v>
      </c>
      <c r="B149" s="54" t="s">
        <v>877</v>
      </c>
      <c r="C149" s="54"/>
      <c r="D149" s="54"/>
      <c r="E149" s="54"/>
      <c r="F149" s="54"/>
      <c r="G149" s="54"/>
      <c r="H149" s="189" t="s">
        <v>1567</v>
      </c>
      <c r="I149" s="189"/>
      <c r="K149" s="24" t="s">
        <v>551</v>
      </c>
      <c r="L149" s="25" t="s">
        <v>552</v>
      </c>
      <c r="M149" s="19"/>
      <c r="N149" s="19"/>
      <c r="O149" s="19" t="str">
        <f>IF(AND(ISNUMBER(MATCH(M149,{"F","E","D","D+","C","C+","B","B+","A","A+","S"},0)),ISNUMBER(MATCH(#REF!,{"F","E","D","D+","C","C+","B","B+","A","A+","S"},0)),ISNUMBER(MATCH(N153,{"F","E","D","D+","C","C+","B","B+","A","A+","S"},0)),ISNUMBER(MATCH(#REF!,{"F","E","D","D+","C","C+","B","B+","A","A+","S"},0))),LOOKUP(AVERAGE(_xlfn.SWITCH(M157,"F",0,"E",10,"D",20,"D+",30,"C",40,"C+",50,"B",60,"B+",70,"A",80,"A+",90,"S",100),_xlfn.SWITCH(#REF!,"F",0,"E",10,"D",20,"D+",30,"C",40,"C+",50,"B",60,"B+",70,"A",80,"A+",90,"S",100),_xlfn.SWITCH(N161,"F",0,"E",10,"D",20,"D+",30,"C",40,"C+",50,"B",60,"B+",70,"A",80,"A+",90,"S",100),_xlfn.SWITCH(#REF!,"F",0,"E",10,"D",20,"D+",30,"C",40,"C+",50,"B",60,"B+",70,"A",80,"A+",90,"S",100)),{0,15,25,35,45,55,65,75,85,95},{"D","D","D+","C","C+","B","B+","A","A+","S"}),"?")</f>
        <v>?</v>
      </c>
    </row>
    <row r="150" spans="1:15">
      <c r="A150" s="418" t="s">
        <v>4885</v>
      </c>
      <c r="B150" s="54" t="s">
        <v>882</v>
      </c>
      <c r="C150" s="54"/>
      <c r="D150" s="54"/>
      <c r="E150" s="54"/>
      <c r="F150" s="54"/>
      <c r="G150" s="54"/>
      <c r="H150" s="189" t="s">
        <v>1567</v>
      </c>
      <c r="I150" s="189"/>
      <c r="K150" s="24" t="s">
        <v>871</v>
      </c>
      <c r="L150" s="25" t="s">
        <v>872</v>
      </c>
      <c r="M150" s="19"/>
      <c r="N150" s="19"/>
      <c r="O150" s="19" t="str">
        <f>IF(AND(ISNUMBER(MATCH(M150,{"F","E","D","D+","C","C+","B","B+","A","A+","S"},0)),ISNUMBER(MATCH(#REF!,{"F","E","D","D+","C","C+","B","B+","A","A+","S"},0)),ISNUMBER(MATCH(N154,{"F","E","D","D+","C","C+","B","B+","A","A+","S"},0)),ISNUMBER(MATCH(#REF!,{"F","E","D","D+","C","C+","B","B+","A","A+","S"},0))),LOOKUP(AVERAGE(_xlfn.SWITCH(M158,"F",0,"E",10,"D",20,"D+",30,"C",40,"C+",50,"B",60,"B+",70,"A",80,"A+",90,"S",100),_xlfn.SWITCH(#REF!,"F",0,"E",10,"D",20,"D+",30,"C",40,"C+",50,"B",60,"B+",70,"A",80,"A+",90,"S",100),_xlfn.SWITCH(N162,"F",0,"E",10,"D",20,"D+",30,"C",40,"C+",50,"B",60,"B+",70,"A",80,"A+",90,"S",100),_xlfn.SWITCH(#REF!,"F",0,"E",10,"D",20,"D+",30,"C",40,"C+",50,"B",60,"B+",70,"A",80,"A+",90,"S",100)),{0,15,25,35,45,55,65,75,85,95},{"D","D","D+","C","C+","B","B+","A","A+","S"}),"?")</f>
        <v>?</v>
      </c>
    </row>
    <row r="151" spans="1:15">
      <c r="A151" s="54" t="s">
        <v>4886</v>
      </c>
      <c r="B151" s="54" t="s">
        <v>889</v>
      </c>
      <c r="C151" s="54"/>
      <c r="D151" s="54"/>
      <c r="E151" s="54"/>
      <c r="F151" s="54"/>
      <c r="G151" s="54"/>
      <c r="H151" s="189" t="s">
        <v>1593</v>
      </c>
      <c r="I151" s="189"/>
      <c r="K151" s="24" t="s">
        <v>760</v>
      </c>
      <c r="L151" s="25" t="s">
        <v>761</v>
      </c>
      <c r="M151" s="19"/>
      <c r="N151" s="19"/>
      <c r="O151" s="19" t="str">
        <f>IF(AND(ISNUMBER(MATCH(M151,{"F","E","D","D+","C","C+","B","B+","A","A+","S"},0)),ISNUMBER(MATCH(#REF!,{"F","E","D","D+","C","C+","B","B+","A","A+","S"},0)),ISNUMBER(MATCH(N155,{"F","E","D","D+","C","C+","B","B+","A","A+","S"},0)),ISNUMBER(MATCH(#REF!,{"F","E","D","D+","C","C+","B","B+","A","A+","S"},0))),LOOKUP(AVERAGE(_xlfn.SWITCH(M159,"F",0,"E",10,"D",20,"D+",30,"C",40,"C+",50,"B",60,"B+",70,"A",80,"A+",90,"S",100),_xlfn.SWITCH(#REF!,"F",0,"E",10,"D",20,"D+",30,"C",40,"C+",50,"B",60,"B+",70,"A",80,"A+",90,"S",100),_xlfn.SWITCH(N163,"F",0,"E",10,"D",20,"D+",30,"C",40,"C+",50,"B",60,"B+",70,"A",80,"A+",90,"S",100),_xlfn.SWITCH(#REF!,"F",0,"E",10,"D",20,"D+",30,"C",40,"C+",50,"B",60,"B+",70,"A",80,"A+",90,"S",100)),{0,15,25,35,45,55,65,75,85,95},{"D","D","D+","C","C+","B","B+","A","A+","S"}),"?")</f>
        <v>?</v>
      </c>
    </row>
    <row r="152" spans="1:15">
      <c r="A152" s="418" t="s">
        <v>848</v>
      </c>
      <c r="B152" s="54" t="s">
        <v>849</v>
      </c>
      <c r="C152" s="54"/>
      <c r="D152" s="54"/>
      <c r="E152" s="54"/>
      <c r="F152" s="54"/>
      <c r="G152" s="54"/>
      <c r="H152" s="189" t="s">
        <v>1567</v>
      </c>
      <c r="I152" s="189"/>
      <c r="K152" s="24" t="s">
        <v>883</v>
      </c>
      <c r="L152" s="25" t="s">
        <v>884</v>
      </c>
      <c r="M152" s="19"/>
      <c r="N152" s="19"/>
      <c r="O152" s="19" t="str">
        <f>IF(AND(ISNUMBER(MATCH(M152,{"F","E","D","D+","C","C+","B","B+","A","A+","S"},0)),ISNUMBER(MATCH(#REF!,{"F","E","D","D+","C","C+","B","B+","A","A+","S"},0)),ISNUMBER(MATCH(N156,{"F","E","D","D+","C","C+","B","B+","A","A+","S"},0)),ISNUMBER(MATCH(#REF!,{"F","E","D","D+","C","C+","B","B+","A","A+","S"},0))),LOOKUP(AVERAGE(_xlfn.SWITCH(M160,"F",0,"E",10,"D",20,"D+",30,"C",40,"C+",50,"B",60,"B+",70,"A",80,"A+",90,"S",100),_xlfn.SWITCH(#REF!,"F",0,"E",10,"D",20,"D+",30,"C",40,"C+",50,"B",60,"B+",70,"A",80,"A+",90,"S",100),_xlfn.SWITCH(N164,"F",0,"E",10,"D",20,"D+",30,"C",40,"C+",50,"B",60,"B+",70,"A",80,"A+",90,"S",100),_xlfn.SWITCH(#REF!,"F",0,"E",10,"D",20,"D+",30,"C",40,"C+",50,"B",60,"B+",70,"A",80,"A+",90,"S",100)),{0,15,25,35,45,55,65,75,85,95},{"D","D","D+","C","C+","B","B+","A","A+","S"}),"?")</f>
        <v>?</v>
      </c>
    </row>
    <row r="153" spans="1:15">
      <c r="A153" s="54" t="s">
        <v>4887</v>
      </c>
      <c r="B153" s="54" t="s">
        <v>899</v>
      </c>
      <c r="C153" s="54"/>
      <c r="D153" s="54"/>
      <c r="E153" s="54"/>
      <c r="F153" s="54"/>
      <c r="G153" s="54"/>
      <c r="H153" s="189" t="s">
        <v>1593</v>
      </c>
      <c r="I153" s="189"/>
      <c r="K153" s="24" t="s">
        <v>890</v>
      </c>
      <c r="L153" s="25" t="s">
        <v>891</v>
      </c>
      <c r="M153" s="19"/>
      <c r="N153" s="19"/>
      <c r="O153" s="19" t="str">
        <f>IF(AND(ISNUMBER(MATCH(M153,{"F","E","D","D+","C","C+","B","B+","A","A+","S"},0)),ISNUMBER(MATCH(#REF!,{"F","E","D","D+","C","C+","B","B+","A","A+","S"},0)),ISNUMBER(MATCH(N157,{"F","E","D","D+","C","C+","B","B+","A","A+","S"},0)),ISNUMBER(MATCH(#REF!,{"F","E","D","D+","C","C+","B","B+","A","A+","S"},0))),LOOKUP(AVERAGE(_xlfn.SWITCH(M161,"F",0,"E",10,"D",20,"D+",30,"C",40,"C+",50,"B",60,"B+",70,"A",80,"A+",90,"S",100),_xlfn.SWITCH(#REF!,"F",0,"E",10,"D",20,"D+",30,"C",40,"C+",50,"B",60,"B+",70,"A",80,"A+",90,"S",100),_xlfn.SWITCH(N165,"F",0,"E",10,"D",20,"D+",30,"C",40,"C+",50,"B",60,"B+",70,"A",80,"A+",90,"S",100),_xlfn.SWITCH(#REF!,"F",0,"E",10,"D",20,"D+",30,"C",40,"C+",50,"B",60,"B+",70,"A",80,"A+",90,"S",100)),{0,15,25,35,45,55,65,75,85,95},{"D","D","D+","C","C+","B","B+","A","A+","S"}),"?")</f>
        <v>?</v>
      </c>
    </row>
    <row r="154" spans="1:15">
      <c r="A154" s="54" t="s">
        <v>4888</v>
      </c>
      <c r="B154" s="54" t="s">
        <v>906</v>
      </c>
      <c r="C154" s="54"/>
      <c r="D154" s="54"/>
      <c r="E154" s="54"/>
      <c r="F154" s="54"/>
      <c r="G154" s="54"/>
      <c r="H154" s="189" t="s">
        <v>1593</v>
      </c>
      <c r="I154" s="189"/>
      <c r="K154" s="24" t="s">
        <v>750</v>
      </c>
      <c r="L154" s="25" t="s">
        <v>751</v>
      </c>
      <c r="M154" s="19"/>
      <c r="N154" s="19"/>
      <c r="O154" s="19" t="str">
        <f>IF(AND(ISNUMBER(MATCH(M154,{"F","E","D","D+","C","C+","B","B+","A","A+","S"},0)),ISNUMBER(MATCH(#REF!,{"F","E","D","D+","C","C+","B","B+","A","A+","S"},0)),ISNUMBER(MATCH(N158,{"F","E","D","D+","C","C+","B","B+","A","A+","S"},0)),ISNUMBER(MATCH(#REF!,{"F","E","D","D+","C","C+","B","B+","A","A+","S"},0))),LOOKUP(AVERAGE(_xlfn.SWITCH(M162,"F",0,"E",10,"D",20,"D+",30,"C",40,"C+",50,"B",60,"B+",70,"A",80,"A+",90,"S",100),_xlfn.SWITCH(#REF!,"F",0,"E",10,"D",20,"D+",30,"C",40,"C+",50,"B",60,"B+",70,"A",80,"A+",90,"S",100),_xlfn.SWITCH(N166,"F",0,"E",10,"D",20,"D+",30,"C",40,"C+",50,"B",60,"B+",70,"A",80,"A+",90,"S",100),_xlfn.SWITCH(#REF!,"F",0,"E",10,"D",20,"D+",30,"C",40,"C+",50,"B",60,"B+",70,"A",80,"A+",90,"S",100)),{0,15,25,35,45,55,65,75,85,95},{"D","D","D+","C","C+","B","B+","A","A+","S"}),"?")</f>
        <v>?</v>
      </c>
    </row>
    <row r="155" spans="1:15">
      <c r="A155" s="54" t="s">
        <v>4889</v>
      </c>
      <c r="B155" s="54" t="s">
        <v>913</v>
      </c>
      <c r="C155" s="54"/>
      <c r="D155" s="54"/>
      <c r="E155" s="54"/>
      <c r="F155" s="54"/>
      <c r="G155" s="54"/>
      <c r="H155" s="189" t="s">
        <v>1593</v>
      </c>
      <c r="I155" s="189"/>
      <c r="K155" s="24" t="s">
        <v>900</v>
      </c>
      <c r="L155" s="25" t="s">
        <v>901</v>
      </c>
      <c r="M155" s="19"/>
      <c r="N155" s="19"/>
      <c r="O155" s="19" t="str">
        <f>IF(AND(ISNUMBER(MATCH(M155,{"F","E","D","D+","C","C+","B","B+","A","A+","S"},0)),ISNUMBER(MATCH(#REF!,{"F","E","D","D+","C","C+","B","B+","A","A+","S"},0)),ISNUMBER(MATCH(N159,{"F","E","D","D+","C","C+","B","B+","A","A+","S"},0)),ISNUMBER(MATCH(#REF!,{"F","E","D","D+","C","C+","B","B+","A","A+","S"},0))),LOOKUP(AVERAGE(_xlfn.SWITCH(M163,"F",0,"E",10,"D",20,"D+",30,"C",40,"C+",50,"B",60,"B+",70,"A",80,"A+",90,"S",100),_xlfn.SWITCH(#REF!,"F",0,"E",10,"D",20,"D+",30,"C",40,"C+",50,"B",60,"B+",70,"A",80,"A+",90,"S",100),_xlfn.SWITCH(N167,"F",0,"E",10,"D",20,"D+",30,"C",40,"C+",50,"B",60,"B+",70,"A",80,"A+",90,"S",100),_xlfn.SWITCH(#REF!,"F",0,"E",10,"D",20,"D+",30,"C",40,"C+",50,"B",60,"B+",70,"A",80,"A+",90,"S",100)),{0,15,25,35,45,55,65,75,85,95},{"D","D","D+","C","C+","B","B+","A","A+","S"}),"?")</f>
        <v>?</v>
      </c>
    </row>
    <row r="156" spans="1:15">
      <c r="A156" s="418" t="s">
        <v>4890</v>
      </c>
      <c r="B156" s="54" t="s">
        <v>920</v>
      </c>
      <c r="C156" s="54"/>
      <c r="D156" s="54"/>
      <c r="E156" s="54"/>
      <c r="F156" s="54"/>
      <c r="G156" s="54"/>
      <c r="H156" s="189" t="s">
        <v>1567</v>
      </c>
      <c r="I156" s="189"/>
      <c r="K156" s="24" t="s">
        <v>907</v>
      </c>
      <c r="L156" s="25" t="s">
        <v>908</v>
      </c>
      <c r="M156" s="19"/>
      <c r="N156" s="19"/>
      <c r="O156" s="19" t="str">
        <f>IF(AND(ISNUMBER(MATCH(M156,{"F","E","D","D+","C","C+","B","B+","A","A+","S"},0)),ISNUMBER(MATCH(#REF!,{"F","E","D","D+","C","C+","B","B+","A","A+","S"},0)),ISNUMBER(MATCH(N160,{"F","E","D","D+","C","C+","B","B+","A","A+","S"},0)),ISNUMBER(MATCH(#REF!,{"F","E","D","D+","C","C+","B","B+","A","A+","S"},0))),LOOKUP(AVERAGE(_xlfn.SWITCH(M164,"F",0,"E",10,"D",20,"D+",30,"C",40,"C+",50,"B",60,"B+",70,"A",80,"A+",90,"S",100),_xlfn.SWITCH(#REF!,"F",0,"E",10,"D",20,"D+",30,"C",40,"C+",50,"B",60,"B+",70,"A",80,"A+",90,"S",100),_xlfn.SWITCH(N168,"F",0,"E",10,"D",20,"D+",30,"C",40,"C+",50,"B",60,"B+",70,"A",80,"A+",90,"S",100),_xlfn.SWITCH(#REF!,"F",0,"E",10,"D",20,"D+",30,"C",40,"C+",50,"B",60,"B+",70,"A",80,"A+",90,"S",100)),{0,15,25,35,45,55,65,75,85,95},{"D","D","D+","C","C+","B","B+","A","A+","S"}),"?")</f>
        <v>?</v>
      </c>
    </row>
    <row r="157" spans="1:15">
      <c r="A157" s="54" t="s">
        <v>4891</v>
      </c>
      <c r="B157" s="54" t="s">
        <v>1510</v>
      </c>
      <c r="C157" s="54"/>
      <c r="D157" s="54"/>
      <c r="E157" s="54"/>
      <c r="F157" s="54"/>
      <c r="G157" s="54"/>
      <c r="H157" s="189" t="s">
        <v>1593</v>
      </c>
      <c r="I157" s="189"/>
      <c r="K157" s="24" t="s">
        <v>914</v>
      </c>
      <c r="L157" s="25" t="s">
        <v>915</v>
      </c>
      <c r="M157" s="19"/>
      <c r="N157" s="19"/>
      <c r="O157" s="19" t="str">
        <f>IF(AND(ISNUMBER(MATCH(M157,{"F","E","D","D+","C","C+","B","B+","A","A+","S"},0)),ISNUMBER(MATCH(#REF!,{"F","E","D","D+","C","C+","B","B+","A","A+","S"},0)),ISNUMBER(MATCH(N161,{"F","E","D","D+","C","C+","B","B+","A","A+","S"},0)),ISNUMBER(MATCH(#REF!,{"F","E","D","D+","C","C+","B","B+","A","A+","S"},0))),LOOKUP(AVERAGE(_xlfn.SWITCH(M165,"F",0,"E",10,"D",20,"D+",30,"C",40,"C+",50,"B",60,"B+",70,"A",80,"A+",90,"S",100),_xlfn.SWITCH(#REF!,"F",0,"E",10,"D",20,"D+",30,"C",40,"C+",50,"B",60,"B+",70,"A",80,"A+",90,"S",100),_xlfn.SWITCH(N169,"F",0,"E",10,"D",20,"D+",30,"C",40,"C+",50,"B",60,"B+",70,"A",80,"A+",90,"S",100),_xlfn.SWITCH(#REF!,"F",0,"E",10,"D",20,"D+",30,"C",40,"C+",50,"B",60,"B+",70,"A",80,"A+",90,"S",100)),{0,15,25,35,45,55,65,75,85,95},{"D","D","D+","C","C+","B","B+","A","A+","S"}),"?")</f>
        <v>?</v>
      </c>
    </row>
    <row r="158" spans="1:15">
      <c r="A158" s="418" t="s">
        <v>4892</v>
      </c>
      <c r="B158" s="54" t="s">
        <v>930</v>
      </c>
      <c r="C158" s="54"/>
      <c r="D158" s="54"/>
      <c r="E158" s="54"/>
      <c r="F158" s="54"/>
      <c r="G158" s="54"/>
      <c r="H158" s="189" t="s">
        <v>21</v>
      </c>
      <c r="I158" s="189"/>
      <c r="K158" s="24" t="s">
        <v>515</v>
      </c>
      <c r="L158" s="25" t="s">
        <v>516</v>
      </c>
      <c r="M158" s="19"/>
      <c r="N158" s="19"/>
      <c r="O158" s="19" t="str">
        <f>IF(AND(ISNUMBER(MATCH(M158,{"F","E","D","D+","C","C+","B","B+","A","A+","S"},0)),ISNUMBER(MATCH(#REF!,{"F","E","D","D+","C","C+","B","B+","A","A+","S"},0)),ISNUMBER(MATCH(N162,{"F","E","D","D+","C","C+","B","B+","A","A+","S"},0)),ISNUMBER(MATCH(#REF!,{"F","E","D","D+","C","C+","B","B+","A","A+","S"},0))),LOOKUP(AVERAGE(_xlfn.SWITCH(M166,"F",0,"E",10,"D",20,"D+",30,"C",40,"C+",50,"B",60,"B+",70,"A",80,"A+",90,"S",100),_xlfn.SWITCH(#REF!,"F",0,"E",10,"D",20,"D+",30,"C",40,"C+",50,"B",60,"B+",70,"A",80,"A+",90,"S",100),_xlfn.SWITCH(N170,"F",0,"E",10,"D",20,"D+",30,"C",40,"C+",50,"B",60,"B+",70,"A",80,"A+",90,"S",100),_xlfn.SWITCH(#REF!,"F",0,"E",10,"D",20,"D+",30,"C",40,"C+",50,"B",60,"B+",70,"A",80,"A+",90,"S",100)),{0,15,25,35,45,55,65,75,85,95},{"D","D","D+","C","C+","B","B+","A","A+","S"}),"?")</f>
        <v>?</v>
      </c>
    </row>
    <row r="159" spans="1:15">
      <c r="A159" s="418" t="s">
        <v>521</v>
      </c>
      <c r="B159" s="54" t="s">
        <v>522</v>
      </c>
      <c r="C159" s="54"/>
      <c r="D159" s="54"/>
      <c r="E159" s="54"/>
      <c r="F159" s="54"/>
      <c r="G159" s="54"/>
      <c r="H159" s="189" t="s">
        <v>1567</v>
      </c>
      <c r="I159" s="189"/>
      <c r="K159" s="24" t="s">
        <v>679</v>
      </c>
      <c r="L159" s="25" t="s">
        <v>680</v>
      </c>
      <c r="M159" s="19"/>
      <c r="N159" s="19"/>
      <c r="O159" s="19" t="str">
        <f>IF(AND(ISNUMBER(MATCH(M159,{"F","E","D","D+","C","C+","B","B+","A","A+","S"},0)),ISNUMBER(MATCH(#REF!,{"F","E","D","D+","C","C+","B","B+","A","A+","S"},0)),ISNUMBER(MATCH(N163,{"F","E","D","D+","C","C+","B","B+","A","A+","S"},0)),ISNUMBER(MATCH(#REF!,{"F","E","D","D+","C","C+","B","B+","A","A+","S"},0))),LOOKUP(AVERAGE(_xlfn.SWITCH(M167,"F",0,"E",10,"D",20,"D+",30,"C",40,"C+",50,"B",60,"B+",70,"A",80,"A+",90,"S",100),_xlfn.SWITCH(#REF!,"F",0,"E",10,"D",20,"D+",30,"C",40,"C+",50,"B",60,"B+",70,"A",80,"A+",90,"S",100),_xlfn.SWITCH(N171,"F",0,"E",10,"D",20,"D+",30,"C",40,"C+",50,"B",60,"B+",70,"A",80,"A+",90,"S",100),_xlfn.SWITCH(#REF!,"F",0,"E",10,"D",20,"D+",30,"C",40,"C+",50,"B",60,"B+",70,"A",80,"A+",90,"S",100)),{0,15,25,35,45,55,65,75,85,95},{"D","D","D+","C","C+","B","B+","A","A+","S"}),"?")</f>
        <v>?</v>
      </c>
    </row>
    <row r="160" spans="1:15">
      <c r="A160" s="54" t="s">
        <v>546</v>
      </c>
      <c r="B160" s="54" t="s">
        <v>547</v>
      </c>
      <c r="C160" s="54"/>
      <c r="D160" s="54"/>
      <c r="E160" s="54"/>
      <c r="F160" s="54"/>
      <c r="G160" s="54"/>
      <c r="H160" s="189" t="s">
        <v>1567</v>
      </c>
      <c r="I160" s="189"/>
      <c r="K160" s="24" t="s">
        <v>611</v>
      </c>
      <c r="L160" s="25" t="s">
        <v>612</v>
      </c>
      <c r="M160" s="19"/>
      <c r="N160" s="19"/>
      <c r="O160" s="19" t="str">
        <f>IF(AND(ISNUMBER(MATCH(M160,{"F","E","D","D+","C","C+","B","B+","A","A+","S"},0)),ISNUMBER(MATCH(#REF!,{"F","E","D","D+","C","C+","B","B+","A","A+","S"},0)),ISNUMBER(MATCH(N164,{"F","E","D","D+","C","C+","B","B+","A","A+","S"},0)),ISNUMBER(MATCH(#REF!,{"F","E","D","D+","C","C+","B","B+","A","A+","S"},0))),LOOKUP(AVERAGE(_xlfn.SWITCH(M168,"F",0,"E",10,"D",20,"D+",30,"C",40,"C+",50,"B",60,"B+",70,"A",80,"A+",90,"S",100),_xlfn.SWITCH(#REF!,"F",0,"E",10,"D",20,"D+",30,"C",40,"C+",50,"B",60,"B+",70,"A",80,"A+",90,"S",100),_xlfn.SWITCH(N172,"F",0,"E",10,"D",20,"D+",30,"C",40,"C+",50,"B",60,"B+",70,"A",80,"A+",90,"S",100),_xlfn.SWITCH(#REF!,"F",0,"E",10,"D",20,"D+",30,"C",40,"C+",50,"B",60,"B+",70,"A",80,"A+",90,"S",100)),{0,15,25,35,45,55,65,75,85,95},{"D","D","D+","C","C+","B","B+","A","A+","S"}),"?")</f>
        <v>?</v>
      </c>
    </row>
    <row r="161" spans="1:15">
      <c r="A161" s="54" t="s">
        <v>4893</v>
      </c>
      <c r="B161" s="54" t="s">
        <v>944</v>
      </c>
      <c r="C161" s="54"/>
      <c r="D161" s="54"/>
      <c r="E161" s="54"/>
      <c r="F161" s="54"/>
      <c r="G161" s="54"/>
      <c r="H161" s="189" t="s">
        <v>1593</v>
      </c>
      <c r="I161" s="189"/>
      <c r="K161" s="24" t="s">
        <v>713</v>
      </c>
      <c r="L161" s="25" t="s">
        <v>714</v>
      </c>
      <c r="M161" s="19"/>
      <c r="N161" s="19"/>
      <c r="O161" s="19" t="str">
        <f>IF(AND(ISNUMBER(MATCH(M161,{"F","E","D","D+","C","C+","B","B+","A","A+","S"},0)),ISNUMBER(MATCH(#REF!,{"F","E","D","D+","C","C+","B","B+","A","A+","S"},0)),ISNUMBER(MATCH(N165,{"F","E","D","D+","C","C+","B","B+","A","A+","S"},0)),ISNUMBER(MATCH(#REF!,{"F","E","D","D+","C","C+","B","B+","A","A+","S"},0))),LOOKUP(AVERAGE(_xlfn.SWITCH(M169,"F",0,"E",10,"D",20,"D+",30,"C",40,"C+",50,"B",60,"B+",70,"A",80,"A+",90,"S",100),_xlfn.SWITCH(#REF!,"F",0,"E",10,"D",20,"D+",30,"C",40,"C+",50,"B",60,"B+",70,"A",80,"A+",90,"S",100),_xlfn.SWITCH(N173,"F",0,"E",10,"D",20,"D+",30,"C",40,"C+",50,"B",60,"B+",70,"A",80,"A+",90,"S",100),_xlfn.SWITCH(#REF!,"F",0,"E",10,"D",20,"D+",30,"C",40,"C+",50,"B",60,"B+",70,"A",80,"A+",90,"S",100)),{0,15,25,35,45,55,65,75,85,95},{"D","D","D+","C","C+","B","B+","A","A+","S"}),"?")</f>
        <v>?</v>
      </c>
    </row>
    <row r="162" spans="1:15">
      <c r="A162" s="54" t="s">
        <v>4894</v>
      </c>
      <c r="B162" s="54" t="s">
        <v>951</v>
      </c>
      <c r="C162" s="54"/>
      <c r="D162" s="54"/>
      <c r="E162" s="54"/>
      <c r="F162" s="54"/>
      <c r="G162" s="54"/>
      <c r="H162" s="189" t="s">
        <v>1593</v>
      </c>
      <c r="I162" s="189"/>
      <c r="K162" s="24" t="s">
        <v>938</v>
      </c>
      <c r="L162" s="25" t="s">
        <v>939</v>
      </c>
      <c r="M162" s="19"/>
      <c r="N162" s="19"/>
      <c r="O162" s="19" t="str">
        <f>IF(AND(ISNUMBER(MATCH(M162,{"F","E","D","D+","C","C+","B","B+","A","A+","S"},0)),ISNUMBER(MATCH(#REF!,{"F","E","D","D+","C","C+","B","B+","A","A+","S"},0)),ISNUMBER(MATCH(N166,{"F","E","D","D+","C","C+","B","B+","A","A+","S"},0)),ISNUMBER(MATCH(#REF!,{"F","E","D","D+","C","C+","B","B+","A","A+","S"},0))),LOOKUP(AVERAGE(_xlfn.SWITCH(M170,"F",0,"E",10,"D",20,"D+",30,"C",40,"C+",50,"B",60,"B+",70,"A",80,"A+",90,"S",100),_xlfn.SWITCH(#REF!,"F",0,"E",10,"D",20,"D+",30,"C",40,"C+",50,"B",60,"B+",70,"A",80,"A+",90,"S",100),_xlfn.SWITCH(N174,"F",0,"E",10,"D",20,"D+",30,"C",40,"C+",50,"B",60,"B+",70,"A",80,"A+",90,"S",100),_xlfn.SWITCH(#REF!,"F",0,"E",10,"D",20,"D+",30,"C",40,"C+",50,"B",60,"B+",70,"A",80,"A+",90,"S",100)),{0,15,25,35,45,55,65,75,85,95},{"D","D","D+","C","C+","B","B+","A","A+","S"}),"?")</f>
        <v>?</v>
      </c>
    </row>
    <row r="163" spans="1:15">
      <c r="A163" s="418" t="s">
        <v>576</v>
      </c>
      <c r="B163" s="54" t="s">
        <v>577</v>
      </c>
      <c r="C163" s="54"/>
      <c r="D163" s="54"/>
      <c r="E163" s="54"/>
      <c r="F163" s="54"/>
      <c r="G163" s="54" t="s">
        <v>22</v>
      </c>
      <c r="H163" s="189" t="s">
        <v>21</v>
      </c>
      <c r="I163" s="189"/>
      <c r="K163" s="24" t="s">
        <v>945</v>
      </c>
      <c r="L163" s="25" t="s">
        <v>946</v>
      </c>
      <c r="M163" s="19"/>
      <c r="N163" s="19"/>
      <c r="O163" s="19" t="str">
        <f>IF(AND(ISNUMBER(MATCH(M163,{"F","E","D","D+","C","C+","B","B+","A","A+","S"},0)),ISNUMBER(MATCH(#REF!,{"F","E","D","D+","C","C+","B","B+","A","A+","S"},0)),ISNUMBER(MATCH(N167,{"F","E","D","D+","C","C+","B","B+","A","A+","S"},0)),ISNUMBER(MATCH(#REF!,{"F","E","D","D+","C","C+","B","B+","A","A+","S"},0))),LOOKUP(AVERAGE(_xlfn.SWITCH(M171,"F",0,"E",10,"D",20,"D+",30,"C",40,"C+",50,"B",60,"B+",70,"A",80,"A+",90,"S",100),_xlfn.SWITCH(#REF!,"F",0,"E",10,"D",20,"D+",30,"C",40,"C+",50,"B",60,"B+",70,"A",80,"A+",90,"S",100),_xlfn.SWITCH(N175,"F",0,"E",10,"D",20,"D+",30,"C",40,"C+",50,"B",60,"B+",70,"A",80,"A+",90,"S",100),_xlfn.SWITCH(#REF!,"F",0,"E",10,"D",20,"D+",30,"C",40,"C+",50,"B",60,"B+",70,"A",80,"A+",90,"S",100)),{0,15,25,35,45,55,65,75,85,95},{"D","D","D+","C","C+","B","B+","A","A+","S"}),"?")</f>
        <v>?</v>
      </c>
    </row>
    <row r="164" spans="1:15">
      <c r="A164" s="54" t="s">
        <v>4895</v>
      </c>
      <c r="B164" s="54" t="s">
        <v>965</v>
      </c>
      <c r="C164" s="54"/>
      <c r="D164" s="54"/>
      <c r="E164" s="54"/>
      <c r="F164" s="54"/>
      <c r="G164" s="54"/>
      <c r="H164" s="189" t="s">
        <v>1593</v>
      </c>
      <c r="I164" s="189"/>
      <c r="K164" s="24" t="s">
        <v>952</v>
      </c>
      <c r="L164" s="25" t="s">
        <v>953</v>
      </c>
      <c r="M164" s="19"/>
      <c r="N164" s="19"/>
      <c r="O164" s="19" t="str">
        <f>IF(AND(ISNUMBER(MATCH(M164,{"F","E","D","D+","C","C+","B","B+","A","A+","S"},0)),ISNUMBER(MATCH(#REF!,{"F","E","D","D+","C","C+","B","B+","A","A+","S"},0)),ISNUMBER(MATCH(N168,{"F","E","D","D+","C","C+","B","B+","A","A+","S"},0)),ISNUMBER(MATCH(#REF!,{"F","E","D","D+","C","C+","B","B+","A","A+","S"},0))),LOOKUP(AVERAGE(_xlfn.SWITCH(M172,"F",0,"E",10,"D",20,"D+",30,"C",40,"C+",50,"B",60,"B+",70,"A",80,"A+",90,"S",100),_xlfn.SWITCH(#REF!,"F",0,"E",10,"D",20,"D+",30,"C",40,"C+",50,"B",60,"B+",70,"A",80,"A+",90,"S",100),_xlfn.SWITCH(N176,"F",0,"E",10,"D",20,"D+",30,"C",40,"C+",50,"B",60,"B+",70,"A",80,"A+",90,"S",100),_xlfn.SWITCH(#REF!,"F",0,"E",10,"D",20,"D+",30,"C",40,"C+",50,"B",60,"B+",70,"A",80,"A+",90,"S",100)),{0,15,25,35,45,55,65,75,85,95},{"D","D","D+","C","C+","B","B+","A","A+","S"}),"?")</f>
        <v>?</v>
      </c>
    </row>
    <row r="165" spans="1:15">
      <c r="A165" s="54" t="s">
        <v>4896</v>
      </c>
      <c r="B165" s="54" t="s">
        <v>972</v>
      </c>
      <c r="C165" s="54"/>
      <c r="D165" s="54"/>
      <c r="E165" s="54"/>
      <c r="F165" s="54"/>
      <c r="G165" s="54"/>
      <c r="H165" s="189" t="s">
        <v>1593</v>
      </c>
      <c r="I165" s="189"/>
      <c r="K165" s="24" t="s">
        <v>959</v>
      </c>
      <c r="L165" s="25" t="s">
        <v>960</v>
      </c>
      <c r="M165" s="19"/>
      <c r="N165" s="19"/>
      <c r="O165" s="19" t="str">
        <f>IF(AND(ISNUMBER(MATCH(M165,{"F","E","D","D+","C","C+","B","B+","A","A+","S"},0)),ISNUMBER(MATCH(#REF!,{"F","E","D","D+","C","C+","B","B+","A","A+","S"},0)),ISNUMBER(MATCH(N169,{"F","E","D","D+","C","C+","B","B+","A","A+","S"},0)),ISNUMBER(MATCH(#REF!,{"F","E","D","D+","C","C+","B","B+","A","A+","S"},0))),LOOKUP(AVERAGE(_xlfn.SWITCH(M173,"F",0,"E",10,"D",20,"D+",30,"C",40,"C+",50,"B",60,"B+",70,"A",80,"A+",90,"S",100),_xlfn.SWITCH(#REF!,"F",0,"E",10,"D",20,"D+",30,"C",40,"C+",50,"B",60,"B+",70,"A",80,"A+",90,"S",100),_xlfn.SWITCH(N177,"F",0,"E",10,"D",20,"D+",30,"C",40,"C+",50,"B",60,"B+",70,"A",80,"A+",90,"S",100),_xlfn.SWITCH(#REF!,"F",0,"E",10,"D",20,"D+",30,"C",40,"C+",50,"B",60,"B+",70,"A",80,"A+",90,"S",100)),{0,15,25,35,45,55,65,75,85,95},{"D","D","D+","C","C+","B","B+","A","A+","S"}),"?")</f>
        <v>?</v>
      </c>
    </row>
    <row r="166" spans="1:15">
      <c r="A166" s="54" t="s">
        <v>4897</v>
      </c>
      <c r="B166" s="54" t="s">
        <v>977</v>
      </c>
      <c r="C166" s="54"/>
      <c r="D166" s="54"/>
      <c r="E166" s="54"/>
      <c r="F166" s="54"/>
      <c r="G166" s="54"/>
      <c r="H166" s="189" t="s">
        <v>1593</v>
      </c>
      <c r="I166" s="189"/>
      <c r="K166" s="24" t="s">
        <v>966</v>
      </c>
      <c r="L166" s="25" t="s">
        <v>967</v>
      </c>
      <c r="M166" s="19"/>
      <c r="N166" s="19"/>
      <c r="O166" s="19" t="str">
        <f>IF(AND(ISNUMBER(MATCH(M166,{"F","E","D","D+","C","C+","B","B+","A","A+","S"},0)),ISNUMBER(MATCH(#REF!,{"F","E","D","D+","C","C+","B","B+","A","A+","S"},0)),ISNUMBER(MATCH(N170,{"F","E","D","D+","C","C+","B","B+","A","A+","S"},0)),ISNUMBER(MATCH(#REF!,{"F","E","D","D+","C","C+","B","B+","A","A+","S"},0))),LOOKUP(AVERAGE(_xlfn.SWITCH(M174,"F",0,"E",10,"D",20,"D+",30,"C",40,"C+",50,"B",60,"B+",70,"A",80,"A+",90,"S",100),_xlfn.SWITCH(#REF!,"F",0,"E",10,"D",20,"D+",30,"C",40,"C+",50,"B",60,"B+",70,"A",80,"A+",90,"S",100),_xlfn.SWITCH(N178,"F",0,"E",10,"D",20,"D+",30,"C",40,"C+",50,"B",60,"B+",70,"A",80,"A+",90,"S",100),_xlfn.SWITCH(#REF!,"F",0,"E",10,"D",20,"D+",30,"C",40,"C+",50,"B",60,"B+",70,"A",80,"A+",90,"S",100)),{0,15,25,35,45,55,65,75,85,95},{"D","D","D+","C","C+","B","B+","A","A+","S"}),"?")</f>
        <v>?</v>
      </c>
    </row>
    <row r="167" spans="1:15">
      <c r="A167" s="54" t="s">
        <v>623</v>
      </c>
      <c r="B167" s="54" t="s">
        <v>624</v>
      </c>
      <c r="C167" s="54"/>
      <c r="D167" s="54"/>
      <c r="E167" s="54"/>
      <c r="F167" s="54"/>
      <c r="G167" s="54"/>
      <c r="H167" s="189" t="s">
        <v>1593</v>
      </c>
      <c r="I167" s="189"/>
      <c r="K167" s="24" t="s">
        <v>649</v>
      </c>
      <c r="L167" s="25" t="s">
        <v>650</v>
      </c>
      <c r="M167" s="19"/>
      <c r="N167" s="19"/>
      <c r="O167" s="19" t="str">
        <f>IF(AND(ISNUMBER(MATCH(M167,{"F","E","D","D+","C","C+","B","B+","A","A+","S"},0)),ISNUMBER(MATCH(#REF!,{"F","E","D","D+","C","C+","B","B+","A","A+","S"},0)),ISNUMBER(MATCH(N171,{"F","E","D","D+","C","C+","B","B+","A","A+","S"},0)),ISNUMBER(MATCH(#REF!,{"F","E","D","D+","C","C+","B","B+","A","A+","S"},0))),LOOKUP(AVERAGE(_xlfn.SWITCH(M175,"F",0,"E",10,"D",20,"D+",30,"C",40,"C+",50,"B",60,"B+",70,"A",80,"A+",90,"S",100),_xlfn.SWITCH(#REF!,"F",0,"E",10,"D",20,"D+",30,"C",40,"C+",50,"B",60,"B+",70,"A",80,"A+",90,"S",100),_xlfn.SWITCH(N179,"F",0,"E",10,"D",20,"D+",30,"C",40,"C+",50,"B",60,"B+",70,"A",80,"A+",90,"S",100),_xlfn.SWITCH(#REF!,"F",0,"E",10,"D",20,"D+",30,"C",40,"C+",50,"B",60,"B+",70,"A",80,"A+",90,"S",100)),{0,15,25,35,45,55,65,75,85,95},{"D","D","D+","C","C+","B","B+","A","A+","S"}),"?")</f>
        <v>?</v>
      </c>
    </row>
    <row r="168" spans="1:15">
      <c r="A168" s="54" t="s">
        <v>656</v>
      </c>
      <c r="B168" s="54" t="s">
        <v>657</v>
      </c>
      <c r="C168" s="54"/>
      <c r="D168" s="54"/>
      <c r="E168" s="54"/>
      <c r="F168" s="54"/>
      <c r="G168" s="54"/>
      <c r="H168" s="189" t="s">
        <v>1567</v>
      </c>
      <c r="I168" s="189"/>
      <c r="K168" s="24" t="s">
        <v>631</v>
      </c>
      <c r="L168" s="33" t="s">
        <v>632</v>
      </c>
      <c r="M168" s="19"/>
      <c r="N168" s="19"/>
      <c r="O168" s="19" t="str">
        <f>IF(AND(ISNUMBER(MATCH(M168,{"F","E","D","D+","C","C+","B","B+","A","A+","S"},0)),ISNUMBER(MATCH(#REF!,{"F","E","D","D+","C","C+","B","B+","A","A+","S"},0)),ISNUMBER(MATCH(N172,{"F","E","D","D+","C","C+","B","B+","A","A+","S"},0)),ISNUMBER(MATCH(#REF!,{"F","E","D","D+","C","C+","B","B+","A","A+","S"},0))),LOOKUP(AVERAGE(_xlfn.SWITCH(M176,"F",0,"E",10,"D",20,"D+",30,"C",40,"C+",50,"B",60,"B+",70,"A",80,"A+",90,"S",100),_xlfn.SWITCH(#REF!,"F",0,"E",10,"D",20,"D+",30,"C",40,"C+",50,"B",60,"B+",70,"A",80,"A+",90,"S",100),_xlfn.SWITCH(N180,"F",0,"E",10,"D",20,"D+",30,"C",40,"C+",50,"B",60,"B+",70,"A",80,"A+",90,"S",100),_xlfn.SWITCH(#REF!,"F",0,"E",10,"D",20,"D+",30,"C",40,"C+",50,"B",60,"B+",70,"A",80,"A+",90,"S",100)),{0,15,25,35,45,55,65,75,85,95},{"D","D","D+","C","C+","B","B+","A","A+","S"}),"?")</f>
        <v>?</v>
      </c>
    </row>
    <row r="169" spans="1:15">
      <c r="A169" s="418" t="s">
        <v>835</v>
      </c>
      <c r="B169" s="54" t="s">
        <v>836</v>
      </c>
      <c r="C169" s="54"/>
      <c r="D169" s="54"/>
      <c r="E169" s="54"/>
      <c r="F169" s="54"/>
      <c r="G169" s="54"/>
      <c r="H169" s="189" t="s">
        <v>21</v>
      </c>
      <c r="I169" s="189"/>
      <c r="K169" s="24" t="s">
        <v>982</v>
      </c>
      <c r="L169" s="25" t="s">
        <v>983</v>
      </c>
      <c r="M169" s="19"/>
      <c r="N169" s="19"/>
      <c r="O169" s="19" t="str">
        <f>IF(AND(ISNUMBER(MATCH(M169,{"F","E","D","D+","C","C+","B","B+","A","A+","S"},0)),ISNUMBER(MATCH(#REF!,{"F","E","D","D+","C","C+","B","B+","A","A+","S"},0)),ISNUMBER(MATCH(N173,{"F","E","D","D+","C","C+","B","B+","A","A+","S"},0)),ISNUMBER(MATCH(#REF!,{"F","E","D","D+","C","C+","B","B+","A","A+","S"},0))),LOOKUP(AVERAGE(_xlfn.SWITCH(M177,"F",0,"E",10,"D",20,"D+",30,"C",40,"C+",50,"B",60,"B+",70,"A",80,"A+",90,"S",100),_xlfn.SWITCH(#REF!,"F",0,"E",10,"D",20,"D+",30,"C",40,"C+",50,"B",60,"B+",70,"A",80,"A+",90,"S",100),_xlfn.SWITCH(N181,"F",0,"E",10,"D",20,"D+",30,"C",40,"C+",50,"B",60,"B+",70,"A",80,"A+",90,"S",100),_xlfn.SWITCH(#REF!,"F",0,"E",10,"D",20,"D+",30,"C",40,"C+",50,"B",60,"B+",70,"A",80,"A+",90,"S",100)),{0,15,25,35,45,55,65,75,85,95},{"D","D","D+","C","C+","B","B+","A","A+","S"}),"?")</f>
        <v>?</v>
      </c>
    </row>
    <row r="170" spans="1:15">
      <c r="A170" s="418" t="s">
        <v>805</v>
      </c>
      <c r="B170" s="54" t="s">
        <v>806</v>
      </c>
      <c r="C170" s="54"/>
      <c r="D170" s="54"/>
      <c r="E170" s="54"/>
      <c r="F170" s="54"/>
      <c r="G170" s="54"/>
      <c r="H170" s="189" t="s">
        <v>21</v>
      </c>
      <c r="I170" s="189"/>
      <c r="K170" s="24" t="s">
        <v>765</v>
      </c>
      <c r="L170" s="25" t="s">
        <v>766</v>
      </c>
      <c r="M170" s="19"/>
      <c r="N170" s="19"/>
      <c r="O170" s="19" t="str">
        <f>IF(AND(ISNUMBER(MATCH(M170,{"F","E","D","D+","C","C+","B","B+","A","A+","S"},0)),ISNUMBER(MATCH(#REF!,{"F","E","D","D+","C","C+","B","B+","A","A+","S"},0)),ISNUMBER(MATCH(N174,{"F","E","D","D+","C","C+","B","B+","A","A+","S"},0)),ISNUMBER(MATCH(#REF!,{"F","E","D","D+","C","C+","B","B+","A","A+","S"},0))),LOOKUP(AVERAGE(_xlfn.SWITCH(M178,"F",0,"E",10,"D",20,"D+",30,"C",40,"C+",50,"B",60,"B+",70,"A",80,"A+",90,"S",100),_xlfn.SWITCH(#REF!,"F",0,"E",10,"D",20,"D+",30,"C",40,"C+",50,"B",60,"B+",70,"A",80,"A+",90,"S",100),_xlfn.SWITCH(N182,"F",0,"E",10,"D",20,"D+",30,"C",40,"C+",50,"B",60,"B+",70,"A",80,"A+",90,"S",100),_xlfn.SWITCH(#REF!,"F",0,"E",10,"D",20,"D+",30,"C",40,"C+",50,"B",60,"B+",70,"A",80,"A+",90,"S",100)),{0,15,25,35,45,55,65,75,85,95},{"D","D","D+","C","C+","B","B+","A","A+","S"}),"?")</f>
        <v>?</v>
      </c>
    </row>
    <row r="171" spans="1:15">
      <c r="A171" s="54" t="s">
        <v>4898</v>
      </c>
      <c r="B171" s="54" t="s">
        <v>1003</v>
      </c>
      <c r="C171" s="54"/>
      <c r="D171" s="54"/>
      <c r="E171" s="54"/>
      <c r="F171" s="54"/>
      <c r="G171" s="54"/>
      <c r="H171" s="189" t="s">
        <v>1567</v>
      </c>
      <c r="I171" s="189"/>
      <c r="K171" s="24" t="s">
        <v>991</v>
      </c>
      <c r="L171" s="25" t="s">
        <v>992</v>
      </c>
      <c r="M171" s="19"/>
      <c r="N171" s="19"/>
      <c r="O171" s="19" t="str">
        <f>IF(AND(ISNUMBER(MATCH(M171,{"F","E","D","D+","C","C+","B","B+","A","A+","S"},0)),ISNUMBER(MATCH(#REF!,{"F","E","D","D+","C","C+","B","B+","A","A+","S"},0)),ISNUMBER(MATCH(N175,{"F","E","D","D+","C","C+","B","B+","A","A+","S"},0)),ISNUMBER(MATCH(#REF!,{"F","E","D","D+","C","C+","B","B+","A","A+","S"},0))),LOOKUP(AVERAGE(_xlfn.SWITCH(M179,"F",0,"E",10,"D",20,"D+",30,"C",40,"C+",50,"B",60,"B+",70,"A",80,"A+",90,"S",100),_xlfn.SWITCH(#REF!,"F",0,"E",10,"D",20,"D+",30,"C",40,"C+",50,"B",60,"B+",70,"A",80,"A+",90,"S",100),_xlfn.SWITCH(N183,"F",0,"E",10,"D",20,"D+",30,"C",40,"C+",50,"B",60,"B+",70,"A",80,"A+",90,"S",100),_xlfn.SWITCH(#REF!,"F",0,"E",10,"D",20,"D+",30,"C",40,"C+",50,"B",60,"B+",70,"A",80,"A+",90,"S",100)),{0,15,25,35,45,55,65,75,85,95},{"D","D","D+","C","C+","B","B+","A","A+","S"}),"?")</f>
        <v>?</v>
      </c>
    </row>
    <row r="172" spans="1:15">
      <c r="A172" s="54" t="s">
        <v>794</v>
      </c>
      <c r="B172" s="54" t="s">
        <v>795</v>
      </c>
      <c r="C172" s="54"/>
      <c r="D172" s="54"/>
      <c r="E172" s="54"/>
      <c r="F172" s="54"/>
      <c r="G172" s="54"/>
      <c r="H172" s="189" t="s">
        <v>1567</v>
      </c>
      <c r="I172" s="189"/>
      <c r="K172" s="24" t="s">
        <v>997</v>
      </c>
      <c r="L172" s="25" t="s">
        <v>998</v>
      </c>
      <c r="M172" s="19"/>
      <c r="N172" s="19"/>
      <c r="O172" s="19" t="str">
        <f>IF(AND(ISNUMBER(MATCH(M172,{"F","E","D","D+","C","C+","B","B+","A","A+","S"},0)),ISNUMBER(MATCH(#REF!,{"F","E","D","D+","C","C+","B","B+","A","A+","S"},0)),ISNUMBER(MATCH(N176,{"F","E","D","D+","C","C+","B","B+","A","A+","S"},0)),ISNUMBER(MATCH(#REF!,{"F","E","D","D+","C","C+","B","B+","A","A+","S"},0))),LOOKUP(AVERAGE(_xlfn.SWITCH(M180,"F",0,"E",10,"D",20,"D+",30,"C",40,"C+",50,"B",60,"B+",70,"A",80,"A+",90,"S",100),_xlfn.SWITCH(#REF!,"F",0,"E",10,"D",20,"D+",30,"C",40,"C+",50,"B",60,"B+",70,"A",80,"A+",90,"S",100),_xlfn.SWITCH(N184,"F",0,"E",10,"D",20,"D+",30,"C",40,"C+",50,"B",60,"B+",70,"A",80,"A+",90,"S",100),_xlfn.SWITCH(#REF!,"F",0,"E",10,"D",20,"D+",30,"C",40,"C+",50,"B",60,"B+",70,"A",80,"A+",90,"S",100)),{0,15,25,35,45,55,65,75,85,95},{"D","D","D+","C","C+","B","B+","A","A+","S"}),"?")</f>
        <v>?</v>
      </c>
    </row>
    <row r="173" spans="1:15">
      <c r="A173" s="54" t="s">
        <v>4899</v>
      </c>
      <c r="B173" s="54" t="s">
        <v>1014</v>
      </c>
      <c r="C173" s="54"/>
      <c r="D173" s="54"/>
      <c r="E173" s="54"/>
      <c r="F173" s="54"/>
      <c r="G173" s="54"/>
      <c r="H173" s="189" t="s">
        <v>1593</v>
      </c>
      <c r="I173" s="189"/>
      <c r="K173" s="24" t="s">
        <v>1004</v>
      </c>
      <c r="L173" s="25" t="s">
        <v>1005</v>
      </c>
      <c r="M173" s="19"/>
      <c r="N173" s="19"/>
      <c r="O173" s="19" t="str">
        <f>IF(AND(ISNUMBER(MATCH(M173,{"F","E","D","D+","C","C+","B","B+","A","A+","S"},0)),ISNUMBER(MATCH(#REF!,{"F","E","D","D+","C","C+","B","B+","A","A+","S"},0)),ISNUMBER(MATCH(N177,{"F","E","D","D+","C","C+","B","B+","A","A+","S"},0)),ISNUMBER(MATCH(#REF!,{"F","E","D","D+","C","C+","B","B+","A","A+","S"},0))),LOOKUP(AVERAGE(_xlfn.SWITCH(M181,"F",0,"E",10,"D",20,"D+",30,"C",40,"C+",50,"B",60,"B+",70,"A",80,"A+",90,"S",100),_xlfn.SWITCH(#REF!,"F",0,"E",10,"D",20,"D+",30,"C",40,"C+",50,"B",60,"B+",70,"A",80,"A+",90,"S",100),_xlfn.SWITCH(N185,"F",0,"E",10,"D",20,"D+",30,"C",40,"C+",50,"B",60,"B+",70,"A",80,"A+",90,"S",100),_xlfn.SWITCH(#REF!,"F",0,"E",10,"D",20,"D+",30,"C",40,"C+",50,"B",60,"B+",70,"A",80,"A+",90,"S",100)),{0,15,25,35,45,55,65,75,85,95},{"D","D","D+","C","C+","B","B+","A","A+","S"}),"?")</f>
        <v>?</v>
      </c>
    </row>
    <row r="174" spans="1:15">
      <c r="A174" s="418" t="s">
        <v>4900</v>
      </c>
      <c r="B174" s="54" t="s">
        <v>1019</v>
      </c>
      <c r="C174" s="54"/>
      <c r="D174" s="54"/>
      <c r="E174" s="54"/>
      <c r="F174" s="54"/>
      <c r="G174" s="54"/>
      <c r="H174" s="189" t="s">
        <v>21</v>
      </c>
      <c r="I174" s="189"/>
      <c r="K174" s="24" t="s">
        <v>830</v>
      </c>
      <c r="L174" s="25" t="s">
        <v>831</v>
      </c>
      <c r="M174" s="19"/>
      <c r="N174" s="19"/>
      <c r="O174" s="19" t="str">
        <f>IF(AND(ISNUMBER(MATCH(M174,{"F","E","D","D+","C","C+","B","B+","A","A+","S"},0)),ISNUMBER(MATCH(#REF!,{"F","E","D","D+","C","C+","B","B+","A","A+","S"},0)),ISNUMBER(MATCH(N178,{"F","E","D","D+","C","C+","B","B+","A","A+","S"},0)),ISNUMBER(MATCH(#REF!,{"F","E","D","D+","C","C+","B","B+","A","A+","S"},0))),LOOKUP(AVERAGE(_xlfn.SWITCH(M182,"F",0,"E",10,"D",20,"D+",30,"C",40,"C+",50,"B",60,"B+",70,"A",80,"A+",90,"S",100),_xlfn.SWITCH(#REF!,"F",0,"E",10,"D",20,"D+",30,"C",40,"C+",50,"B",60,"B+",70,"A",80,"A+",90,"S",100),_xlfn.SWITCH(N186,"F",0,"E",10,"D",20,"D+",30,"C",40,"C+",50,"B",60,"B+",70,"A",80,"A+",90,"S",100),_xlfn.SWITCH(#REF!,"F",0,"E",10,"D",20,"D+",30,"C",40,"C+",50,"B",60,"B+",70,"A",80,"A+",90,"S",100)),{0,15,25,35,45,55,65,75,85,95},{"D","D","D+","C","C+","B","B+","A","A+","S"}),"?")</f>
        <v>?</v>
      </c>
    </row>
    <row r="175" spans="1:15">
      <c r="A175" s="418" t="s">
        <v>539</v>
      </c>
      <c r="B175" s="54" t="s">
        <v>540</v>
      </c>
      <c r="C175" s="54"/>
      <c r="D175" s="54"/>
      <c r="E175" s="54"/>
      <c r="F175" s="54"/>
      <c r="G175" s="54"/>
      <c r="H175" s="189" t="s">
        <v>21</v>
      </c>
      <c r="I175" s="189"/>
      <c r="K175" s="24" t="s">
        <v>789</v>
      </c>
      <c r="L175" s="25" t="s">
        <v>790</v>
      </c>
      <c r="M175" s="19"/>
      <c r="N175" s="19"/>
      <c r="O175" s="19" t="str">
        <f>IF(AND(ISNUMBER(MATCH(M175,{"F","E","D","D+","C","C+","B","B+","A","A+","S"},0)),ISNUMBER(MATCH(#REF!,{"F","E","D","D+","C","C+","B","B+","A","A+","S"},0)),ISNUMBER(MATCH(N179,{"F","E","D","D+","C","C+","B","B+","A","A+","S"},0)),ISNUMBER(MATCH(#REF!,{"F","E","D","D+","C","C+","B","B+","A","A+","S"},0))),LOOKUP(AVERAGE(_xlfn.SWITCH(M183,"F",0,"E",10,"D",20,"D+",30,"C",40,"C+",50,"B",60,"B+",70,"A",80,"A+",90,"S",100),_xlfn.SWITCH(#REF!,"F",0,"E",10,"D",20,"D+",30,"C",40,"C+",50,"B",60,"B+",70,"A",80,"A+",90,"S",100),_xlfn.SWITCH(N187,"F",0,"E",10,"D",20,"D+",30,"C",40,"C+",50,"B",60,"B+",70,"A",80,"A+",90,"S",100),_xlfn.SWITCH(#REF!,"F",0,"E",10,"D",20,"D+",30,"C",40,"C+",50,"B",60,"B+",70,"A",80,"A+",90,"S",100)),{0,15,25,35,45,55,65,75,85,95},{"D","D","D+","C","C+","B","B+","A","A+","S"}),"?")</f>
        <v>?</v>
      </c>
    </row>
    <row r="176" spans="1:15">
      <c r="A176" s="54" t="s">
        <v>4901</v>
      </c>
      <c r="B176" s="54" t="s">
        <v>1030</v>
      </c>
      <c r="C176" s="54"/>
      <c r="D176" s="54"/>
      <c r="E176" s="54"/>
      <c r="F176" s="54"/>
      <c r="G176" s="54"/>
      <c r="H176" s="189" t="s">
        <v>1593</v>
      </c>
      <c r="I176" s="189"/>
      <c r="K176" s="24" t="s">
        <v>527</v>
      </c>
      <c r="L176" s="25" t="s">
        <v>528</v>
      </c>
      <c r="M176" s="19"/>
      <c r="N176" s="19"/>
      <c r="O176" s="19" t="str">
        <f>IF(AND(ISNUMBER(MATCH(M176,{"F","E","D","D+","C","C+","B","B+","A","A+","S"},0)),ISNUMBER(MATCH(#REF!,{"F","E","D","D+","C","C+","B","B+","A","A+","S"},0)),ISNUMBER(MATCH(N180,{"F","E","D","D+","C","C+","B","B+","A","A+","S"},0)),ISNUMBER(MATCH(#REF!,{"F","E","D","D+","C","C+","B","B+","A","A+","S"},0))),LOOKUP(AVERAGE(_xlfn.SWITCH(M184,"F",0,"E",10,"D",20,"D+",30,"C",40,"C+",50,"B",60,"B+",70,"A",80,"A+",90,"S",100),_xlfn.SWITCH(#REF!,"F",0,"E",10,"D",20,"D+",30,"C",40,"C+",50,"B",60,"B+",70,"A",80,"A+",90,"S",100),_xlfn.SWITCH(N188,"F",0,"E",10,"D",20,"D+",30,"C",40,"C+",50,"B",60,"B+",70,"A",80,"A+",90,"S",100),_xlfn.SWITCH(#REF!,"F",0,"E",10,"D",20,"D+",30,"C",40,"C+",50,"B",60,"B+",70,"A",80,"A+",90,"S",100)),{0,15,25,35,45,55,65,75,85,95},{"D","D","D+","C","C+","B","B+","A","A+","S"}),"?")</f>
        <v>?</v>
      </c>
    </row>
    <row r="177" spans="1:15">
      <c r="A177" s="432"/>
      <c r="B177" s="432"/>
      <c r="C177" s="432"/>
      <c r="D177" s="432"/>
      <c r="E177" s="432"/>
      <c r="F177" s="432"/>
      <c r="G177" s="432"/>
      <c r="H177" s="433"/>
      <c r="I177" s="433"/>
      <c r="K177" s="24" t="s">
        <v>1024</v>
      </c>
      <c r="L177" s="25" t="s">
        <v>1025</v>
      </c>
      <c r="M177" s="19"/>
      <c r="N177" s="19"/>
      <c r="O177" s="19" t="str">
        <f>IF(AND(ISNUMBER(MATCH(M177,{"F","E","D","D+","C","C+","B","B+","A","A+","S"},0)),ISNUMBER(MATCH(#REF!,{"F","E","D","D+","C","C+","B","B+","A","A+","S"},0)),ISNUMBER(MATCH(N181,{"F","E","D","D+","C","C+","B","B+","A","A+","S"},0)),ISNUMBER(MATCH(#REF!,{"F","E","D","D+","C","C+","B","B+","A","A+","S"},0))),LOOKUP(AVERAGE(_xlfn.SWITCH(M185,"F",0,"E",10,"D",20,"D+",30,"C",40,"C+",50,"B",60,"B+",70,"A",80,"A+",90,"S",100),_xlfn.SWITCH(#REF!,"F",0,"E",10,"D",20,"D+",30,"C",40,"C+",50,"B",60,"B+",70,"A",80,"A+",90,"S",100),_xlfn.SWITCH(N189,"F",0,"E",10,"D",20,"D+",30,"C",40,"C+",50,"B",60,"B+",70,"A",80,"A+",90,"S",100),_xlfn.SWITCH(#REF!,"F",0,"E",10,"D",20,"D+",30,"C",40,"C+",50,"B",60,"B+",70,"A",80,"A+",90,"S",100)),{0,15,25,35,45,55,65,75,85,95},{"D","D","D+","C","C+","B","B+","A","A+","S"}),"?")</f>
        <v>?</v>
      </c>
    </row>
    <row r="178" spans="1:15">
      <c r="A178" s="418" t="s">
        <v>4902</v>
      </c>
      <c r="B178" s="54" t="s">
        <v>1041</v>
      </c>
      <c r="C178" s="54"/>
      <c r="D178" s="54"/>
      <c r="E178" s="54"/>
      <c r="F178" s="54"/>
      <c r="G178" s="54"/>
      <c r="H178" s="189" t="s">
        <v>17</v>
      </c>
      <c r="I178" s="189"/>
      <c r="K178" s="24" t="s">
        <v>1031</v>
      </c>
      <c r="L178" s="25" t="s">
        <v>1032</v>
      </c>
      <c r="M178" s="19"/>
      <c r="N178" s="19"/>
      <c r="O178" s="19" t="str">
        <f>IF(AND(ISNUMBER(MATCH(M178,{"F","E","D","D+","C","C+","B","B+","A","A+","S"},0)),ISNUMBER(MATCH(#REF!,{"F","E","D","D+","C","C+","B","B+","A","A+","S"},0)),ISNUMBER(MATCH(N182,{"F","E","D","D+","C","C+","B","B+","A","A+","S"},0)),ISNUMBER(MATCH(#REF!,{"F","E","D","D+","C","C+","B","B+","A","A+","S"},0))),LOOKUP(AVERAGE(_xlfn.SWITCH(M186,"F",0,"E",10,"D",20,"D+",30,"C",40,"C+",50,"B",60,"B+",70,"A",80,"A+",90,"S",100),_xlfn.SWITCH(#REF!,"F",0,"E",10,"D",20,"D+",30,"C",40,"C+",50,"B",60,"B+",70,"A",80,"A+",90,"S",100),_xlfn.SWITCH(N190,"F",0,"E",10,"D",20,"D+",30,"C",40,"C+",50,"B",60,"B+",70,"A",80,"A+",90,"S",100),_xlfn.SWITCH(#REF!,"F",0,"E",10,"D",20,"D+",30,"C",40,"C+",50,"B",60,"B+",70,"A",80,"A+",90,"S",100)),{0,15,25,35,45,55,65,75,85,95},{"D","D","D+","C","C+","B","B+","A","A+","S"}),"?")</f>
        <v>?</v>
      </c>
    </row>
    <row r="179" spans="1:15">
      <c r="A179" s="54" t="s">
        <v>4903</v>
      </c>
      <c r="B179" s="54" t="s">
        <v>1047</v>
      </c>
      <c r="C179" s="54"/>
      <c r="D179" s="54"/>
      <c r="E179" s="54"/>
      <c r="F179" s="54"/>
      <c r="G179" s="54"/>
      <c r="H179" s="189" t="s">
        <v>1574</v>
      </c>
      <c r="I179" s="189"/>
      <c r="K179" s="24" t="s">
        <v>816</v>
      </c>
      <c r="L179" s="25" t="s">
        <v>817</v>
      </c>
      <c r="M179" s="19"/>
      <c r="N179" s="19"/>
      <c r="O179" s="19" t="str">
        <f>IF(AND(ISNUMBER(MATCH(M179,{"F","E","D","D+","C","C+","B","B+","A","A+","S"},0)),ISNUMBER(MATCH(#REF!,{"F","E","D","D+","C","C+","B","B+","A","A+","S"},0)),ISNUMBER(MATCH(N183,{"F","E","D","D+","C","C+","B","B+","A","A+","S"},0)),ISNUMBER(MATCH(#REF!,{"F","E","D","D+","C","C+","B","B+","A","A+","S"},0))),LOOKUP(AVERAGE(_xlfn.SWITCH(M187,"F",0,"E",10,"D",20,"D+",30,"C",40,"C+",50,"B",60,"B+",70,"A",80,"A+",90,"S",100),_xlfn.SWITCH(#REF!,"F",0,"E",10,"D",20,"D+",30,"C",40,"C+",50,"B",60,"B+",70,"A",80,"A+",90,"S",100),_xlfn.SWITCH(N191,"F",0,"E",10,"D",20,"D+",30,"C",40,"C+",50,"B",60,"B+",70,"A",80,"A+",90,"S",100),_xlfn.SWITCH(#REF!,"F",0,"E",10,"D",20,"D+",30,"C",40,"C+",50,"B",60,"B+",70,"A",80,"A+",90,"S",100)),{0,15,25,35,45,55,65,75,85,95},{"D","D","D+","C","C+","B","B+","A","A+","S"}),"?")</f>
        <v>?</v>
      </c>
    </row>
    <row r="180" spans="1:15">
      <c r="A180" s="418" t="s">
        <v>974</v>
      </c>
      <c r="B180" s="54" t="s">
        <v>975</v>
      </c>
      <c r="C180" s="54"/>
      <c r="D180" s="54"/>
      <c r="E180" s="54"/>
      <c r="F180" s="54"/>
      <c r="G180" s="54"/>
      <c r="H180" s="189" t="s">
        <v>21</v>
      </c>
      <c r="I180" s="189"/>
      <c r="K180" s="24" t="s">
        <v>1035</v>
      </c>
      <c r="L180" s="25" t="s">
        <v>1036</v>
      </c>
      <c r="M180" s="19"/>
      <c r="N180" s="19"/>
      <c r="O180" s="19" t="str">
        <f>IF(AND(ISNUMBER(MATCH(M180,{"F","E","D","D+","C","C+","B","B+","A","A+","S"},0)),ISNUMBER(MATCH(#REF!,{"F","E","D","D+","C","C+","B","B+","A","A+","S"},0)),ISNUMBER(MATCH(N184,{"F","E","D","D+","C","C+","B","B+","A","A+","S"},0)),ISNUMBER(MATCH(#REF!,{"F","E","D","D+","C","C+","B","B+","A","A+","S"},0))),LOOKUP(AVERAGE(_xlfn.SWITCH(M188,"F",0,"E",10,"D",20,"D+",30,"C",40,"C+",50,"B",60,"B+",70,"A",80,"A+",90,"S",100),_xlfn.SWITCH(#REF!,"F",0,"E",10,"D",20,"D+",30,"C",40,"C+",50,"B",60,"B+",70,"A",80,"A+",90,"S",100),_xlfn.SWITCH(N192,"F",0,"E",10,"D",20,"D+",30,"C",40,"C+",50,"B",60,"B+",70,"A",80,"A+",90,"S",100),_xlfn.SWITCH(#REF!,"F",0,"E",10,"D",20,"D+",30,"C",40,"C+",50,"B",60,"B+",70,"A",80,"A+",90,"S",100)),{0,15,25,35,45,55,65,75,85,95},{"D","D","D+","C","C+","B","B+","A","A+","S"}),"?")</f>
        <v>?</v>
      </c>
    </row>
    <row r="181" spans="1:15" ht="18" customHeight="1">
      <c r="A181" s="409" t="s">
        <v>4904</v>
      </c>
      <c r="B181" s="20" t="s">
        <v>1060</v>
      </c>
      <c r="C181" s="20"/>
      <c r="D181" s="20"/>
      <c r="E181" s="20"/>
      <c r="F181" s="20"/>
      <c r="G181" s="20"/>
      <c r="H181" s="425" t="s">
        <v>1574</v>
      </c>
      <c r="I181" s="426"/>
      <c r="K181" s="24" t="s">
        <v>672</v>
      </c>
      <c r="L181" s="25" t="s">
        <v>673</v>
      </c>
      <c r="M181" s="19"/>
      <c r="N181" s="19"/>
      <c r="O181" s="19" t="str">
        <f>IF(AND(ISNUMBER(MATCH(M181,{"F","E","D","D+","C","C+","B","B+","A","A+","S"},0)),ISNUMBER(MATCH(#REF!,{"F","E","D","D+","C","C+","B","B+","A","A+","S"},0)),ISNUMBER(MATCH(N185,{"F","E","D","D+","C","C+","B","B+","A","A+","S"},0)),ISNUMBER(MATCH(#REF!,{"F","E","D","D+","C","C+","B","B+","A","A+","S"},0))),LOOKUP(AVERAGE(_xlfn.SWITCH(M189,"F",0,"E",10,"D",20,"D+",30,"C",40,"C+",50,"B",60,"B+",70,"A",80,"A+",90,"S",100),_xlfn.SWITCH(#REF!,"F",0,"E",10,"D",20,"D+",30,"C",40,"C+",50,"B",60,"B+",70,"A",80,"A+",90,"S",100),_xlfn.SWITCH(N193,"F",0,"E",10,"D",20,"D+",30,"C",40,"C+",50,"B",60,"B+",70,"A",80,"A+",90,"S",100),_xlfn.SWITCH(#REF!,"F",0,"E",10,"D",20,"D+",30,"C",40,"C+",50,"B",60,"B+",70,"A",80,"A+",90,"S",100)),{0,15,25,35,45,55,65,75,85,95},{"D","D","D+","C","C+","B","B+","A","A+","S"}),"?")</f>
        <v>?</v>
      </c>
    </row>
    <row r="182" spans="1:15" ht="12.75" customHeight="1">
      <c r="A182" s="434" t="s">
        <v>1016</v>
      </c>
      <c r="B182" s="21" t="s">
        <v>1017</v>
      </c>
      <c r="C182" s="21"/>
      <c r="D182" s="21"/>
      <c r="E182" s="21"/>
      <c r="F182" s="21"/>
      <c r="G182" s="21"/>
      <c r="H182" s="427" t="s">
        <v>1567</v>
      </c>
      <c r="I182" s="428"/>
      <c r="K182" s="24" t="s">
        <v>706</v>
      </c>
      <c r="L182" s="25" t="s">
        <v>707</v>
      </c>
      <c r="M182" s="19"/>
      <c r="N182" s="19"/>
      <c r="O182" s="19" t="str">
        <f>IF(AND(ISNUMBER(MATCH(M182,{"F","E","D","D+","C","C+","B","B+","A","A+","S"},0)),ISNUMBER(MATCH(#REF!,{"F","E","D","D+","C","C+","B","B+","A","A+","S"},0)),ISNUMBER(MATCH(N186,{"F","E","D","D+","C","C+","B","B+","A","A+","S"},0)),ISNUMBER(MATCH(#REF!,{"F","E","D","D+","C","C+","B","B+","A","A+","S"},0))),LOOKUP(AVERAGE(_xlfn.SWITCH(M190,"F",0,"E",10,"D",20,"D+",30,"C",40,"C+",50,"B",60,"B+",70,"A",80,"A+",90,"S",100),_xlfn.SWITCH(#REF!,"F",0,"E",10,"D",20,"D+",30,"C",40,"C+",50,"B",60,"B+",70,"A",80,"A+",90,"S",100),_xlfn.SWITCH(N194,"F",0,"E",10,"D",20,"D+",30,"C",40,"C+",50,"B",60,"B+",70,"A",80,"A+",90,"S",100),_xlfn.SWITCH(#REF!,"F",0,"E",10,"D",20,"D+",30,"C",40,"C+",50,"B",60,"B+",70,"A",80,"A+",90,"S",100)),{0,15,25,35,45,55,65,75,85,95},{"D","D","D+","C","C+","B","B+","A","A+","S"}),"?")</f>
        <v>?</v>
      </c>
    </row>
    <row r="183" spans="1:15">
      <c r="A183" s="54" t="s">
        <v>4905</v>
      </c>
      <c r="B183" s="54" t="s">
        <v>1017</v>
      </c>
      <c r="C183" s="54"/>
      <c r="D183" s="54"/>
      <c r="E183" s="54"/>
      <c r="F183" s="54"/>
      <c r="G183" s="54"/>
      <c r="H183" s="189" t="s">
        <v>1593</v>
      </c>
      <c r="I183" s="189"/>
      <c r="K183" s="24" t="s">
        <v>1048</v>
      </c>
      <c r="L183" s="25" t="s">
        <v>1049</v>
      </c>
      <c r="M183" s="19"/>
      <c r="N183" s="19"/>
      <c r="O183" s="19" t="str">
        <f>IF(AND(ISNUMBER(MATCH(M183,{"F","E","D","D+","C","C+","B","B+","A","A+","S"},0)),ISNUMBER(MATCH(#REF!,{"F","E","D","D+","C","C+","B","B+","A","A+","S"},0)),ISNUMBER(MATCH(N187,{"F","E","D","D+","C","C+","B","B+","A","A+","S"},0)),ISNUMBER(MATCH(#REF!,{"F","E","D","D+","C","C+","B","B+","A","A+","S"},0))),LOOKUP(AVERAGE(_xlfn.SWITCH(M191,"F",0,"E",10,"D",20,"D+",30,"C",40,"C+",50,"B",60,"B+",70,"A",80,"A+",90,"S",100),_xlfn.SWITCH(#REF!,"F",0,"E",10,"D",20,"D+",30,"C",40,"C+",50,"B",60,"B+",70,"A",80,"A+",90,"S",100),_xlfn.SWITCH(N195,"F",0,"E",10,"D",20,"D+",30,"C",40,"C+",50,"B",60,"B+",70,"A",80,"A+",90,"S",100),_xlfn.SWITCH(#REF!,"F",0,"E",10,"D",20,"D+",30,"C",40,"C+",50,"B",60,"B+",70,"A",80,"A+",90,"S",100)),{0,15,25,35,45,55,65,75,85,95},{"D","D","D+","C","C+","B","B+","A","A+","S"}),"?")</f>
        <v>?</v>
      </c>
    </row>
    <row r="184" spans="1:15">
      <c r="A184" s="54" t="s">
        <v>3921</v>
      </c>
      <c r="B184" s="54" t="s">
        <v>1076</v>
      </c>
      <c r="C184" s="54"/>
      <c r="D184" s="54"/>
      <c r="E184" s="54"/>
      <c r="F184" s="54"/>
      <c r="G184" s="54"/>
      <c r="H184" s="189" t="s">
        <v>1567</v>
      </c>
      <c r="I184" s="189"/>
      <c r="K184" s="24" t="s">
        <v>1054</v>
      </c>
      <c r="L184" s="25" t="s">
        <v>1055</v>
      </c>
      <c r="M184" s="19"/>
      <c r="N184" s="19"/>
      <c r="O184" s="19" t="str">
        <f>IF(AND(ISNUMBER(MATCH(M184,{"F","E","D","D+","C","C+","B","B+","A","A+","S"},0)),ISNUMBER(MATCH(#REF!,{"F","E","D","D+","C","C+","B","B+","A","A+","S"},0)),ISNUMBER(MATCH(N188,{"F","E","D","D+","C","C+","B","B+","A","A+","S"},0)),ISNUMBER(MATCH(#REF!,{"F","E","D","D+","C","C+","B","B+","A","A+","S"},0))),LOOKUP(AVERAGE(_xlfn.SWITCH(M192,"F",0,"E",10,"D",20,"D+",30,"C",40,"C+",50,"B",60,"B+",70,"A",80,"A+",90,"S",100),_xlfn.SWITCH(#REF!,"F",0,"E",10,"D",20,"D+",30,"C",40,"C+",50,"B",60,"B+",70,"A",80,"A+",90,"S",100),_xlfn.SWITCH(N196,"F",0,"E",10,"D",20,"D+",30,"C",40,"C+",50,"B",60,"B+",70,"A",80,"A+",90,"S",100),_xlfn.SWITCH(#REF!,"F",0,"E",10,"D",20,"D+",30,"C",40,"C+",50,"B",60,"B+",70,"A",80,"A+",90,"S",100)),{0,15,25,35,45,55,65,75,85,95},{"D","D","D+","C","C+","B","B+","A","A+","S"}),"?")</f>
        <v>?</v>
      </c>
    </row>
    <row r="185" spans="1:15">
      <c r="A185" s="418" t="s">
        <v>922</v>
      </c>
      <c r="B185" s="54" t="s">
        <v>923</v>
      </c>
      <c r="C185" s="54"/>
      <c r="D185" s="54"/>
      <c r="E185" s="54"/>
      <c r="F185" s="54"/>
      <c r="G185" s="54"/>
      <c r="H185" s="189" t="s">
        <v>21</v>
      </c>
      <c r="I185" s="189"/>
      <c r="K185" s="24" t="s">
        <v>569</v>
      </c>
      <c r="L185" s="25" t="s">
        <v>707</v>
      </c>
      <c r="M185" s="19"/>
      <c r="N185" s="19"/>
      <c r="O185" s="19" t="str">
        <f>IF(AND(ISNUMBER(MATCH(M185,{"F","E","D","D+","C","C+","B","B+","A","A+","S"},0)),ISNUMBER(MATCH(#REF!,{"F","E","D","D+","C","C+","B","B+","A","A+","S"},0)),ISNUMBER(MATCH(N189,{"F","E","D","D+","C","C+","B","B+","A","A+","S"},0)),ISNUMBER(MATCH(#REF!,{"F","E","D","D+","C","C+","B","B+","A","A+","S"},0))),LOOKUP(AVERAGE(_xlfn.SWITCH(M193,"F",0,"E",10,"D",20,"D+",30,"C",40,"C+",50,"B",60,"B+",70,"A",80,"A+",90,"S",100),_xlfn.SWITCH(#REF!,"F",0,"E",10,"D",20,"D+",30,"C",40,"C+",50,"B",60,"B+",70,"A",80,"A+",90,"S",100),_xlfn.SWITCH(N197,"F",0,"E",10,"D",20,"D+",30,"C",40,"C+",50,"B",60,"B+",70,"A",80,"A+",90,"S",100),_xlfn.SWITCH(#REF!,"F",0,"E",10,"D",20,"D+",30,"C",40,"C+",50,"B",60,"B+",70,"A",80,"A+",90,"S",100)),{0,15,25,35,45,55,65,75,85,95},{"D","D","D+","C","C+","B","B+","A","A+","S"}),"?")</f>
        <v>?</v>
      </c>
    </row>
    <row r="186" spans="1:15">
      <c r="A186" s="54" t="s">
        <v>917</v>
      </c>
      <c r="B186" s="54" t="s">
        <v>918</v>
      </c>
      <c r="C186" s="418"/>
      <c r="D186" s="54"/>
      <c r="E186" s="54"/>
      <c r="F186" s="54"/>
      <c r="G186" s="54"/>
      <c r="H186" s="189" t="s">
        <v>1593</v>
      </c>
      <c r="I186" s="189"/>
      <c r="K186" s="24" t="s">
        <v>1065</v>
      </c>
      <c r="L186" s="25" t="s">
        <v>1066</v>
      </c>
      <c r="M186" s="19"/>
      <c r="N186" s="19"/>
      <c r="O186" s="19" t="str">
        <f>IF(AND(ISNUMBER(MATCH(M186,{"F","E","D","D+","C","C+","B","B+","A","A+","S"},0)),ISNUMBER(MATCH(#REF!,{"F","E","D","D+","C","C+","B","B+","A","A+","S"},0)),ISNUMBER(MATCH(N190,{"F","E","D","D+","C","C+","B","B+","A","A+","S"},0)),ISNUMBER(MATCH(#REF!,{"F","E","D","D+","C","C+","B","B+","A","A+","S"},0))),LOOKUP(AVERAGE(_xlfn.SWITCH(M194,"F",0,"E",10,"D",20,"D+",30,"C",40,"C+",50,"B",60,"B+",70,"A",80,"A+",90,"S",100),_xlfn.SWITCH(#REF!,"F",0,"E",10,"D",20,"D+",30,"C",40,"C+",50,"B",60,"B+",70,"A",80,"A+",90,"S",100),_xlfn.SWITCH(N198,"F",0,"E",10,"D",20,"D+",30,"C",40,"C+",50,"B",60,"B+",70,"A",80,"A+",90,"S",100),_xlfn.SWITCH(#REF!,"F",0,"E",10,"D",20,"D+",30,"C",40,"C+",50,"B",60,"B+",70,"A",80,"A+",90,"S",100)),{0,15,25,35,45,55,65,75,85,95},{"D","D","D+","C","C+","B","B+","A","A+","S"}),"?")</f>
        <v>?</v>
      </c>
    </row>
    <row r="187" spans="1:15">
      <c r="A187" s="417" t="s">
        <v>985</v>
      </c>
      <c r="B187" s="54" t="s">
        <v>151</v>
      </c>
      <c r="C187" s="54"/>
      <c r="D187" s="54"/>
      <c r="E187" s="54"/>
      <c r="F187" s="54"/>
      <c r="G187" s="54"/>
      <c r="H187" s="189" t="s">
        <v>17</v>
      </c>
      <c r="I187" s="189"/>
      <c r="K187" s="24" t="s">
        <v>1070</v>
      </c>
      <c r="L187" s="25" t="s">
        <v>1071</v>
      </c>
      <c r="M187" s="19"/>
      <c r="N187" s="19"/>
      <c r="O187" s="19" t="str">
        <f>IF(AND(ISNUMBER(MATCH(M187,{"F","E","D","D+","C","C+","B","B+","A","A+","S"},0)),ISNUMBER(MATCH(#REF!,{"F","E","D","D+","C","C+","B","B+","A","A+","S"},0)),ISNUMBER(MATCH(N191,{"F","E","D","D+","C","C+","B","B+","A","A+","S"},0)),ISNUMBER(MATCH(#REF!,{"F","E","D","D+","C","C+","B","B+","A","A+","S"},0))),LOOKUP(AVERAGE(_xlfn.SWITCH(M195,"F",0,"E",10,"D",20,"D+",30,"C",40,"C+",50,"B",60,"B+",70,"A",80,"A+",90,"S",100),_xlfn.SWITCH(#REF!,"F",0,"E",10,"D",20,"D+",30,"C",40,"C+",50,"B",60,"B+",70,"A",80,"A+",90,"S",100),_xlfn.SWITCH(N199,"F",0,"E",10,"D",20,"D+",30,"C",40,"C+",50,"B",60,"B+",70,"A",80,"A+",90,"S",100),_xlfn.SWITCH(#REF!,"F",0,"E",10,"D",20,"D+",30,"C",40,"C+",50,"B",60,"B+",70,"A",80,"A+",90,"S",100)),{0,15,25,35,45,55,65,75,85,95},{"D","D","D+","C","C+","B","B+","A","A+","S"}),"?")</f>
        <v>?</v>
      </c>
    </row>
    <row r="188" spans="1:15">
      <c r="A188" s="54" t="s">
        <v>4906</v>
      </c>
      <c r="B188" s="54" t="s">
        <v>1099</v>
      </c>
      <c r="C188" s="54"/>
      <c r="D188" s="54"/>
      <c r="E188" s="54"/>
      <c r="F188" s="54"/>
      <c r="G188" s="54" t="s">
        <v>2028</v>
      </c>
      <c r="H188" s="189" t="s">
        <v>1593</v>
      </c>
      <c r="I188" s="189"/>
      <c r="K188" s="24" t="s">
        <v>605</v>
      </c>
      <c r="L188" s="25" t="s">
        <v>606</v>
      </c>
      <c r="M188" s="19"/>
      <c r="N188" s="19"/>
      <c r="O188" s="19" t="str">
        <f>IF(AND(ISNUMBER(MATCH(M188,{"F","E","D","D+","C","C+","B","B+","A","A+","S"},0)),ISNUMBER(MATCH(#REF!,{"F","E","D","D+","C","C+","B","B+","A","A+","S"},0)),ISNUMBER(MATCH(N192,{"F","E","D","D+","C","C+","B","B+","A","A+","S"},0)),ISNUMBER(MATCH(#REF!,{"F","E","D","D+","C","C+","B","B+","A","A+","S"},0))),LOOKUP(AVERAGE(_xlfn.SWITCH(M196,"F",0,"E",10,"D",20,"D+",30,"C",40,"C+",50,"B",60,"B+",70,"A",80,"A+",90,"S",100),_xlfn.SWITCH(#REF!,"F",0,"E",10,"D",20,"D+",30,"C",40,"C+",50,"B",60,"B+",70,"A",80,"A+",90,"S",100),_xlfn.SWITCH(N200,"F",0,"E",10,"D",20,"D+",30,"C",40,"C+",50,"B",60,"B+",70,"A",80,"A+",90,"S",100),_xlfn.SWITCH(#REF!,"F",0,"E",10,"D",20,"D+",30,"C",40,"C+",50,"B",60,"B+",70,"A",80,"A+",90,"S",100)),{0,15,25,35,45,55,65,75,85,95},{"D","D","D+","C","C+","B","B+","A","A+","S"}),"?")</f>
        <v>?</v>
      </c>
    </row>
    <row r="189" spans="1:15">
      <c r="A189" s="54" t="s">
        <v>4907</v>
      </c>
      <c r="B189" s="54" t="s">
        <v>4908</v>
      </c>
      <c r="C189" s="54"/>
      <c r="D189" s="54"/>
      <c r="E189" s="54"/>
      <c r="F189" s="54"/>
      <c r="G189" s="54"/>
      <c r="H189" s="189" t="s">
        <v>1593</v>
      </c>
      <c r="I189" s="189"/>
      <c r="K189" s="24" t="s">
        <v>1081</v>
      </c>
      <c r="L189" s="25" t="s">
        <v>1082</v>
      </c>
      <c r="M189" s="19"/>
      <c r="N189" s="19"/>
      <c r="O189" s="19" t="str">
        <f>IF(AND(ISNUMBER(MATCH(M189,{"F","E","D","D+","C","C+","B","B+","A","A+","S"},0)),ISNUMBER(MATCH(#REF!,{"F","E","D","D+","C","C+","B","B+","A","A+","S"},0)),ISNUMBER(MATCH(N193,{"F","E","D","D+","C","C+","B","B+","A","A+","S"},0)),ISNUMBER(MATCH(#REF!,{"F","E","D","D+","C","C+","B","B+","A","A+","S"},0))),LOOKUP(AVERAGE(_xlfn.SWITCH(M197,"F",0,"E",10,"D",20,"D+",30,"C",40,"C+",50,"B",60,"B+",70,"A",80,"A+",90,"S",100),_xlfn.SWITCH(#REF!,"F",0,"E",10,"D",20,"D+",30,"C",40,"C+",50,"B",60,"B+",70,"A",80,"A+",90,"S",100),_xlfn.SWITCH(N201,"F",0,"E",10,"D",20,"D+",30,"C",40,"C+",50,"B",60,"B+",70,"A",80,"A+",90,"S",100),_xlfn.SWITCH(#REF!,"F",0,"E",10,"D",20,"D+",30,"C",40,"C+",50,"B",60,"B+",70,"A",80,"A+",90,"S",100)),{0,15,25,35,45,55,65,75,85,95},{"D","D","D+","C","C+","B","B+","A","A+","S"}),"?")</f>
        <v>?</v>
      </c>
    </row>
    <row r="190" spans="1:15">
      <c r="A190" s="417" t="s">
        <v>969</v>
      </c>
      <c r="B190" s="54" t="s">
        <v>970</v>
      </c>
      <c r="C190" s="54"/>
      <c r="D190" s="54"/>
      <c r="E190" s="54"/>
      <c r="F190" s="54"/>
      <c r="G190" s="54"/>
      <c r="H190" s="189" t="s">
        <v>17</v>
      </c>
      <c r="I190" s="189"/>
      <c r="K190" s="24" t="s">
        <v>1087</v>
      </c>
      <c r="L190" s="25" t="s">
        <v>1088</v>
      </c>
      <c r="M190" s="19"/>
      <c r="N190" s="19"/>
      <c r="O190" s="19" t="str">
        <f>IF(AND(ISNUMBER(MATCH(M190,{"F","E","D","D+","C","C+","B","B+","A","A+","S"},0)),ISNUMBER(MATCH(#REF!,{"F","E","D","D+","C","C+","B","B+","A","A+","S"},0)),ISNUMBER(MATCH(N194,{"F","E","D","D+","C","C+","B","B+","A","A+","S"},0)),ISNUMBER(MATCH(#REF!,{"F","E","D","D+","C","C+","B","B+","A","A+","S"},0))),LOOKUP(AVERAGE(_xlfn.SWITCH(M198,"F",0,"E",10,"D",20,"D+",30,"C",40,"C+",50,"B",60,"B+",70,"A",80,"A+",90,"S",100),_xlfn.SWITCH(#REF!,"F",0,"E",10,"D",20,"D+",30,"C",40,"C+",50,"B",60,"B+",70,"A",80,"A+",90,"S",100),_xlfn.SWITCH(N202,"F",0,"E",10,"D",20,"D+",30,"C",40,"C+",50,"B",60,"B+",70,"A",80,"A+",90,"S",100),_xlfn.SWITCH(#REF!,"F",0,"E",10,"D",20,"D+",30,"C",40,"C+",50,"B",60,"B+",70,"A",80,"A+",90,"S",100)),{0,15,25,35,45,55,65,75,85,95},{"D","D","D+","C","C+","B","B+","A","A+","S"}),"?")</f>
        <v>?</v>
      </c>
    </row>
    <row r="191" spans="1:15">
      <c r="A191" s="54" t="s">
        <v>4909</v>
      </c>
      <c r="B191" s="54" t="s">
        <v>1112</v>
      </c>
      <c r="C191" s="54"/>
      <c r="D191" s="54"/>
      <c r="E191" s="54"/>
      <c r="F191" s="54"/>
      <c r="G191" s="54"/>
      <c r="H191" s="189" t="s">
        <v>1593</v>
      </c>
      <c r="I191" s="189"/>
      <c r="K191" s="24" t="s">
        <v>1093</v>
      </c>
      <c r="L191" s="25" t="s">
        <v>1094</v>
      </c>
      <c r="M191" s="19"/>
      <c r="N191" s="19"/>
      <c r="O191" s="19" t="str">
        <f>IF(AND(ISNUMBER(MATCH(M191,{"F","E","D","D+","C","C+","B","B+","A","A+","S"},0)),ISNUMBER(MATCH(#REF!,{"F","E","D","D+","C","C+","B","B+","A","A+","S"},0)),ISNUMBER(MATCH(N195,{"F","E","D","D+","C","C+","B","B+","A","A+","S"},0)),ISNUMBER(MATCH(#REF!,{"F","E","D","D+","C","C+","B","B+","A","A+","S"},0))),LOOKUP(AVERAGE(_xlfn.SWITCH(M199,"F",0,"E",10,"D",20,"D+",30,"C",40,"C+",50,"B",60,"B+",70,"A",80,"A+",90,"S",100),_xlfn.SWITCH(#REF!,"F",0,"E",10,"D",20,"D+",30,"C",40,"C+",50,"B",60,"B+",70,"A",80,"A+",90,"S",100),_xlfn.SWITCH(N203,"F",0,"E",10,"D",20,"D+",30,"C",40,"C+",50,"B",60,"B+",70,"A",80,"A+",90,"S",100),_xlfn.SWITCH(#REF!,"F",0,"E",10,"D",20,"D+",30,"C",40,"C+",50,"B",60,"B+",70,"A",80,"A+",90,"S",100)),{0,15,25,35,45,55,65,75,85,95},{"D","D","D+","C","C+","B","B+","A","A+","S"}),"?")</f>
        <v>?</v>
      </c>
    </row>
    <row r="192" spans="1:15">
      <c r="A192" s="54" t="s">
        <v>4910</v>
      </c>
      <c r="B192" s="54" t="s">
        <v>1119</v>
      </c>
      <c r="C192" s="54"/>
      <c r="D192" s="54"/>
      <c r="E192" s="54"/>
      <c r="F192" s="54"/>
      <c r="G192" s="54"/>
      <c r="H192" s="189" t="s">
        <v>1574</v>
      </c>
      <c r="I192" s="189"/>
      <c r="K192" s="24" t="s">
        <v>853</v>
      </c>
      <c r="L192" s="25" t="s">
        <v>854</v>
      </c>
      <c r="M192" s="19"/>
      <c r="N192" s="19"/>
      <c r="O192" s="19" t="str">
        <f>IF(AND(ISNUMBER(MATCH(M192,{"F","E","D","D+","C","C+","B","B+","A","A+","S"},0)),ISNUMBER(MATCH(#REF!,{"F","E","D","D+","C","C+","B","B+","A","A+","S"},0)),ISNUMBER(MATCH(N196,{"F","E","D","D+","C","C+","B","B+","A","A+","S"},0)),ISNUMBER(MATCH(#REF!,{"F","E","D","D+","C","C+","B","B+","A","A+","S"},0))),LOOKUP(AVERAGE(_xlfn.SWITCH(M200,"F",0,"E",10,"D",20,"D+",30,"C",40,"C+",50,"B",60,"B+",70,"A",80,"A+",90,"S",100),_xlfn.SWITCH(#REF!,"F",0,"E",10,"D",20,"D+",30,"C",40,"C+",50,"B",60,"B+",70,"A",80,"A+",90,"S",100),_xlfn.SWITCH(N204,"F",0,"E",10,"D",20,"D+",30,"C",40,"C+",50,"B",60,"B+",70,"A",80,"A+",90,"S",100),_xlfn.SWITCH(#REF!,"F",0,"E",10,"D",20,"D+",30,"C",40,"C+",50,"B",60,"B+",70,"A",80,"A+",90,"S",100)),{0,15,25,35,45,55,65,75,85,95},{"D","D","D+","C","C+","B","B+","A","A+","S"}),"?")</f>
        <v>?</v>
      </c>
    </row>
    <row r="193" spans="1:15">
      <c r="A193" s="54" t="s">
        <v>4911</v>
      </c>
      <c r="B193" s="54" t="s">
        <v>1124</v>
      </c>
      <c r="C193" s="54"/>
      <c r="D193" s="54"/>
      <c r="E193" s="54"/>
      <c r="F193" s="54"/>
      <c r="G193" s="54"/>
      <c r="H193" s="189" t="s">
        <v>1593</v>
      </c>
      <c r="I193" s="189"/>
      <c r="K193" s="24" t="s">
        <v>725</v>
      </c>
      <c r="L193" s="25" t="s">
        <v>726</v>
      </c>
      <c r="M193" s="19"/>
      <c r="N193" s="19"/>
      <c r="O193" s="19" t="str">
        <f>IF(AND(ISNUMBER(MATCH(M193,{"F","E","D","D+","C","C+","B","B+","A","A+","S"},0)),ISNUMBER(MATCH(#REF!,{"F","E","D","D+","C","C+","B","B+","A","A+","S"},0)),ISNUMBER(MATCH(N197,{"F","E","D","D+","C","C+","B","B+","A","A+","S"},0)),ISNUMBER(MATCH(#REF!,{"F","E","D","D+","C","C+","B","B+","A","A+","S"},0))),LOOKUP(AVERAGE(_xlfn.SWITCH(M201,"F",0,"E",10,"D",20,"D+",30,"C",40,"C+",50,"B",60,"B+",70,"A",80,"A+",90,"S",100),_xlfn.SWITCH(#REF!,"F",0,"E",10,"D",20,"D+",30,"C",40,"C+",50,"B",60,"B+",70,"A",80,"A+",90,"S",100),_xlfn.SWITCH(N205,"F",0,"E",10,"D",20,"D+",30,"C",40,"C+",50,"B",60,"B+",70,"A",80,"A+",90,"S",100),_xlfn.SWITCH(#REF!,"F",0,"E",10,"D",20,"D+",30,"C",40,"C+",50,"B",60,"B+",70,"A",80,"A+",90,"S",100)),{0,15,25,35,45,55,65,75,85,95},{"D","D","D+","C","C+","B","B+","A","A+","S"}),"?")</f>
        <v>?</v>
      </c>
    </row>
    <row r="194" spans="1:15">
      <c r="A194" s="54" t="s">
        <v>4912</v>
      </c>
      <c r="B194" s="54" t="s">
        <v>1131</v>
      </c>
      <c r="C194" s="54"/>
      <c r="D194" s="54"/>
      <c r="E194" s="54"/>
      <c r="F194" s="54"/>
      <c r="G194" s="54"/>
      <c r="H194" s="189" t="s">
        <v>1593</v>
      </c>
      <c r="I194" s="189"/>
      <c r="K194" s="24" t="s">
        <v>731</v>
      </c>
      <c r="L194" s="25" t="s">
        <v>732</v>
      </c>
      <c r="M194" s="19"/>
      <c r="N194" s="19"/>
      <c r="O194" s="19" t="str">
        <f>IF(AND(ISNUMBER(MATCH(M194,{"F","E","D","D+","C","C+","B","B+","A","A+","S"},0)),ISNUMBER(MATCH(#REF!,{"F","E","D","D+","C","C+","B","B+","A","A+","S"},0)),ISNUMBER(MATCH(N198,{"F","E","D","D+","C","C+","B","B+","A","A+","S"},0)),ISNUMBER(MATCH(#REF!,{"F","E","D","D+","C","C+","B","B+","A","A+","S"},0))),LOOKUP(AVERAGE(_xlfn.SWITCH(M202,"F",0,"E",10,"D",20,"D+",30,"C",40,"C+",50,"B",60,"B+",70,"A",80,"A+",90,"S",100),_xlfn.SWITCH(#REF!,"F",0,"E",10,"D",20,"D+",30,"C",40,"C+",50,"B",60,"B+",70,"A",80,"A+",90,"S",100),_xlfn.SWITCH(N206,"F",0,"E",10,"D",20,"D+",30,"C",40,"C+",50,"B",60,"B+",70,"A",80,"A+",90,"S",100),_xlfn.SWITCH(#REF!,"F",0,"E",10,"D",20,"D+",30,"C",40,"C+",50,"B",60,"B+",70,"A",80,"A+",90,"S",100)),{0,15,25,35,45,55,65,75,85,95},{"D","D","D+","C","C+","B","B+","A","A+","S"}),"?")</f>
        <v>?</v>
      </c>
    </row>
    <row r="195" spans="1:15">
      <c r="A195" s="54" t="s">
        <v>4913</v>
      </c>
      <c r="B195" s="54" t="s">
        <v>1138</v>
      </c>
      <c r="C195" s="54"/>
      <c r="D195" s="54"/>
      <c r="E195" s="54"/>
      <c r="F195" s="54"/>
      <c r="G195" s="54" t="s">
        <v>2028</v>
      </c>
      <c r="H195" s="189" t="s">
        <v>1593</v>
      </c>
      <c r="I195" s="189"/>
      <c r="K195" s="24" t="s">
        <v>1113</v>
      </c>
      <c r="L195" s="25" t="s">
        <v>1114</v>
      </c>
      <c r="M195" s="19"/>
      <c r="N195" s="19"/>
      <c r="O195" s="19" t="str">
        <f>IF(AND(ISNUMBER(MATCH(M195,{"F","E","D","D+","C","C+","B","B+","A","A+","S"},0)),ISNUMBER(MATCH(#REF!,{"F","E","D","D+","C","C+","B","B+","A","A+","S"},0)),ISNUMBER(MATCH(N199,{"F","E","D","D+","C","C+","B","B+","A","A+","S"},0)),ISNUMBER(MATCH(#REF!,{"F","E","D","D+","C","C+","B","B+","A","A+","S"},0))),LOOKUP(AVERAGE(_xlfn.SWITCH(M203,"F",0,"E",10,"D",20,"D+",30,"C",40,"C+",50,"B",60,"B+",70,"A",80,"A+",90,"S",100),_xlfn.SWITCH(#REF!,"F",0,"E",10,"D",20,"D+",30,"C",40,"C+",50,"B",60,"B+",70,"A",80,"A+",90,"S",100),_xlfn.SWITCH(N207,"F",0,"E",10,"D",20,"D+",30,"C",40,"C+",50,"B",60,"B+",70,"A",80,"A+",90,"S",100),_xlfn.SWITCH(#REF!,"F",0,"E",10,"D",20,"D+",30,"C",40,"C+",50,"B",60,"B+",70,"A",80,"A+",90,"S",100)),{0,15,25,35,45,55,65,75,85,95},{"D","D","D+","C","C+","B","B+","A","A+","S"}),"?")</f>
        <v>?</v>
      </c>
    </row>
    <row r="196" spans="1:15">
      <c r="A196" s="54" t="s">
        <v>4914</v>
      </c>
      <c r="B196" s="54" t="s">
        <v>1145</v>
      </c>
      <c r="C196" s="54"/>
      <c r="D196" s="54"/>
      <c r="E196" s="54"/>
      <c r="F196" s="54"/>
      <c r="G196" s="54" t="s">
        <v>2028</v>
      </c>
      <c r="H196" s="189" t="s">
        <v>1567</v>
      </c>
      <c r="I196" s="189"/>
      <c r="K196" s="24" t="s">
        <v>642</v>
      </c>
      <c r="L196" s="25" t="s">
        <v>643</v>
      </c>
      <c r="M196" s="19"/>
      <c r="N196" s="19"/>
      <c r="O196" s="19" t="str">
        <f>IF(AND(ISNUMBER(MATCH(M196,{"F","E","D","D+","C","C+","B","B+","A","A+","S"},0)),ISNUMBER(MATCH(#REF!,{"F","E","D","D+","C","C+","B","B+","A","A+","S"},0)),ISNUMBER(MATCH(N200,{"F","E","D","D+","C","C+","B","B+","A","A+","S"},0)),ISNUMBER(MATCH(#REF!,{"F","E","D","D+","C","C+","B","B+","A","A+","S"},0))),LOOKUP(AVERAGE(_xlfn.SWITCH(M204,"F",0,"E",10,"D",20,"D+",30,"C",40,"C+",50,"B",60,"B+",70,"A",80,"A+",90,"S",100),_xlfn.SWITCH(#REF!,"F",0,"E",10,"D",20,"D+",30,"C",40,"C+",50,"B",60,"B+",70,"A",80,"A+",90,"S",100),_xlfn.SWITCH(N208,"F",0,"E",10,"D",20,"D+",30,"C",40,"C+",50,"B",60,"B+",70,"A",80,"A+",90,"S",100),_xlfn.SWITCH(#REF!,"F",0,"E",10,"D",20,"D+",30,"C",40,"C+",50,"B",60,"B+",70,"A",80,"A+",90,"S",100)),{0,15,25,35,45,55,65,75,85,95},{"D","D","D+","C","C+","B","B+","A","A+","S"}),"?")</f>
        <v>?</v>
      </c>
    </row>
    <row r="197" spans="1:15">
      <c r="A197" s="418" t="s">
        <v>4915</v>
      </c>
      <c r="B197" s="54" t="s">
        <v>918</v>
      </c>
      <c r="C197" s="54"/>
      <c r="D197" s="54"/>
      <c r="E197" s="54"/>
      <c r="F197" s="54"/>
      <c r="G197" s="54"/>
      <c r="H197" s="189" t="s">
        <v>1567</v>
      </c>
      <c r="I197" s="189"/>
      <c r="K197" s="24" t="s">
        <v>1125</v>
      </c>
      <c r="L197" s="25" t="s">
        <v>1126</v>
      </c>
      <c r="M197" s="19"/>
      <c r="N197" s="19"/>
      <c r="O197" s="19" t="str">
        <f>IF(AND(ISNUMBER(MATCH(M197,{"F","E","D","D+","C","C+","B","B+","A","A+","S"},0)),ISNUMBER(MATCH(#REF!,{"F","E","D","D+","C","C+","B","B+","A","A+","S"},0)),ISNUMBER(MATCH(N201,{"F","E","D","D+","C","C+","B","B+","A","A+","S"},0)),ISNUMBER(MATCH(#REF!,{"F","E","D","D+","C","C+","B","B+","A","A+","S"},0))),LOOKUP(AVERAGE(_xlfn.SWITCH(M205,"F",0,"E",10,"D",20,"D+",30,"C",40,"C+",50,"B",60,"B+",70,"A",80,"A+",90,"S",100),_xlfn.SWITCH(#REF!,"F",0,"E",10,"D",20,"D+",30,"C",40,"C+",50,"B",60,"B+",70,"A",80,"A+",90,"S",100),_xlfn.SWITCH(N209,"F",0,"E",10,"D",20,"D+",30,"C",40,"C+",50,"B",60,"B+",70,"A",80,"A+",90,"S",100),_xlfn.SWITCH(#REF!,"F",0,"E",10,"D",20,"D+",30,"C",40,"C+",50,"B",60,"B+",70,"A",80,"A+",90,"S",100)),{0,15,25,35,45,55,65,75,85,95},{"D","D","D+","C","C+","B","B+","A","A+","S"}),"?")</f>
        <v>?</v>
      </c>
    </row>
    <row r="198" spans="1:15">
      <c r="A198" s="418" t="s">
        <v>941</v>
      </c>
      <c r="B198" s="54" t="s">
        <v>942</v>
      </c>
      <c r="C198" s="54"/>
      <c r="D198" s="54"/>
      <c r="E198" s="54"/>
      <c r="F198" s="54"/>
      <c r="G198" s="54"/>
      <c r="H198" s="189" t="s">
        <v>21</v>
      </c>
      <c r="I198" s="189"/>
      <c r="K198" s="24" t="s">
        <v>1132</v>
      </c>
      <c r="L198" s="25" t="s">
        <v>1133</v>
      </c>
      <c r="M198" s="19"/>
      <c r="N198" s="19"/>
      <c r="O198" s="19" t="str">
        <f>IF(AND(ISNUMBER(MATCH(M198,{"F","E","D","D+","C","C+","B","B+","A","A+","S"},0)),ISNUMBER(MATCH(#REF!,{"F","E","D","D+","C","C+","B","B+","A","A+","S"},0)),ISNUMBER(MATCH(N202,{"F","E","D","D+","C","C+","B","B+","A","A+","S"},0)),ISNUMBER(MATCH(#REF!,{"F","E","D","D+","C","C+","B","B+","A","A+","S"},0))),LOOKUP(AVERAGE(_xlfn.SWITCH(M206,"F",0,"E",10,"D",20,"D+",30,"C",40,"C+",50,"B",60,"B+",70,"A",80,"A+",90,"S",100),_xlfn.SWITCH(#REF!,"F",0,"E",10,"D",20,"D+",30,"C",40,"C+",50,"B",60,"B+",70,"A",80,"A+",90,"S",100),_xlfn.SWITCH(N210,"F",0,"E",10,"D",20,"D+",30,"C",40,"C+",50,"B",60,"B+",70,"A",80,"A+",90,"S",100),_xlfn.SWITCH(#REF!,"F",0,"E",10,"D",20,"D+",30,"C",40,"C+",50,"B",60,"B+",70,"A",80,"A+",90,"S",100)),{0,15,25,35,45,55,65,75,85,95},{"D","D","D+","C","C+","B","B+","A","A+","S"}),"?")</f>
        <v>?</v>
      </c>
    </row>
    <row r="199" spans="1:15">
      <c r="A199" s="418" t="s">
        <v>897</v>
      </c>
      <c r="B199" s="54" t="s">
        <v>159</v>
      </c>
      <c r="C199" s="54"/>
      <c r="D199" s="54"/>
      <c r="E199" s="54"/>
      <c r="F199" s="54"/>
      <c r="G199" s="54"/>
      <c r="H199" s="189" t="s">
        <v>1567</v>
      </c>
      <c r="I199" s="189"/>
      <c r="K199" s="24" t="s">
        <v>1139</v>
      </c>
      <c r="L199" s="25" t="s">
        <v>1140</v>
      </c>
      <c r="M199" s="19"/>
      <c r="N199" s="19"/>
      <c r="O199" s="19" t="str">
        <f>IF(AND(ISNUMBER(MATCH(M199,{"F","E","D","D+","C","C+","B","B+","A","A+","S"},0)),ISNUMBER(MATCH(#REF!,{"F","E","D","D+","C","C+","B","B+","A","A+","S"},0)),ISNUMBER(MATCH(N203,{"F","E","D","D+","C","C+","B","B+","A","A+","S"},0)),ISNUMBER(MATCH(#REF!,{"F","E","D","D+","C","C+","B","B+","A","A+","S"},0))),LOOKUP(AVERAGE(_xlfn.SWITCH(M207,"F",0,"E",10,"D",20,"D+",30,"C",40,"C+",50,"B",60,"B+",70,"A",80,"A+",90,"S",100),_xlfn.SWITCH(#REF!,"F",0,"E",10,"D",20,"D+",30,"C",40,"C+",50,"B",60,"B+",70,"A",80,"A+",90,"S",100),_xlfn.SWITCH(N211,"F",0,"E",10,"D",20,"D+",30,"C",40,"C+",50,"B",60,"B+",70,"A",80,"A+",90,"S",100),_xlfn.SWITCH(#REF!,"F",0,"E",10,"D",20,"D+",30,"C",40,"C+",50,"B",60,"B+",70,"A",80,"A+",90,"S",100)),{0,15,25,35,45,55,65,75,85,95},{"D","D","D+","C","C+","B","B+","A","A+","S"}),"?")</f>
        <v>?</v>
      </c>
    </row>
    <row r="200" spans="1:15">
      <c r="A200" s="418" t="s">
        <v>4916</v>
      </c>
      <c r="B200" s="54" t="s">
        <v>288</v>
      </c>
      <c r="C200" s="54"/>
      <c r="D200" s="54"/>
      <c r="E200" s="54"/>
      <c r="F200" s="54"/>
      <c r="G200" s="54"/>
      <c r="H200" s="189" t="s">
        <v>1567</v>
      </c>
      <c r="I200" s="189"/>
      <c r="K200" s="24" t="s">
        <v>600</v>
      </c>
      <c r="L200" s="25" t="s">
        <v>601</v>
      </c>
      <c r="M200" s="19"/>
      <c r="N200" s="19"/>
      <c r="O200" s="19" t="str">
        <f>IF(AND(ISNUMBER(MATCH(M200,{"F","E","D","D+","C","C+","B","B+","A","A+","S"},0)),ISNUMBER(MATCH(#REF!,{"F","E","D","D+","C","C+","B","B+","A","A+","S"},0)),ISNUMBER(MATCH(N204,{"F","E","D","D+","C","C+","B","B+","A","A+","S"},0)),ISNUMBER(MATCH(#REF!,{"F","E","D","D+","C","C+","B","B+","A","A+","S"},0))),LOOKUP(AVERAGE(_xlfn.SWITCH(M208,"F",0,"E",10,"D",20,"D+",30,"C",40,"C+",50,"B",60,"B+",70,"A",80,"A+",90,"S",100),_xlfn.SWITCH(#REF!,"F",0,"E",10,"D",20,"D+",30,"C",40,"C+",50,"B",60,"B+",70,"A",80,"A+",90,"S",100),_xlfn.SWITCH(N212,"F",0,"E",10,"D",20,"D+",30,"C",40,"C+",50,"B",60,"B+",70,"A",80,"A+",90,"S",100),_xlfn.SWITCH(#REF!,"F",0,"E",10,"D",20,"D+",30,"C",40,"C+",50,"B",60,"B+",70,"A",80,"A+",90,"S",100)),{0,15,25,35,45,55,65,75,85,95},{"D","D","D+","C","C+","B","B+","A","A+","S"}),"?")</f>
        <v>?</v>
      </c>
    </row>
    <row r="201" spans="1:15">
      <c r="A201" s="54" t="s">
        <v>932</v>
      </c>
      <c r="B201" s="54" t="s">
        <v>933</v>
      </c>
      <c r="C201" s="54"/>
      <c r="D201" s="54"/>
      <c r="E201" s="54"/>
      <c r="F201" s="54"/>
      <c r="G201" s="54"/>
      <c r="H201" s="189" t="s">
        <v>1593</v>
      </c>
      <c r="I201" s="189"/>
      <c r="K201" s="24" t="s">
        <v>1150</v>
      </c>
      <c r="L201" s="25" t="s">
        <v>1151</v>
      </c>
      <c r="M201" s="19"/>
      <c r="N201" s="19"/>
      <c r="O201" s="19" t="str">
        <f>IF(AND(ISNUMBER(MATCH(M201,{"F","E","D","D+","C","C+","B","B+","A","A+","S"},0)),ISNUMBER(MATCH(#REF!,{"F","E","D","D+","C","C+","B","B+","A","A+","S"},0)),ISNUMBER(MATCH(N205,{"F","E","D","D+","C","C+","B","B+","A","A+","S"},0)),ISNUMBER(MATCH(#REF!,{"F","E","D","D+","C","C+","B","B+","A","A+","S"},0))),LOOKUP(AVERAGE(_xlfn.SWITCH(M209,"F",0,"E",10,"D",20,"D+",30,"C",40,"C+",50,"B",60,"B+",70,"A",80,"A+",90,"S",100),_xlfn.SWITCH(#REF!,"F",0,"E",10,"D",20,"D+",30,"C",40,"C+",50,"B",60,"B+",70,"A",80,"A+",90,"S",100),_xlfn.SWITCH(N213,"F",0,"E",10,"D",20,"D+",30,"C",40,"C+",50,"B",60,"B+",70,"A",80,"A+",90,"S",100),_xlfn.SWITCH(#REF!,"F",0,"E",10,"D",20,"D+",30,"C",40,"C+",50,"B",60,"B+",70,"A",80,"A+",90,"S",100)),{0,15,25,35,45,55,65,75,85,95},{"D","D","D+","C","C+","B","B+","A","A+","S"}),"?")</f>
        <v>?</v>
      </c>
    </row>
    <row r="202" spans="1:15">
      <c r="A202" s="54" t="s">
        <v>874</v>
      </c>
      <c r="B202" s="54" t="s">
        <v>875</v>
      </c>
      <c r="C202" s="54"/>
      <c r="D202" s="54"/>
      <c r="E202" s="54"/>
      <c r="F202" s="54"/>
      <c r="G202" s="54"/>
      <c r="H202" s="189" t="s">
        <v>1567</v>
      </c>
      <c r="I202" s="189"/>
      <c r="K202" s="24" t="s">
        <v>637</v>
      </c>
      <c r="L202" s="25" t="s">
        <v>638</v>
      </c>
      <c r="M202" s="19"/>
      <c r="N202" s="19"/>
      <c r="O202" s="19" t="str">
        <f>IF(AND(ISNUMBER(MATCH(M202,{"F","E","D","D+","C","C+","B","B+","A","A+","S"},0)),ISNUMBER(MATCH(#REF!,{"F","E","D","D+","C","C+","B","B+","A","A+","S"},0)),ISNUMBER(MATCH(N206,{"F","E","D","D+","C","C+","B","B+","A","A+","S"},0)),ISNUMBER(MATCH(#REF!,{"F","E","D","D+","C","C+","B","B+","A","A+","S"},0))),LOOKUP(AVERAGE(_xlfn.SWITCH(M210,"F",0,"E",10,"D",20,"D+",30,"C",40,"C+",50,"B",60,"B+",70,"A",80,"A+",90,"S",100),_xlfn.SWITCH(#REF!,"F",0,"E",10,"D",20,"D+",30,"C",40,"C+",50,"B",60,"B+",70,"A",80,"A+",90,"S",100),_xlfn.SWITCH(N214,"F",0,"E",10,"D",20,"D+",30,"C",40,"C+",50,"B",60,"B+",70,"A",80,"A+",90,"S",100),_xlfn.SWITCH(#REF!,"F",0,"E",10,"D",20,"D+",30,"C",40,"C+",50,"B",60,"B+",70,"A",80,"A+",90,"S",100)),{0,15,25,35,45,55,65,75,85,95},{"D","D","D+","C","C+","B","B+","A","A+","S"}),"?")</f>
        <v>?</v>
      </c>
    </row>
    <row r="203" spans="1:15">
      <c r="A203" s="54" t="s">
        <v>4917</v>
      </c>
      <c r="B203" s="54" t="s">
        <v>1182</v>
      </c>
      <c r="C203" s="54"/>
      <c r="D203" s="54"/>
      <c r="E203" s="54"/>
      <c r="F203" s="54"/>
      <c r="G203" s="54"/>
      <c r="H203" s="189" t="s">
        <v>1593</v>
      </c>
      <c r="I203" s="189"/>
      <c r="K203" s="24" t="s">
        <v>1160</v>
      </c>
      <c r="L203" s="25" t="s">
        <v>1161</v>
      </c>
      <c r="M203" s="19"/>
      <c r="N203" s="19"/>
      <c r="O203" s="19" t="str">
        <f>IF(AND(ISNUMBER(MATCH(M203,{"F","E","D","D+","C","C+","B","B+","A","A+","S"},0)),ISNUMBER(MATCH(#REF!,{"F","E","D","D+","C","C+","B","B+","A","A+","S"},0)),ISNUMBER(MATCH(N207,{"F","E","D","D+","C","C+","B","B+","A","A+","S"},0)),ISNUMBER(MATCH(#REF!,{"F","E","D","D+","C","C+","B","B+","A","A+","S"},0))),LOOKUP(AVERAGE(_xlfn.SWITCH(M211,"F",0,"E",10,"D",20,"D+",30,"C",40,"C+",50,"B",60,"B+",70,"A",80,"A+",90,"S",100),_xlfn.SWITCH(#REF!,"F",0,"E",10,"D",20,"D+",30,"C",40,"C+",50,"B",60,"B+",70,"A",80,"A+",90,"S",100),_xlfn.SWITCH(N215,"F",0,"E",10,"D",20,"D+",30,"C",40,"C+",50,"B",60,"B+",70,"A",80,"A+",90,"S",100),_xlfn.SWITCH(#REF!,"F",0,"E",10,"D",20,"D+",30,"C",40,"C+",50,"B",60,"B+",70,"A",80,"A+",90,"S",100)),{0,15,25,35,45,55,65,75,85,95},{"D","D","D+","C","C+","B","B+","A","A+","S"}),"?")</f>
        <v>?</v>
      </c>
    </row>
    <row r="204" spans="1:15">
      <c r="A204" s="418" t="s">
        <v>910</v>
      </c>
      <c r="B204" s="54" t="s">
        <v>911</v>
      </c>
      <c r="C204" s="54"/>
      <c r="D204" s="54"/>
      <c r="E204" s="54"/>
      <c r="F204" s="54"/>
      <c r="G204" s="54"/>
      <c r="H204" s="189" t="s">
        <v>21</v>
      </c>
      <c r="I204" s="189"/>
      <c r="K204" s="24" t="s">
        <v>777</v>
      </c>
      <c r="L204" s="25" t="s">
        <v>778</v>
      </c>
      <c r="M204" s="19"/>
      <c r="N204" s="19"/>
      <c r="O204" s="19" t="str">
        <f>IF(AND(ISNUMBER(MATCH(M204,{"F","E","D","D+","C","C+","B","B+","A","A+","S"},0)),ISNUMBER(MATCH(#REF!,{"F","E","D","D+","C","C+","B","B+","A","A+","S"},0)),ISNUMBER(MATCH(N208,{"F","E","D","D+","C","C+","B","B+","A","A+","S"},0)),ISNUMBER(MATCH(#REF!,{"F","E","D","D+","C","C+","B","B+","A","A+","S"},0))),LOOKUP(AVERAGE(_xlfn.SWITCH(M212,"F",0,"E",10,"D",20,"D+",30,"C",40,"C+",50,"B",60,"B+",70,"A",80,"A+",90,"S",100),_xlfn.SWITCH(#REF!,"F",0,"E",10,"D",20,"D+",30,"C",40,"C+",50,"B",60,"B+",70,"A",80,"A+",90,"S",100),_xlfn.SWITCH(N216,"F",0,"E",10,"D",20,"D+",30,"C",40,"C+",50,"B",60,"B+",70,"A",80,"A+",90,"S",100),_xlfn.SWITCH(#REF!,"F",0,"E",10,"D",20,"D+",30,"C",40,"C+",50,"B",60,"B+",70,"A",80,"A+",90,"S",100)),{0,15,25,35,45,55,65,75,85,95},{"D","D","D+","C","C+","B","B+","A","A+","S"}),"?")</f>
        <v>?</v>
      </c>
    </row>
    <row r="205" spans="1:15">
      <c r="A205" s="54" t="s">
        <v>4918</v>
      </c>
      <c r="B205" s="54" t="s">
        <v>1193</v>
      </c>
      <c r="C205" s="54"/>
      <c r="D205" s="54"/>
      <c r="E205" s="54"/>
      <c r="F205" s="54"/>
      <c r="G205" s="54"/>
      <c r="H205" s="189" t="s">
        <v>1574</v>
      </c>
      <c r="I205" s="189"/>
      <c r="K205" s="24" t="s">
        <v>1170</v>
      </c>
      <c r="L205" s="25" t="s">
        <v>1171</v>
      </c>
      <c r="M205" s="19"/>
      <c r="N205" s="19"/>
      <c r="O205" s="19" t="str">
        <f>IF(AND(ISNUMBER(MATCH(M205,{"F","E","D","D+","C","C+","B","B+","A","A+","S"},0)),ISNUMBER(MATCH(#REF!,{"F","E","D","D+","C","C+","B","B+","A","A+","S"},0)),ISNUMBER(MATCH(N209,{"F","E","D","D+","C","C+","B","B+","A","A+","S"},0)),ISNUMBER(MATCH(#REF!,{"F","E","D","D+","C","C+","B","B+","A","A+","S"},0))),LOOKUP(AVERAGE(_xlfn.SWITCH(M213,"F",0,"E",10,"D",20,"D+",30,"C",40,"C+",50,"B",60,"B+",70,"A",80,"A+",90,"S",100),_xlfn.SWITCH(#REF!,"F",0,"E",10,"D",20,"D+",30,"C",40,"C+",50,"B",60,"B+",70,"A",80,"A+",90,"S",100),_xlfn.SWITCH(N217,"F",0,"E",10,"D",20,"D+",30,"C",40,"C+",50,"B",60,"B+",70,"A",80,"A+",90,"S",100),_xlfn.SWITCH(#REF!,"F",0,"E",10,"D",20,"D+",30,"C",40,"C+",50,"B",60,"B+",70,"A",80,"A+",90,"S",100)),{0,15,25,35,45,55,65,75,85,95},{"D","D","D+","C","C+","B","B+","A","A+","S"}),"?")</f>
        <v>?</v>
      </c>
    </row>
    <row r="206" spans="1:15">
      <c r="A206" s="54" t="s">
        <v>4919</v>
      </c>
      <c r="B206" s="54" t="s">
        <v>1198</v>
      </c>
      <c r="C206" s="54"/>
      <c r="D206" s="54"/>
      <c r="E206" s="54"/>
      <c r="F206" s="54"/>
      <c r="G206" s="54"/>
      <c r="H206" s="189" t="s">
        <v>1593</v>
      </c>
      <c r="I206" s="189"/>
      <c r="K206" s="24" t="s">
        <v>1176</v>
      </c>
      <c r="L206" s="25" t="s">
        <v>1177</v>
      </c>
      <c r="M206" s="19"/>
      <c r="N206" s="19"/>
      <c r="O206" s="19" t="str">
        <f>IF(AND(ISNUMBER(MATCH(M206,{"F","E","D","D+","C","C+","B","B+","A","A+","S"},0)),ISNUMBER(MATCH(#REF!,{"F","E","D","D+","C","C+","B","B+","A","A+","S"},0)),ISNUMBER(MATCH(N210,{"F","E","D","D+","C","C+","B","B+","A","A+","S"},0)),ISNUMBER(MATCH(#REF!,{"F","E","D","D+","C","C+","B","B+","A","A+","S"},0))),LOOKUP(AVERAGE(_xlfn.SWITCH(M214,"F",0,"E",10,"D",20,"D+",30,"C",40,"C+",50,"B",60,"B+",70,"A",80,"A+",90,"S",100),_xlfn.SWITCH(#REF!,"F",0,"E",10,"D",20,"D+",30,"C",40,"C+",50,"B",60,"B+",70,"A",80,"A+",90,"S",100),_xlfn.SWITCH(N218,"F",0,"E",10,"D",20,"D+",30,"C",40,"C+",50,"B",60,"B+",70,"A",80,"A+",90,"S",100),_xlfn.SWITCH(#REF!,"F",0,"E",10,"D",20,"D+",30,"C",40,"C+",50,"B",60,"B+",70,"A",80,"A+",90,"S",100)),{0,15,25,35,45,55,65,75,85,95},{"D","D","D+","C","C+","B","B+","A","A+","S"}),"?")</f>
        <v>?</v>
      </c>
    </row>
    <row r="207" spans="1:15">
      <c r="A207" s="54" t="s">
        <v>868</v>
      </c>
      <c r="B207" s="54" t="s">
        <v>869</v>
      </c>
      <c r="C207" s="54"/>
      <c r="D207" s="54"/>
      <c r="E207" s="54"/>
      <c r="F207" s="54"/>
      <c r="G207" s="54"/>
      <c r="H207" s="189" t="s">
        <v>1593</v>
      </c>
      <c r="I207" s="189"/>
      <c r="K207" s="24" t="s">
        <v>1183</v>
      </c>
      <c r="L207" s="25" t="s">
        <v>1184</v>
      </c>
      <c r="M207" s="19"/>
      <c r="N207" s="19"/>
      <c r="O207" s="19" t="str">
        <f>IF(AND(ISNUMBER(MATCH(M207,{"F","E","D","D+","C","C+","B","B+","A","A+","S"},0)),ISNUMBER(MATCH(#REF!,{"F","E","D","D+","C","C+","B","B+","A","A+","S"},0)),ISNUMBER(MATCH(N211,{"F","E","D","D+","C","C+","B","B+","A","A+","S"},0)),ISNUMBER(MATCH(#REF!,{"F","E","D","D+","C","C+","B","B+","A","A+","S"},0))),LOOKUP(AVERAGE(_xlfn.SWITCH(M215,"F",0,"E",10,"D",20,"D+",30,"C",40,"C+",50,"B",60,"B+",70,"A",80,"A+",90,"S",100),_xlfn.SWITCH(#REF!,"F",0,"E",10,"D",20,"D+",30,"C",40,"C+",50,"B",60,"B+",70,"A",80,"A+",90,"S",100),_xlfn.SWITCH(N219,"F",0,"E",10,"D",20,"D+",30,"C",40,"C+",50,"B",60,"B+",70,"A",80,"A+",90,"S",100),_xlfn.SWITCH(#REF!,"F",0,"E",10,"D",20,"D+",30,"C",40,"C+",50,"B",60,"B+",70,"A",80,"A+",90,"S",100)),{0,15,25,35,45,55,65,75,85,95},{"D","D","D+","C","C+","B","B+","A","A+","S"}),"?")</f>
        <v>?</v>
      </c>
    </row>
    <row r="208" spans="1:15">
      <c r="A208" s="418" t="s">
        <v>1011</v>
      </c>
      <c r="B208" s="54" t="s">
        <v>1012</v>
      </c>
      <c r="C208" s="54"/>
      <c r="D208" s="54"/>
      <c r="E208" s="54"/>
      <c r="F208" s="54"/>
      <c r="G208" s="54"/>
      <c r="H208" s="189" t="s">
        <v>1567</v>
      </c>
      <c r="I208" s="189"/>
      <c r="K208" s="24" t="s">
        <v>739</v>
      </c>
      <c r="L208" s="25" t="s">
        <v>740</v>
      </c>
      <c r="M208" s="19"/>
      <c r="N208" s="19"/>
      <c r="O208" s="19" t="str">
        <f>IF(AND(ISNUMBER(MATCH(M208,{"F","E","D","D+","C","C+","B","B+","A","A+","S"},0)),ISNUMBER(MATCH(#REF!,{"F","E","D","D+","C","C+","B","B+","A","A+","S"},0)),ISNUMBER(MATCH(N212,{"F","E","D","D+","C","C+","B","B+","A","A+","S"},0)),ISNUMBER(MATCH(#REF!,{"F","E","D","D+","C","C+","B","B+","A","A+","S"},0))),LOOKUP(AVERAGE(_xlfn.SWITCH(M216,"F",0,"E",10,"D",20,"D+",30,"C",40,"C+",50,"B",60,"B+",70,"A",80,"A+",90,"S",100),_xlfn.SWITCH(#REF!,"F",0,"E",10,"D",20,"D+",30,"C",40,"C+",50,"B",60,"B+",70,"A",80,"A+",90,"S",100),_xlfn.SWITCH(N220,"F",0,"E",10,"D",20,"D+",30,"C",40,"C+",50,"B",60,"B+",70,"A",80,"A+",90,"S",100),_xlfn.SWITCH(#REF!,"F",0,"E",10,"D",20,"D+",30,"C",40,"C+",50,"B",60,"B+",70,"A",80,"A+",90,"S",100)),{0,15,25,35,45,55,65,75,85,95},{"D","D","D+","C","C+","B","B+","A","A+","S"}),"?")</f>
        <v>?</v>
      </c>
    </row>
    <row r="209" spans="1:15">
      <c r="A209" s="54" t="s">
        <v>4920</v>
      </c>
      <c r="B209" s="54" t="s">
        <v>1218</v>
      </c>
      <c r="C209" s="54"/>
      <c r="D209" s="54"/>
      <c r="E209" s="54"/>
      <c r="F209" s="54"/>
      <c r="G209" s="54"/>
      <c r="H209" s="189" t="s">
        <v>1567</v>
      </c>
      <c r="I209" s="189"/>
      <c r="K209" s="24" t="s">
        <v>720</v>
      </c>
      <c r="L209" s="25" t="s">
        <v>721</v>
      </c>
      <c r="M209" s="19"/>
      <c r="N209" s="19"/>
      <c r="O209" s="19" t="str">
        <f>IF(AND(ISNUMBER(MATCH(M209,{"F","E","D","D+","C","C+","B","B+","A","A+","S"},0)),ISNUMBER(MATCH(#REF!,{"F","E","D","D+","C","C+","B","B+","A","A+","S"},0)),ISNUMBER(MATCH(N213,{"F","E","D","D+","C","C+","B","B+","A","A+","S"},0)),ISNUMBER(MATCH(#REF!,{"F","E","D","D+","C","C+","B","B+","A","A+","S"},0))),LOOKUP(AVERAGE(_xlfn.SWITCH(M217,"F",0,"E",10,"D",20,"D+",30,"C",40,"C+",50,"B",60,"B+",70,"A",80,"A+",90,"S",100),_xlfn.SWITCH(#REF!,"F",0,"E",10,"D",20,"D+",30,"C",40,"C+",50,"B",60,"B+",70,"A",80,"A+",90,"S",100),_xlfn.SWITCH(N221,"F",0,"E",10,"D",20,"D+",30,"C",40,"C+",50,"B",60,"B+",70,"A",80,"A+",90,"S",100),_xlfn.SWITCH(#REF!,"F",0,"E",10,"D",20,"D+",30,"C",40,"C+",50,"B",60,"B+",70,"A",80,"A+",90,"S",100)),{0,15,25,35,45,55,65,75,85,95},{"D","D","D+","C","C+","B","B+","A","A+","S"}),"?")</f>
        <v>?</v>
      </c>
    </row>
    <row r="210" spans="1:15">
      <c r="A210" s="54" t="s">
        <v>4921</v>
      </c>
      <c r="B210" s="54" t="s">
        <v>1224</v>
      </c>
      <c r="C210" s="54"/>
      <c r="D210" s="54"/>
      <c r="E210" s="54"/>
      <c r="F210" s="54"/>
      <c r="G210" s="54"/>
      <c r="H210" s="189" t="s">
        <v>1593</v>
      </c>
      <c r="I210" s="189"/>
      <c r="K210" s="24" t="s">
        <v>563</v>
      </c>
      <c r="L210" s="25" t="s">
        <v>564</v>
      </c>
      <c r="M210" s="19"/>
      <c r="N210" s="19"/>
      <c r="O210" s="19" t="str">
        <f>IF(AND(ISNUMBER(MATCH(M210,{"F","E","D","D+","C","C+","B","B+","A","A+","S"},0)),ISNUMBER(MATCH(#REF!,{"F","E","D","D+","C","C+","B","B+","A","A+","S"},0)),ISNUMBER(MATCH(N214,{"F","E","D","D+","C","C+","B","B+","A","A+","S"},0)),ISNUMBER(MATCH(#REF!,{"F","E","D","D+","C","C+","B","B+","A","A+","S"},0))),LOOKUP(AVERAGE(_xlfn.SWITCH(M218,"F",0,"E",10,"D",20,"D+",30,"C",40,"C+",50,"B",60,"B+",70,"A",80,"A+",90,"S",100),_xlfn.SWITCH(#REF!,"F",0,"E",10,"D",20,"D+",30,"C",40,"C+",50,"B",60,"B+",70,"A",80,"A+",90,"S",100),_xlfn.SWITCH(N222,"F",0,"E",10,"D",20,"D+",30,"C",40,"C+",50,"B",60,"B+",70,"A",80,"A+",90,"S",100),_xlfn.SWITCH(#REF!,"F",0,"E",10,"D",20,"D+",30,"C",40,"C+",50,"B",60,"B+",70,"A",80,"A+",90,"S",100)),{0,15,25,35,45,55,65,75,85,95},{"D","D","D+","C","C+","B","B+","A","A+","S"}),"?")</f>
        <v>?</v>
      </c>
    </row>
    <row r="211" spans="1:15">
      <c r="A211" s="54" t="s">
        <v>4922</v>
      </c>
      <c r="B211" s="54" t="s">
        <v>1231</v>
      </c>
      <c r="C211" s="54"/>
      <c r="D211" s="54"/>
      <c r="E211" s="54"/>
      <c r="F211" s="54"/>
      <c r="G211" s="54"/>
      <c r="H211" s="189" t="s">
        <v>1593</v>
      </c>
      <c r="I211" s="189"/>
      <c r="K211" s="24" t="s">
        <v>1203</v>
      </c>
      <c r="L211" s="25" t="s">
        <v>1204</v>
      </c>
      <c r="M211" s="19"/>
      <c r="N211" s="19"/>
      <c r="O211" s="19" t="str">
        <f>IF(AND(ISNUMBER(MATCH(M211,{"F","E","D","D+","C","C+","B","B+","A","A+","S"},0)),ISNUMBER(MATCH(#REF!,{"F","E","D","D+","C","C+","B","B+","A","A+","S"},0)),ISNUMBER(MATCH(N215,{"F","E","D","D+","C","C+","B","B+","A","A+","S"},0)),ISNUMBER(MATCH(#REF!,{"F","E","D","D+","C","C+","B","B+","A","A+","S"},0))),LOOKUP(AVERAGE(_xlfn.SWITCH(M219,"F",0,"E",10,"D",20,"D+",30,"C",40,"C+",50,"B",60,"B+",70,"A",80,"A+",90,"S",100),_xlfn.SWITCH(#REF!,"F",0,"E",10,"D",20,"D+",30,"C",40,"C+",50,"B",60,"B+",70,"A",80,"A+",90,"S",100),_xlfn.SWITCH(N223,"F",0,"E",10,"D",20,"D+",30,"C",40,"C+",50,"B",60,"B+",70,"A",80,"A+",90,"S",100),_xlfn.SWITCH(#REF!,"F",0,"E",10,"D",20,"D+",30,"C",40,"C+",50,"B",60,"B+",70,"A",80,"A+",90,"S",100)),{0,15,25,35,45,55,65,75,85,95},{"D","D","D+","C","C+","B","B+","A","A+","S"}),"?")</f>
        <v>?</v>
      </c>
    </row>
    <row r="212" spans="1:15">
      <c r="A212" s="418" t="s">
        <v>4923</v>
      </c>
      <c r="B212" s="54" t="s">
        <v>1238</v>
      </c>
      <c r="C212" s="54"/>
      <c r="D212" s="54"/>
      <c r="E212" s="54"/>
      <c r="F212" s="54"/>
      <c r="G212" s="54"/>
      <c r="H212" s="189" t="s">
        <v>1567</v>
      </c>
      <c r="I212" s="189"/>
      <c r="K212" s="24" t="s">
        <v>1209</v>
      </c>
      <c r="L212" s="25" t="s">
        <v>1210</v>
      </c>
      <c r="M212" s="19"/>
      <c r="N212" s="19"/>
      <c r="O212" s="19" t="str">
        <f>IF(AND(ISNUMBER(MATCH(M212,{"F","E","D","D+","C","C+","B","B+","A","A+","S"},0)),ISNUMBER(MATCH(#REF!,{"F","E","D","D+","C","C+","B","B+","A","A+","S"},0)),ISNUMBER(MATCH(N216,{"F","E","D","D+","C","C+","B","B+","A","A+","S"},0)),ISNUMBER(MATCH(#REF!,{"F","E","D","D+","C","C+","B","B+","A","A+","S"},0))),LOOKUP(AVERAGE(_xlfn.SWITCH(M220,"F",0,"E",10,"D",20,"D+",30,"C",40,"C+",50,"B",60,"B+",70,"A",80,"A+",90,"S",100),_xlfn.SWITCH(#REF!,"F",0,"E",10,"D",20,"D+",30,"C",40,"C+",50,"B",60,"B+",70,"A",80,"A+",90,"S",100),_xlfn.SWITCH(N224,"F",0,"E",10,"D",20,"D+",30,"C",40,"C+",50,"B",60,"B+",70,"A",80,"A+",90,"S",100),_xlfn.SWITCH(#REF!,"F",0,"E",10,"D",20,"D+",30,"C",40,"C+",50,"B",60,"B+",70,"A",80,"A+",90,"S",100)),{0,15,25,35,45,55,65,75,85,95},{"D","D","D+","C","C+","B","B+","A","A+","S"}),"?")</f>
        <v>?</v>
      </c>
    </row>
    <row r="213" spans="1:15">
      <c r="A213" s="54" t="s">
        <v>4924</v>
      </c>
      <c r="B213" s="54" t="s">
        <v>1242</v>
      </c>
      <c r="C213" s="54"/>
      <c r="D213" s="54"/>
      <c r="E213" s="54"/>
      <c r="F213" s="54"/>
      <c r="G213" s="54"/>
      <c r="H213" s="189" t="s">
        <v>1567</v>
      </c>
      <c r="I213" s="189"/>
      <c r="K213" s="24" t="s">
        <v>532</v>
      </c>
      <c r="L213" s="35" t="s">
        <v>533</v>
      </c>
      <c r="M213" s="19"/>
      <c r="N213" s="19"/>
      <c r="O213" s="19" t="str">
        <f>IF(AND(ISNUMBER(MATCH(M213,{"F","E","D","D+","C","C+","B","B+","A","A+","S"},0)),ISNUMBER(MATCH(#REF!,{"F","E","D","D+","C","C+","B","B+","A","A+","S"},0)),ISNUMBER(MATCH(N220,{"F","E","D","D+","C","C+","B","B+","A","A+","S"},0)),ISNUMBER(MATCH(#REF!,{"F","E","D","D+","C","C+","B","B+","A","A+","S"},0))),LOOKUP(AVERAGE(_xlfn.SWITCH(M226,"F",0,"E",10,"D",20,"D+",30,"C",40,"C+",50,"B",60,"B+",70,"A",80,"A+",90,"S",100),_xlfn.SWITCH(#REF!,"F",0,"E",10,"D",20,"D+",30,"C",40,"C+",50,"B",60,"B+",70,"A",80,"A+",90,"S",100),_xlfn.SWITCH(N232,"F",0,"E",10,"D",20,"D+",30,"C",40,"C+",50,"B",60,"B+",70,"A",80,"A+",90,"S",100),_xlfn.SWITCH(#REF!,"F",0,"E",10,"D",20,"D+",30,"C",40,"C+",50,"B",60,"B+",70,"A",80,"A+",90,"S",100)),{0,15,25,35,45,55,65,75,85,95},{"D","D","D+","C","C+","B","B+","A","A+","S"}),"?")</f>
        <v>?</v>
      </c>
    </row>
    <row r="214" spans="1:15">
      <c r="A214" s="418" t="s">
        <v>4925</v>
      </c>
      <c r="B214" s="54" t="s">
        <v>1246</v>
      </c>
      <c r="C214" s="54"/>
      <c r="D214" s="54"/>
      <c r="E214" s="54"/>
      <c r="F214" s="54"/>
      <c r="G214" s="54"/>
      <c r="H214" s="189" t="s">
        <v>21</v>
      </c>
      <c r="I214" s="189"/>
      <c r="K214" s="24" t="s">
        <v>770</v>
      </c>
      <c r="L214" s="25" t="s">
        <v>1219</v>
      </c>
      <c r="M214" s="19"/>
      <c r="N214" s="19"/>
      <c r="O214" s="19" t="str">
        <f>IF(AND(ISNUMBER(MATCH(M214,{"F","E","D","D+","C","C+","B","B+","A","A+","S"},0)),ISNUMBER(MATCH(#REF!,{"F","E","D","D+","C","C+","B","B+","A","A+","S"},0)),ISNUMBER(MATCH(N221,{"F","E","D","D+","C","C+","B","B+","A","A+","S"},0)),ISNUMBER(MATCH(#REF!,{"F","E","D","D+","C","C+","B","B+","A","A+","S"},0))),LOOKUP(AVERAGE(_xlfn.SWITCH(M227,"F",0,"E",10,"D",20,"D+",30,"C",40,"C+",50,"B",60,"B+",70,"A",80,"A+",90,"S",100),_xlfn.SWITCH(#REF!,"F",0,"E",10,"D",20,"D+",30,"C",40,"C+",50,"B",60,"B+",70,"A",80,"A+",90,"S",100),_xlfn.SWITCH(N233,"F",0,"E",10,"D",20,"D+",30,"C",40,"C+",50,"B",60,"B+",70,"A",80,"A+",90,"S",100),_xlfn.SWITCH(#REF!,"F",0,"E",10,"D",20,"D+",30,"C",40,"C+",50,"B",60,"B+",70,"A",80,"A+",90,"S",100)),{0,15,25,35,45,55,65,75,85,95},{"D","D","D+","C","C+","B","B+","A","A+","S"}),"?")</f>
        <v>?</v>
      </c>
    </row>
    <row r="215" spans="1:15">
      <c r="A215" s="54" t="s">
        <v>4926</v>
      </c>
      <c r="B215" s="54" t="s">
        <v>1250</v>
      </c>
      <c r="C215" s="54"/>
      <c r="D215" s="54"/>
      <c r="E215" s="54"/>
      <c r="F215" s="54"/>
      <c r="G215" s="54"/>
      <c r="H215" s="189" t="s">
        <v>1593</v>
      </c>
      <c r="I215" s="189"/>
      <c r="K215" s="24" t="s">
        <v>1225</v>
      </c>
      <c r="L215" s="25" t="s">
        <v>1226</v>
      </c>
      <c r="M215" s="19"/>
      <c r="N215" s="19"/>
      <c r="O215" s="19" t="str">
        <f>IF(AND(ISNUMBER(MATCH(M215,{"F","E","D","D+","C","C+","B","B+","A","A+","S"},0)),ISNUMBER(MATCH(#REF!,{"F","E","D","D+","C","C+","B","B+","A","A+","S"},0)),ISNUMBER(MATCH(N217,{"F","E","D","D+","C","C+","B","B+","A","A+","S"},0)),ISNUMBER(MATCH(#REF!,{"F","E","D","D+","C","C+","B","B+","A","A+","S"},0))),LOOKUP(AVERAGE(_xlfn.SWITCH(M219,"F",0,"E",10,"D",20,"D+",30,"C",40,"C+",50,"B",60,"B+",70,"A",80,"A+",90,"S",100),_xlfn.SWITCH(#REF!,"F",0,"E",10,"D",20,"D+",30,"C",40,"C+",50,"B",60,"B+",70,"A",80,"A+",90,"S",100),_xlfn.SWITCH(N221,"F",0,"E",10,"D",20,"D+",30,"C",40,"C+",50,"B",60,"B+",70,"A",80,"A+",90,"S",100),_xlfn.SWITCH(#REF!,"F",0,"E",10,"D",20,"D+",30,"C",40,"C+",50,"B",60,"B+",70,"A",80,"A+",90,"S",100)),{0,15,25,35,45,55,65,75,85,95},{"D","D","D+","C","C+","B","B+","A","A+","S"}),"?")</f>
        <v>?</v>
      </c>
    </row>
    <row r="216" spans="1:15">
      <c r="A216" s="432"/>
      <c r="B216" s="432"/>
      <c r="C216" s="432"/>
      <c r="D216" s="432"/>
      <c r="E216" s="432"/>
      <c r="F216" s="432"/>
      <c r="G216" s="432"/>
      <c r="H216" s="433"/>
      <c r="I216" s="433"/>
      <c r="K216" s="24" t="s">
        <v>1232</v>
      </c>
      <c r="L216" s="25" t="s">
        <v>1233</v>
      </c>
      <c r="M216" s="19"/>
      <c r="N216" s="19"/>
      <c r="O216" s="19" t="str">
        <f>IF(AND(ISNUMBER(MATCH(M216,{"F","E","D","D+","C","C+","B","B+","A","A+","S"},0)),ISNUMBER(MATCH(#REF!,{"F","E","D","D+","C","C+","B","B+","A","A+","S"},0)),ISNUMBER(MATCH(N222,{"F","E","D","D+","C","C+","B","B+","A","A+","S"},0)),ISNUMBER(MATCH(#REF!,{"F","E","D","D+","C","C+","B","B+","A","A+","S"},0))),LOOKUP(AVERAGE(_xlfn.SWITCH(M228,"F",0,"E",10,"D",20,"D+",30,"C",40,"C+",50,"B",60,"B+",70,"A",80,"A+",90,"S",100),_xlfn.SWITCH(#REF!,"F",0,"E",10,"D",20,"D+",30,"C",40,"C+",50,"B",60,"B+",70,"A",80,"A+",90,"S",100),_xlfn.SWITCH(N234,"F",0,"E",10,"D",20,"D+",30,"C",40,"C+",50,"B",60,"B+",70,"A",80,"A+",90,"S",100),_xlfn.SWITCH(#REF!,"F",0,"E",10,"D",20,"D+",30,"C",40,"C+",50,"B",60,"B+",70,"A",80,"A+",90,"S",100)),{0,15,25,35,45,55,65,75,85,95},{"D","D","D+","C","C+","B","B+","A","A+","S"}),"?")</f>
        <v>?</v>
      </c>
    </row>
    <row r="217" spans="1:15">
      <c r="A217" s="54" t="s">
        <v>1200</v>
      </c>
      <c r="B217" s="54" t="s">
        <v>1201</v>
      </c>
      <c r="C217" s="54"/>
      <c r="D217" s="54"/>
      <c r="E217" s="54"/>
      <c r="F217" s="54"/>
      <c r="G217" s="54"/>
      <c r="H217" s="189"/>
      <c r="I217" s="189"/>
      <c r="K217" s="24" t="s">
        <v>1239</v>
      </c>
      <c r="L217" s="25" t="s">
        <v>1240</v>
      </c>
      <c r="M217" s="19"/>
      <c r="N217" s="19"/>
      <c r="O217" s="19" t="str">
        <f>IF(AND(ISNUMBER(MATCH(M217,{"F","E","D","D+","C","C+","B","B+","A","A+","S"},0)),ISNUMBER(MATCH(#REF!,{"F","E","D","D+","C","C+","B","B+","A","A+","S"},0)),ISNUMBER(MATCH(N223,{"F","E","D","D+","C","C+","B","B+","A","A+","S"},0)),ISNUMBER(MATCH(#REF!,{"F","E","D","D+","C","C+","B","B+","A","A+","S"},0))),LOOKUP(AVERAGE(_xlfn.SWITCH(M229,"F",0,"E",10,"D",20,"D+",30,"C",40,"C+",50,"B",60,"B+",70,"A",80,"A+",90,"S",100),_xlfn.SWITCH(#REF!,"F",0,"E",10,"D",20,"D+",30,"C",40,"C+",50,"B",60,"B+",70,"A",80,"A+",90,"S",100),_xlfn.SWITCH(N235,"F",0,"E",10,"D",20,"D+",30,"C",40,"C+",50,"B",60,"B+",70,"A",80,"A+",90,"S",100),_xlfn.SWITCH(#REF!,"F",0,"E",10,"D",20,"D+",30,"C",40,"C+",50,"B",60,"B+",70,"A",80,"A+",90,"S",100)),{0,15,25,35,45,55,65,75,85,95},{"D","D","D+","C","C+","B","B+","A","A+","S"}),"?")</f>
        <v>?</v>
      </c>
    </row>
    <row r="218" spans="1:15">
      <c r="A218" s="54" t="s">
        <v>4927</v>
      </c>
      <c r="B218" s="54" t="s">
        <v>1263</v>
      </c>
      <c r="C218" s="54"/>
      <c r="D218" s="54"/>
      <c r="E218" s="54"/>
      <c r="F218" s="54"/>
      <c r="G218" s="54"/>
      <c r="H218" s="189"/>
      <c r="I218" s="189"/>
      <c r="K218" s="24" t="s">
        <v>1243</v>
      </c>
      <c r="L218" s="25" t="s">
        <v>1244</v>
      </c>
      <c r="M218" s="19"/>
      <c r="N218" s="19"/>
      <c r="O218" s="19" t="str">
        <f>IF(AND(ISNUMBER(MATCH(M218,{"F","E","D","D+","C","C+","B","B+","A","A+","S"},0)),ISNUMBER(MATCH(#REF!,{"F","E","D","D+","C","C+","B","B+","A","A+","S"},0)),ISNUMBER(MATCH(N224,{"F","E","D","D+","C","C+","B","B+","A","A+","S"},0)),ISNUMBER(MATCH(#REF!,{"F","E","D","D+","C","C+","B","B+","A","A+","S"},0))),LOOKUP(AVERAGE(_xlfn.SWITCH(M230,"F",0,"E",10,"D",20,"D+",30,"C",40,"C+",50,"B",60,"B+",70,"A",80,"A+",90,"S",100),_xlfn.SWITCH(#REF!,"F",0,"E",10,"D",20,"D+",30,"C",40,"C+",50,"B",60,"B+",70,"A",80,"A+",90,"S",100),_xlfn.SWITCH(N236,"F",0,"E",10,"D",20,"D+",30,"C",40,"C+",50,"B",60,"B+",70,"A",80,"A+",90,"S",100),_xlfn.SWITCH(#REF!,"F",0,"E",10,"D",20,"D+",30,"C",40,"C+",50,"B",60,"B+",70,"A",80,"A+",90,"S",100)),{0,15,25,35,45,55,65,75,85,95},{"D","D","D+","C","C+","B","B+","A","A+","S"}),"?")</f>
        <v>?</v>
      </c>
    </row>
    <row r="219" spans="1:15">
      <c r="A219" s="54" t="s">
        <v>4928</v>
      </c>
      <c r="B219" s="54" t="s">
        <v>1267</v>
      </c>
      <c r="C219" s="54"/>
      <c r="D219" s="54"/>
      <c r="E219" s="54"/>
      <c r="F219" s="54"/>
      <c r="G219" s="54"/>
      <c r="H219" s="189"/>
      <c r="I219" s="189"/>
      <c r="K219" s="24" t="s">
        <v>1247</v>
      </c>
      <c r="L219" s="25" t="s">
        <v>1248</v>
      </c>
      <c r="M219" s="19"/>
      <c r="N219" s="19"/>
      <c r="O219" s="19" t="str">
        <f>IF(AND(ISNUMBER(MATCH(M219,{"F","E","D","D+","C","C+","B","B+","A","A+","S"},0)),ISNUMBER(MATCH(#REF!,{"F","E","D","D+","C","C+","B","B+","A","A+","S"},0)),ISNUMBER(MATCH(N225,{"F","E","D","D+","C","C+","B","B+","A","A+","S"},0)),ISNUMBER(MATCH(#REF!,{"F","E","D","D+","C","C+","B","B+","A","A+","S"},0))),LOOKUP(AVERAGE(_xlfn.SWITCH(M231,"F",0,"E",10,"D",20,"D+",30,"C",40,"C+",50,"B",60,"B+",70,"A",80,"A+",90,"S",100),_xlfn.SWITCH(#REF!,"F",0,"E",10,"D",20,"D+",30,"C",40,"C+",50,"B",60,"B+",70,"A",80,"A+",90,"S",100),_xlfn.SWITCH(N237,"F",0,"E",10,"D",20,"D+",30,"C",40,"C+",50,"B",60,"B+",70,"A",80,"A+",90,"S",100),_xlfn.SWITCH(#REF!,"F",0,"E",10,"D",20,"D+",30,"C",40,"C+",50,"B",60,"B+",70,"A",80,"A+",90,"S",100)),{0,15,25,35,45,55,65,75,85,95},{"D","D","D+","C","C+","B","B+","A","A+","S"}),"?")</f>
        <v>?</v>
      </c>
    </row>
    <row r="220" spans="1:15">
      <c r="A220" s="54" t="s">
        <v>4929</v>
      </c>
      <c r="B220" s="54" t="s">
        <v>1269</v>
      </c>
      <c r="C220" s="54"/>
      <c r="D220" s="54"/>
      <c r="E220" s="54"/>
      <c r="F220" s="54"/>
      <c r="G220" s="54"/>
      <c r="H220" s="189"/>
      <c r="I220" s="189"/>
      <c r="K220" s="24" t="s">
        <v>1251</v>
      </c>
      <c r="L220" s="25" t="s">
        <v>1252</v>
      </c>
      <c r="M220" s="19"/>
      <c r="N220" s="19"/>
      <c r="O220" s="19" t="str">
        <f>IF(AND(ISNUMBER(MATCH(M220,{"F","E","D","D+","C","C+","B","B+","A","A+","S"},0)),ISNUMBER(MATCH(#REF!,{"F","E","D","D+","C","C+","B","B+","A","A+","S"},0)),ISNUMBER(MATCH(N226,{"F","E","D","D+","C","C+","B","B+","A","A+","S"},0)),ISNUMBER(MATCH(#REF!,{"F","E","D","D+","C","C+","B","B+","A","A+","S"},0))),LOOKUP(AVERAGE(_xlfn.SWITCH(M232,"F",0,"E",10,"D",20,"D+",30,"C",40,"C+",50,"B",60,"B+",70,"A",80,"A+",90,"S",100),_xlfn.SWITCH(#REF!,"F",0,"E",10,"D",20,"D+",30,"C",40,"C+",50,"B",60,"B+",70,"A",80,"A+",90,"S",100),_xlfn.SWITCH(N238,"F",0,"E",10,"D",20,"D+",30,"C",40,"C+",50,"B",60,"B+",70,"A",80,"A+",90,"S",100),_xlfn.SWITCH(#REF!,"F",0,"E",10,"D",20,"D+",30,"C",40,"C+",50,"B",60,"B+",70,"A",80,"A+",90,"S",100)),{0,15,25,35,45,55,65,75,85,95},{"D","D","D+","C","C+","B","B+","A","A+","S"}),"?")</f>
        <v>?</v>
      </c>
    </row>
    <row r="221" spans="1:15">
      <c r="A221" s="54" t="s">
        <v>4930</v>
      </c>
      <c r="B221" s="54" t="s">
        <v>1272</v>
      </c>
      <c r="C221" s="54"/>
      <c r="D221" s="54"/>
      <c r="E221" s="54"/>
      <c r="F221" s="54"/>
      <c r="G221" s="54"/>
      <c r="H221" s="189"/>
      <c r="I221" s="189"/>
      <c r="K221" s="24" t="s">
        <v>1254</v>
      </c>
      <c r="L221" s="25" t="s">
        <v>659</v>
      </c>
      <c r="M221" s="19"/>
      <c r="N221" s="19"/>
      <c r="O221" s="19" t="str">
        <f>IF(AND(ISNUMBER(MATCH(M221,{"F","E","D","D+","C","C+","B","B+","A","A+","S"},0)),ISNUMBER(MATCH(#REF!,{"F","E","D","D+","C","C+","B","B+","A","A+","S"},0)),ISNUMBER(MATCH(N227,{"F","E","D","D+","C","C+","B","B+","A","A+","S"},0)),ISNUMBER(MATCH(#REF!,{"F","E","D","D+","C","C+","B","B+","A","A+","S"},0))),LOOKUP(AVERAGE(_xlfn.SWITCH(M233,"F",0,"E",10,"D",20,"D+",30,"C",40,"C+",50,"B",60,"B+",70,"A",80,"A+",90,"S",100),_xlfn.SWITCH(#REF!,"F",0,"E",10,"D",20,"D+",30,"C",40,"C+",50,"B",60,"B+",70,"A",80,"A+",90,"S",100),_xlfn.SWITCH(N239,"F",0,"E",10,"D",20,"D+",30,"C",40,"C+",50,"B",60,"B+",70,"A",80,"A+",90,"S",100),_xlfn.SWITCH(#REF!,"F",0,"E",10,"D",20,"D+",30,"C",40,"C+",50,"B",60,"B+",70,"A",80,"A+",90,"S",100)),{0,15,25,35,45,55,65,75,85,95},{"D","D","D+","C","C+","B","B+","A","A+","S"}),"?")</f>
        <v>?</v>
      </c>
    </row>
    <row r="222" spans="1:15">
      <c r="A222" s="54" t="s">
        <v>4931</v>
      </c>
      <c r="B222" s="54" t="s">
        <v>1274</v>
      </c>
      <c r="C222" s="54"/>
      <c r="D222" s="54"/>
      <c r="E222" s="54"/>
      <c r="F222" s="54"/>
      <c r="G222" s="54"/>
      <c r="H222" s="189"/>
      <c r="I222" s="189"/>
      <c r="K222" s="24" t="s">
        <v>1255</v>
      </c>
      <c r="L222" s="25" t="s">
        <v>1256</v>
      </c>
      <c r="M222" s="19"/>
      <c r="N222" s="19"/>
      <c r="O222" s="19" t="str">
        <f>IF(AND(ISNUMBER(MATCH(M222,{"F","E","D","D+","C","C+","B","B+","A","A+","S"},0)),ISNUMBER(MATCH(#REF!,{"F","E","D","D+","C","C+","B","B+","A","A+","S"},0)),ISNUMBER(MATCH(N228,{"F","E","D","D+","C","C+","B","B+","A","A+","S"},0)),ISNUMBER(MATCH(#REF!,{"F","E","D","D+","C","C+","B","B+","A","A+","S"},0))),LOOKUP(AVERAGE(_xlfn.SWITCH(M234,"F",0,"E",10,"D",20,"D+",30,"C",40,"C+",50,"B",60,"B+",70,"A",80,"A+",90,"S",100),_xlfn.SWITCH(#REF!,"F",0,"E",10,"D",20,"D+",30,"C",40,"C+",50,"B",60,"B+",70,"A",80,"A+",90,"S",100),_xlfn.SWITCH(N240,"F",0,"E",10,"D",20,"D+",30,"C",40,"C+",50,"B",60,"B+",70,"A",80,"A+",90,"S",100),_xlfn.SWITCH(#REF!,"F",0,"E",10,"D",20,"D+",30,"C",40,"C+",50,"B",60,"B+",70,"A",80,"A+",90,"S",100)),{0,15,25,35,45,55,65,75,85,95},{"D","D","D+","C","C+","B","B+","A","A+","S"}),"?")</f>
        <v>?</v>
      </c>
    </row>
    <row r="223" spans="1:15" ht="15" customHeight="1">
      <c r="A223" s="435" t="s">
        <v>4932</v>
      </c>
      <c r="B223" s="20" t="s">
        <v>939</v>
      </c>
      <c r="C223" s="20"/>
      <c r="D223" s="20"/>
      <c r="E223" s="20"/>
      <c r="F223" s="20"/>
      <c r="G223" s="20"/>
      <c r="H223" s="425"/>
      <c r="I223" s="426"/>
      <c r="K223" s="24" t="s">
        <v>1257</v>
      </c>
      <c r="L223" s="25" t="s">
        <v>1258</v>
      </c>
      <c r="M223" s="19"/>
      <c r="N223" s="19"/>
      <c r="O223" s="19" t="str">
        <f>IF(AND(ISNUMBER(MATCH(M223,{"F","E","D","D+","C","C+","B","B+","A","A+","S"},0)),ISNUMBER(MATCH(#REF!,{"F","E","D","D+","C","C+","B","B+","A","A+","S"},0)),ISNUMBER(MATCH(N229,{"F","E","D","D+","C","C+","B","B+","A","A+","S"},0)),ISNUMBER(MATCH(#REF!,{"F","E","D","D+","C","C+","B","B+","A","A+","S"},0))),LOOKUP(AVERAGE(_xlfn.SWITCH(M235,"F",0,"E",10,"D",20,"D+",30,"C",40,"C+",50,"B",60,"B+",70,"A",80,"A+",90,"S",100),_xlfn.SWITCH(#REF!,"F",0,"E",10,"D",20,"D+",30,"C",40,"C+",50,"B",60,"B+",70,"A",80,"A+",90,"S",100),_xlfn.SWITCH(N241,"F",0,"E",10,"D",20,"D+",30,"C",40,"C+",50,"B",60,"B+",70,"A",80,"A+",90,"S",100),_xlfn.SWITCH(#REF!,"F",0,"E",10,"D",20,"D+",30,"C",40,"C+",50,"B",60,"B+",70,"A",80,"A+",90,"S",100)),{0,15,25,35,45,55,65,75,85,95},{"D","D","D+","C","C+","B","B+","A","A+","S"}),"?")</f>
        <v>?</v>
      </c>
    </row>
    <row r="224" spans="1:15" ht="16.5" customHeight="1">
      <c r="A224" s="22" t="s">
        <v>4933</v>
      </c>
      <c r="B224" s="21" t="s">
        <v>4934</v>
      </c>
      <c r="C224" s="21"/>
      <c r="D224" s="21"/>
      <c r="E224" s="21"/>
      <c r="F224" s="21"/>
      <c r="G224" s="21"/>
      <c r="H224" s="427"/>
      <c r="I224" s="428"/>
      <c r="K224" s="24" t="s">
        <v>1260</v>
      </c>
      <c r="L224" s="25" t="s">
        <v>1261</v>
      </c>
      <c r="M224" s="19"/>
      <c r="N224" s="19"/>
      <c r="O224" s="19" t="str">
        <f>IF(AND(ISNUMBER(MATCH(M224,{"F","E","D","D+","C","C+","B","B+","A","A+","S"},0)),ISNUMBER(MATCH(#REF!,{"F","E","D","D+","C","C+","B","B+","A","A+","S"},0)),ISNUMBER(MATCH(N230,{"F","E","D","D+","C","C+","B","B+","A","A+","S"},0)),ISNUMBER(MATCH(#REF!,{"F","E","D","D+","C","C+","B","B+","A","A+","S"},0))),LOOKUP(AVERAGE(_xlfn.SWITCH(M236,"F",0,"E",10,"D",20,"D+",30,"C",40,"C+",50,"B",60,"B+",70,"A",80,"A+",90,"S",100),_xlfn.SWITCH(#REF!,"F",0,"E",10,"D",20,"D+",30,"C",40,"C+",50,"B",60,"B+",70,"A",80,"A+",90,"S",100),_xlfn.SWITCH(N242,"F",0,"E",10,"D",20,"D+",30,"C",40,"C+",50,"B",60,"B+",70,"A",80,"A+",90,"S",100),_xlfn.SWITCH(#REF!,"F",0,"E",10,"D",20,"D+",30,"C",40,"C+",50,"B",60,"B+",70,"A",80,"A+",90,"S",100)),{0,15,25,35,45,55,65,75,85,95},{"D","D","D+","C","C+","B","B+","A","A+","S"}),"?")</f>
        <v>?</v>
      </c>
    </row>
    <row r="225" spans="1:17">
      <c r="A225" s="54" t="s">
        <v>4935</v>
      </c>
      <c r="B225" s="54" t="s">
        <v>2841</v>
      </c>
      <c r="C225" s="54"/>
      <c r="D225" s="54"/>
      <c r="E225" s="54"/>
      <c r="F225" s="54"/>
      <c r="G225" s="54"/>
      <c r="H225" s="189"/>
      <c r="I225" s="189"/>
      <c r="K225" s="24" t="s">
        <v>1264</v>
      </c>
      <c r="L225" s="25" t="s">
        <v>1265</v>
      </c>
      <c r="M225" s="19"/>
      <c r="N225" s="19"/>
      <c r="O225" s="19" t="str">
        <f>IF(AND(ISNUMBER(MATCH(M225,{"F","E","D","D+","C","C+","B","B+","A","A+","S"},0)),ISNUMBER(MATCH(#REF!,{"F","E","D","D+","C","C+","B","B+","A","A+","S"},0)),ISNUMBER(MATCH(N231,{"F","E","D","D+","C","C+","B","B+","A","A+","S"},0)),ISNUMBER(MATCH(#REF!,{"F","E","D","D+","C","C+","B","B+","A","A+","S"},0))),LOOKUP(AVERAGE(_xlfn.SWITCH(M237,"F",0,"E",10,"D",20,"D+",30,"C",40,"C+",50,"B",60,"B+",70,"A",80,"A+",90,"S",100),_xlfn.SWITCH(#REF!,"F",0,"E",10,"D",20,"D+",30,"C",40,"C+",50,"B",60,"B+",70,"A",80,"A+",90,"S",100),_xlfn.SWITCH(N243,"F",0,"E",10,"D",20,"D+",30,"C",40,"C+",50,"B",60,"B+",70,"A",80,"A+",90,"S",100),_xlfn.SWITCH(#REF!,"F",0,"E",10,"D",20,"D+",30,"C",40,"C+",50,"B",60,"B+",70,"A",80,"A+",90,"S",100)),{0,15,25,35,45,55,65,75,85,95},{"D","D","D+","C","C+","B","B+","A","A+","S"}),"?")</f>
        <v>?</v>
      </c>
    </row>
    <row r="226" spans="1:17">
      <c r="A226" s="54" t="s">
        <v>4936</v>
      </c>
      <c r="B226" s="54" t="s">
        <v>1285</v>
      </c>
      <c r="C226" s="54"/>
      <c r="D226" s="54"/>
      <c r="E226" s="54"/>
      <c r="F226" s="54"/>
      <c r="G226" s="54"/>
      <c r="H226" s="189"/>
      <c r="I226" s="189"/>
      <c r="K226" s="24" t="s">
        <v>583</v>
      </c>
      <c r="L226" s="25" t="s">
        <v>584</v>
      </c>
      <c r="M226" s="19"/>
      <c r="N226" s="19"/>
      <c r="O226" s="19" t="str">
        <f>IF(AND(ISNUMBER(MATCH(M226,{"F","E","D","D+","C","C+","B","B+","A","A+","S"},0)),ISNUMBER(MATCH(#REF!,{"F","E","D","D+","C","C+","B","B+","A","A+","S"},0)),ISNUMBER(MATCH(N232,{"F","E","D","D+","C","C+","B","B+","A","A+","S"},0)),ISNUMBER(MATCH(#REF!,{"F","E","D","D+","C","C+","B","B+","A","A+","S"},0))),LOOKUP(AVERAGE(_xlfn.SWITCH(M238,"F",0,"E",10,"D",20,"D+",30,"C",40,"C+",50,"B",60,"B+",70,"A",80,"A+",90,"S",100),_xlfn.SWITCH(#REF!,"F",0,"E",10,"D",20,"D+",30,"C",40,"C+",50,"B",60,"B+",70,"A",80,"A+",90,"S",100),_xlfn.SWITCH(N244,"F",0,"E",10,"D",20,"D+",30,"C",40,"C+",50,"B",60,"B+",70,"A",80,"A+",90,"S",100),_xlfn.SWITCH(#REF!,"F",0,"E",10,"D",20,"D+",30,"C",40,"C+",50,"B",60,"B+",70,"A",80,"A+",90,"S",100)),{0,15,25,35,45,55,65,75,85,95},{"D","D","D+","C","C+","B","B+","A","A+","S"}),"?")</f>
        <v>?</v>
      </c>
    </row>
    <row r="227" spans="1:17">
      <c r="A227" s="54" t="s">
        <v>1128</v>
      </c>
      <c r="B227" s="54" t="s">
        <v>1129</v>
      </c>
      <c r="C227" s="54"/>
      <c r="D227" s="54"/>
      <c r="E227" s="54"/>
      <c r="F227" s="54"/>
      <c r="G227" s="54"/>
      <c r="H227" s="189"/>
      <c r="I227" s="189"/>
      <c r="K227" s="549" t="s">
        <v>1270</v>
      </c>
      <c r="L227" s="547"/>
      <c r="M227" s="557"/>
      <c r="N227" s="557"/>
      <c r="O227" s="557" t="str">
        <f>IF(AND(ISNUMBER(MATCH(M227,{"F","E","D","D+","C","C+","B","B+","A","A+","S"},0)),ISNUMBER(MATCH(#REF!,{"F","E","D","D+","C","C+","B","B+","A","A+","S"},0)),ISNUMBER(MATCH(N233,{"F","E","D","D+","C","C+","B","B+","A","A+","S"},0)),ISNUMBER(MATCH(#REF!,{"F","E","D","D+","C","C+","B","B+","A","A+","S"},0))),LOOKUP(AVERAGE(_xlfn.SWITCH(M239,"F",0,"E",10,"D",20,"D+",30,"C",40,"C+",50,"B",60,"B+",70,"A",80,"A+",90,"S",100),_xlfn.SWITCH(#REF!,"F",0,"E",10,"D",20,"D+",30,"C",40,"C+",50,"B",60,"B+",70,"A",80,"A+",90,"S",100),_xlfn.SWITCH(N245,"F",0,"E",10,"D",20,"D+",30,"C",40,"C+",50,"B",60,"B+",70,"A",80,"A+",90,"S",100),_xlfn.SWITCH(#REF!,"F",0,"E",10,"D",20,"D+",30,"C",40,"C+",50,"B",60,"B+",70,"A",80,"A+",90,"S",100)),{0,15,25,35,45,55,65,75,85,95},{"D","D","D+","C","C+","B","B+","A","A+","S"}),"?")</f>
        <v>?</v>
      </c>
      <c r="P227" s="543"/>
    </row>
    <row r="228" spans="1:17">
      <c r="A228" s="54" t="s">
        <v>1157</v>
      </c>
      <c r="B228" s="54" t="s">
        <v>1158</v>
      </c>
      <c r="C228" s="54"/>
      <c r="D228" s="54"/>
      <c r="E228" s="54"/>
      <c r="F228" s="54"/>
      <c r="G228" s="54"/>
      <c r="H228" s="189"/>
      <c r="I228" s="189"/>
      <c r="K228" s="623"/>
      <c r="L228" s="548"/>
      <c r="M228" s="545"/>
      <c r="N228" s="545"/>
      <c r="O228" s="545" t="str">
        <f>IF(AND(ISNUMBER(MATCH(M228,{"F","E","D","D+","C","C+","B","B+","A","A+","S"},0)),ISNUMBER(MATCH(#REF!,{"F","E","D","D+","C","C+","B","B+","A","A+","S"},0)),ISNUMBER(MATCH(N234,{"F","E","D","D+","C","C+","B","B+","A","A+","S"},0)),ISNUMBER(MATCH(#REF!,{"F","E","D","D+","C","C+","B","B+","A","A+","S"},0))),LOOKUP(AVERAGE(_xlfn.SWITCH(M240,"F",0,"E",10,"D",20,"D+",30,"C",40,"C+",50,"B",60,"B+",70,"A",80,"A+",90,"S",100),_xlfn.SWITCH(#REF!,"F",0,"E",10,"D",20,"D+",30,"C",40,"C+",50,"B",60,"B+",70,"A",80,"A+",90,"S",100),_xlfn.SWITCH(N246,"F",0,"E",10,"D",20,"D+",30,"C",40,"C+",50,"B",60,"B+",70,"A",80,"A+",90,"S",100),_xlfn.SWITCH(#REF!,"F",0,"E",10,"D",20,"D+",30,"C",40,"C+",50,"B",60,"B+",70,"A",80,"A+",90,"S",100)),{0,15,25,35,45,55,65,75,85,95},{"D","D","D+","C","C+","B","B+","A","A+","S"}),"?")</f>
        <v>?</v>
      </c>
      <c r="P228" s="624"/>
      <c r="Q228" s="436"/>
    </row>
    <row r="229" spans="1:17">
      <c r="A229" s="54" t="s">
        <v>4937</v>
      </c>
      <c r="B229" s="54" t="s">
        <v>1293</v>
      </c>
      <c r="C229" s="54"/>
      <c r="D229" s="54"/>
      <c r="E229" s="54"/>
      <c r="F229" s="54"/>
      <c r="G229" s="54"/>
      <c r="H229" s="189"/>
      <c r="I229" s="189"/>
      <c r="K229" s="50" t="s">
        <v>4</v>
      </c>
      <c r="L229" s="6" t="s">
        <v>5</v>
      </c>
      <c r="M229" s="7" t="s">
        <v>6</v>
      </c>
      <c r="N229" s="7" t="s">
        <v>8</v>
      </c>
      <c r="O229" s="7" t="str">
        <f>IF(AND(ISNUMBER(MATCH(M229,{"F","E","D","D+","C","C+","B","B+","A","A+","S"},0)),ISNUMBER(MATCH(#REF!,{"F","E","D","D+","C","C+","B","B+","A","A+","S"},0)),ISNUMBER(MATCH(N235,{"F","E","D","D+","C","C+","B","B+","A","A+","S"},0)),ISNUMBER(MATCH(#REF!,{"F","E","D","D+","C","C+","B","B+","A","A+","S"},0))),LOOKUP(AVERAGE(_xlfn.SWITCH(M241,"F",0,"E",10,"D",20,"D+",30,"C",40,"C+",50,"B",60,"B+",70,"A",80,"A+",90,"S",100),_xlfn.SWITCH(#REF!,"F",0,"E",10,"D",20,"D+",30,"C",40,"C+",50,"B",60,"B+",70,"A",80,"A+",90,"S",100),_xlfn.SWITCH(N247,"F",0,"E",10,"D",20,"D+",30,"C",40,"C+",50,"B",60,"B+",70,"A",80,"A+",90,"S",100),_xlfn.SWITCH(#REF!,"F",0,"E",10,"D",20,"D+",30,"C",40,"C+",50,"B",60,"B+",70,"A",80,"A+",90,"S",100)),{0,15,25,35,45,55,65,75,85,95},{"D","D","D+","C","C+","B","B+","A","A+","S"}),"?")</f>
        <v>?</v>
      </c>
      <c r="P229" s="7" t="s">
        <v>11</v>
      </c>
      <c r="Q229" s="436"/>
    </row>
    <row r="230" spans="1:17">
      <c r="A230" s="54" t="s">
        <v>4938</v>
      </c>
      <c r="B230" s="54" t="s">
        <v>1295</v>
      </c>
      <c r="C230" s="54"/>
      <c r="D230" s="54"/>
      <c r="E230" s="54"/>
      <c r="F230" s="54"/>
      <c r="G230" s="54"/>
      <c r="H230" s="189"/>
      <c r="I230" s="189"/>
      <c r="K230" s="41" t="s">
        <v>1276</v>
      </c>
      <c r="L230" s="33" t="s">
        <v>1277</v>
      </c>
      <c r="M230" s="437"/>
      <c r="N230" s="437"/>
      <c r="O230" s="437" t="str">
        <f>IF(AND(ISNUMBER(MATCH(M230,{"F","E","D","D+","C","C+","B","B+","A","A+","S"},0)),ISNUMBER(MATCH(#REF!,{"F","E","D","D+","C","C+","B","B+","A","A+","S"},0)),ISNUMBER(MATCH(N236,{"F","E","D","D+","C","C+","B","B+","A","A+","S"},0)),ISNUMBER(MATCH(#REF!,{"F","E","D","D+","C","C+","B","B+","A","A+","S"},0))),LOOKUP(AVERAGE(_xlfn.SWITCH(M242,"F",0,"E",10,"D",20,"D+",30,"C",40,"C+",50,"B",60,"B+",70,"A",80,"A+",90,"S",100),_xlfn.SWITCH(#REF!,"F",0,"E",10,"D",20,"D+",30,"C",40,"C+",50,"B",60,"B+",70,"A",80,"A+",90,"S",100),_xlfn.SWITCH(N248,"F",0,"E",10,"D",20,"D+",30,"C",40,"C+",50,"B",60,"B+",70,"A",80,"A+",90,"S",100),_xlfn.SWITCH(#REF!,"F",0,"E",10,"D",20,"D+",30,"C",40,"C+",50,"B",60,"B+",70,"A",80,"A+",90,"S",100)),{0,15,25,35,45,55,65,75,85,95},{"D","D","D+","C","C+","B","B+","A","A+","S"}),"?")</f>
        <v>?</v>
      </c>
      <c r="P230" s="305"/>
    </row>
    <row r="231" spans="1:17">
      <c r="A231" s="54" t="s">
        <v>4939</v>
      </c>
      <c r="B231" s="54" t="s">
        <v>1298</v>
      </c>
      <c r="C231" s="54"/>
      <c r="D231" s="54"/>
      <c r="E231" s="54"/>
      <c r="F231" s="54"/>
      <c r="G231" s="54"/>
      <c r="H231" s="189"/>
      <c r="I231" s="189"/>
      <c r="K231" s="5" t="s">
        <v>1280</v>
      </c>
      <c r="L231" s="12" t="s">
        <v>1281</v>
      </c>
      <c r="M231" s="13"/>
      <c r="N231" s="13"/>
      <c r="O231" s="13" t="str">
        <f>IF(AND(ISNUMBER(MATCH(M231,{"F","E","D","D+","C","C+","B","B+","A","A+","S"},0)),ISNUMBER(MATCH(#REF!,{"F","E","D","D+","C","C+","B","B+","A","A+","S"},0)),ISNUMBER(MATCH(N237,{"F","E","D","D+","C","C+","B","B+","A","A+","S"},0)),ISNUMBER(MATCH(#REF!,{"F","E","D","D+","C","C+","B","B+","A","A+","S"},0))),LOOKUP(AVERAGE(_xlfn.SWITCH(M243,"F",0,"E",10,"D",20,"D+",30,"C",40,"C+",50,"B",60,"B+",70,"A",80,"A+",90,"S",100),_xlfn.SWITCH(#REF!,"F",0,"E",10,"D",20,"D+",30,"C",40,"C+",50,"B",60,"B+",70,"A",80,"A+",90,"S",100),_xlfn.SWITCH(N249,"F",0,"E",10,"D",20,"D+",30,"C",40,"C+",50,"B",60,"B+",70,"A",80,"A+",90,"S",100),_xlfn.SWITCH(#REF!,"F",0,"E",10,"D",20,"D+",30,"C",40,"C+",50,"B",60,"B+",70,"A",80,"A+",90,"S",100)),{0,15,25,35,45,55,65,75,85,95},{"D","D","D+","C","C+","B","B+","A","A+","S"}),"?")</f>
        <v>?</v>
      </c>
      <c r="P231" s="54"/>
    </row>
    <row r="232" spans="1:17">
      <c r="A232" s="54" t="s">
        <v>4940</v>
      </c>
      <c r="B232" s="54" t="s">
        <v>1302</v>
      </c>
      <c r="C232" s="54"/>
      <c r="D232" s="54"/>
      <c r="E232" s="54"/>
      <c r="F232" s="54"/>
      <c r="G232" s="54"/>
      <c r="H232" s="189"/>
      <c r="I232" s="189"/>
      <c r="K232" s="24" t="s">
        <v>893</v>
      </c>
      <c r="L232" s="25" t="s">
        <v>894</v>
      </c>
      <c r="M232" s="19"/>
      <c r="N232" s="19"/>
      <c r="O232" s="19" t="str">
        <f>IF(AND(ISNUMBER(MATCH(M232,{"F","E","D","D+","C","C+","B","B+","A","A+","S"},0)),ISNUMBER(MATCH(#REF!,{"F","E","D","D+","C","C+","B","B+","A","A+","S"},0)),ISNUMBER(MATCH(N238,{"F","E","D","D+","C","C+","B","B+","A","A+","S"},0)),ISNUMBER(MATCH(#REF!,{"F","E","D","D+","C","C+","B","B+","A","A+","S"},0))),LOOKUP(AVERAGE(_xlfn.SWITCH(M244,"F",0,"E",10,"D",20,"D+",30,"C",40,"C+",50,"B",60,"B+",70,"A",80,"A+",90,"S",100),_xlfn.SWITCH(#REF!,"F",0,"E",10,"D",20,"D+",30,"C",40,"C+",50,"B",60,"B+",70,"A",80,"A+",90,"S",100),_xlfn.SWITCH(N250,"F",0,"E",10,"D",20,"D+",30,"C",40,"C+",50,"B",60,"B+",70,"A",80,"A+",90,"S",100),_xlfn.SWITCH(#REF!,"F",0,"E",10,"D",20,"D+",30,"C",40,"C+",50,"B",60,"B+",70,"A",80,"A+",90,"S",100)),{0,15,25,35,45,55,65,75,85,95},{"D","D","D+","C","C+","B","B+","A","A+","S"}),"?")</f>
        <v>?</v>
      </c>
    </row>
    <row r="233" spans="1:17">
      <c r="A233" s="54" t="s">
        <v>4941</v>
      </c>
      <c r="B233" s="54" t="s">
        <v>1306</v>
      </c>
      <c r="C233" s="54"/>
      <c r="D233" s="54"/>
      <c r="E233" s="54"/>
      <c r="F233" s="54"/>
      <c r="G233" s="54"/>
      <c r="H233" s="189"/>
      <c r="I233" s="189"/>
      <c r="K233" s="24" t="s">
        <v>1286</v>
      </c>
      <c r="L233" s="25" t="s">
        <v>1287</v>
      </c>
      <c r="M233" s="19"/>
      <c r="N233" s="19"/>
      <c r="O233" s="19" t="str">
        <f>IF(AND(ISNUMBER(MATCH(M233,{"F","E","D","D+","C","C+","B","B+","A","A+","S"},0)),ISNUMBER(MATCH(#REF!,{"F","E","D","D+","C","C+","B","B+","A","A+","S"},0)),ISNUMBER(MATCH(N239,{"F","E","D","D+","C","C+","B","B+","A","A+","S"},0)),ISNUMBER(MATCH(#REF!,{"F","E","D","D+","C","C+","B","B+","A","A+","S"},0))),LOOKUP(AVERAGE(_xlfn.SWITCH(M245,"F",0,"E",10,"D",20,"D+",30,"C",40,"C+",50,"B",60,"B+",70,"A",80,"A+",90,"S",100),_xlfn.SWITCH(#REF!,"F",0,"E",10,"D",20,"D+",30,"C",40,"C+",50,"B",60,"B+",70,"A",80,"A+",90,"S",100),_xlfn.SWITCH(N251,"F",0,"E",10,"D",20,"D+",30,"C",40,"C+",50,"B",60,"B+",70,"A",80,"A+",90,"S",100),_xlfn.SWITCH(#REF!,"F",0,"E",10,"D",20,"D+",30,"C",40,"C+",50,"B",60,"B+",70,"A",80,"A+",90,"S",100)),{0,15,25,35,45,55,65,75,85,95},{"D","D","D+","C","C+","B","B+","A","A+","S"}),"?")</f>
        <v>?</v>
      </c>
    </row>
    <row r="234" spans="1:17">
      <c r="A234" s="54" t="s">
        <v>4942</v>
      </c>
      <c r="B234" s="54" t="s">
        <v>4943</v>
      </c>
      <c r="C234" s="54"/>
      <c r="D234" s="54"/>
      <c r="E234" s="54"/>
      <c r="F234" s="54"/>
      <c r="G234" s="54"/>
      <c r="H234" s="189"/>
      <c r="I234" s="189"/>
      <c r="K234" s="24" t="s">
        <v>1289</v>
      </c>
      <c r="L234" s="25" t="s">
        <v>598</v>
      </c>
      <c r="M234" s="19"/>
      <c r="N234" s="19"/>
      <c r="O234" s="19" t="str">
        <f>IF(AND(ISNUMBER(MATCH(M234,{"F","E","D","D+","C","C+","B","B+","A","A+","S"},0)),ISNUMBER(MATCH(#REF!,{"F","E","D","D+","C","C+","B","B+","A","A+","S"},0)),ISNUMBER(MATCH(N240,{"F","E","D","D+","C","C+","B","B+","A","A+","S"},0)),ISNUMBER(MATCH(#REF!,{"F","E","D","D+","C","C+","B","B+","A","A+","S"},0))),LOOKUP(AVERAGE(_xlfn.SWITCH(M246,"F",0,"E",10,"D",20,"D+",30,"C",40,"C+",50,"B",60,"B+",70,"A",80,"A+",90,"S",100),_xlfn.SWITCH(#REF!,"F",0,"E",10,"D",20,"D+",30,"C",40,"C+",50,"B",60,"B+",70,"A",80,"A+",90,"S",100),_xlfn.SWITCH(N252,"F",0,"E",10,"D",20,"D+",30,"C",40,"C+",50,"B",60,"B+",70,"A",80,"A+",90,"S",100),_xlfn.SWITCH(#REF!,"F",0,"E",10,"D",20,"D+",30,"C",40,"C+",50,"B",60,"B+",70,"A",80,"A+",90,"S",100)),{0,15,25,35,45,55,65,75,85,95},{"D","D","D+","C","C+","B","B+","A","A+","S"}),"?")</f>
        <v>?</v>
      </c>
    </row>
    <row r="235" spans="1:17">
      <c r="A235" s="54" t="s">
        <v>1084</v>
      </c>
      <c r="B235" s="54" t="s">
        <v>1085</v>
      </c>
      <c r="C235" s="54"/>
      <c r="D235" s="54"/>
      <c r="E235" s="54"/>
      <c r="F235" s="54"/>
      <c r="G235" s="54"/>
      <c r="H235" s="189"/>
      <c r="I235" s="189"/>
      <c r="K235" s="24" t="s">
        <v>955</v>
      </c>
      <c r="L235" s="25" t="s">
        <v>1291</v>
      </c>
      <c r="M235" s="19"/>
      <c r="N235" s="19"/>
      <c r="O235" s="19" t="str">
        <f>IF(AND(ISNUMBER(MATCH(M235,{"F","E","D","D+","C","C+","B","B+","A","A+","S"},0)),ISNUMBER(MATCH(#REF!,{"F","E","D","D+","C","C+","B","B+","A","A+","S"},0)),ISNUMBER(MATCH(N241,{"F","E","D","D+","C","C+","B","B+","A","A+","S"},0)),ISNUMBER(MATCH(#REF!,{"F","E","D","D+","C","C+","B","B+","A","A+","S"},0))),LOOKUP(AVERAGE(_xlfn.SWITCH(M247,"F",0,"E",10,"D",20,"D+",30,"C",40,"C+",50,"B",60,"B+",70,"A",80,"A+",90,"S",100),_xlfn.SWITCH(#REF!,"F",0,"E",10,"D",20,"D+",30,"C",40,"C+",50,"B",60,"B+",70,"A",80,"A+",90,"S",100),_xlfn.SWITCH(N253,"F",0,"E",10,"D",20,"D+",30,"C",40,"C+",50,"B",60,"B+",70,"A",80,"A+",90,"S",100),_xlfn.SWITCH(#REF!,"F",0,"E",10,"D",20,"D+",30,"C",40,"C+",50,"B",60,"B+",70,"A",80,"A+",90,"S",100)),{0,15,25,35,45,55,65,75,85,95},{"D","D","D+","C","C+","B","B+","A","A+","S"}),"?")</f>
        <v>?</v>
      </c>
    </row>
    <row r="236" spans="1:17">
      <c r="A236" s="54" t="s">
        <v>4944</v>
      </c>
      <c r="B236" s="54" t="s">
        <v>1314</v>
      </c>
      <c r="C236" s="54"/>
      <c r="D236" s="54"/>
      <c r="E236" s="54"/>
      <c r="F236" s="54"/>
      <c r="G236" s="54"/>
      <c r="H236" s="189"/>
      <c r="I236" s="189"/>
      <c r="K236" s="24" t="s">
        <v>936</v>
      </c>
      <c r="L236" s="25" t="s">
        <v>33</v>
      </c>
      <c r="M236" s="19"/>
      <c r="N236" s="19"/>
      <c r="O236" s="19" t="str">
        <f>IF(AND(ISNUMBER(MATCH(M236,{"F","E","D","D+","C","C+","B","B+","A","A+","S"},0)),ISNUMBER(MATCH(#REF!,{"F","E","D","D+","C","C+","B","B+","A","A+","S"},0)),ISNUMBER(MATCH(N242,{"F","E","D","D+","C","C+","B","B+","A","A+","S"},0)),ISNUMBER(MATCH(#REF!,{"F","E","D","D+","C","C+","B","B+","A","A+","S"},0))),LOOKUP(AVERAGE(_xlfn.SWITCH(M248,"F",0,"E",10,"D",20,"D+",30,"C",40,"C+",50,"B",60,"B+",70,"A",80,"A+",90,"S",100),_xlfn.SWITCH(#REF!,"F",0,"E",10,"D",20,"D+",30,"C",40,"C+",50,"B",60,"B+",70,"A",80,"A+",90,"S",100),_xlfn.SWITCH(N254,"F",0,"E",10,"D",20,"D+",30,"C",40,"C+",50,"B",60,"B+",70,"A",80,"A+",90,"S",100),_xlfn.SWITCH(#REF!,"F",0,"E",10,"D",20,"D+",30,"C",40,"C+",50,"B",60,"B+",70,"A",80,"A+",90,"S",100)),{0,15,25,35,45,55,65,75,85,95},{"D","D","D+","C","C+","B","B+","A","A+","S"}),"?")</f>
        <v>?</v>
      </c>
    </row>
    <row r="237" spans="1:17">
      <c r="A237" s="54" t="s">
        <v>4945</v>
      </c>
      <c r="B237" s="54" t="s">
        <v>2870</v>
      </c>
      <c r="C237" s="54"/>
      <c r="D237" s="54"/>
      <c r="E237" s="54"/>
      <c r="F237" s="54"/>
      <c r="G237" s="54"/>
      <c r="H237" s="189"/>
      <c r="I237" s="189"/>
      <c r="K237" s="24" t="s">
        <v>1296</v>
      </c>
      <c r="L237" s="25" t="s">
        <v>501</v>
      </c>
      <c r="M237" s="19"/>
      <c r="N237" s="19"/>
      <c r="O237" s="19" t="str">
        <f>IF(AND(ISNUMBER(MATCH(M237,{"F","E","D","D+","C","C+","B","B+","A","A+","S"},0)),ISNUMBER(MATCH(#REF!,{"F","E","D","D+","C","C+","B","B+","A","A+","S"},0)),ISNUMBER(MATCH(N243,{"F","E","D","D+","C","C+","B","B+","A","A+","S"},0)),ISNUMBER(MATCH(#REF!,{"F","E","D","D+","C","C+","B","B+","A","A+","S"},0))),LOOKUP(AVERAGE(_xlfn.SWITCH(M249,"F",0,"E",10,"D",20,"D+",30,"C",40,"C+",50,"B",60,"B+",70,"A",80,"A+",90,"S",100),_xlfn.SWITCH(#REF!,"F",0,"E",10,"D",20,"D+",30,"C",40,"C+",50,"B",60,"B+",70,"A",80,"A+",90,"S",100),_xlfn.SWITCH(N255,"F",0,"E",10,"D",20,"D+",30,"C",40,"C+",50,"B",60,"B+",70,"A",80,"A+",90,"S",100),_xlfn.SWITCH(#REF!,"F",0,"E",10,"D",20,"D+",30,"C",40,"C+",50,"B",60,"B+",70,"A",80,"A+",90,"S",100)),{0,15,25,35,45,55,65,75,85,95},{"D","D","D+","C","C+","B","B+","A","A+","S"}),"?")</f>
        <v>?</v>
      </c>
    </row>
    <row r="238" spans="1:17">
      <c r="A238" s="54" t="s">
        <v>4946</v>
      </c>
      <c r="B238" s="54" t="s">
        <v>1320</v>
      </c>
      <c r="C238" s="54"/>
      <c r="D238" s="54"/>
      <c r="E238" s="54"/>
      <c r="F238" s="54"/>
      <c r="G238" s="54"/>
      <c r="H238" s="189"/>
      <c r="I238" s="189"/>
      <c r="K238" s="24" t="s">
        <v>1299</v>
      </c>
      <c r="L238" s="25" t="s">
        <v>1300</v>
      </c>
      <c r="M238" s="19"/>
      <c r="N238" s="19"/>
      <c r="O238" s="19" t="str">
        <f>IF(AND(ISNUMBER(MATCH(M238,{"F","E","D","D+","C","C+","B","B+","A","A+","S"},0)),ISNUMBER(MATCH(#REF!,{"F","E","D","D+","C","C+","B","B+","A","A+","S"},0)),ISNUMBER(MATCH(N244,{"F","E","D","D+","C","C+","B","B+","A","A+","S"},0)),ISNUMBER(MATCH(#REF!,{"F","E","D","D+","C","C+","B","B+","A","A+","S"},0))),LOOKUP(AVERAGE(_xlfn.SWITCH(M250,"F",0,"E",10,"D",20,"D+",30,"C",40,"C+",50,"B",60,"B+",70,"A",80,"A+",90,"S",100),_xlfn.SWITCH(#REF!,"F",0,"E",10,"D",20,"D+",30,"C",40,"C+",50,"B",60,"B+",70,"A",80,"A+",90,"S",100),_xlfn.SWITCH(N256,"F",0,"E",10,"D",20,"D+",30,"C",40,"C+",50,"B",60,"B+",70,"A",80,"A+",90,"S",100),_xlfn.SWITCH(#REF!,"F",0,"E",10,"D",20,"D+",30,"C",40,"C+",50,"B",60,"B+",70,"A",80,"A+",90,"S",100)),{0,15,25,35,45,55,65,75,85,95},{"D","D","D+","C","C+","B","B+","A","A+","S"}),"?")</f>
        <v>?</v>
      </c>
    </row>
    <row r="239" spans="1:17">
      <c r="A239" s="54" t="s">
        <v>1078</v>
      </c>
      <c r="B239" s="54" t="s">
        <v>1079</v>
      </c>
      <c r="C239" s="54"/>
      <c r="D239" s="54"/>
      <c r="E239" s="54"/>
      <c r="F239" s="54"/>
      <c r="G239" s="54"/>
      <c r="H239" s="189"/>
      <c r="I239" s="189"/>
      <c r="K239" s="24" t="s">
        <v>1303</v>
      </c>
      <c r="L239" s="25" t="s">
        <v>1304</v>
      </c>
      <c r="M239" s="19"/>
      <c r="N239" s="19"/>
      <c r="O239" s="19" t="str">
        <f>IF(AND(ISNUMBER(MATCH(M239,{"F","E","D","D+","C","C+","B","B+","A","A+","S"},0)),ISNUMBER(MATCH(#REF!,{"F","E","D","D+","C","C+","B","B+","A","A+","S"},0)),ISNUMBER(MATCH(N245,{"F","E","D","D+","C","C+","B","B+","A","A+","S"},0)),ISNUMBER(MATCH(#REF!,{"F","E","D","D+","C","C+","B","B+","A","A+","S"},0))),LOOKUP(AVERAGE(_xlfn.SWITCH(M251,"F",0,"E",10,"D",20,"D+",30,"C",40,"C+",50,"B",60,"B+",70,"A",80,"A+",90,"S",100),_xlfn.SWITCH(#REF!,"F",0,"E",10,"D",20,"D+",30,"C",40,"C+",50,"B",60,"B+",70,"A",80,"A+",90,"S",100),_xlfn.SWITCH(N257,"F",0,"E",10,"D",20,"D+",30,"C",40,"C+",50,"B",60,"B+",70,"A",80,"A+",90,"S",100),_xlfn.SWITCH(#REF!,"F",0,"E",10,"D",20,"D+",30,"C",40,"C+",50,"B",60,"B+",70,"A",80,"A+",90,"S",100)),{0,15,25,35,45,55,65,75,85,95},{"D","D","D+","C","C+","B","B+","A","A+","S"}),"?")</f>
        <v>?</v>
      </c>
    </row>
    <row r="240" spans="1:17">
      <c r="A240" s="54" t="s">
        <v>1090</v>
      </c>
      <c r="B240" s="54" t="s">
        <v>1091</v>
      </c>
      <c r="C240" s="54"/>
      <c r="D240" s="54"/>
      <c r="E240" s="54"/>
      <c r="F240" s="54"/>
      <c r="G240" s="54"/>
      <c r="H240" s="189"/>
      <c r="I240" s="189"/>
      <c r="K240" s="24" t="s">
        <v>948</v>
      </c>
      <c r="L240" s="25" t="s">
        <v>949</v>
      </c>
      <c r="M240" s="19"/>
      <c r="N240" s="19"/>
      <c r="O240" s="19" t="str">
        <f>IF(AND(ISNUMBER(MATCH(M240,{"F","E","D","D+","C","C+","B","B+","A","A+","S"},0)),ISNUMBER(MATCH(#REF!,{"F","E","D","D+","C","C+","B","B+","A","A+","S"},0)),ISNUMBER(MATCH(N246,{"F","E","D","D+","C","C+","B","B+","A","A+","S"},0)),ISNUMBER(MATCH(#REF!,{"F","E","D","D+","C","C+","B","B+","A","A+","S"},0))),LOOKUP(AVERAGE(_xlfn.SWITCH(M252,"F",0,"E",10,"D",20,"D+",30,"C",40,"C+",50,"B",60,"B+",70,"A",80,"A+",90,"S",100),_xlfn.SWITCH(#REF!,"F",0,"E",10,"D",20,"D+",30,"C",40,"C+",50,"B",60,"B+",70,"A",80,"A+",90,"S",100),_xlfn.SWITCH(N258,"F",0,"E",10,"D",20,"D+",30,"C",40,"C+",50,"B",60,"B+",70,"A",80,"A+",90,"S",100),_xlfn.SWITCH(#REF!,"F",0,"E",10,"D",20,"D+",30,"C",40,"C+",50,"B",60,"B+",70,"A",80,"A+",90,"S",100)),{0,15,25,35,45,55,65,75,85,95},{"D","D","D+","C","C+","B","B+","A","A+","S"}),"?")</f>
        <v>?</v>
      </c>
    </row>
    <row r="241" spans="1:15">
      <c r="A241" s="54" t="s">
        <v>1110</v>
      </c>
      <c r="B241" s="54" t="s">
        <v>726</v>
      </c>
      <c r="C241" s="54"/>
      <c r="D241" s="54"/>
      <c r="E241" s="54"/>
      <c r="F241" s="54"/>
      <c r="G241" s="54"/>
      <c r="H241" s="189"/>
      <c r="I241" s="189"/>
      <c r="K241" s="24" t="s">
        <v>1309</v>
      </c>
      <c r="L241" s="25" t="s">
        <v>291</v>
      </c>
      <c r="M241" s="19"/>
      <c r="N241" s="19"/>
      <c r="O241" s="19" t="str">
        <f>IF(AND(ISNUMBER(MATCH(M241,{"F","E","D","D+","C","C+","B","B+","A","A+","S"},0)),ISNUMBER(MATCH(#REF!,{"F","E","D","D+","C","C+","B","B+","A","A+","S"},0)),ISNUMBER(MATCH(N247,{"F","E","D","D+","C","C+","B","B+","A","A+","S"},0)),ISNUMBER(MATCH(#REF!,{"F","E","D","D+","C","C+","B","B+","A","A+","S"},0))),LOOKUP(AVERAGE(_xlfn.SWITCH(M253,"F",0,"E",10,"D",20,"D+",30,"C",40,"C+",50,"B",60,"B+",70,"A",80,"A+",90,"S",100),_xlfn.SWITCH(#REF!,"F",0,"E",10,"D",20,"D+",30,"C",40,"C+",50,"B",60,"B+",70,"A",80,"A+",90,"S",100),_xlfn.SWITCH(N259,"F",0,"E",10,"D",20,"D+",30,"C",40,"C+",50,"B",60,"B+",70,"A",80,"A+",90,"S",100),_xlfn.SWITCH(#REF!,"F",0,"E",10,"D",20,"D+",30,"C",40,"C+",50,"B",60,"B+",70,"A",80,"A+",90,"S",100)),{0,15,25,35,45,55,65,75,85,95},{"D","D","D+","C","C+","B","B+","A","A+","S"}),"?")</f>
        <v>?</v>
      </c>
    </row>
    <row r="242" spans="1:15">
      <c r="A242" s="54" t="s">
        <v>1101</v>
      </c>
      <c r="B242" s="54" t="s">
        <v>1102</v>
      </c>
      <c r="C242" s="54"/>
      <c r="D242" s="54"/>
      <c r="E242" s="54"/>
      <c r="F242" s="54"/>
      <c r="G242" s="54"/>
      <c r="H242" s="189"/>
      <c r="I242" s="189"/>
      <c r="K242" s="24" t="s">
        <v>1311</v>
      </c>
      <c r="L242" s="25" t="s">
        <v>1312</v>
      </c>
      <c r="M242" s="19"/>
      <c r="N242" s="19"/>
      <c r="O242" s="19" t="str">
        <f>IF(AND(ISNUMBER(MATCH(M242,{"F","E","D","D+","C","C+","B","B+","A","A+","S"},0)),ISNUMBER(MATCH(#REF!,{"F","E","D","D+","C","C+","B","B+","A","A+","S"},0)),ISNUMBER(MATCH(N248,{"F","E","D","D+","C","C+","B","B+","A","A+","S"},0)),ISNUMBER(MATCH(#REF!,{"F","E","D","D+","C","C+","B","B+","A","A+","S"},0))),LOOKUP(AVERAGE(_xlfn.SWITCH(M254,"F",0,"E",10,"D",20,"D+",30,"C",40,"C+",50,"B",60,"B+",70,"A",80,"A+",90,"S",100),_xlfn.SWITCH(#REF!,"F",0,"E",10,"D",20,"D+",30,"C",40,"C+",50,"B",60,"B+",70,"A",80,"A+",90,"S",100),_xlfn.SWITCH(N260,"F",0,"E",10,"D",20,"D+",30,"C",40,"C+",50,"B",60,"B+",70,"A",80,"A+",90,"S",100),_xlfn.SWITCH(#REF!,"F",0,"E",10,"D",20,"D+",30,"C",40,"C+",50,"B",60,"B+",70,"A",80,"A+",90,"S",100)),{0,15,25,35,45,55,65,75,85,95},{"D","D","D+","C","C+","B","B+","A","A+","S"}),"?")</f>
        <v>?</v>
      </c>
    </row>
    <row r="243" spans="1:15">
      <c r="A243" s="54" t="s">
        <v>1057</v>
      </c>
      <c r="B243" s="54" t="s">
        <v>1058</v>
      </c>
      <c r="C243" s="54"/>
      <c r="D243" s="54"/>
      <c r="E243" s="54"/>
      <c r="F243" s="54"/>
      <c r="G243" s="54"/>
      <c r="H243" s="189"/>
      <c r="I243" s="189"/>
      <c r="K243" s="24" t="s">
        <v>1021</v>
      </c>
      <c r="L243" s="25" t="s">
        <v>1022</v>
      </c>
      <c r="M243" s="19"/>
      <c r="N243" s="19"/>
      <c r="O243" s="19" t="str">
        <f>IF(AND(ISNUMBER(MATCH(M243,{"F","E","D","D+","C","C+","B","B+","A","A+","S"},0)),ISNUMBER(MATCH(#REF!,{"F","E","D","D+","C","C+","B","B+","A","A+","S"},0)),ISNUMBER(MATCH(N249,{"F","E","D","D+","C","C+","B","B+","A","A+","S"},0)),ISNUMBER(MATCH(#REF!,{"F","E","D","D+","C","C+","B","B+","A","A+","S"},0))),LOOKUP(AVERAGE(_xlfn.SWITCH(M255,"F",0,"E",10,"D",20,"D+",30,"C",40,"C+",50,"B",60,"B+",70,"A",80,"A+",90,"S",100),_xlfn.SWITCH(#REF!,"F",0,"E",10,"D",20,"D+",30,"C",40,"C+",50,"B",60,"B+",70,"A",80,"A+",90,"S",100),_xlfn.SWITCH(N261,"F",0,"E",10,"D",20,"D+",30,"C",40,"C+",50,"B",60,"B+",70,"A",80,"A+",90,"S",100),_xlfn.SWITCH(#REF!,"F",0,"E",10,"D",20,"D+",30,"C",40,"C+",50,"B",60,"B+",70,"A",80,"A+",90,"S",100)),{0,15,25,35,45,55,65,75,85,95},{"D","D","D+","C","C+","B","B+","A","A+","S"}),"?")</f>
        <v>?</v>
      </c>
    </row>
    <row r="244" spans="1:15">
      <c r="A244" s="54" t="s">
        <v>1167</v>
      </c>
      <c r="B244" s="54" t="s">
        <v>1168</v>
      </c>
      <c r="C244" s="54"/>
      <c r="D244" s="54"/>
      <c r="E244" s="54"/>
      <c r="F244" s="54"/>
      <c r="G244" s="54"/>
      <c r="H244" s="189"/>
      <c r="I244" s="189"/>
      <c r="K244" s="24" t="s">
        <v>1317</v>
      </c>
      <c r="L244" s="25" t="s">
        <v>1318</v>
      </c>
      <c r="M244" s="19"/>
      <c r="N244" s="19"/>
      <c r="O244" s="19" t="str">
        <f>IF(AND(ISNUMBER(MATCH(M244,{"F","E","D","D+","C","C+","B","B+","A","A+","S"},0)),ISNUMBER(MATCH(#REF!,{"F","E","D","D+","C","C+","B","B+","A","A+","S"},0)),ISNUMBER(MATCH(N250,{"F","E","D","D+","C","C+","B","B+","A","A+","S"},0)),ISNUMBER(MATCH(#REF!,{"F","E","D","D+","C","C+","B","B+","A","A+","S"},0))),LOOKUP(AVERAGE(_xlfn.SWITCH(M256,"F",0,"E",10,"D",20,"D+",30,"C",40,"C+",50,"B",60,"B+",70,"A",80,"A+",90,"S",100),_xlfn.SWITCH(#REF!,"F",0,"E",10,"D",20,"D+",30,"C",40,"C+",50,"B",60,"B+",70,"A",80,"A+",90,"S",100),_xlfn.SWITCH(N262,"F",0,"E",10,"D",20,"D+",30,"C",40,"C+",50,"B",60,"B+",70,"A",80,"A+",90,"S",100),_xlfn.SWITCH(#REF!,"F",0,"E",10,"D",20,"D+",30,"C",40,"C+",50,"B",60,"B+",70,"A",80,"A+",90,"S",100)),{0,15,25,35,45,55,65,75,85,95},{"D","D","D+","C","C+","B","B+","A","A+","S"}),"?")</f>
        <v>?</v>
      </c>
    </row>
    <row r="245" spans="1:15">
      <c r="A245" s="54" t="s">
        <v>4947</v>
      </c>
      <c r="B245" s="54" t="s">
        <v>1340</v>
      </c>
      <c r="C245" s="54"/>
      <c r="D245" s="54"/>
      <c r="E245" s="54"/>
      <c r="F245" s="54"/>
      <c r="G245" s="54"/>
      <c r="H245" s="189"/>
      <c r="I245" s="189"/>
      <c r="K245" s="24" t="s">
        <v>1321</v>
      </c>
      <c r="L245" s="25" t="s">
        <v>1322</v>
      </c>
      <c r="M245" s="19"/>
      <c r="N245" s="19"/>
      <c r="O245" s="19" t="str">
        <f>IF(AND(ISNUMBER(MATCH(M245,{"F","E","D","D+","C","C+","B","B+","A","A+","S"},0)),ISNUMBER(MATCH(#REF!,{"F","E","D","D+","C","C+","B","B+","A","A+","S"},0)),ISNUMBER(MATCH(N251,{"F","E","D","D+","C","C+","B","B+","A","A+","S"},0)),ISNUMBER(MATCH(#REF!,{"F","E","D","D+","C","C+","B","B+","A","A+","S"},0))),LOOKUP(AVERAGE(_xlfn.SWITCH(M257,"F",0,"E",10,"D",20,"D+",30,"C",40,"C+",50,"B",60,"B+",70,"A",80,"A+",90,"S",100),_xlfn.SWITCH(#REF!,"F",0,"E",10,"D",20,"D+",30,"C",40,"C+",50,"B",60,"B+",70,"A",80,"A+",90,"S",100),_xlfn.SWITCH(N263,"F",0,"E",10,"D",20,"D+",30,"C",40,"C+",50,"B",60,"B+",70,"A",80,"A+",90,"S",100),_xlfn.SWITCH(#REF!,"F",0,"E",10,"D",20,"D+",30,"C",40,"C+",50,"B",60,"B+",70,"A",80,"A+",90,"S",100)),{0,15,25,35,45,55,65,75,85,95},{"D","D","D+","C","C+","B","B+","A","A+","S"}),"?")</f>
        <v>?</v>
      </c>
    </row>
    <row r="246" spans="1:15">
      <c r="A246" s="54" t="s">
        <v>4948</v>
      </c>
      <c r="B246" s="54" t="s">
        <v>1063</v>
      </c>
      <c r="C246" s="54"/>
      <c r="D246" s="54"/>
      <c r="E246" s="54"/>
      <c r="F246" s="54"/>
      <c r="G246" s="54"/>
      <c r="H246" s="189"/>
      <c r="I246" s="189"/>
      <c r="K246" s="24" t="s">
        <v>1000</v>
      </c>
      <c r="L246" s="25" t="s">
        <v>1001</v>
      </c>
      <c r="M246" s="19"/>
      <c r="N246" s="19"/>
      <c r="O246" s="19" t="str">
        <f>IF(AND(ISNUMBER(MATCH(M246,{"F","E","D","D+","C","C+","B","B+","A","A+","S"},0)),ISNUMBER(MATCH(#REF!,{"F","E","D","D+","C","C+","B","B+","A","A+","S"},0)),ISNUMBER(MATCH(N252,{"F","E","D","D+","C","C+","B","B+","A","A+","S"},0)),ISNUMBER(MATCH(#REF!,{"F","E","D","D+","C","C+","B","B+","A","A+","S"},0))),LOOKUP(AVERAGE(_xlfn.SWITCH(M258,"F",0,"E",10,"D",20,"D+",30,"C",40,"C+",50,"B",60,"B+",70,"A",80,"A+",90,"S",100),_xlfn.SWITCH(#REF!,"F",0,"E",10,"D",20,"D+",30,"C",40,"C+",50,"B",60,"B+",70,"A",80,"A+",90,"S",100),_xlfn.SWITCH(N264,"F",0,"E",10,"D",20,"D+",30,"C",40,"C+",50,"B",60,"B+",70,"A",80,"A+",90,"S",100),_xlfn.SWITCH(#REF!,"F",0,"E",10,"D",20,"D+",30,"C",40,"C+",50,"B",60,"B+",70,"A",80,"A+",90,"S",100)),{0,15,25,35,45,55,65,75,85,95},{"D","D","D+","C","C+","B","B+","A","A+","S"}),"?")</f>
        <v>?</v>
      </c>
    </row>
    <row r="247" spans="1:15">
      <c r="A247" s="54" t="s">
        <v>4949</v>
      </c>
      <c r="B247" s="54" t="s">
        <v>2889</v>
      </c>
      <c r="C247" s="54"/>
      <c r="D247" s="54"/>
      <c r="E247" s="54"/>
      <c r="F247" s="54"/>
      <c r="G247" s="54"/>
      <c r="H247" s="189"/>
      <c r="I247" s="189"/>
      <c r="K247" s="24" t="s">
        <v>1325</v>
      </c>
      <c r="L247" s="25" t="s">
        <v>1326</v>
      </c>
      <c r="M247" s="19"/>
      <c r="N247" s="19"/>
      <c r="O247" s="19" t="str">
        <f>IF(AND(ISNUMBER(MATCH(M247,{"F","E","D","D+","C","C+","B","B+","A","A+","S"},0)),ISNUMBER(MATCH(#REF!,{"F","E","D","D+","C","C+","B","B+","A","A+","S"},0)),ISNUMBER(MATCH(N253,{"F","E","D","D+","C","C+","B","B+","A","A+","S"},0)),ISNUMBER(MATCH(#REF!,{"F","E","D","D+","C","C+","B","B+","A","A+","S"},0))),LOOKUP(AVERAGE(_xlfn.SWITCH(M259,"F",0,"E",10,"D",20,"D+",30,"C",40,"C+",50,"B",60,"B+",70,"A",80,"A+",90,"S",100),_xlfn.SWITCH(#REF!,"F",0,"E",10,"D",20,"D+",30,"C",40,"C+",50,"B",60,"B+",70,"A",80,"A+",90,"S",100),_xlfn.SWITCH(N265,"F",0,"E",10,"D",20,"D+",30,"C",40,"C+",50,"B",60,"B+",70,"A",80,"A+",90,"S",100),_xlfn.SWITCH(#REF!,"F",0,"E",10,"D",20,"D+",30,"C",40,"C+",50,"B",60,"B+",70,"A",80,"A+",90,"S",100)),{0,15,25,35,45,55,65,75,85,95},{"D","D","D+","C","C+","B","B+","A","A+","S"}),"?")</f>
        <v>?</v>
      </c>
    </row>
    <row r="248" spans="1:15">
      <c r="A248" s="54" t="s">
        <v>1216</v>
      </c>
      <c r="B248" s="54" t="s">
        <v>601</v>
      </c>
      <c r="C248" s="54"/>
      <c r="D248" s="54"/>
      <c r="E248" s="54"/>
      <c r="F248" s="54"/>
      <c r="G248" s="54"/>
      <c r="H248" s="189"/>
      <c r="I248" s="189"/>
      <c r="K248" s="24" t="s">
        <v>1328</v>
      </c>
      <c r="L248" s="25" t="s">
        <v>1329</v>
      </c>
      <c r="M248" s="19"/>
      <c r="N248" s="19"/>
      <c r="O248" s="19" t="str">
        <f>IF(AND(ISNUMBER(MATCH(M248,{"F","E","D","D+","C","C+","B","B+","A","A+","S"},0)),ISNUMBER(MATCH(#REF!,{"F","E","D","D+","C","C+","B","B+","A","A+","S"},0)),ISNUMBER(MATCH(N254,{"F","E","D","D+","C","C+","B","B+","A","A+","S"},0)),ISNUMBER(MATCH(#REF!,{"F","E","D","D+","C","C+","B","B+","A","A+","S"},0))),LOOKUP(AVERAGE(_xlfn.SWITCH(M260,"F",0,"E",10,"D",20,"D+",30,"C",40,"C+",50,"B",60,"B+",70,"A",80,"A+",90,"S",100),_xlfn.SWITCH(#REF!,"F",0,"E",10,"D",20,"D+",30,"C",40,"C+",50,"B",60,"B+",70,"A",80,"A+",90,"S",100),_xlfn.SWITCH(N266,"F",0,"E",10,"D",20,"D+",30,"C",40,"C+",50,"B",60,"B+",70,"A",80,"A+",90,"S",100),_xlfn.SWITCH(#REF!,"F",0,"E",10,"D",20,"D+",30,"C",40,"C+",50,"B",60,"B+",70,"A",80,"A+",90,"S",100)),{0,15,25,35,45,55,65,75,85,95},{"D","D","D+","C","C+","B","B+","A","A+","S"}),"?")</f>
        <v>?</v>
      </c>
    </row>
    <row r="249" spans="1:15">
      <c r="A249" s="54" t="s">
        <v>4950</v>
      </c>
      <c r="B249" s="54" t="s">
        <v>2894</v>
      </c>
      <c r="C249" s="54"/>
      <c r="D249" s="54"/>
      <c r="E249" s="54"/>
      <c r="F249" s="54"/>
      <c r="G249" s="54"/>
      <c r="H249" s="189"/>
      <c r="I249" s="189"/>
      <c r="K249" s="24" t="s">
        <v>988</v>
      </c>
      <c r="L249" s="25" t="s">
        <v>989</v>
      </c>
      <c r="M249" s="19"/>
      <c r="N249" s="19"/>
      <c r="O249" s="19" t="str">
        <f>IF(AND(ISNUMBER(MATCH(M249,{"F","E","D","D+","C","C+","B","B+","A","A+","S"},0)),ISNUMBER(MATCH(#REF!,{"F","E","D","D+","C","C+","B","B+","A","A+","S"},0)),ISNUMBER(MATCH(N255,{"F","E","D","D+","C","C+","B","B+","A","A+","S"},0)),ISNUMBER(MATCH(#REF!,{"F","E","D","D+","C","C+","B","B+","A","A+","S"},0))),LOOKUP(AVERAGE(_xlfn.SWITCH(M261,"F",0,"E",10,"D",20,"D+",30,"C",40,"C+",50,"B",60,"B+",70,"A",80,"A+",90,"S",100),_xlfn.SWITCH(#REF!,"F",0,"E",10,"D",20,"D+",30,"C",40,"C+",50,"B",60,"B+",70,"A",80,"A+",90,"S",100),_xlfn.SWITCH(N267,"F",0,"E",10,"D",20,"D+",30,"C",40,"C+",50,"B",60,"B+",70,"A",80,"A+",90,"S",100),_xlfn.SWITCH(#REF!,"F",0,"E",10,"D",20,"D+",30,"C",40,"C+",50,"B",60,"B+",70,"A",80,"A+",90,"S",100)),{0,15,25,35,45,55,65,75,85,95},{"D","D","D+","C","C+","B","B+","A","A+","S"}),"?")</f>
        <v>?</v>
      </c>
    </row>
    <row r="250" spans="1:15">
      <c r="A250" s="54" t="s">
        <v>4951</v>
      </c>
      <c r="B250" s="54" t="s">
        <v>1356</v>
      </c>
      <c r="C250" s="54"/>
      <c r="D250" s="54"/>
      <c r="E250" s="54"/>
      <c r="F250" s="54"/>
      <c r="G250" s="54"/>
      <c r="H250" s="189"/>
      <c r="I250" s="189"/>
      <c r="K250" s="24" t="s">
        <v>1333</v>
      </c>
      <c r="L250" s="25" t="s">
        <v>1334</v>
      </c>
      <c r="M250" s="19"/>
      <c r="N250" s="19"/>
      <c r="O250" s="19" t="str">
        <f>IF(AND(ISNUMBER(MATCH(M250,{"F","E","D","D+","C","C+","B","B+","A","A+","S"},0)),ISNUMBER(MATCH(#REF!,{"F","E","D","D+","C","C+","B","B+","A","A+","S"},0)),ISNUMBER(MATCH(N256,{"F","E","D","D+","C","C+","B","B+","A","A+","S"},0)),ISNUMBER(MATCH(#REF!,{"F","E","D","D+","C","C+","B","B+","A","A+","S"},0))),LOOKUP(AVERAGE(_xlfn.SWITCH(M262,"F",0,"E",10,"D",20,"D+",30,"C",40,"C+",50,"B",60,"B+",70,"A",80,"A+",90,"S",100),_xlfn.SWITCH(#REF!,"F",0,"E",10,"D",20,"D+",30,"C",40,"C+",50,"B",60,"B+",70,"A",80,"A+",90,"S",100),_xlfn.SWITCH(N268,"F",0,"E",10,"D",20,"D+",30,"C",40,"C+",50,"B",60,"B+",70,"A",80,"A+",90,"S",100),_xlfn.SWITCH(#REF!,"F",0,"E",10,"D",20,"D+",30,"C",40,"C+",50,"B",60,"B+",70,"A",80,"A+",90,"S",100)),{0,15,25,35,45,55,65,75,85,95},{"D","D","D+","C","C+","B","B+","A","A+","S"}),"?")</f>
        <v>?</v>
      </c>
    </row>
    <row r="251" spans="1:15">
      <c r="A251" s="54" t="s">
        <v>4952</v>
      </c>
      <c r="B251" s="54" t="s">
        <v>1358</v>
      </c>
      <c r="C251" s="54"/>
      <c r="D251" s="54"/>
      <c r="E251" s="54"/>
      <c r="F251" s="54"/>
      <c r="G251" s="54"/>
      <c r="H251" s="189"/>
      <c r="I251" s="189"/>
      <c r="K251" s="24" t="s">
        <v>1337</v>
      </c>
      <c r="L251" s="25" t="s">
        <v>1338</v>
      </c>
      <c r="M251" s="19"/>
      <c r="N251" s="19"/>
      <c r="O251" s="19" t="str">
        <f>IF(AND(ISNUMBER(MATCH(M251,{"F","E","D","D+","C","C+","B","B+","A","A+","S"},0)),ISNUMBER(MATCH(#REF!,{"F","E","D","D+","C","C+","B","B+","A","A+","S"},0)),ISNUMBER(MATCH(N257,{"F","E","D","D+","C","C+","B","B+","A","A+","S"},0)),ISNUMBER(MATCH(#REF!,{"F","E","D","D+","C","C+","B","B+","A","A+","S"},0))),LOOKUP(AVERAGE(_xlfn.SWITCH(M263,"F",0,"E",10,"D",20,"D+",30,"C",40,"C+",50,"B",60,"B+",70,"A",80,"A+",90,"S",100),_xlfn.SWITCH(#REF!,"F",0,"E",10,"D",20,"D+",30,"C",40,"C+",50,"B",60,"B+",70,"A",80,"A+",90,"S",100),_xlfn.SWITCH(N269,"F",0,"E",10,"D",20,"D+",30,"C",40,"C+",50,"B",60,"B+",70,"A",80,"A+",90,"S",100),_xlfn.SWITCH(#REF!,"F",0,"E",10,"D",20,"D+",30,"C",40,"C+",50,"B",60,"B+",70,"A",80,"A+",90,"S",100)),{0,15,25,35,45,55,65,75,85,95},{"D","D","D+","C","C+","B","B+","A","A+","S"}),"?")</f>
        <v>?</v>
      </c>
    </row>
    <row r="252" spans="1:15">
      <c r="A252" s="54" t="s">
        <v>1096</v>
      </c>
      <c r="B252" s="54" t="s">
        <v>1097</v>
      </c>
      <c r="C252" s="54"/>
      <c r="D252" s="54"/>
      <c r="E252" s="54"/>
      <c r="F252" s="54"/>
      <c r="G252" s="54"/>
      <c r="H252" s="189"/>
      <c r="I252" s="189"/>
      <c r="K252" s="24" t="s">
        <v>1341</v>
      </c>
      <c r="L252" s="25" t="s">
        <v>1342</v>
      </c>
      <c r="M252" s="19"/>
      <c r="N252" s="19"/>
      <c r="O252" s="19" t="str">
        <f>IF(AND(ISNUMBER(MATCH(M252,{"F","E","D","D+","C","C+","B","B+","A","A+","S"},0)),ISNUMBER(MATCH(#REF!,{"F","E","D","D+","C","C+","B","B+","A","A+","S"},0)),ISNUMBER(MATCH(N258,{"F","E","D","D+","C","C+","B","B+","A","A+","S"},0)),ISNUMBER(MATCH(#REF!,{"F","E","D","D+","C","C+","B","B+","A","A+","S"},0))),LOOKUP(AVERAGE(_xlfn.SWITCH(M264,"F",0,"E",10,"D",20,"D+",30,"C",40,"C+",50,"B",60,"B+",70,"A",80,"A+",90,"S",100),_xlfn.SWITCH(#REF!,"F",0,"E",10,"D",20,"D+",30,"C",40,"C+",50,"B",60,"B+",70,"A",80,"A+",90,"S",100),_xlfn.SWITCH(N270,"F",0,"E",10,"D",20,"D+",30,"C",40,"C+",50,"B",60,"B+",70,"A",80,"A+",90,"S",100),_xlfn.SWITCH(#REF!,"F",0,"E",10,"D",20,"D+",30,"C",40,"C+",50,"B",60,"B+",70,"A",80,"A+",90,"S",100)),{0,15,25,35,45,55,65,75,85,95},{"D","D","D+","C","C+","B","B+","A","A+","S"}),"?")</f>
        <v>?</v>
      </c>
    </row>
    <row r="253" spans="1:15">
      <c r="A253" s="54" t="s">
        <v>1116</v>
      </c>
      <c r="B253" s="54" t="s">
        <v>1117</v>
      </c>
      <c r="C253" s="54"/>
      <c r="D253" s="54"/>
      <c r="E253" s="54"/>
      <c r="F253" s="54"/>
      <c r="G253" s="54"/>
      <c r="H253" s="189"/>
      <c r="I253" s="189"/>
      <c r="K253" s="24" t="s">
        <v>1344</v>
      </c>
      <c r="L253" s="25" t="s">
        <v>1345</v>
      </c>
      <c r="M253" s="19"/>
      <c r="N253" s="19"/>
      <c r="O253" s="19" t="str">
        <f>IF(AND(ISNUMBER(MATCH(M253,{"F","E","D","D+","C","C+","B","B+","A","A+","S"},0)),ISNUMBER(MATCH(#REF!,{"F","E","D","D+","C","C+","B","B+","A","A+","S"},0)),ISNUMBER(MATCH(N259,{"F","E","D","D+","C","C+","B","B+","A","A+","S"},0)),ISNUMBER(MATCH(#REF!,{"F","E","D","D+","C","C+","B","B+","A","A+","S"},0))),LOOKUP(AVERAGE(_xlfn.SWITCH(M265,"F",0,"E",10,"D",20,"D+",30,"C",40,"C+",50,"B",60,"B+",70,"A",80,"A+",90,"S",100),_xlfn.SWITCH(#REF!,"F",0,"E",10,"D",20,"D+",30,"C",40,"C+",50,"B",60,"B+",70,"A",80,"A+",90,"S",100),_xlfn.SWITCH(N271,"F",0,"E",10,"D",20,"D+",30,"C",40,"C+",50,"B",60,"B+",70,"A",80,"A+",90,"S",100),_xlfn.SWITCH(#REF!,"F",0,"E",10,"D",20,"D+",30,"C",40,"C+",50,"B",60,"B+",70,"A",80,"A+",90,"S",100)),{0,15,25,35,45,55,65,75,85,95},{"D","D","D+","C","C+","B","B+","A","A+","S"}),"?")</f>
        <v>?</v>
      </c>
    </row>
    <row r="254" spans="1:15">
      <c r="A254" s="54" t="s">
        <v>4953</v>
      </c>
      <c r="B254" s="54" t="s">
        <v>1368</v>
      </c>
      <c r="C254" s="54"/>
      <c r="D254" s="54"/>
      <c r="E254" s="54"/>
      <c r="F254" s="54"/>
      <c r="G254" s="54"/>
      <c r="H254" s="189"/>
      <c r="I254" s="189"/>
      <c r="K254" s="24" t="s">
        <v>1348</v>
      </c>
      <c r="L254" s="25" t="s">
        <v>1349</v>
      </c>
      <c r="M254" s="19"/>
      <c r="N254" s="19"/>
      <c r="O254" s="19" t="str">
        <f>IF(AND(ISNUMBER(MATCH(M254,{"F","E","D","D+","C","C+","B","B+","A","A+","S"},0)),ISNUMBER(MATCH(#REF!,{"F","E","D","D+","C","C+","B","B+","A","A+","S"},0)),ISNUMBER(MATCH(N260,{"F","E","D","D+","C","C+","B","B+","A","A+","S"},0)),ISNUMBER(MATCH(#REF!,{"F","E","D","D+","C","C+","B","B+","A","A+","S"},0))),LOOKUP(AVERAGE(_xlfn.SWITCH(M266,"F",0,"E",10,"D",20,"D+",30,"C",40,"C+",50,"B",60,"B+",70,"A",80,"A+",90,"S",100),_xlfn.SWITCH(#REF!,"F",0,"E",10,"D",20,"D+",30,"C",40,"C+",50,"B",60,"B+",70,"A",80,"A+",90,"S",100),_xlfn.SWITCH(N272,"F",0,"E",10,"D",20,"D+",30,"C",40,"C+",50,"B",60,"B+",70,"A",80,"A+",90,"S",100),_xlfn.SWITCH(#REF!,"F",0,"E",10,"D",20,"D+",30,"C",40,"C+",50,"B",60,"B+",70,"A",80,"A+",90,"S",100)),{0,15,25,35,45,55,65,75,85,95},{"D","D","D+","C","C+","B","B+","A","A+","S"}),"?")</f>
        <v>?</v>
      </c>
    </row>
    <row r="255" spans="1:15">
      <c r="A255" s="54" t="s">
        <v>4954</v>
      </c>
      <c r="B255" s="54" t="s">
        <v>1370</v>
      </c>
      <c r="C255" s="54"/>
      <c r="D255" s="54"/>
      <c r="E255" s="54"/>
      <c r="F255" s="54"/>
      <c r="G255" s="54"/>
      <c r="H255" s="189"/>
      <c r="I255" s="189"/>
      <c r="K255" s="24" t="s">
        <v>927</v>
      </c>
      <c r="L255" s="25" t="s">
        <v>928</v>
      </c>
      <c r="M255" s="19"/>
      <c r="N255" s="19"/>
      <c r="O255" s="19" t="str">
        <f>IF(AND(ISNUMBER(MATCH(M255,{"F","E","D","D+","C","C+","B","B+","A","A+","S"},0)),ISNUMBER(MATCH(#REF!,{"F","E","D","D+","C","C+","B","B+","A","A+","S"},0)),ISNUMBER(MATCH(N259,{"F","E","D","D+","C","C+","B","B+","A","A+","S"},0)),ISNUMBER(MATCH(#REF!,{"F","E","D","D+","C","C+","B","B+","A","A+","S"},0))),LOOKUP(AVERAGE(_xlfn.SWITCH(M263,"F",0,"E",10,"D",20,"D+",30,"C",40,"C+",50,"B",60,"B+",70,"A",80,"A+",90,"S",100),_xlfn.SWITCH(#REF!,"F",0,"E",10,"D",20,"D+",30,"C",40,"C+",50,"B",60,"B+",70,"A",80,"A+",90,"S",100),_xlfn.SWITCH(N267,"F",0,"E",10,"D",20,"D+",30,"C",40,"C+",50,"B",60,"B+",70,"A",80,"A+",90,"S",100),_xlfn.SWITCH(#REF!,"F",0,"E",10,"D",20,"D+",30,"C",40,"C+",50,"B",60,"B+",70,"A",80,"A+",90,"S",100)),{0,15,25,35,45,55,65,75,85,95},{"D","D","D+","C","C+","B","B+","A","A+","S"}),"?")</f>
        <v>?</v>
      </c>
    </row>
    <row r="256" spans="1:15">
      <c r="A256" s="54" t="s">
        <v>1179</v>
      </c>
      <c r="B256" s="54" t="s">
        <v>1180</v>
      </c>
      <c r="C256" s="54"/>
      <c r="D256" s="54"/>
      <c r="E256" s="54"/>
      <c r="F256" s="54"/>
      <c r="G256" s="54"/>
      <c r="H256" s="189"/>
      <c r="I256" s="189"/>
      <c r="K256" s="24" t="s">
        <v>1353</v>
      </c>
      <c r="L256" s="25" t="s">
        <v>1354</v>
      </c>
      <c r="M256" s="19"/>
      <c r="N256" s="19"/>
      <c r="O256" s="19" t="str">
        <f>IF(AND(ISNUMBER(MATCH(M256,{"F","E","D","D+","C","C+","B","B+","A","A+","S"},0)),ISNUMBER(MATCH(#REF!,{"F","E","D","D+","C","C+","B","B+","A","A+","S"},0)),ISNUMBER(MATCH(N260,{"F","E","D","D+","C","C+","B","B+","A","A+","S"},0)),ISNUMBER(MATCH(#REF!,{"F","E","D","D+","C","C+","B","B+","A","A+","S"},0))),LOOKUP(AVERAGE(_xlfn.SWITCH(M264,"F",0,"E",10,"D",20,"D+",30,"C",40,"C+",50,"B",60,"B+",70,"A",80,"A+",90,"S",100),_xlfn.SWITCH(#REF!,"F",0,"E",10,"D",20,"D+",30,"C",40,"C+",50,"B",60,"B+",70,"A",80,"A+",90,"S",100),_xlfn.SWITCH(N268,"F",0,"E",10,"D",20,"D+",30,"C",40,"C+",50,"B",60,"B+",70,"A",80,"A+",90,"S",100),_xlfn.SWITCH(#REF!,"F",0,"E",10,"D",20,"D+",30,"C",40,"C+",50,"B",60,"B+",70,"A",80,"A+",90,"S",100)),{0,15,25,35,45,55,65,75,85,95},{"D","D","D+","C","C+","B","B+","A","A+","S"}),"?")</f>
        <v>?</v>
      </c>
    </row>
    <row r="257" spans="1:15">
      <c r="A257" s="54" t="s">
        <v>1142</v>
      </c>
      <c r="B257" s="54" t="s">
        <v>1143</v>
      </c>
      <c r="C257" s="54"/>
      <c r="D257" s="54"/>
      <c r="E257" s="54"/>
      <c r="F257" s="54"/>
      <c r="G257" s="54"/>
      <c r="H257" s="189"/>
      <c r="I257" s="189"/>
      <c r="K257" s="24" t="s">
        <v>886</v>
      </c>
      <c r="L257" s="25" t="s">
        <v>887</v>
      </c>
      <c r="M257" s="19"/>
      <c r="N257" s="19"/>
      <c r="O257" s="19" t="str">
        <f>IF(AND(ISNUMBER(MATCH(M257,{"F","E","D","D+","C","C+","B","B+","A","A+","S"},0)),ISNUMBER(MATCH(#REF!,{"F","E","D","D+","C","C+","B","B+","A","A+","S"},0)),ISNUMBER(MATCH(N263,{"F","E","D","D+","C","C+","B","B+","A","A+","S"},0)),ISNUMBER(MATCH(#REF!,{"F","E","D","D+","C","C+","B","B+","A","A+","S"},0))),LOOKUP(AVERAGE(_xlfn.SWITCH(M269,"F",0,"E",10,"D",20,"D+",30,"C",40,"C+",50,"B",60,"B+",70,"A",80,"A+",90,"S",100),_xlfn.SWITCH(#REF!,"F",0,"E",10,"D",20,"D+",30,"C",40,"C+",50,"B",60,"B+",70,"A",80,"A+",90,"S",100),_xlfn.SWITCH(N275,"F",0,"E",10,"D",20,"D+",30,"C",40,"C+",50,"B",60,"B+",70,"A",80,"A+",90,"S",100),_xlfn.SWITCH(#REF!,"F",0,"E",10,"D",20,"D+",30,"C",40,"C+",50,"B",60,"B+",70,"A",80,"A+",90,"S",100)),{0,15,25,35,45,55,65,75,85,95},{"D","D","D+","C","C+","B","B+","A","A+","S"}),"?")</f>
        <v>?</v>
      </c>
    </row>
    <row r="258" spans="1:15">
      <c r="A258" s="54" t="s">
        <v>4955</v>
      </c>
      <c r="B258" s="54" t="s">
        <v>1380</v>
      </c>
      <c r="C258" s="54"/>
      <c r="D258" s="54"/>
      <c r="E258" s="54"/>
      <c r="F258" s="54"/>
      <c r="G258" s="54"/>
      <c r="H258" s="189"/>
      <c r="I258" s="189"/>
      <c r="K258" s="24" t="s">
        <v>1359</v>
      </c>
      <c r="L258" s="25" t="s">
        <v>1360</v>
      </c>
      <c r="M258" s="19"/>
      <c r="N258" s="19"/>
      <c r="O258" s="19" t="str">
        <f>IF(AND(ISNUMBER(MATCH(M258,{"F","E","D","D+","C","C+","B","B+","A","A+","S"},0)),ISNUMBER(MATCH(#REF!,{"F","E","D","D+","C","C+","B","B+","A","A+","S"},0)),ISNUMBER(MATCH(N264,{"F","E","D","D+","C","C+","B","B+","A","A+","S"},0)),ISNUMBER(MATCH(#REF!,{"F","E","D","D+","C","C+","B","B+","A","A+","S"},0))),LOOKUP(AVERAGE(_xlfn.SWITCH(M270,"F",0,"E",10,"D",20,"D+",30,"C",40,"C+",50,"B",60,"B+",70,"A",80,"A+",90,"S",100),_xlfn.SWITCH(#REF!,"F",0,"E",10,"D",20,"D+",30,"C",40,"C+",50,"B",60,"B+",70,"A",80,"A+",90,"S",100),_xlfn.SWITCH(N277,"F",0,"E",10,"D",20,"D+",30,"C",40,"C+",50,"B",60,"B+",70,"A",80,"A+",90,"S",100),_xlfn.SWITCH(#REF!,"F",0,"E",10,"D",20,"D+",30,"C",40,"C+",50,"B",60,"B+",70,"A",80,"A+",90,"S",100)),{0,15,25,35,45,55,65,75,85,95},{"D","D","D+","C","C+","B","B+","A","A+","S"}),"?")</f>
        <v>?</v>
      </c>
    </row>
    <row r="259" spans="1:15">
      <c r="A259" s="54" t="s">
        <v>1038</v>
      </c>
      <c r="B259" s="54" t="s">
        <v>1039</v>
      </c>
      <c r="C259" s="54"/>
      <c r="D259" s="54"/>
      <c r="E259" s="54"/>
      <c r="F259" s="54"/>
      <c r="G259" s="54"/>
      <c r="H259" s="189"/>
      <c r="I259" s="189"/>
      <c r="K259" s="24" t="s">
        <v>1362</v>
      </c>
      <c r="L259" s="25" t="s">
        <v>1363</v>
      </c>
      <c r="M259" s="19"/>
      <c r="N259" s="19"/>
      <c r="O259" s="19" t="str">
        <f>IF(AND(ISNUMBER(MATCH(M259,{"F","E","D","D+","C","C+","B","B+","A","A+","S"},0)),ISNUMBER(MATCH(#REF!,{"F","E","D","D+","C","C+","B","B+","A","A+","S"},0)),ISNUMBER(MATCH(N265,{"F","E","D","D+","C","C+","B","B+","A","A+","S"},0)),ISNUMBER(MATCH(#REF!,{"F","E","D","D+","C","C+","B","B+","A","A+","S"},0))),LOOKUP(AVERAGE(_xlfn.SWITCH(M271,"F",0,"E",10,"D",20,"D+",30,"C",40,"C+",50,"B",60,"B+",70,"A",80,"A+",90,"S",100),_xlfn.SWITCH(#REF!,"F",0,"E",10,"D",20,"D+",30,"C",40,"C+",50,"B",60,"B+",70,"A",80,"A+",90,"S",100),_xlfn.SWITCH(N278,"F",0,"E",10,"D",20,"D+",30,"C",40,"C+",50,"B",60,"B+",70,"A",80,"A+",90,"S",100),_xlfn.SWITCH(#REF!,"F",0,"E",10,"D",20,"D+",30,"C",40,"C+",50,"B",60,"B+",70,"A",80,"A+",90,"S",100)),{0,15,25,35,45,55,65,75,85,95},{"D","D","D+","C","C+","B","B+","A","A+","S"}),"?")</f>
        <v>?</v>
      </c>
    </row>
    <row r="260" spans="1:15">
      <c r="A260" s="54" t="s">
        <v>1212</v>
      </c>
      <c r="B260" s="54" t="s">
        <v>1213</v>
      </c>
      <c r="C260" s="54"/>
      <c r="D260" s="54"/>
      <c r="E260" s="54"/>
      <c r="F260" s="54"/>
      <c r="G260" s="54"/>
      <c r="H260" s="189"/>
      <c r="I260" s="189"/>
      <c r="K260" s="24" t="s">
        <v>1365</v>
      </c>
      <c r="L260" s="25" t="s">
        <v>1366</v>
      </c>
      <c r="M260" s="19"/>
      <c r="N260" s="19"/>
      <c r="O260" s="19" t="str">
        <f>IF(AND(ISNUMBER(MATCH(M260,{"F","E","D","D+","C","C+","B","B+","A","A+","S"},0)),ISNUMBER(MATCH(#REF!,{"F","E","D","D+","C","C+","B","B+","A","A+","S"},0)),ISNUMBER(MATCH(N266,{"F","E","D","D+","C","C+","B","B+","A","A+","S"},0)),ISNUMBER(MATCH(#REF!,{"F","E","D","D+","C","C+","B","B+","A","A+","S"},0))),LOOKUP(AVERAGE(_xlfn.SWITCH(M273,"F",0,"E",10,"D",20,"D+",30,"C",40,"C+",50,"B",60,"B+",70,"A",80,"A+",90,"S",100),_xlfn.SWITCH(#REF!,"F",0,"E",10,"D",20,"D+",30,"C",40,"C+",50,"B",60,"B+",70,"A",80,"A+",90,"S",100),_xlfn.SWITCH(N279,"F",0,"E",10,"D",20,"D+",30,"C",40,"C+",50,"B",60,"B+",70,"A",80,"A+",90,"S",100),_xlfn.SWITCH(#REF!,"F",0,"E",10,"D",20,"D+",30,"C",40,"C+",50,"B",60,"B+",70,"A",80,"A+",90,"S",100)),{0,15,25,35,45,55,65,75,85,95},{"D","D","D+","C","C+","B","B+","A","A+","S"}),"?")</f>
        <v>?</v>
      </c>
    </row>
    <row r="261" spans="1:15">
      <c r="A261" s="54" t="s">
        <v>4956</v>
      </c>
      <c r="B261" s="54" t="s">
        <v>1384</v>
      </c>
      <c r="C261" s="54"/>
      <c r="D261" s="54"/>
      <c r="E261" s="54"/>
      <c r="F261" s="54"/>
      <c r="G261" s="54"/>
      <c r="H261" s="189"/>
      <c r="I261" s="189"/>
      <c r="K261" s="24" t="s">
        <v>979</v>
      </c>
      <c r="L261" s="25" t="s">
        <v>980</v>
      </c>
      <c r="M261" s="19"/>
      <c r="N261" s="19"/>
      <c r="O261" s="19" t="str">
        <f>IF(AND(ISNUMBER(MATCH(M261,{"F","E","D","D+","C","C+","B","B+","A","A+","S"},0)),ISNUMBER(MATCH(#REF!,{"F","E","D","D+","C","C+","B","B+","A","A+","S"},0)),ISNUMBER(MATCH(N267,{"F","E","D","D+","C","C+","B","B+","A","A+","S"},0)),ISNUMBER(MATCH(#REF!,{"F","E","D","D+","C","C+","B","B+","A","A+","S"},0))),LOOKUP(AVERAGE(_xlfn.SWITCH(M274,"F",0,"E",10,"D",20,"D+",30,"C",40,"C+",50,"B",60,"B+",70,"A",80,"A+",90,"S",100),_xlfn.SWITCH(#REF!,"F",0,"E",10,"D",20,"D+",30,"C",40,"C+",50,"B",60,"B+",70,"A",80,"A+",90,"S",100),_xlfn.SWITCH(N280,"F",0,"E",10,"D",20,"D+",30,"C",40,"C+",50,"B",60,"B+",70,"A",80,"A+",90,"S",100),_xlfn.SWITCH(#REF!,"F",0,"E",10,"D",20,"D+",30,"C",40,"C+",50,"B",60,"B+",70,"A",80,"A+",90,"S",100)),{0,15,25,35,45,55,65,75,85,95},{"D","D","D+","C","C+","B","B+","A","A+","S"}),"?")</f>
        <v>?</v>
      </c>
    </row>
    <row r="262" spans="1:15">
      <c r="A262" s="5" t="s">
        <v>1364</v>
      </c>
      <c r="B262" s="5" t="s">
        <v>1117</v>
      </c>
      <c r="C262" s="13"/>
      <c r="D262" s="13"/>
      <c r="E262" s="13"/>
      <c r="F262" s="13"/>
      <c r="G262" s="13"/>
      <c r="H262" s="7"/>
      <c r="I262" s="7"/>
      <c r="K262" s="24" t="s">
        <v>1371</v>
      </c>
      <c r="L262" s="25" t="s">
        <v>1372</v>
      </c>
      <c r="M262" s="19"/>
      <c r="N262" s="19"/>
      <c r="O262" s="19" t="str">
        <f>IF(AND(ISNUMBER(MATCH(M262,{"F","E","D","D+","C","C+","B","B+","A","A+","S"},0)),ISNUMBER(MATCH(#REF!,{"F","E","D","D+","C","C+","B","B+","A","A+","S"},0)),ISNUMBER(MATCH(N269,{"F","E","D","D+","C","C+","B","B+","A","A+","S"},0)),ISNUMBER(MATCH(#REF!,{"F","E","D","D+","C","C+","B","B+","A","A+","S"},0))),LOOKUP(AVERAGE(_xlfn.SWITCH(M275,"F",0,"E",10,"D",20,"D+",30,"C",40,"C+",50,"B",60,"B+",70,"A",80,"A+",90,"S",100),_xlfn.SWITCH(#REF!,"F",0,"E",10,"D",20,"D+",30,"C",40,"C+",50,"B",60,"B+",70,"A",80,"A+",90,"S",100),_xlfn.SWITCH(N281,"F",0,"E",10,"D",20,"D+",30,"C",40,"C+",50,"B",60,"B+",70,"A",80,"A+",90,"S",100),_xlfn.SWITCH(#REF!,"F",0,"E",10,"D",20,"D+",30,"C",40,"C+",50,"B",60,"B+",70,"A",80,"A+",90,"S",100)),{0,15,25,35,45,55,65,75,85,95},{"D","D","D+","C","C+","B","B+","A","A+","S"}),"?")</f>
        <v>?</v>
      </c>
    </row>
    <row r="263" spans="1:15">
      <c r="A263" s="5" t="s">
        <v>1367</v>
      </c>
      <c r="B263" s="5" t="s">
        <v>1368</v>
      </c>
      <c r="C263" s="13"/>
      <c r="D263" s="13"/>
      <c r="E263" s="13"/>
      <c r="F263" s="13"/>
      <c r="G263" s="13"/>
      <c r="H263" s="7"/>
      <c r="I263" s="7"/>
      <c r="K263" s="24" t="s">
        <v>1374</v>
      </c>
      <c r="L263" s="25" t="s">
        <v>1375</v>
      </c>
      <c r="M263" s="19"/>
      <c r="N263" s="19"/>
      <c r="O263" s="19" t="str">
        <f>IF(AND(ISNUMBER(MATCH(M263,{"F","E","D","D+","C","C+","B","B+","A","A+","S"},0)),ISNUMBER(MATCH(#REF!,{"F","E","D","D+","C","C+","B","B+","A","A+","S"},0)),ISNUMBER(MATCH(N270,{"F","E","D","D+","C","C+","B","B+","A","A+","S"},0)),ISNUMBER(MATCH(#REF!,{"F","E","D","D+","C","C+","B","B+","A","A+","S"},0))),LOOKUP(AVERAGE(_xlfn.SWITCH(M276,"F",0,"E",10,"D",20,"D+",30,"C",40,"C+",50,"B",60,"B+",70,"A",80,"A+",90,"S",100),_xlfn.SWITCH(#REF!,"F",0,"E",10,"D",20,"D+",30,"C",40,"C+",50,"B",60,"B+",70,"A",80,"A+",90,"S",100),_xlfn.SWITCH(N282,"F",0,"E",10,"D",20,"D+",30,"C",40,"C+",50,"B",60,"B+",70,"A",80,"A+",90,"S",100),_xlfn.SWITCH(#REF!,"F",0,"E",10,"D",20,"D+",30,"C",40,"C+",50,"B",60,"B+",70,"A",80,"A+",90,"S",100)),{0,15,25,35,45,55,65,75,85,95},{"D","D","D+","C","C+","B","B+","A","A+","S"}),"?")</f>
        <v>?</v>
      </c>
    </row>
    <row r="264" spans="1:15">
      <c r="A264" s="5" t="s">
        <v>1369</v>
      </c>
      <c r="B264" s="5" t="s">
        <v>1370</v>
      </c>
      <c r="C264" s="13"/>
      <c r="D264" s="13"/>
      <c r="E264" s="13"/>
      <c r="F264" s="13"/>
      <c r="G264" s="13"/>
      <c r="H264" s="7"/>
      <c r="I264" s="7"/>
      <c r="K264" s="24" t="s">
        <v>1377</v>
      </c>
      <c r="L264" s="25" t="s">
        <v>1378</v>
      </c>
      <c r="M264" s="19"/>
      <c r="N264" s="19"/>
      <c r="O264" s="19" t="str">
        <f>IF(AND(ISNUMBER(MATCH(M264,{"F","E","D","D+","C","C+","B","B+","A","A+","S"},0)),ISNUMBER(MATCH(#REF!,{"F","E","D","D+","C","C+","B","B+","A","A+","S"},0)),ISNUMBER(MATCH(N268,{"F","E","D","D+","C","C+","B","B+","A","A+","S"},0)),ISNUMBER(MATCH(#REF!,{"F","E","D","D+","C","C+","B","B+","A","A+","S"},0))),LOOKUP(AVERAGE(_xlfn.SWITCH(M272,"F",0,"E",10,"D",20,"D+",30,"C",40,"C+",50,"B",60,"B+",70,"A",80,"A+",90,"S",100),_xlfn.SWITCH(#REF!,"F",0,"E",10,"D",20,"D+",30,"C",40,"C+",50,"B",60,"B+",70,"A",80,"A+",90,"S",100),_xlfn.SWITCH(N276,"F",0,"E",10,"D",20,"D+",30,"C",40,"C+",50,"B",60,"B+",70,"A",80,"A+",90,"S",100),_xlfn.SWITCH(#REF!,"F",0,"E",10,"D",20,"D+",30,"C",40,"C+",50,"B",60,"B+",70,"A",80,"A+",90,"S",100)),{0,15,25,35,45,55,65,75,85,95},{"D","D","D+","C","C+","B","B+","A","A+","S"}),"?")</f>
        <v>?</v>
      </c>
    </row>
    <row r="265" spans="1:15">
      <c r="A265" s="5" t="s">
        <v>1373</v>
      </c>
      <c r="B265" s="5" t="s">
        <v>1180</v>
      </c>
      <c r="C265" s="13"/>
      <c r="D265" s="13"/>
      <c r="E265" s="13"/>
      <c r="F265" s="13"/>
      <c r="G265" s="13"/>
      <c r="H265" s="7"/>
      <c r="I265" s="7"/>
      <c r="K265" s="24" t="s">
        <v>1027</v>
      </c>
      <c r="L265" s="25" t="s">
        <v>1028</v>
      </c>
      <c r="M265" s="19"/>
      <c r="N265" s="19"/>
      <c r="O265" s="19" t="str">
        <f>IF(AND(ISNUMBER(MATCH(M265,{"F","E","D","D+","C","C+","B","B+","A","A+","S"},0)),ISNUMBER(MATCH(#REF!,{"F","E","D","D+","C","C+","B","B+","A","A+","S"},0)),ISNUMBER(MATCH(N271,{"F","E","D","D+","C","C+","B","B+","A","A+","S"},0)),ISNUMBER(MATCH(#REF!,{"F","E","D","D+","C","C+","B","B+","A","A+","S"},0))),LOOKUP(AVERAGE(_xlfn.SWITCH(M277,"F",0,"E",10,"D",20,"D+",30,"C",40,"C+",50,"B",60,"B+",70,"A",80,"A+",90,"S",100),_xlfn.SWITCH(#REF!,"F",0,"E",10,"D",20,"D+",30,"C",40,"C+",50,"B",60,"B+",70,"A",80,"A+",90,"S",100),_xlfn.SWITCH(N283,"F",0,"E",10,"D",20,"D+",30,"C",40,"C+",50,"B",60,"B+",70,"A",80,"A+",90,"S",100),_xlfn.SWITCH(#REF!,"F",0,"E",10,"D",20,"D+",30,"C",40,"C+",50,"B",60,"B+",70,"A",80,"A+",90,"S",100)),{0,15,25,35,45,55,65,75,85,95},{"D","D","D+","C","C+","B","B+","A","A+","S"}),"?")</f>
        <v>?</v>
      </c>
    </row>
    <row r="266" spans="1:15">
      <c r="A266" s="5" t="s">
        <v>1376</v>
      </c>
      <c r="B266" s="5" t="s">
        <v>1143</v>
      </c>
      <c r="C266" s="13"/>
      <c r="D266" s="13"/>
      <c r="E266" s="13"/>
      <c r="F266" s="13"/>
      <c r="G266" s="13"/>
      <c r="H266" s="7"/>
      <c r="I266" s="7"/>
      <c r="K266" s="24" t="s">
        <v>962</v>
      </c>
      <c r="L266" s="25" t="s">
        <v>963</v>
      </c>
      <c r="M266" s="19"/>
      <c r="N266" s="19"/>
      <c r="O266" s="19" t="str">
        <f>IF(AND(ISNUMBER(MATCH(M266,{"F","E","D","D+","C","C+","B","B+","A","A+","S"},0)),ISNUMBER(MATCH(#REF!,{"F","E","D","D+","C","C+","B","B+","A","A+","S"},0)),ISNUMBER(MATCH(N272,{"F","E","D","D+","C","C+","B","B+","A","A+","S"},0)),ISNUMBER(MATCH(#REF!,{"F","E","D","D+","C","C+","B","B+","A","A+","S"},0))),LOOKUP(AVERAGE(_xlfn.SWITCH(M278,"F",0,"E",10,"D",20,"D+",30,"C",40,"C+",50,"B",60,"B+",70,"A",80,"A+",90,"S",100),_xlfn.SWITCH(#REF!,"F",0,"E",10,"D",20,"D+",30,"C",40,"C+",50,"B",60,"B+",70,"A",80,"A+",90,"S",100),_xlfn.SWITCH(N284,"F",0,"E",10,"D",20,"D+",30,"C",40,"C+",50,"B",60,"B+",70,"A",80,"A+",90,"S",100),_xlfn.SWITCH(#REF!,"F",0,"E",10,"D",20,"D+",30,"C",40,"C+",50,"B",60,"B+",70,"A",80,"A+",90,"S",100)),{0,15,25,35,45,55,65,75,85,95},{"D","D","D+","C","C+","B","B+","A","A+","S"}),"?")</f>
        <v>?</v>
      </c>
    </row>
    <row r="267" spans="1:15">
      <c r="A267" s="5" t="s">
        <v>1379</v>
      </c>
      <c r="B267" s="5" t="s">
        <v>1380</v>
      </c>
      <c r="C267" s="13"/>
      <c r="D267" s="13"/>
      <c r="E267" s="13"/>
      <c r="F267" s="13"/>
      <c r="G267" s="13"/>
      <c r="H267" s="7"/>
      <c r="I267" s="7"/>
      <c r="K267" s="24" t="s">
        <v>994</v>
      </c>
      <c r="L267" s="25" t="s">
        <v>995</v>
      </c>
      <c r="M267" s="19"/>
      <c r="N267" s="19"/>
      <c r="O267" s="19" t="str">
        <f>IF(AND(ISNUMBER(MATCH(M267,{"F","E","D","D+","C","C+","B","B+","A","A+","S"},0)),ISNUMBER(MATCH(#REF!,{"F","E","D","D+","C","C+","B","B+","A","A+","S"},0)),ISNUMBER(MATCH(N273,{"F","E","D","D+","C","C+","B","B+","A","A+","S"},0)),ISNUMBER(MATCH(#REF!,{"F","E","D","D+","C","C+","B","B+","A","A+","S"},0))),LOOKUP(AVERAGE(_xlfn.SWITCH(M279,"F",0,"E",10,"D",20,"D+",30,"C",40,"C+",50,"B",60,"B+",70,"A",80,"A+",90,"S",100),_xlfn.SWITCH(#REF!,"F",0,"E",10,"D",20,"D+",30,"C",40,"C+",50,"B",60,"B+",70,"A",80,"A+",90,"S",100),_xlfn.SWITCH(N285,"F",0,"E",10,"D",20,"D+",30,"C",40,"C+",50,"B",60,"B+",70,"A",80,"A+",90,"S",100),_xlfn.SWITCH(#REF!,"F",0,"E",10,"D",20,"D+",30,"C",40,"C+",50,"B",60,"B+",70,"A",80,"A+",90,"S",100)),{0,15,25,35,45,55,65,75,85,95},{"D","D","D+","C","C+","B","B+","A","A+","S"}),"?")</f>
        <v>?</v>
      </c>
    </row>
    <row r="268" spans="1:15">
      <c r="A268" s="5" t="s">
        <v>1381</v>
      </c>
      <c r="B268" s="5" t="s">
        <v>1039</v>
      </c>
      <c r="C268" s="13"/>
      <c r="D268" s="13"/>
      <c r="E268" s="13"/>
      <c r="F268" s="13"/>
      <c r="G268" s="13"/>
      <c r="H268" s="7"/>
      <c r="I268" s="7"/>
      <c r="K268" s="24" t="s">
        <v>1385</v>
      </c>
      <c r="L268" s="25" t="s">
        <v>1386</v>
      </c>
      <c r="M268" s="19"/>
      <c r="N268" s="19"/>
      <c r="O268" s="19" t="str">
        <f>IF(AND(ISNUMBER(MATCH(M268,{"F","E","D","D+","C","C+","B","B+","A","A+","S"},0)),ISNUMBER(MATCH(#REF!,{"F","E","D","D+","C","C+","B","B+","A","A+","S"},0)),ISNUMBER(MATCH(N274,{"F","E","D","D+","C","C+","B","B+","A","A+","S"},0)),ISNUMBER(MATCH(#REF!,{"F","E","D","D+","C","C+","B","B+","A","A+","S"},0))),LOOKUP(AVERAGE(_xlfn.SWITCH(M280,"F",0,"E",10,"D",20,"D+",30,"C",40,"C+",50,"B",60,"B+",70,"A",80,"A+",90,"S",100),_xlfn.SWITCH(#REF!,"F",0,"E",10,"D",20,"D+",30,"C",40,"C+",50,"B",60,"B+",70,"A",80,"A+",90,"S",100),_xlfn.SWITCH(N286,"F",0,"E",10,"D",20,"D+",30,"C",40,"C+",50,"B",60,"B+",70,"A",80,"A+",90,"S",100),_xlfn.SWITCH(#REF!,"F",0,"E",10,"D",20,"D+",30,"C",40,"C+",50,"B",60,"B+",70,"A",80,"A+",90,"S",100)),{0,15,25,35,45,55,65,75,85,95},{"D","D","D+","C","C+","B","B+","A","A+","S"}),"?")</f>
        <v>?</v>
      </c>
    </row>
    <row r="269" spans="1:15">
      <c r="A269" s="5" t="s">
        <v>1382</v>
      </c>
      <c r="B269" s="5" t="s">
        <v>1213</v>
      </c>
      <c r="C269" s="13"/>
      <c r="D269" s="13"/>
      <c r="E269" s="13"/>
      <c r="F269" s="13"/>
      <c r="G269" s="13"/>
      <c r="H269" s="7"/>
      <c r="I269" s="7"/>
      <c r="K269" s="24" t="s">
        <v>903</v>
      </c>
      <c r="L269" s="25" t="s">
        <v>904</v>
      </c>
      <c r="M269" s="19"/>
      <c r="N269" s="19"/>
      <c r="O269" s="19" t="str">
        <f>IF(AND(ISNUMBER(MATCH(M269,{"F","E","D","D+","C","C+","B","B+","A","A+","S"},0)),ISNUMBER(MATCH(#REF!,{"F","E","D","D+","C","C+","B","B+","A","A+","S"},0)),ISNUMBER(MATCH(N275,{"F","E","D","D+","C","C+","B","B+","A","A+","S"},0)),ISNUMBER(MATCH(#REF!,{"F","E","D","D+","C","C+","B","B+","A","A+","S"},0))),LOOKUP(AVERAGE(_xlfn.SWITCH(M281,"F",0,"E",10,"D",20,"D+",30,"C",40,"C+",50,"B",60,"B+",70,"A",80,"A+",90,"S",100),_xlfn.SWITCH(#REF!,"F",0,"E",10,"D",20,"D+",30,"C",40,"C+",50,"B",60,"B+",70,"A",80,"A+",90,"S",100),_xlfn.SWITCH(N287,"F",0,"E",10,"D",20,"D+",30,"C",40,"C+",50,"B",60,"B+",70,"A",80,"A+",90,"S",100),_xlfn.SWITCH(#REF!,"F",0,"E",10,"D",20,"D+",30,"C",40,"C+",50,"B",60,"B+",70,"A",80,"A+",90,"S",100)),{0,15,25,35,45,55,65,75,85,95},{"D","D","D+","C","C+","B","B+","A","A+","S"}),"?")</f>
        <v>?</v>
      </c>
    </row>
    <row r="270" spans="1:15">
      <c r="A270" s="5" t="s">
        <v>1383</v>
      </c>
      <c r="B270" s="5" t="s">
        <v>1384</v>
      </c>
      <c r="C270" s="13"/>
      <c r="D270" s="13"/>
      <c r="E270" s="13"/>
      <c r="F270" s="13"/>
      <c r="G270" s="13"/>
      <c r="H270" s="7"/>
      <c r="I270" s="7"/>
      <c r="K270" s="24" t="s">
        <v>1387</v>
      </c>
      <c r="L270" s="25" t="s">
        <v>1388</v>
      </c>
      <c r="M270" s="19"/>
      <c r="N270" s="19"/>
      <c r="O270" s="19" t="str">
        <f>IF(AND(ISNUMBER(MATCH(M270,{"F","E","D","D+","C","C+","B","B+","A","A+","S"},0)),ISNUMBER(MATCH(#REF!,{"F","E","D","D+","C","C+","B","B+","A","A+","S"},0)),ISNUMBER(MATCH(N276,{"F","E","D","D+","C","C+","B","B+","A","A+","S"},0)),ISNUMBER(MATCH(#REF!,{"F","E","D","D+","C","C+","B","B+","A","A+","S"},0))),LOOKUP(AVERAGE(_xlfn.SWITCH(M282,"F",0,"E",10,"D",20,"D+",30,"C",40,"C+",50,"B",60,"B+",70,"A",80,"A+",90,"S",100),_xlfn.SWITCH(#REF!,"F",0,"E",10,"D",20,"D+",30,"C",40,"C+",50,"B",60,"B+",70,"A",80,"A+",90,"S",100),_xlfn.SWITCH(N288,"F",0,"E",10,"D",20,"D+",30,"C",40,"C+",50,"B",60,"B+",70,"A",80,"A+",90,"S",100),_xlfn.SWITCH(#REF!,"F",0,"E",10,"D",20,"D+",30,"C",40,"C+",50,"B",60,"B+",70,"A",80,"A+",90,"S",100)),{0,15,25,35,45,55,65,75,85,95},{"D","D","D+","C","C+","B","B+","A","A+","S"}),"?")</f>
        <v>?</v>
      </c>
    </row>
    <row r="271" spans="1:15">
      <c r="A271" s="5"/>
      <c r="B271" s="5"/>
      <c r="C271" s="13"/>
      <c r="D271" s="13"/>
      <c r="E271" s="13"/>
      <c r="F271" s="13"/>
      <c r="G271" s="13"/>
      <c r="H271" s="7"/>
      <c r="I271" s="7"/>
      <c r="K271" s="24" t="s">
        <v>1389</v>
      </c>
      <c r="L271" s="25" t="s">
        <v>1390</v>
      </c>
      <c r="M271" s="19"/>
      <c r="N271" s="19"/>
      <c r="O271" s="19" t="str">
        <f>IF(AND(ISNUMBER(MATCH(M271,{"F","E","D","D+","C","C+","B","B+","A","A+","S"},0)),ISNUMBER(MATCH(#REF!,{"F","E","D","D+","C","C+","B","B+","A","A+","S"},0)),ISNUMBER(MATCH(N277,{"F","E","D","D+","C","C+","B","B+","A","A+","S"},0)),ISNUMBER(MATCH(#REF!,{"F","E","D","D+","C","C+","B","B+","A","A+","S"},0))),LOOKUP(AVERAGE(_xlfn.SWITCH(M283,"F",0,"E",10,"D",20,"D+",30,"C",40,"C+",50,"B",60,"B+",70,"A",80,"A+",90,"S",100),_xlfn.SWITCH(#REF!,"F",0,"E",10,"D",20,"D+",30,"C",40,"C+",50,"B",60,"B+",70,"A",80,"A+",90,"S",100),_xlfn.SWITCH(N289,"F",0,"E",10,"D",20,"D+",30,"C",40,"C+",50,"B",60,"B+",70,"A",80,"A+",90,"S",100),_xlfn.SWITCH(#REF!,"F",0,"E",10,"D",20,"D+",30,"C",40,"C+",50,"B",60,"B+",70,"A",80,"A+",90,"S",100)),{0,15,25,35,45,55,65,75,85,95},{"D","D","D+","C","C+","B","B+","A","A+","S"}),"?")</f>
        <v>?</v>
      </c>
    </row>
    <row r="272" spans="1:15">
      <c r="A272" s="5"/>
      <c r="B272" s="5"/>
      <c r="C272" s="13"/>
      <c r="D272" s="13"/>
      <c r="E272" s="13"/>
      <c r="F272" s="13"/>
      <c r="G272" s="13"/>
      <c r="H272" s="7"/>
      <c r="I272" s="7"/>
      <c r="K272" s="24" t="s">
        <v>879</v>
      </c>
      <c r="L272" s="25" t="s">
        <v>880</v>
      </c>
      <c r="M272" s="19"/>
      <c r="N272" s="19"/>
      <c r="O272" s="19" t="str">
        <f>IF(AND(ISNUMBER(MATCH(M272,{"F","E","D","D+","C","C+","B","B+","A","A+","S"},0)),ISNUMBER(MATCH(#REF!,{"F","E","D","D+","C","C+","B","B+","A","A+","S"},0)),ISNUMBER(MATCH(N278,{"F","E","D","D+","C","C+","B","B+","A","A+","S"},0)),ISNUMBER(MATCH(#REF!,{"F","E","D","D+","C","C+","B","B+","A","A+","S"},0))),LOOKUP(AVERAGE(_xlfn.SWITCH(M284,"F",0,"E",10,"D",20,"D+",30,"C",40,"C+",50,"B",60,"B+",70,"A",80,"A+",90,"S",100),_xlfn.SWITCH(#REF!,"F",0,"E",10,"D",20,"D+",30,"C",40,"C+",50,"B",60,"B+",70,"A",80,"A+",90,"S",100),_xlfn.SWITCH(N290,"F",0,"E",10,"D",20,"D+",30,"C",40,"C+",50,"B",60,"B+",70,"A",80,"A+",90,"S",100),_xlfn.SWITCH(#REF!,"F",0,"E",10,"D",20,"D+",30,"C",40,"C+",50,"B",60,"B+",70,"A",80,"A+",90,"S",100)),{0,15,25,35,45,55,65,75,85,95},{"D","D","D+","C","C+","B","B+","A","A+","S"}),"?")</f>
        <v>?</v>
      </c>
    </row>
    <row r="273" spans="1:16">
      <c r="A273" s="5"/>
      <c r="B273" s="5"/>
      <c r="C273" s="13"/>
      <c r="D273" s="13"/>
      <c r="E273" s="13"/>
      <c r="F273" s="13"/>
      <c r="G273" s="13"/>
      <c r="H273" s="7"/>
      <c r="I273" s="7"/>
      <c r="K273" s="24" t="s">
        <v>1391</v>
      </c>
      <c r="L273" s="25" t="s">
        <v>1392</v>
      </c>
      <c r="M273" s="19"/>
      <c r="N273" s="19"/>
      <c r="O273" s="19" t="str">
        <f>IF(AND(ISNUMBER(MATCH(M273,{"F","E","D","D+","C","C+","B","B+","A","A+","S"},0)),ISNUMBER(MATCH(#REF!,{"F","E","D","D+","C","C+","B","B+","A","A+","S"},0)),ISNUMBER(MATCH(N279,{"F","E","D","D+","C","C+","B","B+","A","A+","S"},0)),ISNUMBER(MATCH(#REF!,{"F","E","D","D+","C","C+","B","B+","A","A+","S"},0))),LOOKUP(AVERAGE(_xlfn.SWITCH(M285,"F",0,"E",10,"D",20,"D+",30,"C",40,"C+",50,"B",60,"B+",70,"A",80,"A+",90,"S",100),_xlfn.SWITCH(#REF!,"F",0,"E",10,"D",20,"D+",30,"C",40,"C+",50,"B",60,"B+",70,"A",80,"A+",90,"S",100),_xlfn.SWITCH(N291,"F",0,"E",10,"D",20,"D+",30,"C",40,"C+",50,"B",60,"B+",70,"A",80,"A+",90,"S",100),_xlfn.SWITCH(#REF!,"F",0,"E",10,"D",20,"D+",30,"C",40,"C+",50,"B",60,"B+",70,"A",80,"A+",90,"S",100)),{0,15,25,35,45,55,65,75,85,95},{"D","D","D+","C","C+","B","B+","A","A+","S"}),"?")</f>
        <v>?</v>
      </c>
    </row>
    <row r="274" spans="1:16">
      <c r="A274" s="5"/>
      <c r="B274" s="5"/>
      <c r="C274" s="13"/>
      <c r="D274" s="13"/>
      <c r="E274" s="13"/>
      <c r="F274" s="13"/>
      <c r="G274" s="13"/>
      <c r="H274" s="7"/>
      <c r="I274" s="7"/>
      <c r="K274" s="24" t="s">
        <v>1393</v>
      </c>
      <c r="L274" s="25" t="s">
        <v>215</v>
      </c>
      <c r="M274" s="19"/>
      <c r="N274" s="19"/>
      <c r="O274" s="19" t="str">
        <f>IF(AND(ISNUMBER(MATCH(M274,{"F","E","D","D+","C","C+","B","B+","A","A+","S"},0)),ISNUMBER(MATCH(#REF!,{"F","E","D","D+","C","C+","B","B+","A","A+","S"},0)),ISNUMBER(MATCH(N280,{"F","E","D","D+","C","C+","B","B+","A","A+","S"},0)),ISNUMBER(MATCH(#REF!,{"F","E","D","D+","C","C+","B","B+","A","A+","S"},0))),LOOKUP(AVERAGE(_xlfn.SWITCH(M286,"F",0,"E",10,"D",20,"D+",30,"C",40,"C+",50,"B",60,"B+",70,"A",80,"A+",90,"S",100),_xlfn.SWITCH(#REF!,"F",0,"E",10,"D",20,"D+",30,"C",40,"C+",50,"B",60,"B+",70,"A",80,"A+",90,"S",100),_xlfn.SWITCH(N292,"F",0,"E",10,"D",20,"D+",30,"C",40,"C+",50,"B",60,"B+",70,"A",80,"A+",90,"S",100),_xlfn.SWITCH(#REF!,"F",0,"E",10,"D",20,"D+",30,"C",40,"C+",50,"B",60,"B+",70,"A",80,"A+",90,"S",100)),{0,15,25,35,45,55,65,75,85,95},{"D","D","D+","C","C+","B","B+","A","A+","S"}),"?")</f>
        <v>?</v>
      </c>
    </row>
    <row r="275" spans="1:16">
      <c r="A275" s="5"/>
      <c r="B275" s="5"/>
      <c r="C275" s="13"/>
      <c r="D275" s="13"/>
      <c r="E275" s="13"/>
      <c r="F275" s="13"/>
      <c r="G275" s="13"/>
      <c r="H275" s="7"/>
      <c r="I275" s="7"/>
      <c r="K275" s="41" t="s">
        <v>1007</v>
      </c>
      <c r="L275" s="25" t="s">
        <v>1008</v>
      </c>
      <c r="M275" s="19"/>
      <c r="N275" s="19"/>
      <c r="O275" s="19" t="str">
        <f>IF(AND(ISNUMBER(MATCH(M275,{"F","E","D","D+","C","C+","B","B+","A","A+","S"},0)),ISNUMBER(MATCH(#REF!,{"F","E","D","D+","C","C+","B","B+","A","A+","S"},0)),ISNUMBER(MATCH(N281,{"F","E","D","D+","C","C+","B","B+","A","A+","S"},0)),ISNUMBER(MATCH(#REF!,{"F","E","D","D+","C","C+","B","B+","A","A+","S"},0))),LOOKUP(AVERAGE(_xlfn.SWITCH(M287,"F",0,"E",10,"D",20,"D+",30,"C",40,"C+",50,"B",60,"B+",70,"A",80,"A+",90,"S",100),_xlfn.SWITCH(#REF!,"F",0,"E",10,"D",20,"D+",30,"C",40,"C+",50,"B",60,"B+",70,"A",80,"A+",90,"S",100),_xlfn.SWITCH(N293,"F",0,"E",10,"D",20,"D+",30,"C",40,"C+",50,"B",60,"B+",70,"A",80,"A+",90,"S",100),_xlfn.SWITCH(#REF!,"F",0,"E",10,"D",20,"D+",30,"C",40,"C+",50,"B",60,"B+",70,"A",80,"A+",90,"S",100)),{0,15,25,35,45,55,65,75,85,95},{"D","D","D+","C","C+","B","B+","A","A+","S"}),"?")</f>
        <v>?</v>
      </c>
    </row>
    <row r="276" spans="1:16">
      <c r="A276" s="5"/>
      <c r="B276" s="5"/>
      <c r="C276" s="13"/>
      <c r="D276" s="13"/>
      <c r="E276" s="13"/>
      <c r="F276" s="13"/>
      <c r="G276" s="13"/>
      <c r="H276" s="7"/>
      <c r="I276" s="7"/>
      <c r="K276" s="549" t="s">
        <v>1394</v>
      </c>
      <c r="L276" s="547"/>
      <c r="M276" s="557"/>
      <c r="N276" s="557"/>
      <c r="O276" s="557" t="str">
        <f>IF(AND(ISNUMBER(MATCH(M276,{"F","E","D","D+","C","C+","B","B+","A","A+","S"},0)),ISNUMBER(MATCH(#REF!,{"F","E","D","D+","C","C+","B","B+","A","A+","S"},0)),ISNUMBER(MATCH(N282,{"F","E","D","D+","C","C+","B","B+","A","A+","S"},0)),ISNUMBER(MATCH(#REF!,{"F","E","D","D+","C","C+","B","B+","A","A+","S"},0))),LOOKUP(AVERAGE(_xlfn.SWITCH(M288,"F",0,"E",10,"D",20,"D+",30,"C",40,"C+",50,"B",60,"B+",70,"A",80,"A+",90,"S",100),_xlfn.SWITCH(#REF!,"F",0,"E",10,"D",20,"D+",30,"C",40,"C+",50,"B",60,"B+",70,"A",80,"A+",90,"S",100),_xlfn.SWITCH(N294,"F",0,"E",10,"D",20,"D+",30,"C",40,"C+",50,"B",60,"B+",70,"A",80,"A+",90,"S",100),_xlfn.SWITCH(#REF!,"F",0,"E",10,"D",20,"D+",30,"C",40,"C+",50,"B",60,"B+",70,"A",80,"A+",90,"S",100)),{0,15,25,35,45,55,65,75,85,95},{"D","D","D+","C","C+","B","B+","A","A+","S"}),"?")</f>
        <v>?</v>
      </c>
      <c r="P276" s="543"/>
    </row>
    <row r="277" spans="1:16">
      <c r="A277" s="5"/>
      <c r="B277" s="5"/>
      <c r="C277" s="13"/>
      <c r="D277" s="13"/>
      <c r="E277" s="13"/>
      <c r="F277" s="13"/>
      <c r="G277" s="13"/>
      <c r="H277" s="7"/>
      <c r="I277" s="7"/>
      <c r="K277" s="546"/>
      <c r="L277" s="547"/>
      <c r="M277" s="557"/>
      <c r="N277" s="557"/>
      <c r="O277" s="557" t="str">
        <f>IF(AND(ISNUMBER(MATCH(M277,{"F","E","D","D+","C","C+","B","B+","A","A+","S"},0)),ISNUMBER(MATCH(#REF!,{"F","E","D","D+","C","C+","B","B+","A","A+","S"},0)),ISNUMBER(MATCH(N283,{"F","E","D","D+","C","C+","B","B+","A","A+","S"},0)),ISNUMBER(MATCH(#REF!,{"F","E","D","D+","C","C+","B","B+","A","A+","S"},0))),LOOKUP(AVERAGE(_xlfn.SWITCH(M289,"F",0,"E",10,"D",20,"D+",30,"C",40,"C+",50,"B",60,"B+",70,"A",80,"A+",90,"S",100),_xlfn.SWITCH(#REF!,"F",0,"E",10,"D",20,"D+",30,"C",40,"C+",50,"B",60,"B+",70,"A",80,"A+",90,"S",100),_xlfn.SWITCH(N295,"F",0,"E",10,"D",20,"D+",30,"C",40,"C+",50,"B",60,"B+",70,"A",80,"A+",90,"S",100),_xlfn.SWITCH(#REF!,"F",0,"E",10,"D",20,"D+",30,"C",40,"C+",50,"B",60,"B+",70,"A",80,"A+",90,"S",100)),{0,15,25,35,45,55,65,75,85,95},{"D","D","D+","C","C+","B","B+","A","A+","S"}),"?")</f>
        <v>?</v>
      </c>
      <c r="P277" s="543"/>
    </row>
    <row r="278" spans="1:16">
      <c r="A278" s="5"/>
      <c r="B278" s="5"/>
      <c r="C278" s="13"/>
      <c r="D278" s="13"/>
      <c r="E278" s="13"/>
      <c r="F278" s="13"/>
      <c r="G278" s="13"/>
      <c r="H278" s="7"/>
      <c r="I278" s="7"/>
      <c r="K278" s="41" t="s">
        <v>4</v>
      </c>
      <c r="L278" s="69" t="s">
        <v>5</v>
      </c>
      <c r="M278" s="438" t="s">
        <v>6</v>
      </c>
      <c r="N278" s="438" t="s">
        <v>8</v>
      </c>
      <c r="O278" s="438" t="str">
        <f>IF(AND(ISNUMBER(MATCH(M278,{"F","E","D","D+","C","C+","B","B+","A","A+","S"},0)),ISNUMBER(MATCH(#REF!,{"F","E","D","D+","C","C+","B","B+","A","A+","S"},0)),ISNUMBER(MATCH(N284,{"F","E","D","D+","C","C+","B","B+","A","A+","S"},0)),ISNUMBER(MATCH(#REF!,{"F","E","D","D+","C","C+","B","B+","A","A+","S"},0))),LOOKUP(AVERAGE(_xlfn.SWITCH(M290,"F",0,"E",10,"D",20,"D+",30,"C",40,"C+",50,"B",60,"B+",70,"A",80,"A+",90,"S",100),_xlfn.SWITCH(#REF!,"F",0,"E",10,"D",20,"D+",30,"C",40,"C+",50,"B",60,"B+",70,"A",80,"A+",90,"S",100),_xlfn.SWITCH(N296,"F",0,"E",10,"D",20,"D+",30,"C",40,"C+",50,"B",60,"B+",70,"A",80,"A+",90,"S",100),_xlfn.SWITCH(#REF!,"F",0,"E",10,"D",20,"D+",30,"C",40,"C+",50,"B",60,"B+",70,"A",80,"A+",90,"S",100)),{0,15,25,35,45,55,65,75,85,95},{"D","D","D+","C","C+","B","B+","A","A+","S"}),"?")</f>
        <v>?</v>
      </c>
      <c r="P278" s="11" t="s">
        <v>11</v>
      </c>
    </row>
    <row r="279" spans="1:16">
      <c r="A279" s="5"/>
      <c r="B279" s="5"/>
      <c r="C279" s="13"/>
      <c r="D279" s="13"/>
      <c r="E279" s="13"/>
      <c r="F279" s="13"/>
      <c r="G279" s="13"/>
      <c r="H279" s="7"/>
      <c r="I279" s="7"/>
      <c r="K279" s="70" t="s">
        <v>1395</v>
      </c>
      <c r="L279" s="33" t="s">
        <v>1396</v>
      </c>
      <c r="M279" s="437"/>
      <c r="N279" s="437"/>
      <c r="O279" s="437" t="str">
        <f>IF(AND(ISNUMBER(MATCH(M279,{"F","E","D","D+","C","C+","B","B+","A","A+","S"},0)),ISNUMBER(MATCH(#REF!,{"F","E","D","D+","C","C+","B","B+","A","A+","S"},0)),ISNUMBER(MATCH(N285,{"F","E","D","D+","C","C+","B","B+","A","A+","S"},0)),ISNUMBER(MATCH(#REF!,{"F","E","D","D+","C","C+","B","B+","A","A+","S"},0))),LOOKUP(AVERAGE(_xlfn.SWITCH(M291,"F",0,"E",10,"D",20,"D+",30,"C",40,"C+",50,"B",60,"B+",70,"A",80,"A+",90,"S",100),_xlfn.SWITCH(#REF!,"F",0,"E",10,"D",20,"D+",30,"C",40,"C+",50,"B",60,"B+",70,"A",80,"A+",90,"S",100),_xlfn.SWITCH(N297,"F",0,"E",10,"D",20,"D+",30,"C",40,"C+",50,"B",60,"B+",70,"A",80,"A+",90,"S",100),_xlfn.SWITCH(#REF!,"F",0,"E",10,"D",20,"D+",30,"C",40,"C+",50,"B",60,"B+",70,"A",80,"A+",90,"S",100)),{0,15,25,35,45,55,65,75,85,95},{"D","D","D+","C","C+","B","B+","A","A+","S"}),"?")</f>
        <v>?</v>
      </c>
      <c r="P279" s="305"/>
    </row>
    <row r="280" spans="1:16">
      <c r="A280" s="5"/>
      <c r="B280" s="5"/>
      <c r="C280" s="13"/>
      <c r="D280" s="13"/>
      <c r="E280" s="13"/>
      <c r="F280" s="13"/>
      <c r="G280" s="13"/>
      <c r="H280" s="7"/>
      <c r="I280" s="7"/>
      <c r="K280" s="5" t="s">
        <v>1221</v>
      </c>
      <c r="L280" s="12" t="s">
        <v>1222</v>
      </c>
      <c r="M280" s="13"/>
      <c r="N280" s="13"/>
      <c r="O280" s="13" t="str">
        <f>IF(AND(ISNUMBER(MATCH(M280,{"F","E","D","D+","C","C+","B","B+","A","A+","S"},0)),ISNUMBER(MATCH(#REF!,{"F","E","D","D+","C","C+","B","B+","A","A+","S"},0)),ISNUMBER(MATCH(N286,{"F","E","D","D+","C","C+","B","B+","A","A+","S"},0)),ISNUMBER(MATCH(#REF!,{"F","E","D","D+","C","C+","B","B+","A","A+","S"},0))),LOOKUP(AVERAGE(_xlfn.SWITCH(M292,"F",0,"E",10,"D",20,"D+",30,"C",40,"C+",50,"B",60,"B+",70,"A",80,"A+",90,"S",100),_xlfn.SWITCH(#REF!,"F",0,"E",10,"D",20,"D+",30,"C",40,"C+",50,"B",60,"B+",70,"A",80,"A+",90,"S",100),_xlfn.SWITCH(N298,"F",0,"E",10,"D",20,"D+",30,"C",40,"C+",50,"B",60,"B+",70,"A",80,"A+",90,"S",100),_xlfn.SWITCH(#REF!,"F",0,"E",10,"D",20,"D+",30,"C",40,"C+",50,"B",60,"B+",70,"A",80,"A+",90,"S",100)),{0,15,25,35,45,55,65,75,85,95},{"D","D","D+","C","C+","B","B+","A","A+","S"}),"?")</f>
        <v>?</v>
      </c>
      <c r="P280" s="54"/>
    </row>
    <row r="281" spans="1:16">
      <c r="A281" s="5"/>
      <c r="B281" s="5"/>
      <c r="C281" s="13"/>
      <c r="D281" s="13"/>
      <c r="E281" s="13"/>
      <c r="F281" s="13"/>
      <c r="G281" s="13"/>
      <c r="H281" s="7"/>
      <c r="I281" s="7"/>
      <c r="K281" s="24" t="s">
        <v>1235</v>
      </c>
      <c r="L281" s="25" t="s">
        <v>1236</v>
      </c>
      <c r="M281" s="19"/>
      <c r="N281" s="19"/>
      <c r="O281" s="19" t="str">
        <f>IF(AND(ISNUMBER(MATCH(M281,{"F","E","D","D+","C","C+","B","B+","A","A+","S"},0)),ISNUMBER(MATCH(#REF!,{"F","E","D","D+","C","C+","B","B+","A","A+","S"},0)),ISNUMBER(MATCH(N287,{"F","E","D","D+","C","C+","B","B+","A","A+","S"},0)),ISNUMBER(MATCH(#REF!,{"F","E","D","D+","C","C+","B","B+","A","A+","S"},0))),LOOKUP(AVERAGE(_xlfn.SWITCH(M293,"F",0,"E",10,"D",20,"D+",30,"C",40,"C+",50,"B",60,"B+",70,"A",80,"A+",90,"S",100),_xlfn.SWITCH(#REF!,"F",0,"E",10,"D",20,"D+",30,"C",40,"C+",50,"B",60,"B+",70,"A",80,"A+",90,"S",100),_xlfn.SWITCH(N299,"F",0,"E",10,"D",20,"D+",30,"C",40,"C+",50,"B",60,"B+",70,"A",80,"A+",90,"S",100),_xlfn.SWITCH(#REF!,"F",0,"E",10,"D",20,"D+",30,"C",40,"C+",50,"B",60,"B+",70,"A",80,"A+",90,"S",100)),{0,15,25,35,45,55,65,75,85,95},{"D","D","D+","C","C+","B","B+","A","A+","S"}),"?")</f>
        <v>?</v>
      </c>
    </row>
    <row r="282" spans="1:16">
      <c r="A282" s="5"/>
      <c r="B282" s="5"/>
      <c r="C282" s="13"/>
      <c r="D282" s="13"/>
      <c r="E282" s="13"/>
      <c r="F282" s="13"/>
      <c r="G282" s="13"/>
      <c r="H282" s="7"/>
      <c r="I282" s="7"/>
      <c r="K282" s="24" t="s">
        <v>1397</v>
      </c>
      <c r="L282" s="25" t="s">
        <v>1398</v>
      </c>
      <c r="M282" s="19"/>
      <c r="N282" s="19"/>
      <c r="O282" s="19" t="str">
        <f>IF(AND(ISNUMBER(MATCH(M282,{"F","E","D","D+","C","C+","B","B+","A","A+","S"},0)),ISNUMBER(MATCH(#REF!,{"F","E","D","D+","C","C+","B","B+","A","A+","S"},0)),ISNUMBER(MATCH(N288,{"F","E","D","D+","C","C+","B","B+","A","A+","S"},0)),ISNUMBER(MATCH(#REF!,{"F","E","D","D+","C","C+","B","B+","A","A+","S"},0))),LOOKUP(AVERAGE(_xlfn.SWITCH(M294,"F",0,"E",10,"D",20,"D+",30,"C",40,"C+",50,"B",60,"B+",70,"A",80,"A+",90,"S",100),_xlfn.SWITCH(#REF!,"F",0,"E",10,"D",20,"D+",30,"C",40,"C+",50,"B",60,"B+",70,"A",80,"A+",90,"S",100),_xlfn.SWITCH(N300,"F",0,"E",10,"D",20,"D+",30,"C",40,"C+",50,"B",60,"B+",70,"A",80,"A+",90,"S",100),_xlfn.SWITCH(#REF!,"F",0,"E",10,"D",20,"D+",30,"C",40,"C+",50,"B",60,"B+",70,"A",80,"A+",90,"S",100)),{0,15,25,35,45,55,65,75,85,95},{"D","D","D+","C","C+","B","B+","A","A+","S"}),"?")</f>
        <v>?</v>
      </c>
    </row>
    <row r="283" spans="1:16">
      <c r="A283" s="5"/>
      <c r="B283" s="5"/>
      <c r="C283" s="13"/>
      <c r="D283" s="13"/>
      <c r="E283" s="13"/>
      <c r="F283" s="13"/>
      <c r="G283" s="13"/>
      <c r="H283" s="7"/>
      <c r="I283" s="7"/>
      <c r="K283" s="24" t="s">
        <v>1106</v>
      </c>
      <c r="L283" s="25" t="s">
        <v>1107</v>
      </c>
      <c r="M283" s="19"/>
      <c r="N283" s="19"/>
      <c r="O283" s="19" t="str">
        <f>IF(AND(ISNUMBER(MATCH(M283,{"F","E","D","D+","C","C+","B","B+","A","A+","S"},0)),ISNUMBER(MATCH(#REF!,{"F","E","D","D+","C","C+","B","B+","A","A+","S"},0)),ISNUMBER(MATCH(N289,{"F","E","D","D+","C","C+","B","B+","A","A+","S"},0)),ISNUMBER(MATCH(#REF!,{"F","E","D","D+","C","C+","B","B+","A","A+","S"},0))),LOOKUP(AVERAGE(_xlfn.SWITCH(M295,"F",0,"E",10,"D",20,"D+",30,"C",40,"C+",50,"B",60,"B+",70,"A",80,"A+",90,"S",100),_xlfn.SWITCH(#REF!,"F",0,"E",10,"D",20,"D+",30,"C",40,"C+",50,"B",60,"B+",70,"A",80,"A+",90,"S",100),_xlfn.SWITCH(N301,"F",0,"E",10,"D",20,"D+",30,"C",40,"C+",50,"B",60,"B+",70,"A",80,"A+",90,"S",100),_xlfn.SWITCH(#REF!,"F",0,"E",10,"D",20,"D+",30,"C",40,"C+",50,"B",60,"B+",70,"A",80,"A+",90,"S",100)),{0,15,25,35,45,55,65,75,85,95},{"D","D","D+","C","C+","B","B+","A","A+","S"}),"?")</f>
        <v>?</v>
      </c>
    </row>
    <row r="284" spans="1:16">
      <c r="A284" s="5"/>
      <c r="B284" s="5"/>
      <c r="C284" s="13"/>
      <c r="D284" s="13"/>
      <c r="E284" s="13"/>
      <c r="F284" s="13"/>
      <c r="G284" s="13"/>
      <c r="H284" s="7"/>
      <c r="I284" s="7"/>
      <c r="K284" s="24" t="s">
        <v>1399</v>
      </c>
      <c r="L284" s="25" t="s">
        <v>1400</v>
      </c>
      <c r="M284" s="19"/>
      <c r="N284" s="19"/>
      <c r="O284" s="19" t="str">
        <f>IF(AND(ISNUMBER(MATCH(M284,{"F","E","D","D+","C","C+","B","B+","A","A+","S"},0)),ISNUMBER(MATCH(#REF!,{"F","E","D","D+","C","C+","B","B+","A","A+","S"},0)),ISNUMBER(MATCH(N290,{"F","E","D","D+","C","C+","B","B+","A","A+","S"},0)),ISNUMBER(MATCH(#REF!,{"F","E","D","D+","C","C+","B","B+","A","A+","S"},0))),LOOKUP(AVERAGE(_xlfn.SWITCH(M296,"F",0,"E",10,"D",20,"D+",30,"C",40,"C+",50,"B",60,"B+",70,"A",80,"A+",90,"S",100),_xlfn.SWITCH(#REF!,"F",0,"E",10,"D",20,"D+",30,"C",40,"C+",50,"B",60,"B+",70,"A",80,"A+",90,"S",100),_xlfn.SWITCH(N302,"F",0,"E",10,"D",20,"D+",30,"C",40,"C+",50,"B",60,"B+",70,"A",80,"A+",90,"S",100),_xlfn.SWITCH(#REF!,"F",0,"E",10,"D",20,"D+",30,"C",40,"C+",50,"B",60,"B+",70,"A",80,"A+",90,"S",100)),{0,15,25,35,45,55,65,75,85,95},{"D","D","D+","C","C+","B","B+","A","A+","S"}),"?")</f>
        <v>?</v>
      </c>
    </row>
    <row r="285" spans="1:16">
      <c r="A285" s="5"/>
      <c r="B285" s="5"/>
      <c r="C285" s="13"/>
      <c r="D285" s="13"/>
      <c r="E285" s="13"/>
      <c r="F285" s="13"/>
      <c r="G285" s="13"/>
      <c r="H285" s="7"/>
      <c r="I285" s="7"/>
      <c r="K285" s="24" t="s">
        <v>1135</v>
      </c>
      <c r="L285" s="25" t="s">
        <v>1136</v>
      </c>
      <c r="M285" s="19"/>
      <c r="N285" s="19"/>
      <c r="O285" s="19" t="str">
        <f>IF(AND(ISNUMBER(MATCH(M285,{"F","E","D","D+","C","C+","B","B+","A","A+","S"},0)),ISNUMBER(MATCH(#REF!,{"F","E","D","D+","C","C+","B","B+","A","A+","S"},0)),ISNUMBER(MATCH(N291,{"F","E","D","D+","C","C+","B","B+","A","A+","S"},0)),ISNUMBER(MATCH(#REF!,{"F","E","D","D+","C","C+","B","B+","A","A+","S"},0))),LOOKUP(AVERAGE(_xlfn.SWITCH(M297,"F",0,"E",10,"D",20,"D+",30,"C",40,"C+",50,"B",60,"B+",70,"A",80,"A+",90,"S",100),_xlfn.SWITCH(#REF!,"F",0,"E",10,"D",20,"D+",30,"C",40,"C+",50,"B",60,"B+",70,"A",80,"A+",90,"S",100),_xlfn.SWITCH(N303,"F",0,"E",10,"D",20,"D+",30,"C",40,"C+",50,"B",60,"B+",70,"A",80,"A+",90,"S",100),_xlfn.SWITCH(#REF!,"F",0,"E",10,"D",20,"D+",30,"C",40,"C+",50,"B",60,"B+",70,"A",80,"A+",90,"S",100)),{0,15,25,35,45,55,65,75,85,95},{"D","D","D+","C","C+","B","B+","A","A+","S"}),"?")</f>
        <v>?</v>
      </c>
    </row>
    <row r="286" spans="1:16">
      <c r="A286" s="5"/>
      <c r="B286" s="5"/>
      <c r="C286" s="13"/>
      <c r="D286" s="13"/>
      <c r="E286" s="13"/>
      <c r="F286" s="13"/>
      <c r="G286" s="13"/>
      <c r="H286" s="7"/>
      <c r="I286" s="7"/>
      <c r="K286" s="24" t="s">
        <v>1401</v>
      </c>
      <c r="L286" s="25" t="s">
        <v>1402</v>
      </c>
      <c r="M286" s="19"/>
      <c r="N286" s="19"/>
      <c r="O286" s="19" t="str">
        <f>IF(AND(ISNUMBER(MATCH(M286,{"F","E","D","D+","C","C+","B","B+","A","A+","S"},0)),ISNUMBER(MATCH(#REF!,{"F","E","D","D+","C","C+","B","B+","A","A+","S"},0)),ISNUMBER(MATCH(N292,{"F","E","D","D+","C","C+","B","B+","A","A+","S"},0)),ISNUMBER(MATCH(#REF!,{"F","E","D","D+","C","C+","B","B+","A","A+","S"},0))),LOOKUP(AVERAGE(_xlfn.SWITCH(M298,"F",0,"E",10,"D",20,"D+",30,"C",40,"C+",50,"B",60,"B+",70,"A",80,"A+",90,"S",100),_xlfn.SWITCH(#REF!,"F",0,"E",10,"D",20,"D+",30,"C",40,"C+",50,"B",60,"B+",70,"A",80,"A+",90,"S",100),_xlfn.SWITCH(N304,"F",0,"E",10,"D",20,"D+",30,"C",40,"C+",50,"B",60,"B+",70,"A",80,"A+",90,"S",100),_xlfn.SWITCH(#REF!,"F",0,"E",10,"D",20,"D+",30,"C",40,"C+",50,"B",60,"B+",70,"A",80,"A+",90,"S",100)),{0,15,25,35,45,55,65,75,85,95},{"D","D","D+","C","C+","B","B+","A","A+","S"}),"?")</f>
        <v>?</v>
      </c>
    </row>
    <row r="287" spans="1:16">
      <c r="A287" s="5"/>
      <c r="B287" s="5"/>
      <c r="C287" s="13"/>
      <c r="D287" s="13"/>
      <c r="E287" s="13"/>
      <c r="F287" s="13"/>
      <c r="G287" s="13"/>
      <c r="H287" s="7"/>
      <c r="I287" s="7"/>
      <c r="K287" s="24" t="s">
        <v>1403</v>
      </c>
      <c r="L287" s="25" t="s">
        <v>1404</v>
      </c>
      <c r="M287" s="19"/>
      <c r="N287" s="19"/>
      <c r="O287" s="19" t="str">
        <f>IF(AND(ISNUMBER(MATCH(M287,{"F","E","D","D+","C","C+","B","B+","A","A+","S"},0)),ISNUMBER(MATCH(#REF!,{"F","E","D","D+","C","C+","B","B+","A","A+","S"},0)),ISNUMBER(MATCH(N293,{"F","E","D","D+","C","C+","B","B+","A","A+","S"},0)),ISNUMBER(MATCH(#REF!,{"F","E","D","D+","C","C+","B","B+","A","A+","S"},0))),LOOKUP(AVERAGE(_xlfn.SWITCH(M299,"F",0,"E",10,"D",20,"D+",30,"C",40,"C+",50,"B",60,"B+",70,"A",80,"A+",90,"S",100),_xlfn.SWITCH(#REF!,"F",0,"E",10,"D",20,"D+",30,"C",40,"C+",50,"B",60,"B+",70,"A",80,"A+",90,"S",100),_xlfn.SWITCH(N305,"F",0,"E",10,"D",20,"D+",30,"C",40,"C+",50,"B",60,"B+",70,"A",80,"A+",90,"S",100),_xlfn.SWITCH(#REF!,"F",0,"E",10,"D",20,"D+",30,"C",40,"C+",50,"B",60,"B+",70,"A",80,"A+",90,"S",100)),{0,15,25,35,45,55,65,75,85,95},{"D","D","D+","C","C+","B","B+","A","A+","S"}),"?")</f>
        <v>?</v>
      </c>
    </row>
    <row r="288" spans="1:16">
      <c r="A288" s="5"/>
      <c r="B288" s="5"/>
      <c r="C288" s="13"/>
      <c r="D288" s="13"/>
      <c r="E288" s="13"/>
      <c r="F288" s="13"/>
      <c r="G288" s="13"/>
      <c r="H288" s="7"/>
      <c r="I288" s="7"/>
      <c r="K288" s="24" t="s">
        <v>1405</v>
      </c>
      <c r="L288" s="25" t="s">
        <v>1406</v>
      </c>
      <c r="M288" s="19"/>
      <c r="N288" s="19"/>
      <c r="O288" s="19" t="str">
        <f>IF(AND(ISNUMBER(MATCH(M288,{"F","E","D","D+","C","C+","B","B+","A","A+","S"},0)),ISNUMBER(MATCH(#REF!,{"F","E","D","D+","C","C+","B","B+","A","A+","S"},0)),ISNUMBER(MATCH(N294,{"F","E","D","D+","C","C+","B","B+","A","A+","S"},0)),ISNUMBER(MATCH(#REF!,{"F","E","D","D+","C","C+","B","B+","A","A+","S"},0))),LOOKUP(AVERAGE(_xlfn.SWITCH(M300,"F",0,"E",10,"D",20,"D+",30,"C",40,"C+",50,"B",60,"B+",70,"A",80,"A+",90,"S",100),_xlfn.SWITCH(#REF!,"F",0,"E",10,"D",20,"D+",30,"C",40,"C+",50,"B",60,"B+",70,"A",80,"A+",90,"S",100),_xlfn.SWITCH(N306,"F",0,"E",10,"D",20,"D+",30,"C",40,"C+",50,"B",60,"B+",70,"A",80,"A+",90,"S",100),_xlfn.SWITCH(#REF!,"F",0,"E",10,"D",20,"D+",30,"C",40,"C+",50,"B",60,"B+",70,"A",80,"A+",90,"S",100)),{0,15,25,35,45,55,65,75,85,95},{"D","D","D+","C","C+","B","B+","A","A+","S"}),"?")</f>
        <v>?</v>
      </c>
    </row>
    <row r="289" spans="1:15">
      <c r="A289" s="5"/>
      <c r="B289" s="5"/>
      <c r="C289" s="13"/>
      <c r="D289" s="13"/>
      <c r="E289" s="13"/>
      <c r="F289" s="13"/>
      <c r="G289" s="13"/>
      <c r="H289" s="7"/>
      <c r="I289" s="7"/>
      <c r="K289" s="24" t="s">
        <v>1407</v>
      </c>
      <c r="L289" s="25" t="s">
        <v>1408</v>
      </c>
      <c r="M289" s="19"/>
      <c r="N289" s="19"/>
      <c r="O289" s="19" t="str">
        <f>IF(AND(ISNUMBER(MATCH(M289,{"F","E","D","D+","C","C+","B","B+","A","A+","S"},0)),ISNUMBER(MATCH(#REF!,{"F","E","D","D+","C","C+","B","B+","A","A+","S"},0)),ISNUMBER(MATCH(N295,{"F","E","D","D+","C","C+","B","B+","A","A+","S"},0)),ISNUMBER(MATCH(#REF!,{"F","E","D","D+","C","C+","B","B+","A","A+","S"},0))),LOOKUP(AVERAGE(_xlfn.SWITCH(M301,"F",0,"E",10,"D",20,"D+",30,"C",40,"C+",50,"B",60,"B+",70,"A",80,"A+",90,"S",100),_xlfn.SWITCH(#REF!,"F",0,"E",10,"D",20,"D+",30,"C",40,"C+",50,"B",60,"B+",70,"A",80,"A+",90,"S",100),_xlfn.SWITCH(N307,"F",0,"E",10,"D",20,"D+",30,"C",40,"C+",50,"B",60,"B+",70,"A",80,"A+",90,"S",100),_xlfn.SWITCH(#REF!,"F",0,"E",10,"D",20,"D+",30,"C",40,"C+",50,"B",60,"B+",70,"A",80,"A+",90,"S",100)),{0,15,25,35,45,55,65,75,85,95},{"D","D","D+","C","C+","B","B+","A","A+","S"}),"?")</f>
        <v>?</v>
      </c>
    </row>
    <row r="290" spans="1:15">
      <c r="A290" s="5"/>
      <c r="B290" s="5"/>
      <c r="C290" s="13"/>
      <c r="D290" s="13"/>
      <c r="E290" s="13"/>
      <c r="F290" s="13"/>
      <c r="G290" s="13"/>
      <c r="H290" s="7"/>
      <c r="I290" s="7"/>
      <c r="K290" s="24" t="s">
        <v>1153</v>
      </c>
      <c r="L290" s="25" t="s">
        <v>1154</v>
      </c>
      <c r="M290" s="19"/>
      <c r="N290" s="19"/>
      <c r="O290" s="19" t="str">
        <f>IF(AND(ISNUMBER(MATCH(M290,{"F","E","D","D+","C","C+","B","B+","A","A+","S"},0)),ISNUMBER(MATCH(#REF!,{"F","E","D","D+","C","C+","B","B+","A","A+","S"},0)),ISNUMBER(MATCH(N296,{"F","E","D","D+","C","C+","B","B+","A","A+","S"},0)),ISNUMBER(MATCH(#REF!,{"F","E","D","D+","C","C+","B","B+","A","A+","S"},0))),LOOKUP(AVERAGE(_xlfn.SWITCH(M302,"F",0,"E",10,"D",20,"D+",30,"C",40,"C+",50,"B",60,"B+",70,"A",80,"A+",90,"S",100),_xlfn.SWITCH(#REF!,"F",0,"E",10,"D",20,"D+",30,"C",40,"C+",50,"B",60,"B+",70,"A",80,"A+",90,"S",100),_xlfn.SWITCH(N308,"F",0,"E",10,"D",20,"D+",30,"C",40,"C+",50,"B",60,"B+",70,"A",80,"A+",90,"S",100),_xlfn.SWITCH(#REF!,"F",0,"E",10,"D",20,"D+",30,"C",40,"C+",50,"B",60,"B+",70,"A",80,"A+",90,"S",100)),{0,15,25,35,45,55,65,75,85,95},{"D","D","D+","C","C+","B","B+","A","A+","S"}),"?")</f>
        <v>?</v>
      </c>
    </row>
    <row r="291" spans="1:15">
      <c r="A291" s="5"/>
      <c r="B291" s="5"/>
      <c r="C291" s="13"/>
      <c r="D291" s="13"/>
      <c r="E291" s="13"/>
      <c r="F291" s="13"/>
      <c r="G291" s="13"/>
      <c r="H291" s="7"/>
      <c r="I291" s="7"/>
      <c r="K291" s="24" t="s">
        <v>1409</v>
      </c>
      <c r="L291" s="25">
        <v>7</v>
      </c>
      <c r="M291" s="19"/>
      <c r="N291" s="19"/>
      <c r="O291" s="19" t="str">
        <f>IF(AND(ISNUMBER(MATCH(M291,{"F","E","D","D+","C","C+","B","B+","A","A+","S"},0)),ISNUMBER(MATCH(#REF!,{"F","E","D","D+","C","C+","B","B+","A","A+","S"},0)),ISNUMBER(MATCH(N297,{"F","E","D","D+","C","C+","B","B+","A","A+","S"},0)),ISNUMBER(MATCH(#REF!,{"F","E","D","D+","C","C+","B","B+","A","A+","S"},0))),LOOKUP(AVERAGE(_xlfn.SWITCH(M303,"F",0,"E",10,"D",20,"D+",30,"C",40,"C+",50,"B",60,"B+",70,"A",80,"A+",90,"S",100),_xlfn.SWITCH(#REF!,"F",0,"E",10,"D",20,"D+",30,"C",40,"C+",50,"B",60,"B+",70,"A",80,"A+",90,"S",100),_xlfn.SWITCH(N309,"F",0,"E",10,"D",20,"D+",30,"C",40,"C+",50,"B",60,"B+",70,"A",80,"A+",90,"S",100),_xlfn.SWITCH(#REF!,"F",0,"E",10,"D",20,"D+",30,"C",40,"C+",50,"B",60,"B+",70,"A",80,"A+",90,"S",100)),{0,15,25,35,45,55,65,75,85,95},{"D","D","D+","C","C+","B","B+","A","A+","S"}),"?")</f>
        <v>?</v>
      </c>
    </row>
    <row r="292" spans="1:15">
      <c r="A292" s="5"/>
      <c r="B292" s="5"/>
      <c r="C292" s="13"/>
      <c r="D292" s="13"/>
      <c r="E292" s="13"/>
      <c r="F292" s="13"/>
      <c r="G292" s="13"/>
      <c r="H292" s="7"/>
      <c r="I292" s="7"/>
      <c r="K292" s="24" t="s">
        <v>1186</v>
      </c>
      <c r="L292" s="25" t="s">
        <v>1187</v>
      </c>
      <c r="M292" s="19"/>
      <c r="N292" s="19"/>
      <c r="O292" s="19" t="str">
        <f>IF(AND(ISNUMBER(MATCH(M292,{"F","E","D","D+","C","C+","B","B+","A","A+","S"},0)),ISNUMBER(MATCH(#REF!,{"F","E","D","D+","C","C+","B","B+","A","A+","S"},0)),ISNUMBER(MATCH(N298,{"F","E","D","D+","C","C+","B","B+","A","A+","S"},0)),ISNUMBER(MATCH(#REF!,{"F","E","D","D+","C","C+","B","B+","A","A+","S"},0))),LOOKUP(AVERAGE(_xlfn.SWITCH(M304,"F",0,"E",10,"D",20,"D+",30,"C",40,"C+",50,"B",60,"B+",70,"A",80,"A+",90,"S",100),_xlfn.SWITCH(#REF!,"F",0,"E",10,"D",20,"D+",30,"C",40,"C+",50,"B",60,"B+",70,"A",80,"A+",90,"S",100),_xlfn.SWITCH(N310,"F",0,"E",10,"D",20,"D+",30,"C",40,"C+",50,"B",60,"B+",70,"A",80,"A+",90,"S",100),_xlfn.SWITCH(#REF!,"F",0,"E",10,"D",20,"D+",30,"C",40,"C+",50,"B",60,"B+",70,"A",80,"A+",90,"S",100)),{0,15,25,35,45,55,65,75,85,95},{"D","D","D+","C","C+","B","B+","A","A+","S"}),"?")</f>
        <v>?</v>
      </c>
    </row>
    <row r="293" spans="1:15">
      <c r="A293" s="5"/>
      <c r="B293" s="5"/>
      <c r="C293" s="13"/>
      <c r="D293" s="13"/>
      <c r="E293" s="13"/>
      <c r="F293" s="13"/>
      <c r="G293" s="13"/>
      <c r="H293" s="7"/>
      <c r="I293" s="7"/>
      <c r="K293" s="24" t="s">
        <v>1044</v>
      </c>
      <c r="L293" s="25" t="s">
        <v>1410</v>
      </c>
      <c r="M293" s="19"/>
      <c r="N293" s="19"/>
      <c r="O293" s="19" t="str">
        <f>IF(AND(ISNUMBER(MATCH(M293,{"F","E","D","D+","C","C+","B","B+","A","A+","S"},0)),ISNUMBER(MATCH(#REF!,{"F","E","D","D+","C","C+","B","B+","A","A+","S"},0)),ISNUMBER(MATCH(N299,{"F","E","D","D+","C","C+","B","B+","A","A+","S"},0)),ISNUMBER(MATCH(#REF!,{"F","E","D","D+","C","C+","B","B+","A","A+","S"},0))),LOOKUP(AVERAGE(_xlfn.SWITCH(M305,"F",0,"E",10,"D",20,"D+",30,"C",40,"C+",50,"B",60,"B+",70,"A",80,"A+",90,"S",100),_xlfn.SWITCH(#REF!,"F",0,"E",10,"D",20,"D+",30,"C",40,"C+",50,"B",60,"B+",70,"A",80,"A+",90,"S",100),_xlfn.SWITCH(N311,"F",0,"E",10,"D",20,"D+",30,"C",40,"C+",50,"B",60,"B+",70,"A",80,"A+",90,"S",100),_xlfn.SWITCH(#REF!,"F",0,"E",10,"D",20,"D+",30,"C",40,"C+",50,"B",60,"B+",70,"A",80,"A+",90,"S",100)),{0,15,25,35,45,55,65,75,85,95},{"D","D","D+","C","C+","B","B+","A","A+","S"}),"?")</f>
        <v>?</v>
      </c>
    </row>
    <row r="294" spans="1:15">
      <c r="A294" s="5"/>
      <c r="B294" s="5"/>
      <c r="C294" s="13"/>
      <c r="D294" s="13"/>
      <c r="E294" s="13"/>
      <c r="F294" s="13"/>
      <c r="G294" s="13"/>
      <c r="H294" s="7"/>
      <c r="I294" s="7"/>
      <c r="K294" s="24" t="s">
        <v>1411</v>
      </c>
      <c r="L294" s="25" t="s">
        <v>1412</v>
      </c>
      <c r="M294" s="19"/>
      <c r="N294" s="19"/>
      <c r="O294" s="19" t="str">
        <f>IF(AND(ISNUMBER(MATCH(M294,{"F","E","D","D+","C","C+","B","B+","A","A+","S"},0)),ISNUMBER(MATCH(#REF!,{"F","E","D","D+","C","C+","B","B+","A","A+","S"},0)),ISNUMBER(MATCH(N300,{"F","E","D","D+","C","C+","B","B+","A","A+","S"},0)),ISNUMBER(MATCH(#REF!,{"F","E","D","D+","C","C+","B","B+","A","A+","S"},0))),LOOKUP(AVERAGE(_xlfn.SWITCH(M306,"F",0,"E",10,"D",20,"D+",30,"C",40,"C+",50,"B",60,"B+",70,"A",80,"A+",90,"S",100),_xlfn.SWITCH(#REF!,"F",0,"E",10,"D",20,"D+",30,"C",40,"C+",50,"B",60,"B+",70,"A",80,"A+",90,"S",100),_xlfn.SWITCH(N312,"F",0,"E",10,"D",20,"D+",30,"C",40,"C+",50,"B",60,"B+",70,"A",80,"A+",90,"S",100),_xlfn.SWITCH(#REF!,"F",0,"E",10,"D",20,"D+",30,"C",40,"C+",50,"B",60,"B+",70,"A",80,"A+",90,"S",100)),{0,15,25,35,45,55,65,75,85,95},{"D","D","D+","C","C+","B","B+","A","A+","S"}),"?")</f>
        <v>?</v>
      </c>
    </row>
    <row r="295" spans="1:15">
      <c r="A295" s="5"/>
      <c r="B295" s="5"/>
      <c r="C295" s="13"/>
      <c r="D295" s="13"/>
      <c r="E295" s="13"/>
      <c r="F295" s="13"/>
      <c r="G295" s="13"/>
      <c r="H295" s="7"/>
      <c r="I295" s="7"/>
      <c r="K295" s="24" t="s">
        <v>1173</v>
      </c>
      <c r="L295" s="25" t="s">
        <v>1174</v>
      </c>
      <c r="M295" s="19"/>
      <c r="N295" s="19"/>
      <c r="O295" s="19" t="str">
        <f>IF(AND(ISNUMBER(MATCH(M295,{"F","E","D","D+","C","C+","B","B+","A","A+","S"},0)),ISNUMBER(MATCH(#REF!,{"F","E","D","D+","C","C+","B","B+","A","A+","S"},0)),ISNUMBER(MATCH(N301,{"F","E","D","D+","C","C+","B","B+","A","A+","S"},0)),ISNUMBER(MATCH(#REF!,{"F","E","D","D+","C","C+","B","B+","A","A+","S"},0))),LOOKUP(AVERAGE(_xlfn.SWITCH(M307,"F",0,"E",10,"D",20,"D+",30,"C",40,"C+",50,"B",60,"B+",70,"A",80,"A+",90,"S",100),_xlfn.SWITCH(#REF!,"F",0,"E",10,"D",20,"D+",30,"C",40,"C+",50,"B",60,"B+",70,"A",80,"A+",90,"S",100),_xlfn.SWITCH(N313,"F",0,"E",10,"D",20,"D+",30,"C",40,"C+",50,"B",60,"B+",70,"A",80,"A+",90,"S",100),_xlfn.SWITCH(#REF!,"F",0,"E",10,"D",20,"D+",30,"C",40,"C+",50,"B",60,"B+",70,"A",80,"A+",90,"S",100)),{0,15,25,35,45,55,65,75,85,95},{"D","D","D+","C","C+","B","B+","A","A+","S"}),"?")</f>
        <v>?</v>
      </c>
    </row>
    <row r="296" spans="1:15">
      <c r="A296" s="5"/>
      <c r="B296" s="5"/>
      <c r="C296" s="13"/>
      <c r="D296" s="13"/>
      <c r="E296" s="13"/>
      <c r="F296" s="13"/>
      <c r="G296" s="13"/>
      <c r="H296" s="7"/>
      <c r="I296" s="7"/>
      <c r="K296" s="24" t="s">
        <v>1413</v>
      </c>
      <c r="L296" s="25" t="s">
        <v>1414</v>
      </c>
      <c r="M296" s="19"/>
      <c r="N296" s="19"/>
      <c r="O296" s="19" t="str">
        <f>IF(AND(ISNUMBER(MATCH(M296,{"F","E","D","D+","C","C+","B","B+","A","A+","S"},0)),ISNUMBER(MATCH(#REF!,{"F","E","D","D+","C","C+","B","B+","A","A+","S"},0)),ISNUMBER(MATCH(N302,{"F","E","D","D+","C","C+","B","B+","A","A+","S"},0)),ISNUMBER(MATCH(#REF!,{"F","E","D","D+","C","C+","B","B+","A","A+","S"},0))),LOOKUP(AVERAGE(_xlfn.SWITCH(M308,"F",0,"E",10,"D",20,"D+",30,"C",40,"C+",50,"B",60,"B+",70,"A",80,"A+",90,"S",100),_xlfn.SWITCH(#REF!,"F",0,"E",10,"D",20,"D+",30,"C",40,"C+",50,"B",60,"B+",70,"A",80,"A+",90,"S",100),_xlfn.SWITCH(N314,"F",0,"E",10,"D",20,"D+",30,"C",40,"C+",50,"B",60,"B+",70,"A",80,"A+",90,"S",100),_xlfn.SWITCH(#REF!,"F",0,"E",10,"D",20,"D+",30,"C",40,"C+",50,"B",60,"B+",70,"A",80,"A+",90,"S",100)),{0,15,25,35,45,55,65,75,85,95},{"D","D","D+","C","C+","B","B+","A","A+","S"}),"?")</f>
        <v>?</v>
      </c>
    </row>
    <row r="297" spans="1:15">
      <c r="A297" s="5"/>
      <c r="B297" s="5"/>
      <c r="C297" s="13"/>
      <c r="D297" s="13"/>
      <c r="E297" s="13"/>
      <c r="F297" s="13"/>
      <c r="G297" s="13"/>
      <c r="H297" s="7"/>
      <c r="I297" s="7"/>
      <c r="K297" s="24" t="s">
        <v>1415</v>
      </c>
      <c r="L297" s="25" t="s">
        <v>1416</v>
      </c>
      <c r="M297" s="19"/>
      <c r="N297" s="19"/>
      <c r="O297" s="19" t="str">
        <f>IF(AND(ISNUMBER(MATCH(M297,{"F","E","D","D+","C","C+","B","B+","A","A+","S"},0)),ISNUMBER(MATCH(#REF!,{"F","E","D","D+","C","C+","B","B+","A","A+","S"},0)),ISNUMBER(MATCH(N303,{"F","E","D","D+","C","C+","B","B+","A","A+","S"},0)),ISNUMBER(MATCH(#REF!,{"F","E","D","D+","C","C+","B","B+","A","A+","S"},0))),LOOKUP(AVERAGE(_xlfn.SWITCH(M309,"F",0,"E",10,"D",20,"D+",30,"C",40,"C+",50,"B",60,"B+",70,"A",80,"A+",90,"S",100),_xlfn.SWITCH(#REF!,"F",0,"E",10,"D",20,"D+",30,"C",40,"C+",50,"B",60,"B+",70,"A",80,"A+",90,"S",100),_xlfn.SWITCH(N315,"F",0,"E",10,"D",20,"D+",30,"C",40,"C+",50,"B",60,"B+",70,"A",80,"A+",90,"S",100),_xlfn.SWITCH(#REF!,"F",0,"E",10,"D",20,"D+",30,"C",40,"C+",50,"B",60,"B+",70,"A",80,"A+",90,"S",100)),{0,15,25,35,45,55,65,75,85,95},{"D","D","D+","C","C+","B","B+","A","A+","S"}),"?")</f>
        <v>?</v>
      </c>
    </row>
    <row r="298" spans="1:15">
      <c r="A298" s="5"/>
      <c r="B298" s="5"/>
      <c r="C298" s="13"/>
      <c r="D298" s="13"/>
      <c r="E298" s="13"/>
      <c r="F298" s="13"/>
      <c r="G298" s="13"/>
      <c r="H298" s="7"/>
      <c r="I298" s="7"/>
      <c r="K298" s="24" t="s">
        <v>1068</v>
      </c>
      <c r="L298" s="25" t="s">
        <v>726</v>
      </c>
      <c r="M298" s="19"/>
      <c r="N298" s="19"/>
      <c r="O298" s="19" t="str">
        <f>IF(AND(ISNUMBER(MATCH(M298,{"F","E","D","D+","C","C+","B","B+","A","A+","S"},0)),ISNUMBER(MATCH(#REF!,{"F","E","D","D+","C","C+","B","B+","A","A+","S"},0)),ISNUMBER(MATCH(N304,{"F","E","D","D+","C","C+","B","B+","A","A+","S"},0)),ISNUMBER(MATCH(#REF!,{"F","E","D","D+","C","C+","B","B+","A","A+","S"},0))),LOOKUP(AVERAGE(_xlfn.SWITCH(M310,"F",0,"E",10,"D",20,"D+",30,"C",40,"C+",50,"B",60,"B+",70,"A",80,"A+",90,"S",100),_xlfn.SWITCH(#REF!,"F",0,"E",10,"D",20,"D+",30,"C",40,"C+",50,"B",60,"B+",70,"A",80,"A+",90,"S",100),_xlfn.SWITCH(N316,"F",0,"E",10,"D",20,"D+",30,"C",40,"C+",50,"B",60,"B+",70,"A",80,"A+",90,"S",100),_xlfn.SWITCH(#REF!,"F",0,"E",10,"D",20,"D+",30,"C",40,"C+",50,"B",60,"B+",70,"A",80,"A+",90,"S",100)),{0,15,25,35,45,55,65,75,85,95},{"D","D","D+","C","C+","B","B+","A","A+","S"}),"?")</f>
        <v>?</v>
      </c>
    </row>
    <row r="299" spans="1:15">
      <c r="A299" s="5"/>
      <c r="B299" s="5"/>
      <c r="C299" s="13"/>
      <c r="D299" s="13"/>
      <c r="E299" s="13"/>
      <c r="F299" s="13"/>
      <c r="G299" s="13"/>
      <c r="H299" s="7"/>
      <c r="I299" s="7"/>
      <c r="K299" s="24" t="s">
        <v>1417</v>
      </c>
      <c r="L299" s="25" t="s">
        <v>1418</v>
      </c>
      <c r="M299" s="19"/>
      <c r="N299" s="19"/>
      <c r="O299" s="19" t="str">
        <f>IF(AND(ISNUMBER(MATCH(M299,{"F","E","D","D+","C","C+","B","B+","A","A+","S"},0)),ISNUMBER(MATCH(#REF!,{"F","E","D","D+","C","C+","B","B+","A","A+","S"},0)),ISNUMBER(MATCH(N305,{"F","E","D","D+","C","C+","B","B+","A","A+","S"},0)),ISNUMBER(MATCH(#REF!,{"F","E","D","D+","C","C+","B","B+","A","A+","S"},0))),LOOKUP(AVERAGE(_xlfn.SWITCH(M311,"F",0,"E",10,"D",20,"D+",30,"C",40,"C+",50,"B",60,"B+",70,"A",80,"A+",90,"S",100),_xlfn.SWITCH(#REF!,"F",0,"E",10,"D",20,"D+",30,"C",40,"C+",50,"B",60,"B+",70,"A",80,"A+",90,"S",100),_xlfn.SWITCH(N317,"F",0,"E",10,"D",20,"D+",30,"C",40,"C+",50,"B",60,"B+",70,"A",80,"A+",90,"S",100),_xlfn.SWITCH(#REF!,"F",0,"E",10,"D",20,"D+",30,"C",40,"C+",50,"B",60,"B+",70,"A",80,"A+",90,"S",100)),{0,15,25,35,45,55,65,75,85,95},{"D","D","D+","C","C+","B","B+","A","A+","S"}),"?")</f>
        <v>?</v>
      </c>
    </row>
    <row r="300" spans="1:15">
      <c r="A300" s="5"/>
      <c r="B300" s="5"/>
      <c r="C300" s="13"/>
      <c r="D300" s="13"/>
      <c r="E300" s="13"/>
      <c r="F300" s="13"/>
      <c r="G300" s="13"/>
      <c r="H300" s="7"/>
      <c r="I300" s="7"/>
      <c r="K300" s="24" t="s">
        <v>1419</v>
      </c>
      <c r="L300" s="25" t="s">
        <v>1420</v>
      </c>
      <c r="M300" s="19"/>
      <c r="N300" s="19"/>
      <c r="O300" s="19" t="str">
        <f>IF(AND(ISNUMBER(MATCH(M300,{"F","E","D","D+","C","C+","B","B+","A","A+","S"},0)),ISNUMBER(MATCH(#REF!,{"F","E","D","D+","C","C+","B","B+","A","A+","S"},0)),ISNUMBER(MATCH(N306,{"F","E","D","D+","C","C+","B","B+","A","A+","S"},0)),ISNUMBER(MATCH(#REF!,{"F","E","D","D+","C","C+","B","B+","A","A+","S"},0))),LOOKUP(AVERAGE(_xlfn.SWITCH(M312,"F",0,"E",10,"D",20,"D+",30,"C",40,"C+",50,"B",60,"B+",70,"A",80,"A+",90,"S",100),_xlfn.SWITCH(#REF!,"F",0,"E",10,"D",20,"D+",30,"C",40,"C+",50,"B",60,"B+",70,"A",80,"A+",90,"S",100),_xlfn.SWITCH(N318,"F",0,"E",10,"D",20,"D+",30,"C",40,"C+",50,"B",60,"B+",70,"A",80,"A+",90,"S",100),_xlfn.SWITCH(#REF!,"F",0,"E",10,"D",20,"D+",30,"C",40,"C+",50,"B",60,"B+",70,"A",80,"A+",90,"S",100)),{0,15,25,35,45,55,65,75,85,95},{"D","D","D+","C","C+","B","B+","A","A+","S"}),"?")</f>
        <v>?</v>
      </c>
    </row>
    <row r="301" spans="1:15">
      <c r="A301" s="5"/>
      <c r="B301" s="5"/>
      <c r="C301" s="13"/>
      <c r="D301" s="13"/>
      <c r="E301" s="13"/>
      <c r="F301" s="13"/>
      <c r="G301" s="13"/>
      <c r="H301" s="7"/>
      <c r="I301" s="7"/>
      <c r="K301" s="24" t="s">
        <v>1421</v>
      </c>
      <c r="L301" s="25" t="s">
        <v>1422</v>
      </c>
      <c r="M301" s="19"/>
      <c r="N301" s="19"/>
      <c r="O301" s="19" t="str">
        <f>IF(AND(ISNUMBER(MATCH(M301,{"F","E","D","D+","C","C+","B","B+","A","A+","S"},0)),ISNUMBER(MATCH(#REF!,{"F","E","D","D+","C","C+","B","B+","A","A+","S"},0)),ISNUMBER(MATCH(N307,{"F","E","D","D+","C","C+","B","B+","A","A+","S"},0)),ISNUMBER(MATCH(#REF!,{"F","E","D","D+","C","C+","B","B+","A","A+","S"},0))),LOOKUP(AVERAGE(_xlfn.SWITCH(M313,"F",0,"E",10,"D",20,"D+",30,"C",40,"C+",50,"B",60,"B+",70,"A",80,"A+",90,"S",100),_xlfn.SWITCH(#REF!,"F",0,"E",10,"D",20,"D+",30,"C",40,"C+",50,"B",60,"B+",70,"A",80,"A+",90,"S",100),_xlfn.SWITCH(N319,"F",0,"E",10,"D",20,"D+",30,"C",40,"C+",50,"B",60,"B+",70,"A",80,"A+",90,"S",100),_xlfn.SWITCH(#REF!,"F",0,"E",10,"D",20,"D+",30,"C",40,"C+",50,"B",60,"B+",70,"A",80,"A+",90,"S",100)),{0,15,25,35,45,55,65,75,85,95},{"D","D","D+","C","C+","B","B+","A","A+","S"}),"?")</f>
        <v>?</v>
      </c>
    </row>
    <row r="302" spans="1:15">
      <c r="A302" s="5"/>
      <c r="B302" s="5"/>
      <c r="C302" s="13"/>
      <c r="D302" s="13"/>
      <c r="E302" s="13"/>
      <c r="F302" s="13"/>
      <c r="G302" s="13"/>
      <c r="H302" s="7"/>
      <c r="I302" s="7"/>
      <c r="K302" s="24" t="s">
        <v>1051</v>
      </c>
      <c r="L302" s="25" t="s">
        <v>1052</v>
      </c>
      <c r="M302" s="19"/>
      <c r="N302" s="19"/>
      <c r="O302" s="19" t="str">
        <f>IF(AND(ISNUMBER(MATCH(M302,{"F","E","D","D+","C","C+","B","B+","A","A+","S"},0)),ISNUMBER(MATCH(#REF!,{"F","E","D","D+","C","C+","B","B+","A","A+","S"},0)),ISNUMBER(MATCH(N306,{"F","E","D","D+","C","C+","B","B+","A","A+","S"},0)),ISNUMBER(MATCH(#REF!,{"F","E","D","D+","C","C+","B","B+","A","A+","S"},0))),LOOKUP(AVERAGE(_xlfn.SWITCH(M310,"F",0,"E",10,"D",20,"D+",30,"C",40,"C+",50,"B",60,"B+",70,"A",80,"A+",90,"S",100),_xlfn.SWITCH(#REF!,"F",0,"E",10,"D",20,"D+",30,"C",40,"C+",50,"B",60,"B+",70,"A",80,"A+",90,"S",100),_xlfn.SWITCH(N314,"F",0,"E",10,"D",20,"D+",30,"C",40,"C+",50,"B",60,"B+",70,"A",80,"A+",90,"S",100),_xlfn.SWITCH(#REF!,"F",0,"E",10,"D",20,"D+",30,"C",40,"C+",50,"B",60,"B+",70,"A",80,"A+",90,"S",100)),{0,15,25,35,45,55,65,75,85,95},{"D","D","D+","C","C+","B","B+","A","A+","S"}),"?")</f>
        <v>?</v>
      </c>
    </row>
    <row r="303" spans="1:15">
      <c r="A303" s="5"/>
      <c r="B303" s="5"/>
      <c r="C303" s="13"/>
      <c r="D303" s="13"/>
      <c r="E303" s="13"/>
      <c r="F303" s="13"/>
      <c r="G303" s="13"/>
      <c r="H303" s="7"/>
      <c r="I303" s="7"/>
      <c r="K303" s="24" t="s">
        <v>1062</v>
      </c>
      <c r="L303" s="25" t="s">
        <v>1063</v>
      </c>
      <c r="M303" s="19"/>
      <c r="N303" s="19"/>
      <c r="O303" s="19" t="str">
        <f>IF(AND(ISNUMBER(MATCH(M303,{"F","E","D","D+","C","C+","B","B+","A","A+","S"},0)),ISNUMBER(MATCH(#REF!,{"F","E","D","D+","C","C+","B","B+","A","A+","S"},0)),ISNUMBER(MATCH(N307,{"F","E","D","D+","C","C+","B","B+","A","A+","S"},0)),ISNUMBER(MATCH(#REF!,{"F","E","D","D+","C","C+","B","B+","A","A+","S"},0))),LOOKUP(AVERAGE(_xlfn.SWITCH(M311,"F",0,"E",10,"D",20,"D+",30,"C",40,"C+",50,"B",60,"B+",70,"A",80,"A+",90,"S",100),_xlfn.SWITCH(#REF!,"F",0,"E",10,"D",20,"D+",30,"C",40,"C+",50,"B",60,"B+",70,"A",80,"A+",90,"S",100),_xlfn.SWITCH(N315,"F",0,"E",10,"D",20,"D+",30,"C",40,"C+",50,"B",60,"B+",70,"A",80,"A+",90,"S",100),_xlfn.SWITCH(#REF!,"F",0,"E",10,"D",20,"D+",30,"C",40,"C+",50,"B",60,"B+",70,"A",80,"A+",90,"S",100)),{0,15,25,35,45,55,65,75,85,95},{"D","D","D+","C","C+","B","B+","A","A+","S"}),"?")</f>
        <v>?</v>
      </c>
    </row>
    <row r="304" spans="1:15">
      <c r="A304" s="5"/>
      <c r="B304" s="5"/>
      <c r="C304" s="13"/>
      <c r="D304" s="13"/>
      <c r="E304" s="13"/>
      <c r="F304" s="13"/>
      <c r="G304" s="13"/>
      <c r="H304" s="7"/>
      <c r="I304" s="7"/>
      <c r="K304" s="24" t="s">
        <v>1423</v>
      </c>
      <c r="L304" s="25" t="s">
        <v>1424</v>
      </c>
      <c r="M304" s="19"/>
      <c r="N304" s="19"/>
      <c r="O304" s="19" t="str">
        <f>IF(AND(ISNUMBER(MATCH(M304,{"F","E","D","D+","C","C+","B","B+","A","A+","S"},0)),ISNUMBER(MATCH(#REF!,{"F","E","D","D+","C","C+","B","B+","A","A+","S"},0)),ISNUMBER(MATCH(N308,{"F","E","D","D+","C","C+","B","B+","A","A+","S"},0)),ISNUMBER(MATCH(#REF!,{"F","E","D","D+","C","C+","B","B+","A","A+","S"},0))),LOOKUP(AVERAGE(_xlfn.SWITCH(M312,"F",0,"E",10,"D",20,"D+",30,"C",40,"C+",50,"B",60,"B+",70,"A",80,"A+",90,"S",100),_xlfn.SWITCH(#REF!,"F",0,"E",10,"D",20,"D+",30,"C",40,"C+",50,"B",60,"B+",70,"A",80,"A+",90,"S",100),_xlfn.SWITCH(N316,"F",0,"E",10,"D",20,"D+",30,"C",40,"C+",50,"B",60,"B+",70,"A",80,"A+",90,"S",100),_xlfn.SWITCH(#REF!,"F",0,"E",10,"D",20,"D+",30,"C",40,"C+",50,"B",60,"B+",70,"A",80,"A+",90,"S",100)),{0,15,25,35,45,55,65,75,85,95},{"D","D","D+","C","C+","B","B+","A","A+","S"}),"?")</f>
        <v>?</v>
      </c>
    </row>
    <row r="305" spans="1:15">
      <c r="A305" s="5"/>
      <c r="B305" s="5"/>
      <c r="C305" s="13"/>
      <c r="D305" s="13"/>
      <c r="E305" s="13"/>
      <c r="F305" s="13"/>
      <c r="G305" s="13"/>
      <c r="H305" s="7"/>
      <c r="I305" s="7"/>
      <c r="K305" s="24" t="s">
        <v>1425</v>
      </c>
      <c r="L305" s="25" t="s">
        <v>1426</v>
      </c>
      <c r="M305" s="19"/>
      <c r="N305" s="19"/>
      <c r="O305" s="19" t="str">
        <f>IF(AND(ISNUMBER(MATCH(M305,{"F","E","D","D+","C","C+","B","B+","A","A+","S"},0)),ISNUMBER(MATCH(#REF!,{"F","E","D","D+","C","C+","B","B+","A","A+","S"},0)),ISNUMBER(MATCH(N309,{"F","E","D","D+","C","C+","B","B+","A","A+","S"},0)),ISNUMBER(MATCH(#REF!,{"F","E","D","D+","C","C+","B","B+","A","A+","S"},0))),LOOKUP(AVERAGE(_xlfn.SWITCH(M313,"F",0,"E",10,"D",20,"D+",30,"C",40,"C+",50,"B",60,"B+",70,"A",80,"A+",90,"S",100),_xlfn.SWITCH(#REF!,"F",0,"E",10,"D",20,"D+",30,"C",40,"C+",50,"B",60,"B+",70,"A",80,"A+",90,"S",100),_xlfn.SWITCH(N317,"F",0,"E",10,"D",20,"D+",30,"C",40,"C+",50,"B",60,"B+",70,"A",80,"A+",90,"S",100),_xlfn.SWITCH(#REF!,"F",0,"E",10,"D",20,"D+",30,"C",40,"C+",50,"B",60,"B+",70,"A",80,"A+",90,"S",100)),{0,15,25,35,45,55,65,75,85,95},{"D","D","D+","C","C+","B","B+","A","A+","S"}),"?")</f>
        <v>?</v>
      </c>
    </row>
    <row r="306" spans="1:15">
      <c r="A306" s="5"/>
      <c r="B306" s="5"/>
      <c r="C306" s="13"/>
      <c r="D306" s="13"/>
      <c r="E306" s="13"/>
      <c r="F306" s="13"/>
      <c r="G306" s="13"/>
      <c r="H306" s="7"/>
      <c r="I306" s="7"/>
      <c r="K306" s="24" t="s">
        <v>1195</v>
      </c>
      <c r="L306" s="25" t="s">
        <v>1196</v>
      </c>
      <c r="M306" s="19"/>
      <c r="N306" s="19"/>
      <c r="O306" s="19" t="str">
        <f>IF(AND(ISNUMBER(MATCH(M306,{"F","E","D","D+","C","C+","B","B+","A","A+","S"},0)),ISNUMBER(MATCH(#REF!,{"F","E","D","D+","C","C+","B","B+","A","A+","S"},0)),ISNUMBER(MATCH(N310,{"F","E","D","D+","C","C+","B","B+","A","A+","S"},0)),ISNUMBER(MATCH(#REF!,{"F","E","D","D+","C","C+","B","B+","A","A+","S"},0))),LOOKUP(AVERAGE(_xlfn.SWITCH(M314,"F",0,"E",10,"D",20,"D+",30,"C",40,"C+",50,"B",60,"B+",70,"A",80,"A+",90,"S",100),_xlfn.SWITCH(#REF!,"F",0,"E",10,"D",20,"D+",30,"C",40,"C+",50,"B",60,"B+",70,"A",80,"A+",90,"S",100),_xlfn.SWITCH(N318,"F",0,"E",10,"D",20,"D+",30,"C",40,"C+",50,"B",60,"B+",70,"A",80,"A+",90,"S",100),_xlfn.SWITCH(#REF!,"F",0,"E",10,"D",20,"D+",30,"C",40,"C+",50,"B",60,"B+",70,"A",80,"A+",90,"S",100)),{0,15,25,35,45,55,65,75,85,95},{"D","D","D+","C","C+","B","B+","A","A+","S"}),"?")</f>
        <v>?</v>
      </c>
    </row>
    <row r="307" spans="1:15">
      <c r="A307" s="5"/>
      <c r="B307" s="5"/>
      <c r="C307" s="13"/>
      <c r="D307" s="13"/>
      <c r="E307" s="13"/>
      <c r="F307" s="13"/>
      <c r="G307" s="13"/>
      <c r="H307" s="7"/>
      <c r="I307" s="7"/>
      <c r="K307" s="24" t="s">
        <v>1427</v>
      </c>
      <c r="L307" s="25" t="s">
        <v>1428</v>
      </c>
      <c r="M307" s="19"/>
      <c r="N307" s="19"/>
      <c r="O307" s="19" t="str">
        <f>IF(AND(ISNUMBER(MATCH(M307,{"F","E","D","D+","C","C+","B","B+","A","A+","S"},0)),ISNUMBER(MATCH(#REF!,{"F","E","D","D+","C","C+","B","B+","A","A+","S"},0)),ISNUMBER(MATCH(N311,{"F","E","D","D+","C","C+","B","B+","A","A+","S"},0)),ISNUMBER(MATCH(#REF!,{"F","E","D","D+","C","C+","B","B+","A","A+","S"},0))),LOOKUP(AVERAGE(_xlfn.SWITCH(M315,"F",0,"E",10,"D",20,"D+",30,"C",40,"C+",50,"B",60,"B+",70,"A",80,"A+",90,"S",100),_xlfn.SWITCH(#REF!,"F",0,"E",10,"D",20,"D+",30,"C",40,"C+",50,"B",60,"B+",70,"A",80,"A+",90,"S",100),_xlfn.SWITCH(N319,"F",0,"E",10,"D",20,"D+",30,"C",40,"C+",50,"B",60,"B+",70,"A",80,"A+",90,"S",100),_xlfn.SWITCH(#REF!,"F",0,"E",10,"D",20,"D+",30,"C",40,"C+",50,"B",60,"B+",70,"A",80,"A+",90,"S",100)),{0,15,25,35,45,55,65,75,85,95},{"D","D","D+","C","C+","B","B+","A","A+","S"}),"?")</f>
        <v>?</v>
      </c>
    </row>
    <row r="308" spans="1:15">
      <c r="A308" s="5"/>
      <c r="B308" s="5"/>
      <c r="C308" s="13"/>
      <c r="D308" s="13"/>
      <c r="E308" s="13"/>
      <c r="F308" s="13"/>
      <c r="G308" s="13"/>
      <c r="H308" s="7"/>
      <c r="I308" s="7"/>
      <c r="K308" s="24" t="s">
        <v>1073</v>
      </c>
      <c r="L308" s="25" t="s">
        <v>1074</v>
      </c>
      <c r="M308" s="19"/>
      <c r="N308" s="19"/>
      <c r="O308" s="19" t="str">
        <f>IF(AND(ISNUMBER(MATCH(M308,{"F","E","D","D+","C","C+","B","B+","A","A+","S"},0)),ISNUMBER(MATCH(#REF!,{"F","E","D","D+","C","C+","B","B+","A","A+","S"},0)),ISNUMBER(MATCH(N312,{"F","E","D","D+","C","C+","B","B+","A","A+","S"},0)),ISNUMBER(MATCH(#REF!,{"F","E","D","D+","C","C+","B","B+","A","A+","S"},0))),LOOKUP(AVERAGE(_xlfn.SWITCH(M316,"F",0,"E",10,"D",20,"D+",30,"C",40,"C+",50,"B",60,"B+",70,"A",80,"A+",90,"S",100),_xlfn.SWITCH(#REF!,"F",0,"E",10,"D",20,"D+",30,"C",40,"C+",50,"B",60,"B+",70,"A",80,"A+",90,"S",100),_xlfn.SWITCH(N320,"F",0,"E",10,"D",20,"D+",30,"C",40,"C+",50,"B",60,"B+",70,"A",80,"A+",90,"S",100),_xlfn.SWITCH(#REF!,"F",0,"E",10,"D",20,"D+",30,"C",40,"C+",50,"B",60,"B+",70,"A",80,"A+",90,"S",100)),{0,15,25,35,45,55,65,75,85,95},{"D","D","D+","C","C+","B","B+","A","A+","S"}),"?")</f>
        <v>?</v>
      </c>
    </row>
    <row r="309" spans="1:15">
      <c r="A309" s="5"/>
      <c r="B309" s="5"/>
      <c r="C309" s="13"/>
      <c r="D309" s="13"/>
      <c r="E309" s="13"/>
      <c r="F309" s="13"/>
      <c r="G309" s="13"/>
      <c r="H309" s="7"/>
      <c r="I309" s="7"/>
      <c r="K309" s="24" t="s">
        <v>1429</v>
      </c>
      <c r="L309" s="25" t="s">
        <v>1430</v>
      </c>
      <c r="M309" s="19"/>
      <c r="N309" s="19"/>
      <c r="O309" s="19" t="str">
        <f>IF(AND(ISNUMBER(MATCH(M309,{"F","E","D","D+","C","C+","B","B+","A","A+","S"},0)),ISNUMBER(MATCH(#REF!,{"F","E","D","D+","C","C+","B","B+","A","A+","S"},0)),ISNUMBER(MATCH(N311,{"F","E","D","D+","C","C+","B","B+","A","A+","S"},0)),ISNUMBER(MATCH(#REF!,{"F","E","D","D+","C","C+","B","B+","A","A+","S"},0))),LOOKUP(AVERAGE(_xlfn.SWITCH(M313,"F",0,"E",10,"D",20,"D+",30,"C",40,"C+",50,"B",60,"B+",70,"A",80,"A+",90,"S",100),_xlfn.SWITCH(#REF!,"F",0,"E",10,"D",20,"D+",30,"C",40,"C+",50,"B",60,"B+",70,"A",80,"A+",90,"S",100),_xlfn.SWITCH(N315,"F",0,"E",10,"D",20,"D+",30,"C",40,"C+",50,"B",60,"B+",70,"A",80,"A+",90,"S",100),_xlfn.SWITCH(#REF!,"F",0,"E",10,"D",20,"D+",30,"C",40,"C+",50,"B",60,"B+",70,"A",80,"A+",90,"S",100)),{0,15,25,35,45,55,65,75,85,95},{"D","D","D+","C","C+","B","B+","A","A+","S"}),"?")</f>
        <v>?</v>
      </c>
    </row>
    <row r="310" spans="1:15">
      <c r="A310" s="5"/>
      <c r="B310" s="5"/>
      <c r="C310" s="13"/>
      <c r="D310" s="13"/>
      <c r="E310" s="13"/>
      <c r="F310" s="13"/>
      <c r="G310" s="13"/>
      <c r="H310" s="7"/>
      <c r="I310" s="7"/>
      <c r="K310" s="24" t="s">
        <v>1190</v>
      </c>
      <c r="L310" s="25" t="s">
        <v>1191</v>
      </c>
      <c r="M310" s="19"/>
      <c r="N310" s="19"/>
      <c r="O310" s="19" t="str">
        <f>IF(AND(ISNUMBER(MATCH(M310,{"F","E","D","D+","C","C+","B","B+","A","A+","S"},0)),ISNUMBER(MATCH(#REF!,{"F","E","D","D+","C","C+","B","B+","A","A+","S"},0)),ISNUMBER(MATCH(N312,{"F","E","D","D+","C","C+","B","B+","A","A+","S"},0)),ISNUMBER(MATCH(#REF!,{"F","E","D","D+","C","C+","B","B+","A","A+","S"},0))),LOOKUP(AVERAGE(_xlfn.SWITCH(M314,"F",0,"E",10,"D",20,"D+",30,"C",40,"C+",50,"B",60,"B+",70,"A",80,"A+",90,"S",100),_xlfn.SWITCH(#REF!,"F",0,"E",10,"D",20,"D+",30,"C",40,"C+",50,"B",60,"B+",70,"A",80,"A+",90,"S",100),_xlfn.SWITCH(N316,"F",0,"E",10,"D",20,"D+",30,"C",40,"C+",50,"B",60,"B+",70,"A",80,"A+",90,"S",100),_xlfn.SWITCH(#REF!,"F",0,"E",10,"D",20,"D+",30,"C",40,"C+",50,"B",60,"B+",70,"A",80,"A+",90,"S",100)),{0,15,25,35,45,55,65,75,85,95},{"D","D","D+","C","C+","B","B+","A","A+","S"}),"?")</f>
        <v>?</v>
      </c>
    </row>
    <row r="311" spans="1:15">
      <c r="A311" s="5"/>
      <c r="B311" s="5"/>
      <c r="C311" s="13"/>
      <c r="D311" s="13"/>
      <c r="E311" s="13"/>
      <c r="F311" s="13"/>
      <c r="G311" s="13"/>
      <c r="H311" s="7"/>
      <c r="I311" s="7"/>
      <c r="K311" s="24" t="s">
        <v>1147</v>
      </c>
      <c r="L311" s="25" t="s">
        <v>1148</v>
      </c>
      <c r="M311" s="19"/>
      <c r="N311" s="19"/>
      <c r="O311" s="19" t="str">
        <f>IF(AND(ISNUMBER(MATCH(M311,{"F","E","D","D+","C","C+","B","B+","A","A+","S"},0)),ISNUMBER(MATCH(#REF!,{"F","E","D","D+","C","C+","B","B+","A","A+","S"},0)),ISNUMBER(MATCH(N313,{"F","E","D","D+","C","C+","B","B+","A","A+","S"},0)),ISNUMBER(MATCH(#REF!,{"F","E","D","D+","C","C+","B","B+","A","A+","S"},0))),LOOKUP(AVERAGE(_xlfn.SWITCH(M315,"F",0,"E",10,"D",20,"D+",30,"C",40,"C+",50,"B",60,"B+",70,"A",80,"A+",90,"S",100),_xlfn.SWITCH(#REF!,"F",0,"E",10,"D",20,"D+",30,"C",40,"C+",50,"B",60,"B+",70,"A",80,"A+",90,"S",100),_xlfn.SWITCH(N317,"F",0,"E",10,"D",20,"D+",30,"C",40,"C+",50,"B",60,"B+",70,"A",80,"A+",90,"S",100),_xlfn.SWITCH(#REF!,"F",0,"E",10,"D",20,"D+",30,"C",40,"C+",50,"B",60,"B+",70,"A",80,"A+",90,"S",100)),{0,15,25,35,45,55,65,75,85,95},{"D","D","D+","C","C+","B","B+","A","A+","S"}),"?")</f>
        <v>?</v>
      </c>
    </row>
    <row r="312" spans="1:15">
      <c r="A312" s="5"/>
      <c r="B312" s="5"/>
      <c r="C312" s="13"/>
      <c r="D312" s="13"/>
      <c r="E312" s="13"/>
      <c r="F312" s="13"/>
      <c r="G312" s="13"/>
      <c r="H312" s="7"/>
      <c r="I312" s="7"/>
      <c r="K312" s="24" t="s">
        <v>1121</v>
      </c>
      <c r="L312" s="25" t="s">
        <v>1122</v>
      </c>
      <c r="M312" s="19"/>
      <c r="N312" s="19"/>
      <c r="O312" s="19" t="str">
        <f>IF(AND(ISNUMBER(MATCH(M312,{"F","E","D","D+","C","C+","B","B+","A","A+","S"},0)),ISNUMBER(MATCH(#REF!,{"F","E","D","D+","C","C+","B","B+","A","A+","S"},0)),ISNUMBER(MATCH(N314,{"F","E","D","D+","C","C+","B","B+","A","A+","S"},0)),ISNUMBER(MATCH(#REF!,{"F","E","D","D+","C","C+","B","B+","A","A+","S"},0))),LOOKUP(AVERAGE(_xlfn.SWITCH(M316,"F",0,"E",10,"D",20,"D+",30,"C",40,"C+",50,"B",60,"B+",70,"A",80,"A+",90,"S",100),_xlfn.SWITCH(#REF!,"F",0,"E",10,"D",20,"D+",30,"C",40,"C+",50,"B",60,"B+",70,"A",80,"A+",90,"S",100),_xlfn.SWITCH(N318,"F",0,"E",10,"D",20,"D+",30,"C",40,"C+",50,"B",60,"B+",70,"A",80,"A+",90,"S",100),_xlfn.SWITCH(#REF!,"F",0,"E",10,"D",20,"D+",30,"C",40,"C+",50,"B",60,"B+",70,"A",80,"A+",90,"S",100)),{0,15,25,35,45,55,65,75,85,95},{"D","D","D+","C","C+","B","B+","A","A+","S"}),"?")</f>
        <v>?</v>
      </c>
    </row>
    <row r="313" spans="1:15">
      <c r="A313" s="5"/>
      <c r="B313" s="5"/>
      <c r="C313" s="13"/>
      <c r="D313" s="13"/>
      <c r="E313" s="13"/>
      <c r="F313" s="13"/>
      <c r="G313" s="13"/>
      <c r="H313" s="7"/>
      <c r="I313" s="7"/>
      <c r="K313" s="24" t="s">
        <v>1431</v>
      </c>
      <c r="L313" s="25" t="s">
        <v>1432</v>
      </c>
      <c r="M313" s="19"/>
      <c r="N313" s="19"/>
      <c r="O313" s="19" t="str">
        <f>IF(AND(ISNUMBER(MATCH(M313,{"F","E","D","D+","C","C+","B","B+","A","A+","S"},0)),ISNUMBER(MATCH(#REF!,{"F","E","D","D+","C","C+","B","B+","A","A+","S"},0)),ISNUMBER(MATCH(N315,{"F","E","D","D+","C","C+","B","B+","A","A+","S"},0)),ISNUMBER(MATCH(#REF!,{"F","E","D","D+","C","C+","B","B+","A","A+","S"},0))),LOOKUP(AVERAGE(_xlfn.SWITCH(M317,"F",0,"E",10,"D",20,"D+",30,"C",40,"C+",50,"B",60,"B+",70,"A",80,"A+",90,"S",100),_xlfn.SWITCH(#REF!,"F",0,"E",10,"D",20,"D+",30,"C",40,"C+",50,"B",60,"B+",70,"A",80,"A+",90,"S",100),_xlfn.SWITCH(N319,"F",0,"E",10,"D",20,"D+",30,"C",40,"C+",50,"B",60,"B+",70,"A",80,"A+",90,"S",100),_xlfn.SWITCH(#REF!,"F",0,"E",10,"D",20,"D+",30,"C",40,"C+",50,"B",60,"B+",70,"A",80,"A+",90,"S",100)),{0,15,25,35,45,55,65,75,85,95},{"D","D","D+","C","C+","B","B+","A","A+","S"}),"?")</f>
        <v>?</v>
      </c>
    </row>
    <row r="314" spans="1:15">
      <c r="A314" s="5"/>
      <c r="B314" s="5"/>
      <c r="C314" s="13"/>
      <c r="D314" s="13"/>
      <c r="E314" s="13"/>
      <c r="F314" s="13"/>
      <c r="G314" s="13"/>
      <c r="H314" s="7"/>
      <c r="I314" s="7"/>
      <c r="K314" s="24" t="s">
        <v>1433</v>
      </c>
      <c r="L314" s="25" t="s">
        <v>1434</v>
      </c>
      <c r="M314" s="19"/>
      <c r="N314" s="19"/>
      <c r="O314" s="19" t="str">
        <f>IF(AND(ISNUMBER(MATCH(M314,{"F","E","D","D+","C","C+","B","B+","A","A+","S"},0)),ISNUMBER(MATCH(#REF!,{"F","E","D","D+","C","C+","B","B+","A","A+","S"},0)),ISNUMBER(MATCH(N316,{"F","E","D","D+","C","C+","B","B+","A","A+","S"},0)),ISNUMBER(MATCH(#REF!,{"F","E","D","D+","C","C+","B","B+","A","A+","S"},0))),LOOKUP(AVERAGE(_xlfn.SWITCH(M318,"F",0,"E",10,"D",20,"D+",30,"C",40,"C+",50,"B",60,"B+",70,"A",80,"A+",90,"S",100),_xlfn.SWITCH(#REF!,"F",0,"E",10,"D",20,"D+",30,"C",40,"C+",50,"B",60,"B+",70,"A",80,"A+",90,"S",100),_xlfn.SWITCH(N320,"F",0,"E",10,"D",20,"D+",30,"C",40,"C+",50,"B",60,"B+",70,"A",80,"A+",90,"S",100),_xlfn.SWITCH(#REF!,"F",0,"E",10,"D",20,"D+",30,"C",40,"C+",50,"B",60,"B+",70,"A",80,"A+",90,"S",100)),{0,15,25,35,45,55,65,75,85,95},{"D","D","D+","C","C+","B","B+","A","A+","S"}),"?")</f>
        <v>?</v>
      </c>
    </row>
    <row r="315" spans="1:15">
      <c r="A315" s="5"/>
      <c r="B315" s="5"/>
      <c r="C315" s="13"/>
      <c r="D315" s="13"/>
      <c r="E315" s="13"/>
      <c r="F315" s="13"/>
      <c r="G315" s="13"/>
      <c r="H315" s="7"/>
      <c r="I315" s="7"/>
      <c r="K315" s="24" t="s">
        <v>1435</v>
      </c>
      <c r="L315" s="25" t="s">
        <v>1436</v>
      </c>
      <c r="M315" s="19"/>
      <c r="N315" s="19"/>
      <c r="O315" s="19" t="str">
        <f>IF(AND(ISNUMBER(MATCH(M315,{"F","E","D","D+","C","C+","B","B+","A","A+","S"},0)),ISNUMBER(MATCH(#REF!,{"F","E","D","D+","C","C+","B","B+","A","A+","S"},0)),ISNUMBER(MATCH(N317,{"F","E","D","D+","C","C+","B","B+","A","A+","S"},0)),ISNUMBER(MATCH(#REF!,{"F","E","D","D+","C","C+","B","B+","A","A+","S"},0))),LOOKUP(AVERAGE(_xlfn.SWITCH(M319,"F",0,"E",10,"D",20,"D+",30,"C",40,"C+",50,"B",60,"B+",70,"A",80,"A+",90,"S",100),_xlfn.SWITCH(#REF!,"F",0,"E",10,"D",20,"D+",30,"C",40,"C+",50,"B",60,"B+",70,"A",80,"A+",90,"S",100),_xlfn.SWITCH(N321,"F",0,"E",10,"D",20,"D+",30,"C",40,"C+",50,"B",60,"B+",70,"A",80,"A+",90,"S",100),_xlfn.SWITCH(#REF!,"F",0,"E",10,"D",20,"D+",30,"C",40,"C+",50,"B",60,"B+",70,"A",80,"A+",90,"S",100)),{0,15,25,35,45,55,65,75,85,95},{"D","D","D+","C","C+","B","B+","A","A+","S"}),"?")</f>
        <v>?</v>
      </c>
    </row>
    <row r="316" spans="1:15">
      <c r="A316" s="5"/>
      <c r="B316" s="5"/>
      <c r="C316" s="13"/>
      <c r="D316" s="13"/>
      <c r="E316" s="13"/>
      <c r="F316" s="13"/>
      <c r="G316" s="13"/>
      <c r="H316" s="7"/>
      <c r="I316" s="7"/>
      <c r="K316" s="24" t="s">
        <v>1437</v>
      </c>
      <c r="L316" s="25" t="s">
        <v>1438</v>
      </c>
      <c r="M316" s="19"/>
      <c r="N316" s="19"/>
      <c r="O316" s="19" t="str">
        <f>IF(AND(ISNUMBER(MATCH(M316,{"F","E","D","D+","C","C+","B","B+","A","A+","S"},0)),ISNUMBER(MATCH(#REF!,{"F","E","D","D+","C","C+","B","B+","A","A+","S"},0)),ISNUMBER(MATCH(N316,{"F","E","D","D+","C","C+","B","B+","A","A+","S"},0)),ISNUMBER(MATCH(#REF!,{"F","E","D","D+","C","C+","B","B+","A","A+","S"},0))),LOOKUP(AVERAGE(_xlfn.SWITCH(M316,"F",0,"E",10,"D",20,"D+",30,"C",40,"C+",50,"B",60,"B+",70,"A",80,"A+",90,"S",100),_xlfn.SWITCH(#REF!,"F",0,"E",10,"D",20,"D+",30,"C",40,"C+",50,"B",60,"B+",70,"A",80,"A+",90,"S",100),_xlfn.SWITCH(N316,"F",0,"E",10,"D",20,"D+",30,"C",40,"C+",50,"B",60,"B+",70,"A",80,"A+",90,"S",100),_xlfn.SWITCH(#REF!,"F",0,"E",10,"D",20,"D+",30,"C",40,"C+",50,"B",60,"B+",70,"A",80,"A+",90,"S",100)),{0,15,25,35,45,55,65,75,85,95},{"D","D","D+","C","C+","B","B+","A","A+","S"}),"?")</f>
        <v>?</v>
      </c>
    </row>
    <row r="317" spans="1:15">
      <c r="A317" s="5"/>
      <c r="B317" s="5"/>
      <c r="C317" s="13"/>
      <c r="D317" s="13"/>
      <c r="E317" s="13"/>
      <c r="F317" s="13"/>
      <c r="G317" s="13"/>
      <c r="H317" s="7"/>
      <c r="I317" s="7"/>
      <c r="K317" s="24" t="s">
        <v>1206</v>
      </c>
      <c r="L317" s="25" t="s">
        <v>1207</v>
      </c>
      <c r="M317" s="19"/>
      <c r="N317" s="19"/>
      <c r="O317" s="19" t="str">
        <f>IF(AND(ISNUMBER(MATCH(M317,{"F","E","D","D+","C","C+","B","B+","A","A+","S"},0)),ISNUMBER(MATCH(#REF!,{"F","E","D","D+","C","C+","B","B+","A","A+","S"},0)),ISNUMBER(MATCH(N317,{"F","E","D","D+","C","C+","B","B+","A","A+","S"},0)),ISNUMBER(MATCH(#REF!,{"F","E","D","D+","C","C+","B","B+","A","A+","S"},0))),LOOKUP(AVERAGE(_xlfn.SWITCH(M317,"F",0,"E",10,"D",20,"D+",30,"C",40,"C+",50,"B",60,"B+",70,"A",80,"A+",90,"S",100),_xlfn.SWITCH(#REF!,"F",0,"E",10,"D",20,"D+",30,"C",40,"C+",50,"B",60,"B+",70,"A",80,"A+",90,"S",100),_xlfn.SWITCH(N317,"F",0,"E",10,"D",20,"D+",30,"C",40,"C+",50,"B",60,"B+",70,"A",80,"A+",90,"S",100),_xlfn.SWITCH(#REF!,"F",0,"E",10,"D",20,"D+",30,"C",40,"C+",50,"B",60,"B+",70,"A",80,"A+",90,"S",100)),{0,15,25,35,45,55,65,75,85,95},{"D","D","D+","C","C+","B","B+","A","A+","S"}),"?")</f>
        <v>?</v>
      </c>
    </row>
    <row r="318" spans="1:15">
      <c r="A318" s="5"/>
      <c r="B318" s="5"/>
      <c r="C318" s="13"/>
      <c r="D318" s="13"/>
      <c r="E318" s="13"/>
      <c r="F318" s="13"/>
      <c r="G318" s="13"/>
      <c r="H318" s="7"/>
      <c r="I318" s="7"/>
      <c r="K318" s="24" t="s">
        <v>1439</v>
      </c>
      <c r="L318" s="25" t="s">
        <v>1440</v>
      </c>
      <c r="M318" s="19"/>
      <c r="N318" s="19"/>
      <c r="O318" s="19" t="str">
        <f>IF(AND(ISNUMBER(MATCH(M318,{"F","E","D","D+","C","C+","B","B+","A","A+","S"},0)),ISNUMBER(MATCH(#REF!,{"F","E","D","D+","C","C+","B","B+","A","A+","S"},0)),ISNUMBER(MATCH(N318,{"F","E","D","D+","C","C+","B","B+","A","A+","S"},0)),ISNUMBER(MATCH(#REF!,{"F","E","D","D+","C","C+","B","B+","A","A+","S"},0))),LOOKUP(AVERAGE(_xlfn.SWITCH(M318,"F",0,"E",10,"D",20,"D+",30,"C",40,"C+",50,"B",60,"B+",70,"A",80,"A+",90,"S",100),_xlfn.SWITCH(#REF!,"F",0,"E",10,"D",20,"D+",30,"C",40,"C+",50,"B",60,"B+",70,"A",80,"A+",90,"S",100),_xlfn.SWITCH(N318,"F",0,"E",10,"D",20,"D+",30,"C",40,"C+",50,"B",60,"B+",70,"A",80,"A+",90,"S",100),_xlfn.SWITCH(#REF!,"F",0,"E",10,"D",20,"D+",30,"C",40,"C+",50,"B",60,"B+",70,"A",80,"A+",90,"S",100)),{0,15,25,35,45,55,65,75,85,95},{"D","D","D+","C","C+","B","B+","A","A+","S"}),"?")</f>
        <v>?</v>
      </c>
    </row>
    <row r="319" spans="1:15">
      <c r="A319" s="5"/>
      <c r="B319" s="5"/>
      <c r="C319" s="13"/>
      <c r="D319" s="13"/>
      <c r="E319" s="13"/>
      <c r="F319" s="13"/>
      <c r="G319" s="13"/>
      <c r="H319" s="7"/>
      <c r="I319" s="7"/>
      <c r="K319" s="24" t="s">
        <v>1228</v>
      </c>
      <c r="L319" s="25" t="s">
        <v>1229</v>
      </c>
      <c r="M319" s="19"/>
      <c r="N319" s="19"/>
      <c r="O319" s="19" t="str">
        <f>IF(AND(ISNUMBER(MATCH(M319,{"F","E","D","D+","C","C+","B","B+","A","A+","S"},0)),ISNUMBER(MATCH(#REF!,{"F","E","D","D+","C","C+","B","B+","A","A+","S"},0)),ISNUMBER(MATCH(N319,{"F","E","D","D+","C","C+","B","B+","A","A+","S"},0)),ISNUMBER(MATCH(#REF!,{"F","E","D","D+","C","C+","B","B+","A","A+","S"},0))),LOOKUP(AVERAGE(_xlfn.SWITCH(M319,"F",0,"E",10,"D",20,"D+",30,"C",40,"C+",50,"B",60,"B+",70,"A",80,"A+",90,"S",100),_xlfn.SWITCH(#REF!,"F",0,"E",10,"D",20,"D+",30,"C",40,"C+",50,"B",60,"B+",70,"A",80,"A+",90,"S",100),_xlfn.SWITCH(N319,"F",0,"E",10,"D",20,"D+",30,"C",40,"C+",50,"B",60,"B+",70,"A",80,"A+",90,"S",100),_xlfn.SWITCH(#REF!,"F",0,"E",10,"D",20,"D+",30,"C",40,"C+",50,"B",60,"B+",70,"A",80,"A+",90,"S",100)),{0,15,25,35,45,55,65,75,85,95},{"D","D","D+","C","C+","B","B+","A","A+","S"}),"?")</f>
        <v>?</v>
      </c>
    </row>
    <row r="320" spans="1:15">
      <c r="A320" s="5"/>
      <c r="B320" s="5"/>
      <c r="C320" s="13"/>
      <c r="D320" s="13"/>
      <c r="E320" s="13"/>
      <c r="F320" s="13"/>
      <c r="G320" s="13"/>
      <c r="H320" s="7"/>
      <c r="I320" s="7"/>
      <c r="K320" s="24" t="s">
        <v>1441</v>
      </c>
      <c r="L320" s="25" t="s">
        <v>1442</v>
      </c>
      <c r="M320" s="19"/>
      <c r="N320" s="19"/>
      <c r="O320" s="19" t="str">
        <f>IF(AND(ISNUMBER(MATCH(M320,{"F","E","D","D+","C","C+","B","B+","A","A+","S"},0)),ISNUMBER(MATCH(#REF!,{"F","E","D","D+","C","C+","B","B+","A","A+","S"},0)),ISNUMBER(MATCH(N320,{"F","E","D","D+","C","C+","B","B+","A","A+","S"},0)),ISNUMBER(MATCH(#REF!,{"F","E","D","D+","C","C+","B","B+","A","A+","S"},0))),LOOKUP(AVERAGE(_xlfn.SWITCH(M320,"F",0,"E",10,"D",20,"D+",30,"C",40,"C+",50,"B",60,"B+",70,"A",80,"A+",90,"S",100),_xlfn.SWITCH(#REF!,"F",0,"E",10,"D",20,"D+",30,"C",40,"C+",50,"B",60,"B+",70,"A",80,"A+",90,"S",100),_xlfn.SWITCH(N320,"F",0,"E",10,"D",20,"D+",30,"C",40,"C+",50,"B",60,"B+",70,"A",80,"A+",90,"S",100),_xlfn.SWITCH(#REF!,"F",0,"E",10,"D",20,"D+",30,"C",40,"C+",50,"B",60,"B+",70,"A",80,"A+",90,"S",100)),{0,15,25,35,45,55,65,75,85,95},{"D","D","D+","C","C+","B","B+","A","A+","S"}),"?")</f>
        <v>?</v>
      </c>
    </row>
    <row r="321" spans="1:15">
      <c r="A321" s="5"/>
      <c r="B321" s="5"/>
      <c r="C321" s="13"/>
      <c r="D321" s="13"/>
      <c r="E321" s="13"/>
      <c r="F321" s="13"/>
      <c r="G321" s="13"/>
      <c r="H321" s="7"/>
      <c r="I321" s="7"/>
      <c r="K321" s="24" t="s">
        <v>1163</v>
      </c>
      <c r="L321" s="42" t="s">
        <v>1164</v>
      </c>
      <c r="M321" s="19"/>
      <c r="N321" s="19"/>
      <c r="O321" s="19" t="str">
        <f>IF(AND(ISNUMBER(MATCH(M321,{"F","E","D","D+","C","C+","B","B+","A","A+","S"},0)),ISNUMBER(MATCH(#REF!,{"F","E","D","D+","C","C+","B","B+","A","A+","S"},0)),ISNUMBER(MATCH(N321,{"F","E","D","D+","C","C+","B","B+","A","A+","S"},0)),ISNUMBER(MATCH(#REF!,{"F","E","D","D+","C","C+","B","B+","A","A+","S"},0))),LOOKUP(AVERAGE(_xlfn.SWITCH(M321,"F",0,"E",10,"D",20,"D+",30,"C",40,"C+",50,"B",60,"B+",70,"A",80,"A+",90,"S",100),_xlfn.SWITCH(#REF!,"F",0,"E",10,"D",20,"D+",30,"C",40,"C+",50,"B",60,"B+",70,"A",80,"A+",90,"S",100),_xlfn.SWITCH(N321,"F",0,"E",10,"D",20,"D+",30,"C",40,"C+",50,"B",60,"B+",70,"A",80,"A+",90,"S",100),_xlfn.SWITCH(#REF!,"F",0,"E",10,"D",20,"D+",30,"C",40,"C+",50,"B",60,"B+",70,"A",80,"A+",90,"S",100)),{0,15,25,35,45,55,65,75,85,95},{"D","D","D+","C","C+","B","B+","A","A+","S"}),"?")</f>
        <v>?</v>
      </c>
    </row>
    <row r="322" spans="1:15">
      <c r="A322" s="24"/>
      <c r="B322" s="24"/>
      <c r="C322" s="19"/>
      <c r="D322" s="19"/>
      <c r="E322" s="19"/>
      <c r="F322" s="19"/>
      <c r="G322" s="19"/>
      <c r="H322" s="11"/>
      <c r="I322" s="11"/>
      <c r="K322" s="24" t="s">
        <v>1443</v>
      </c>
      <c r="L322" s="25" t="s">
        <v>1444</v>
      </c>
      <c r="M322" s="19"/>
      <c r="N322" s="19"/>
      <c r="O322" s="19" t="str">
        <f>IF(AND(ISNUMBER(MATCH(M322,{"F","E","D","D+","C","C+","B","B+","A","A+","S"},0)),ISNUMBER(MATCH(#REF!,{"F","E","D","D+","C","C+","B","B+","A","A+","S"},0)),ISNUMBER(MATCH(N322,{"F","E","D","D+","C","C+","B","B+","A","A+","S"},0)),ISNUMBER(MATCH(#REF!,{"F","E","D","D+","C","C+","B","B+","A","A+","S"},0))),LOOKUP(AVERAGE(_xlfn.SWITCH(M322,"F",0,"E",10,"D",20,"D+",30,"C",40,"C+",50,"B",60,"B+",70,"A",80,"A+",90,"S",100),_xlfn.SWITCH(#REF!,"F",0,"E",10,"D",20,"D+",30,"C",40,"C+",50,"B",60,"B+",70,"A",80,"A+",90,"S",100),_xlfn.SWITCH(N322,"F",0,"E",10,"D",20,"D+",30,"C",40,"C+",50,"B",60,"B+",70,"A",80,"A+",90,"S",100),_xlfn.SWITCH(#REF!,"F",0,"E",10,"D",20,"D+",30,"C",40,"C+",50,"B",60,"B+",70,"A",80,"A+",90,"S",100)),{0,15,25,35,45,55,65,75,85,95},{"D","D","D+","C","C+","B","B+","A","A+","S"}),"?")</f>
        <v>?</v>
      </c>
    </row>
    <row r="323" spans="1:15">
      <c r="A323" s="24"/>
      <c r="B323" s="24"/>
      <c r="C323" s="19"/>
      <c r="D323" s="19"/>
      <c r="E323" s="19"/>
      <c r="F323" s="19"/>
      <c r="G323" s="19"/>
      <c r="H323" s="11"/>
      <c r="I323" s="11"/>
      <c r="K323" s="208"/>
      <c r="L323" s="24"/>
      <c r="M323" s="40"/>
      <c r="N323" s="40"/>
      <c r="O323" s="40"/>
    </row>
    <row r="324" spans="1:15">
      <c r="A324" s="24"/>
      <c r="B324" s="24"/>
      <c r="C324" s="19"/>
      <c r="D324" s="19"/>
      <c r="E324" s="19"/>
      <c r="F324" s="19"/>
      <c r="G324" s="19"/>
      <c r="H324" s="11"/>
      <c r="I324" s="11"/>
    </row>
  </sheetData>
  <mergeCells count="5">
    <mergeCell ref="A1:I1"/>
    <mergeCell ref="K134:P135"/>
    <mergeCell ref="K227:P228"/>
    <mergeCell ref="K276:P277"/>
    <mergeCell ref="K1:P1"/>
  </mergeCells>
  <phoneticPr fontId="89" type="noConversion"/>
  <dataValidations count="2">
    <dataValidation type="list" allowBlank="1" showInputMessage="1" showErrorMessage="1" sqref="M279:O322 M230:O275 M137:O226 M3:O133 C262:G321" xr:uid="{00000000-0002-0000-2100-000000000000}">
      <formula1>"S,A+,A,B+,B,C+,C,D+,D,?,"</formula1>
    </dataValidation>
    <dataValidation type="list" showInputMessage="1" showErrorMessage="1" sqref="H3:I261" xr:uid="{00000000-0002-0000-2100-000005000000}">
      <formula1>"S,A,B+,B-,C,D,"</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品鉴下半A组和SF">
    <tabColor rgb="FFFFFFFF"/>
  </sheetPr>
  <dimension ref="A1:O278"/>
  <sheetViews>
    <sheetView workbookViewId="0"/>
  </sheetViews>
  <sheetFormatPr baseColWidth="10" defaultColWidth="13.7109375" defaultRowHeight="18" customHeight="1"/>
  <cols>
    <col min="1" max="1" width="12.5703125" style="509" customWidth="1"/>
    <col min="2" max="2" width="46.140625" style="322" customWidth="1"/>
    <col min="3" max="7" width="10.85546875" style="509" customWidth="1"/>
    <col min="8" max="8" width="9.5703125" style="509" customWidth="1"/>
    <col min="9" max="9" width="58.140625" style="509" customWidth="1"/>
    <col min="10" max="10" width="7.7109375" style="483" customWidth="1"/>
    <col min="11" max="11" width="3.140625" style="514" customWidth="1"/>
    <col min="12" max="12" width="7.7109375" style="514" customWidth="1"/>
    <col min="13" max="14" width="7.7109375" style="515" customWidth="1"/>
    <col min="15" max="15" width="17.140625" style="515" customWidth="1"/>
  </cols>
  <sheetData>
    <row r="1" spans="1:15">
      <c r="A1" s="634" t="s">
        <v>4957</v>
      </c>
      <c r="B1" s="627"/>
      <c r="C1" s="627"/>
      <c r="D1" s="627"/>
      <c r="E1" s="627"/>
      <c r="F1" s="627"/>
      <c r="G1" s="627"/>
      <c r="H1" s="635"/>
      <c r="I1" s="627"/>
      <c r="J1" s="439"/>
      <c r="K1" s="440"/>
      <c r="L1" s="440"/>
      <c r="M1" s="440"/>
      <c r="N1" s="440"/>
      <c r="O1" s="440"/>
    </row>
    <row r="2" spans="1:15">
      <c r="A2" s="626" t="s">
        <v>2</v>
      </c>
      <c r="B2" s="627"/>
      <c r="C2" s="627"/>
      <c r="D2" s="627"/>
      <c r="E2" s="627"/>
      <c r="F2" s="627"/>
      <c r="G2" s="627"/>
      <c r="H2" s="628"/>
      <c r="I2" s="627"/>
      <c r="J2" s="439"/>
      <c r="K2" s="441"/>
      <c r="L2" s="440"/>
      <c r="M2" s="440"/>
      <c r="N2" s="440"/>
      <c r="O2" s="440"/>
    </row>
    <row r="3" spans="1:15">
      <c r="A3" s="442" t="s">
        <v>4</v>
      </c>
      <c r="B3" s="443" t="s">
        <v>5</v>
      </c>
      <c r="C3" s="442" t="s">
        <v>3519</v>
      </c>
      <c r="D3" s="442" t="s">
        <v>4958</v>
      </c>
      <c r="E3" s="442" t="s">
        <v>4959</v>
      </c>
      <c r="F3" s="442" t="s">
        <v>4960</v>
      </c>
      <c r="G3" s="442" t="s">
        <v>10</v>
      </c>
      <c r="H3" s="442" t="s">
        <v>4961</v>
      </c>
      <c r="I3" s="442" t="s">
        <v>11</v>
      </c>
      <c r="J3" s="439"/>
      <c r="K3" s="441"/>
      <c r="L3" s="444" t="s">
        <v>4962</v>
      </c>
      <c r="M3" s="444" t="s">
        <v>3519</v>
      </c>
      <c r="N3" s="444" t="s">
        <v>10</v>
      </c>
      <c r="O3" s="440"/>
    </row>
    <row r="4" spans="1:15">
      <c r="A4" s="445" t="s">
        <v>19</v>
      </c>
      <c r="B4" s="446" t="s">
        <v>20</v>
      </c>
      <c r="C4" s="445" t="s">
        <v>1661</v>
      </c>
      <c r="D4" s="445"/>
      <c r="E4" s="445"/>
      <c r="F4" s="445"/>
      <c r="G4" s="445" t="str">
        <f>IF(AND(ISNUMBER(MATCH(D4,{"F","E","D","D+","C","C+","B","B+","A","A+","S"},0)),ISNUMBER(MATCH(E4,{"F","E","D","D+","C","C+","B","B+","A","A+","S"},0)),ISNUMBER(MATCH(F4,{"F","E","D","D+","C","C+","B","B+","A","A+","S"},0))),LOOKUP(AVERAGE(_xlfn.SWITCH(D4,"F",0,"E",10,"D",20,"D+",30,"C",40,"C+",50,"B",60,"B+",70,"A",80,"A+",90,"S",100),_xlfn.SWITCH(E4,"F",0,"E",10,"D",20,"D+",30,"C",40,"C+",50,"B",60,"B+",70,"A",80,"A+",90,"S",100),_xlfn.SWITCH(F4,"F",0,"E",10,"D",20,"D+",30,"C",40,"C+",50,"B",60,"B+",70,"A",80,"A+",90,"S",100)),{0,15,25,35,45,55,65,75,85,95},{"D","D","D+","C","C+","B","B+","A","A+","S"}),"?")</f>
        <v>?</v>
      </c>
      <c r="H4" s="447" t="str">
        <f>IF(AND(ISNUMBER(MATCH(C4,{"F","E","D","D+","C","C+","B","B+","A","A+","S"},0)),ISNUMBER(MATCH(D4,{"F","E","D","D+","C","C+","B","B+","A","A+","S"},0)),ISNUMBER(MATCH(E4,{"F","E","D","D+","C","C+","B","B+","A","A+","S"},0)),ISNUMBER(MATCH(F4,{"F","E","D","D+","C","C+","B","B+","A","A+","S"},0))),_xlfn.SWITCH(C4,"F",0,"E",1,"D",2,"D+",3,"C",4,"C+",5,"B",6,"B+",7,"A",8,"A+",9,"S",10)*0.1+_xlfn.SWITCH(D4,"F",0,"E",1,"D",2,"D+",3,"C",4,"C+",5,"B",6,"B+",7,"A",8,"A+",9,"S",10)*0.4+_xlfn.SWITCH(E4,"F",0,"E",1,"D",2,"D+",3,"C",4,"C+",5,"B",6,"B+",7,"A",8,"A+",9,"S",10)*0.3+_xlfn.SWITCH(F4,"F",0,"E",1,"D",2,"D+",3,"C",4,"C+",5,"B",6,"B+",7,"A",8,"A+",9,"S",10)*0.2,"")</f>
        <v/>
      </c>
      <c r="I4" s="448" t="s">
        <v>4409</v>
      </c>
      <c r="J4" s="439"/>
      <c r="K4" s="441"/>
      <c r="L4" s="449" t="s">
        <v>17</v>
      </c>
      <c r="M4" s="449">
        <f>COUNTIF(C$4:C$134,$L4)</f>
        <v>6</v>
      </c>
      <c r="N4" s="449">
        <f>COUNTIF(G$4:G$134,$L4)</f>
        <v>2</v>
      </c>
      <c r="O4" s="440"/>
    </row>
    <row r="5" spans="1:15">
      <c r="A5" s="445" t="s">
        <v>29</v>
      </c>
      <c r="B5" s="450" t="s">
        <v>30</v>
      </c>
      <c r="C5" s="445" t="s">
        <v>18</v>
      </c>
      <c r="D5" s="445" t="s">
        <v>21</v>
      </c>
      <c r="E5" s="445" t="s">
        <v>18</v>
      </c>
      <c r="F5" s="445" t="s">
        <v>18</v>
      </c>
      <c r="G5" s="445" t="str">
        <f>IF(AND(ISNUMBER(MATCH(D5,{"F","E","D","D+","C","C+","B","B+","A","A+","S"},0)),ISNUMBER(MATCH(E5,{"F","E","D","D+","C","C+","B","B+","A","A+","S"},0)),ISNUMBER(MATCH(F5,{"F","E","D","D+","C","C+","B","B+","A","A+","S"},0))),LOOKUP(AVERAGE(_xlfn.SWITCH(D5,"F",0,"E",10,"D",20,"D+",30,"C",40,"C+",50,"B",60,"B+",70,"A",80,"A+",90,"S",100),_xlfn.SWITCH(E5,"F",0,"E",10,"D",20,"D+",30,"C",40,"C+",50,"B",60,"B+",70,"A",80,"A+",90,"S",100),_xlfn.SWITCH(F5,"F",0,"E",10,"D",20,"D+",30,"C",40,"C+",50,"B",60,"B+",70,"A",80,"A+",90,"S",100)),{0,15,25,35,45,55,65,75,85,95},{"D","D","D+","C","C+","B","B+","A","A+","S"}),"?")</f>
        <v>B+</v>
      </c>
      <c r="H5" s="447">
        <f>IF(AND(ISNUMBER(MATCH(C5,{"F","E","D","D+","C","C+","B","B+","A","A+","S"},0)),ISNUMBER(MATCH(D5,{"F","E","D","D+","C","C+","B","B+","A","A+","S"},0)),ISNUMBER(MATCH(E5,{"F","E","D","D+","C","C+","B","B+","A","A+","S"},0)),ISNUMBER(MATCH(F5,{"F","E","D","D+","C","C+","B","B+","A","A+","S"},0))),_xlfn.SWITCH(C5,"F",0,"E",1,"D",2,"D+",3,"C",4,"C+",5,"B",6,"B+",7,"A",8,"A+",9,"S",10)*0.1+_xlfn.SWITCH(D5,"F",0,"E",1,"D",2,"D+",3,"C",4,"C+",5,"B",6,"B+",7,"A",8,"A+",9,"S",10)*0.4+_xlfn.SWITCH(E5,"F",0,"E",1,"D",2,"D+",3,"C",4,"C+",5,"B",6,"B+",7,"A",8,"A+",9,"S",10)*0.3+_xlfn.SWITCH(F5,"F",0,"E",1,"D",2,"D+",3,"C",4,"C+",5,"B",6,"B+",7,"A",8,"A+",9,"S",10)*0.2,"")</f>
        <v>6.8</v>
      </c>
      <c r="I5" s="448" t="s">
        <v>4963</v>
      </c>
      <c r="J5" s="439"/>
      <c r="K5" s="441"/>
      <c r="L5" s="444" t="s">
        <v>28</v>
      </c>
      <c r="M5" s="444">
        <f>COUNTIF(C$4:C$134,$L5)</f>
        <v>4</v>
      </c>
      <c r="N5" s="444">
        <f>COUNTIF(G$4:G$134,$L5)</f>
        <v>5</v>
      </c>
      <c r="O5" s="440"/>
    </row>
    <row r="6" spans="1:15">
      <c r="A6" s="445" t="s">
        <v>36</v>
      </c>
      <c r="B6" s="446" t="s">
        <v>37</v>
      </c>
      <c r="C6" s="445" t="s">
        <v>1574</v>
      </c>
      <c r="D6" s="445"/>
      <c r="E6" s="445"/>
      <c r="F6" s="445"/>
      <c r="G6" s="445" t="str">
        <f>IF(AND(ISNUMBER(MATCH(D6,{"F","E","D","D+","C","C+","B","B+","A","A+","S"},0)),ISNUMBER(MATCH(E6,{"F","E","D","D+","C","C+","B","B+","A","A+","S"},0)),ISNUMBER(MATCH(F6,{"F","E","D","D+","C","C+","B","B+","A","A+","S"},0))),LOOKUP(AVERAGE(_xlfn.SWITCH(D6,"F",0,"E",10,"D",20,"D+",30,"C",40,"C+",50,"B",60,"B+",70,"A",80,"A+",90,"S",100),_xlfn.SWITCH(E6,"F",0,"E",10,"D",20,"D+",30,"C",40,"C+",50,"B",60,"B+",70,"A",80,"A+",90,"S",100),_xlfn.SWITCH(F6,"F",0,"E",10,"D",20,"D+",30,"C",40,"C+",50,"B",60,"B+",70,"A",80,"A+",90,"S",100)),{0,15,25,35,45,55,65,75,85,95},{"D","D","D+","C","C+","B","B+","A","A+","S"}),"?")</f>
        <v>?</v>
      </c>
      <c r="H6" s="447" t="str">
        <f>IF(AND(ISNUMBER(MATCH(C6,{"F","E","D","D+","C","C+","B","B+","A","A+","S"},0)),ISNUMBER(MATCH(D6,{"F","E","D","D+","C","C+","B","B+","A","A+","S"},0)),ISNUMBER(MATCH(E6,{"F","E","D","D+","C","C+","B","B+","A","A+","S"},0)),ISNUMBER(MATCH(F6,{"F","E","D","D+","C","C+","B","B+","A","A+","S"},0))),_xlfn.SWITCH(C6,"F",0,"E",1,"D",2,"D+",3,"C",4,"C+",5,"B",6,"B+",7,"A",8,"A+",9,"S",10)*0.1+_xlfn.SWITCH(D6,"F",0,"E",1,"D",2,"D+",3,"C",4,"C+",5,"B",6,"B+",7,"A",8,"A+",9,"S",10)*0.4+_xlfn.SWITCH(E6,"F",0,"E",1,"D",2,"D+",3,"C",4,"C+",5,"B",6,"B+",7,"A",8,"A+",9,"S",10)*0.3+_xlfn.SWITCH(F6,"F",0,"E",1,"D",2,"D+",3,"C",4,"C+",5,"B",6,"B+",7,"A",8,"A+",9,"S",10)*0.2,"")</f>
        <v/>
      </c>
      <c r="I6" s="448" t="s">
        <v>4964</v>
      </c>
      <c r="J6" s="439"/>
      <c r="K6" s="441"/>
      <c r="L6" s="444" t="s">
        <v>21</v>
      </c>
      <c r="M6" s="444">
        <f>COUNTIF(C$4:C$134,$L6)</f>
        <v>13</v>
      </c>
      <c r="N6" s="444">
        <f>COUNTIF(G$4:G$134,$L6)</f>
        <v>11</v>
      </c>
      <c r="O6" s="440"/>
    </row>
    <row r="7" spans="1:15">
      <c r="A7" s="445" t="s">
        <v>43</v>
      </c>
      <c r="B7" s="446" t="s">
        <v>44</v>
      </c>
      <c r="C7" s="445" t="s">
        <v>1562</v>
      </c>
      <c r="D7" s="445"/>
      <c r="E7" s="445"/>
      <c r="F7" s="445"/>
      <c r="G7" s="445" t="str">
        <f>IF(AND(ISNUMBER(MATCH(D7,{"F","E","D","D+","C","C+","B","B+","A","A+","S"},0)),ISNUMBER(MATCH(E7,{"F","E","D","D+","C","C+","B","B+","A","A+","S"},0)),ISNUMBER(MATCH(F7,{"F","E","D","D+","C","C+","B","B+","A","A+","S"},0))),LOOKUP(AVERAGE(_xlfn.SWITCH(D7,"F",0,"E",10,"D",20,"D+",30,"C",40,"C+",50,"B",60,"B+",70,"A",80,"A+",90,"S",100),_xlfn.SWITCH(E7,"F",0,"E",10,"D",20,"D+",30,"C",40,"C+",50,"B",60,"B+",70,"A",80,"A+",90,"S",100),_xlfn.SWITCH(F7,"F",0,"E",10,"D",20,"D+",30,"C",40,"C+",50,"B",60,"B+",70,"A",80,"A+",90,"S",100)),{0,15,25,35,45,55,65,75,85,95},{"D","D","D+","C","C+","B","B+","A","A+","S"}),"?")</f>
        <v>?</v>
      </c>
      <c r="H7" s="447" t="str">
        <f>IF(AND(ISNUMBER(MATCH(C7,{"F","E","D","D+","C","C+","B","B+","A","A+","S"},0)),ISNUMBER(MATCH(D7,{"F","E","D","D+","C","C+","B","B+","A","A+","S"},0)),ISNUMBER(MATCH(E7,{"F","E","D","D+","C","C+","B","B+","A","A+","S"},0)),ISNUMBER(MATCH(F7,{"F","E","D","D+","C","C+","B","B+","A","A+","S"},0))),_xlfn.SWITCH(C7,"F",0,"E",1,"D",2,"D+",3,"C",4,"C+",5,"B",6,"B+",7,"A",8,"A+",9,"S",10)*0.1+_xlfn.SWITCH(D7,"F",0,"E",1,"D",2,"D+",3,"C",4,"C+",5,"B",6,"B+",7,"A",8,"A+",9,"S",10)*0.4+_xlfn.SWITCH(E7,"F",0,"E",1,"D",2,"D+",3,"C",4,"C+",5,"B",6,"B+",7,"A",8,"A+",9,"S",10)*0.3+_xlfn.SWITCH(F7,"F",0,"E",1,"D",2,"D+",3,"C",4,"C+",5,"B",6,"B+",7,"A",8,"A+",9,"S",10)*0.2,"")</f>
        <v/>
      </c>
      <c r="I7" s="448"/>
      <c r="J7" s="439"/>
      <c r="K7" s="441"/>
      <c r="L7" s="444" t="s">
        <v>1567</v>
      </c>
      <c r="M7" s="444">
        <f>COUNTIF(C$4:C$134,$L7)</f>
        <v>19</v>
      </c>
      <c r="N7" s="444">
        <f>COUNTIF(G$4:G$134,$L7)</f>
        <v>14</v>
      </c>
      <c r="O7" s="440"/>
    </row>
    <row r="8" spans="1:15">
      <c r="A8" s="445" t="s">
        <v>50</v>
      </c>
      <c r="B8" s="450" t="s">
        <v>51</v>
      </c>
      <c r="C8" s="445" t="s">
        <v>1567</v>
      </c>
      <c r="D8" s="445" t="s">
        <v>21</v>
      </c>
      <c r="E8" s="445" t="s">
        <v>21</v>
      </c>
      <c r="F8" s="445" t="s">
        <v>1567</v>
      </c>
      <c r="G8" s="445" t="str">
        <f>IF(AND(ISNUMBER(MATCH(D8,{"F","E","D","D+","C","C+","B","B+","A","A+","S"},0)),ISNUMBER(MATCH(E8,{"F","E","D","D+","C","C+","B","B+","A","A+","S"},0)),ISNUMBER(MATCH(F8,{"F","E","D","D+","C","C+","B","B+","A","A+","S"},0))),LOOKUP(AVERAGE(_xlfn.SWITCH(D8,"F",0,"E",10,"D",20,"D+",30,"C",40,"C+",50,"B",60,"B+",70,"A",80,"A+",90,"S",100),_xlfn.SWITCH(E8,"F",0,"E",10,"D",20,"D+",30,"C",40,"C+",50,"B",60,"B+",70,"A",80,"A+",90,"S",100),_xlfn.SWITCH(F8,"F",0,"E",10,"D",20,"D+",30,"C",40,"C+",50,"B",60,"B+",70,"A",80,"A+",90,"S",100)),{0,15,25,35,45,55,65,75,85,95},{"D","D","D+","C","C+","B","B+","A","A+","S"}),"?")</f>
        <v>A</v>
      </c>
      <c r="H8" s="447">
        <f>IF(AND(ISNUMBER(MATCH(C8,{"F","E","D","D+","C","C+","B","B+","A","A+","S"},0)),ISNUMBER(MATCH(D8,{"F","E","D","D+","C","C+","B","B+","A","A+","S"},0)),ISNUMBER(MATCH(E8,{"F","E","D","D+","C","C+","B","B+","A","A+","S"},0)),ISNUMBER(MATCH(F8,{"F","E","D","D+","C","C+","B","B+","A","A+","S"},0))),_xlfn.SWITCH(C8,"F",0,"E",1,"D",2,"D+",3,"C",4,"C+",5,"B",6,"B+",7,"A",8,"A+",9,"S",10)*0.1+_xlfn.SWITCH(D8,"F",0,"E",1,"D",2,"D+",3,"C",4,"C+",5,"B",6,"B+",7,"A",8,"A+",9,"S",10)*0.4+_xlfn.SWITCH(E8,"F",0,"E",1,"D",2,"D+",3,"C",4,"C+",5,"B",6,"B+",7,"A",8,"A+",9,"S",10)*0.3+_xlfn.SWITCH(F8,"F",0,"E",1,"D",2,"D+",3,"C",4,"C+",5,"B",6,"B+",7,"A",8,"A+",9,"S",10)*0.2,"")</f>
        <v>7.7000000000000011</v>
      </c>
      <c r="I8" s="448" t="s">
        <v>4965</v>
      </c>
      <c r="J8" s="439"/>
      <c r="K8" s="441"/>
      <c r="L8" s="444" t="s">
        <v>18</v>
      </c>
      <c r="M8" s="444">
        <f>COUNTIF(C$4:C$134,$L8)</f>
        <v>33</v>
      </c>
      <c r="N8" s="444">
        <f>COUNTIF(G$4:G$134,$L8)</f>
        <v>27</v>
      </c>
      <c r="O8" s="440"/>
    </row>
    <row r="9" spans="1:15">
      <c r="A9" s="445" t="s">
        <v>57</v>
      </c>
      <c r="B9" s="446" t="s">
        <v>58</v>
      </c>
      <c r="C9" s="445" t="s">
        <v>1562</v>
      </c>
      <c r="D9" s="445"/>
      <c r="E9" s="445"/>
      <c r="F9" s="445"/>
      <c r="G9" s="445" t="str">
        <f>IF(AND(ISNUMBER(MATCH(D9,{"F","E","D","D+","C","C+","B","B+","A","A+","S"},0)),ISNUMBER(MATCH(E9,{"F","E","D","D+","C","C+","B","B+","A","A+","S"},0)),ISNUMBER(MATCH(F9,{"F","E","D","D+","C","C+","B","B+","A","A+","S"},0))),LOOKUP(AVERAGE(_xlfn.SWITCH(D9,"F",0,"E",10,"D",20,"D+",30,"C",40,"C+",50,"B",60,"B+",70,"A",80,"A+",90,"S",100),_xlfn.SWITCH(E9,"F",0,"E",10,"D",20,"D+",30,"C",40,"C+",50,"B",60,"B+",70,"A",80,"A+",90,"S",100),_xlfn.SWITCH(F9,"F",0,"E",10,"D",20,"D+",30,"C",40,"C+",50,"B",60,"B+",70,"A",80,"A+",90,"S",100)),{0,15,25,35,45,55,65,75,85,95},{"D","D","D+","C","C+","B","B+","A","A+","S"}),"?")</f>
        <v>?</v>
      </c>
      <c r="H9" s="447" t="str">
        <f>IF(AND(ISNUMBER(MATCH(C9,{"F","E","D","D+","C","C+","B","B+","A","A+","S"},0)),ISNUMBER(MATCH(D9,{"F","E","D","D+","C","C+","B","B+","A","A+","S"},0)),ISNUMBER(MATCH(E9,{"F","E","D","D+","C","C+","B","B+","A","A+","S"},0)),ISNUMBER(MATCH(F9,{"F","E","D","D+","C","C+","B","B+","A","A+","S"},0))),_xlfn.SWITCH(C9,"F",0,"E",1,"D",2,"D+",3,"C",4,"C+",5,"B",6,"B+",7,"A",8,"A+",9,"S",10)*0.1+_xlfn.SWITCH(D9,"F",0,"E",1,"D",2,"D+",3,"C",4,"C+",5,"B",6,"B+",7,"A",8,"A+",9,"S",10)*0.4+_xlfn.SWITCH(E9,"F",0,"E",1,"D",2,"D+",3,"C",4,"C+",5,"B",6,"B+",7,"A",8,"A+",9,"S",10)*0.3+_xlfn.SWITCH(F9,"F",0,"E",1,"D",2,"D+",3,"C",4,"C+",5,"B",6,"B+",7,"A",8,"A+",9,"S",10)*0.2,"")</f>
        <v/>
      </c>
      <c r="I9" s="448" t="s">
        <v>4966</v>
      </c>
      <c r="J9" s="439"/>
      <c r="K9" s="441"/>
      <c r="L9" s="440"/>
      <c r="M9" s="440">
        <f>SUM(M4:M8)</f>
        <v>75</v>
      </c>
      <c r="N9" s="440">
        <f>SUM(N4:N8)</f>
        <v>59</v>
      </c>
      <c r="O9" s="440"/>
    </row>
    <row r="10" spans="1:15">
      <c r="A10" s="445" t="s">
        <v>64</v>
      </c>
      <c r="B10" s="451" t="s">
        <v>65</v>
      </c>
      <c r="C10" s="445" t="s">
        <v>17</v>
      </c>
      <c r="D10" s="445" t="s">
        <v>17</v>
      </c>
      <c r="E10" s="445" t="s">
        <v>17</v>
      </c>
      <c r="F10" s="445" t="s">
        <v>21</v>
      </c>
      <c r="G10" s="445" t="str">
        <f>IF(AND(ISNUMBER(MATCH(D10,{"F","E","D","D+","C","C+","B","B+","A","A+","S"},0)),ISNUMBER(MATCH(E10,{"F","E","D","D+","C","C+","B","B+","A","A+","S"},0)),ISNUMBER(MATCH(F10,{"F","E","D","D+","C","C+","B","B+","A","A+","S"},0))),LOOKUP(AVERAGE(_xlfn.SWITCH(D10,"F",0,"E",10,"D",20,"D+",30,"C",40,"C+",50,"B",60,"B+",70,"A",80,"A+",90,"S",100),_xlfn.SWITCH(E10,"F",0,"E",10,"D",20,"D+",30,"C",40,"C+",50,"B",60,"B+",70,"A",80,"A+",90,"S",100),_xlfn.SWITCH(F10,"F",0,"E",10,"D",20,"D+",30,"C",40,"C+",50,"B",60,"B+",70,"A",80,"A+",90,"S",100)),{0,15,25,35,45,55,65,75,85,95},{"D","D","D+","C","C+","B","B+","A","A+","S"}),"?")</f>
        <v>A+</v>
      </c>
      <c r="H10" s="447">
        <f>IF(AND(ISNUMBER(MATCH(C10,{"F","E","D","D+","C","C+","B","B+","A","A+","S"},0)),ISNUMBER(MATCH(D10,{"F","E","D","D+","C","C+","B","B+","A","A+","S"},0)),ISNUMBER(MATCH(E10,{"F","E","D","D+","C","C+","B","B+","A","A+","S"},0)),ISNUMBER(MATCH(F10,{"F","E","D","D+","C","C+","B","B+","A","A+","S"},0))),_xlfn.SWITCH(C10,"F",0,"E",1,"D",2,"D+",3,"C",4,"C+",5,"B",6,"B+",7,"A",8,"A+",9,"S",10)*0.1+_xlfn.SWITCH(D10,"F",0,"E",1,"D",2,"D+",3,"C",4,"C+",5,"B",6,"B+",7,"A",8,"A+",9,"S",10)*0.4+_xlfn.SWITCH(E10,"F",0,"E",1,"D",2,"D+",3,"C",4,"C+",5,"B",6,"B+",7,"A",8,"A+",9,"S",10)*0.3+_xlfn.SWITCH(F10,"F",0,"E",1,"D",2,"D+",3,"C",4,"C+",5,"B",6,"B+",7,"A",8,"A+",9,"S",10)*0.2,"")</f>
        <v>9.6</v>
      </c>
      <c r="I10" s="448" t="s">
        <v>4967</v>
      </c>
      <c r="J10" s="439"/>
      <c r="K10" s="441"/>
      <c r="O10" s="440"/>
    </row>
    <row r="11" spans="1:15">
      <c r="A11" s="445" t="s">
        <v>69</v>
      </c>
      <c r="B11" s="446" t="s">
        <v>70</v>
      </c>
      <c r="C11" s="445" t="s">
        <v>1562</v>
      </c>
      <c r="D11" s="445"/>
      <c r="E11" s="445"/>
      <c r="F11" s="445"/>
      <c r="G11" s="445" t="str">
        <f>IF(AND(ISNUMBER(MATCH(D11,{"F","E","D","D+","C","C+","B","B+","A","A+","S"},0)),ISNUMBER(MATCH(E11,{"F","E","D","D+","C","C+","B","B+","A","A+","S"},0)),ISNUMBER(MATCH(F11,{"F","E","D","D+","C","C+","B","B+","A","A+","S"},0))),LOOKUP(AVERAGE(_xlfn.SWITCH(D11,"F",0,"E",10,"D",20,"D+",30,"C",40,"C+",50,"B",60,"B+",70,"A",80,"A+",90,"S",100),_xlfn.SWITCH(E11,"F",0,"E",10,"D",20,"D+",30,"C",40,"C+",50,"B",60,"B+",70,"A",80,"A+",90,"S",100),_xlfn.SWITCH(F11,"F",0,"E",10,"D",20,"D+",30,"C",40,"C+",50,"B",60,"B+",70,"A",80,"A+",90,"S",100)),{0,15,25,35,45,55,65,75,85,95},{"D","D","D+","C","C+","B","B+","A","A+","S"}),"?")</f>
        <v>?</v>
      </c>
      <c r="H11" s="447" t="str">
        <f>IF(AND(ISNUMBER(MATCH(C11,{"F","E","D","D+","C","C+","B","B+","A","A+","S"},0)),ISNUMBER(MATCH(D11,{"F","E","D","D+","C","C+","B","B+","A","A+","S"},0)),ISNUMBER(MATCH(E11,{"F","E","D","D+","C","C+","B","B+","A","A+","S"},0)),ISNUMBER(MATCH(F11,{"F","E","D","D+","C","C+","B","B+","A","A+","S"},0))),_xlfn.SWITCH(C11,"F",0,"E",1,"D",2,"D+",3,"C",4,"C+",5,"B",6,"B+",7,"A",8,"A+",9,"S",10)*0.1+_xlfn.SWITCH(D11,"F",0,"E",1,"D",2,"D+",3,"C",4,"C+",5,"B",6,"B+",7,"A",8,"A+",9,"S",10)*0.4+_xlfn.SWITCH(E11,"F",0,"E",1,"D",2,"D+",3,"C",4,"C+",5,"B",6,"B+",7,"A",8,"A+",9,"S",10)*0.3+_xlfn.SWITCH(F11,"F",0,"E",1,"D",2,"D+",3,"C",4,"C+",5,"B",6,"B+",7,"A",8,"A+",9,"S",10)*0.2,"")</f>
        <v/>
      </c>
      <c r="I11" s="448"/>
      <c r="J11" s="439"/>
      <c r="K11" s="441"/>
      <c r="L11" s="452" t="s">
        <v>1559</v>
      </c>
      <c r="M11" s="444">
        <v>7</v>
      </c>
      <c r="N11" s="440"/>
      <c r="O11" s="440"/>
    </row>
    <row r="12" spans="1:15">
      <c r="A12" s="445" t="s">
        <v>76</v>
      </c>
      <c r="B12" s="446" t="s">
        <v>77</v>
      </c>
      <c r="C12" s="445" t="s">
        <v>1562</v>
      </c>
      <c r="D12" s="453"/>
      <c r="E12" s="445"/>
      <c r="F12" s="445"/>
      <c r="G12" s="445" t="str">
        <f>IF(AND(ISNUMBER(MATCH(D12,{"F","E","D","D+","C","C+","B","B+","A","A+","S"},0)),ISNUMBER(MATCH(E12,{"F","E","D","D+","C","C+","B","B+","A","A+","S"},0)),ISNUMBER(MATCH(F12,{"F","E","D","D+","C","C+","B","B+","A","A+","S"},0))),LOOKUP(AVERAGE(_xlfn.SWITCH(D12,"F",0,"E",10,"D",20,"D+",30,"C",40,"C+",50,"B",60,"B+",70,"A",80,"A+",90,"S",100),_xlfn.SWITCH(E12,"F",0,"E",10,"D",20,"D+",30,"C",40,"C+",50,"B",60,"B+",70,"A",80,"A+",90,"S",100),_xlfn.SWITCH(F12,"F",0,"E",10,"D",20,"D+",30,"C",40,"C+",50,"B",60,"B+",70,"A",80,"A+",90,"S",100)),{0,15,25,35,45,55,65,75,85,95},{"D","D","D+","C","C+","B","B+","A","A+","S"}),"?")</f>
        <v>?</v>
      </c>
      <c r="H12" s="447" t="str">
        <f>IF(AND(ISNUMBER(MATCH(C12,{"F","E","D","D+","C","C+","B","B+","A","A+","S"},0)),ISNUMBER(MATCH(D12,{"F","E","D","D+","C","C+","B","B+","A","A+","S"},0)),ISNUMBER(MATCH(E12,{"F","E","D","D+","C","C+","B","B+","A","A+","S"},0)),ISNUMBER(MATCH(F12,{"F","E","D","D+","C","C+","B","B+","A","A+","S"},0))),_xlfn.SWITCH(C12,"F",0,"E",1,"D",2,"D+",3,"C",4,"C+",5,"B",6,"B+",7,"A",8,"A+",9,"S",10)*0.1+_xlfn.SWITCH(D12,"F",0,"E",1,"D",2,"D+",3,"C",4,"C+",5,"B",6,"B+",7,"A",8,"A+",9,"S",10)*0.4+_xlfn.SWITCH(E12,"F",0,"E",1,"D",2,"D+",3,"C",4,"C+",5,"B",6,"B+",7,"A",8,"A+",9,"S",10)*0.3+_xlfn.SWITCH(F12,"F",0,"E",1,"D",2,"D+",3,"C",4,"C+",5,"B",6,"B+",7,"A",8,"A+",9,"S",10)*0.2,"")</f>
        <v/>
      </c>
      <c r="I12" s="448"/>
      <c r="J12" s="439"/>
      <c r="K12" s="441"/>
      <c r="L12" s="454" t="s">
        <v>1558</v>
      </c>
      <c r="M12" s="455">
        <v>40</v>
      </c>
      <c r="N12" s="456"/>
      <c r="O12" s="440"/>
    </row>
    <row r="13" spans="1:15">
      <c r="A13" s="445" t="s">
        <v>83</v>
      </c>
      <c r="B13" s="450" t="s">
        <v>84</v>
      </c>
      <c r="C13" s="445" t="s">
        <v>1567</v>
      </c>
      <c r="D13" s="445" t="s">
        <v>18</v>
      </c>
      <c r="E13" s="445" t="s">
        <v>18</v>
      </c>
      <c r="F13" s="445" t="s">
        <v>18</v>
      </c>
      <c r="G13" s="445" t="str">
        <f>IF(AND(ISNUMBER(MATCH(D13,{"F","E","D","D+","C","C+","B","B+","A","A+","S"},0)),ISNUMBER(MATCH(E13,{"F","E","D","D+","C","C+","B","B+","A","A+","S"},0)),ISNUMBER(MATCH(F13,{"F","E","D","D+","C","C+","B","B+","A","A+","S"},0))),LOOKUP(AVERAGE(_xlfn.SWITCH(D13,"F",0,"E",10,"D",20,"D+",30,"C",40,"C+",50,"B",60,"B+",70,"A",80,"A+",90,"S",100),_xlfn.SWITCH(E13,"F",0,"E",10,"D",20,"D+",30,"C",40,"C+",50,"B",60,"B+",70,"A",80,"A+",90,"S",100),_xlfn.SWITCH(F13,"F",0,"E",10,"D",20,"D+",30,"C",40,"C+",50,"B",60,"B+",70,"A",80,"A+",90,"S",100)),{0,15,25,35,45,55,65,75,85,95},{"D","D","D+","C","C+","B","B+","A","A+","S"}),"?")</f>
        <v>B</v>
      </c>
      <c r="H13" s="447">
        <f>IF(AND(ISNUMBER(MATCH(C13,{"F","E","D","D+","C","C+","B","B+","A","A+","S"},0)),ISNUMBER(MATCH(D13,{"F","E","D","D+","C","C+","B","B+","A","A+","S"},0)),ISNUMBER(MATCH(E13,{"F","E","D","D+","C","C+","B","B+","A","A+","S"},0)),ISNUMBER(MATCH(F13,{"F","E","D","D+","C","C+","B","B+","A","A+","S"},0))),_xlfn.SWITCH(C13,"F",0,"E",1,"D",2,"D+",3,"C",4,"C+",5,"B",6,"B+",7,"A",8,"A+",9,"S",10)*0.1+_xlfn.SWITCH(D13,"F",0,"E",1,"D",2,"D+",3,"C",4,"C+",5,"B",6,"B+",7,"A",8,"A+",9,"S",10)*0.4+_xlfn.SWITCH(E13,"F",0,"E",1,"D",2,"D+",3,"C",4,"C+",5,"B",6,"B+",7,"A",8,"A+",9,"S",10)*0.3+_xlfn.SWITCH(F13,"F",0,"E",1,"D",2,"D+",3,"C",4,"C+",5,"B",6,"B+",7,"A",8,"A+",9,"S",10)*0.2,"")</f>
        <v>6.1000000000000005</v>
      </c>
      <c r="I13" s="448" t="s">
        <v>4968</v>
      </c>
      <c r="J13" s="439"/>
      <c r="K13" s="441"/>
      <c r="L13" s="457"/>
      <c r="M13" s="457"/>
      <c r="N13" s="456"/>
      <c r="O13" s="440"/>
    </row>
    <row r="14" spans="1:15">
      <c r="A14" s="445" t="s">
        <v>90</v>
      </c>
      <c r="B14" s="446" t="s">
        <v>91</v>
      </c>
      <c r="C14" s="445" t="s">
        <v>1562</v>
      </c>
      <c r="D14" s="445"/>
      <c r="E14" s="445"/>
      <c r="F14" s="445"/>
      <c r="G14" s="445" t="str">
        <f>IF(AND(ISNUMBER(MATCH(D14,{"F","E","D","D+","C","C+","B","B+","A","A+","S"},0)),ISNUMBER(MATCH(E14,{"F","E","D","D+","C","C+","B","B+","A","A+","S"},0)),ISNUMBER(MATCH(F14,{"F","E","D","D+","C","C+","B","B+","A","A+","S"},0))),LOOKUP(AVERAGE(_xlfn.SWITCH(D14,"F",0,"E",10,"D",20,"D+",30,"C",40,"C+",50,"B",60,"B+",70,"A",80,"A+",90,"S",100),_xlfn.SWITCH(E14,"F",0,"E",10,"D",20,"D+",30,"C",40,"C+",50,"B",60,"B+",70,"A",80,"A+",90,"S",100),_xlfn.SWITCH(F14,"F",0,"E",10,"D",20,"D+",30,"C",40,"C+",50,"B",60,"B+",70,"A",80,"A+",90,"S",100)),{0,15,25,35,45,55,65,75,85,95},{"D","D","D+","C","C+","B","B+","A","A+","S"}),"?")</f>
        <v>?</v>
      </c>
      <c r="H14" s="447" t="str">
        <f>IF(AND(ISNUMBER(MATCH(C14,{"F","E","D","D+","C","C+","B","B+","A","A+","S"},0)),ISNUMBER(MATCH(D14,{"F","E","D","D+","C","C+","B","B+","A","A+","S"},0)),ISNUMBER(MATCH(E14,{"F","E","D","D+","C","C+","B","B+","A","A+","S"},0)),ISNUMBER(MATCH(F14,{"F","E","D","D+","C","C+","B","B+","A","A+","S"},0))),_xlfn.SWITCH(C14,"F",0,"E",1,"D",2,"D+",3,"C",4,"C+",5,"B",6,"B+",7,"A",8,"A+",9,"S",10)*0.1+_xlfn.SWITCH(D14,"F",0,"E",1,"D",2,"D+",3,"C",4,"C+",5,"B",6,"B+",7,"A",8,"A+",9,"S",10)*0.4+_xlfn.SWITCH(E14,"F",0,"E",1,"D",2,"D+",3,"C",4,"C+",5,"B",6,"B+",7,"A",8,"A+",9,"S",10)*0.3+_xlfn.SWITCH(F14,"F",0,"E",1,"D",2,"D+",3,"C",4,"C+",5,"B",6,"B+",7,"A",8,"A+",9,"S",10)*0.2,"")</f>
        <v/>
      </c>
      <c r="I14" s="448" t="s">
        <v>4969</v>
      </c>
      <c r="J14" s="439"/>
      <c r="K14" s="441"/>
      <c r="L14" s="456" t="s">
        <v>4958</v>
      </c>
      <c r="M14" s="458" t="s">
        <v>4970</v>
      </c>
      <c r="N14" s="456"/>
      <c r="O14" s="440"/>
    </row>
    <row r="15" spans="1:15">
      <c r="A15" s="445" t="s">
        <v>97</v>
      </c>
      <c r="B15" s="446" t="s">
        <v>98</v>
      </c>
      <c r="C15" s="445" t="s">
        <v>1574</v>
      </c>
      <c r="D15" s="445"/>
      <c r="E15" s="445"/>
      <c r="F15" s="445"/>
      <c r="G15" s="445" t="str">
        <f>IF(AND(ISNUMBER(MATCH(D15,{"F","E","D","D+","C","C+","B","B+","A","A+","S"},0)),ISNUMBER(MATCH(E15,{"F","E","D","D+","C","C+","B","B+","A","A+","S"},0)),ISNUMBER(MATCH(F15,{"F","E","D","D+","C","C+","B","B+","A","A+","S"},0))),LOOKUP(AVERAGE(_xlfn.SWITCH(D15,"F",0,"E",10,"D",20,"D+",30,"C",40,"C+",50,"B",60,"B+",70,"A",80,"A+",90,"S",100),_xlfn.SWITCH(E15,"F",0,"E",10,"D",20,"D+",30,"C",40,"C+",50,"B",60,"B+",70,"A",80,"A+",90,"S",100),_xlfn.SWITCH(F15,"F",0,"E",10,"D",20,"D+",30,"C",40,"C+",50,"B",60,"B+",70,"A",80,"A+",90,"S",100)),{0,15,25,35,45,55,65,75,85,95},{"D","D","D+","C","C+","B","B+","A","A+","S"}),"?")</f>
        <v>?</v>
      </c>
      <c r="H15" s="447" t="str">
        <f>IF(AND(ISNUMBER(MATCH(C15,{"F","E","D","D+","C","C+","B","B+","A","A+","S"},0)),ISNUMBER(MATCH(D15,{"F","E","D","D+","C","C+","B","B+","A","A+","S"},0)),ISNUMBER(MATCH(E15,{"F","E","D","D+","C","C+","B","B+","A","A+","S"},0)),ISNUMBER(MATCH(F15,{"F","E","D","D+","C","C+","B","B+","A","A+","S"},0))),_xlfn.SWITCH(C15,"F",0,"E",1,"D",2,"D+",3,"C",4,"C+",5,"B",6,"B+",7,"A",8,"A+",9,"S",10)*0.1+_xlfn.SWITCH(D15,"F",0,"E",1,"D",2,"D+",3,"C",4,"C+",5,"B",6,"B+",7,"A",8,"A+",9,"S",10)*0.4+_xlfn.SWITCH(E15,"F",0,"E",1,"D",2,"D+",3,"C",4,"C+",5,"B",6,"B+",7,"A",8,"A+",9,"S",10)*0.3+_xlfn.SWITCH(F15,"F",0,"E",1,"D",2,"D+",3,"C",4,"C+",5,"B",6,"B+",7,"A",8,"A+",9,"S",10)*0.2,"")</f>
        <v/>
      </c>
      <c r="I15" s="448"/>
      <c r="J15" s="439"/>
      <c r="K15" s="441"/>
      <c r="L15" s="456" t="s">
        <v>4959</v>
      </c>
      <c r="M15" s="458" t="s">
        <v>4971</v>
      </c>
      <c r="N15" s="456"/>
      <c r="O15" s="440"/>
    </row>
    <row r="16" spans="1:15">
      <c r="A16" s="445" t="s">
        <v>104</v>
      </c>
      <c r="B16" s="451" t="s">
        <v>105</v>
      </c>
      <c r="C16" s="445" t="s">
        <v>17</v>
      </c>
      <c r="D16" s="445" t="s">
        <v>17</v>
      </c>
      <c r="E16" s="445" t="s">
        <v>17</v>
      </c>
      <c r="F16" s="445" t="s">
        <v>17</v>
      </c>
      <c r="G16" s="445" t="str">
        <f>IF(AND(ISNUMBER(MATCH(D16,{"F","E","D","D+","C","C+","B","B+","A","A+","S"},0)),ISNUMBER(MATCH(E16,{"F","E","D","D+","C","C+","B","B+","A","A+","S"},0)),ISNUMBER(MATCH(F16,{"F","E","D","D+","C","C+","B","B+","A","A+","S"},0))),LOOKUP(AVERAGE(_xlfn.SWITCH(D16,"F",0,"E",10,"D",20,"D+",30,"C",40,"C+",50,"B",60,"B+",70,"A",80,"A+",90,"S",100),_xlfn.SWITCH(E16,"F",0,"E",10,"D",20,"D+",30,"C",40,"C+",50,"B",60,"B+",70,"A",80,"A+",90,"S",100),_xlfn.SWITCH(F16,"F",0,"E",10,"D",20,"D+",30,"C",40,"C+",50,"B",60,"B+",70,"A",80,"A+",90,"S",100)),{0,15,25,35,45,55,65,75,85,95},{"D","D","D+","C","C+","B","B+","A","A+","S"}),"?")</f>
        <v>S</v>
      </c>
      <c r="H16" s="447">
        <f>IF(AND(ISNUMBER(MATCH(C16,{"F","E","D","D+","C","C+","B","B+","A","A+","S"},0)),ISNUMBER(MATCH(D16,{"F","E","D","D+","C","C+","B","B+","A","A+","S"},0)),ISNUMBER(MATCH(E16,{"F","E","D","D+","C","C+","B","B+","A","A+","S"},0)),ISNUMBER(MATCH(F16,{"F","E","D","D+","C","C+","B","B+","A","A+","S"},0))),_xlfn.SWITCH(C16,"F",0,"E",1,"D",2,"D+",3,"C",4,"C+",5,"B",6,"B+",7,"A",8,"A+",9,"S",10)*0.1+_xlfn.SWITCH(D16,"F",0,"E",1,"D",2,"D+",3,"C",4,"C+",5,"B",6,"B+",7,"A",8,"A+",9,"S",10)*0.4+_xlfn.SWITCH(E16,"F",0,"E",1,"D",2,"D+",3,"C",4,"C+",5,"B",6,"B+",7,"A",8,"A+",9,"S",10)*0.3+_xlfn.SWITCH(F16,"F",0,"E",1,"D",2,"D+",3,"C",4,"C+",5,"B",6,"B+",7,"A",8,"A+",9,"S",10)*0.2,"")</f>
        <v>10</v>
      </c>
      <c r="I16" s="448" t="s">
        <v>4972</v>
      </c>
      <c r="J16" s="439"/>
      <c r="K16" s="441"/>
      <c r="L16" s="456" t="s">
        <v>4960</v>
      </c>
      <c r="M16" s="458" t="s">
        <v>4973</v>
      </c>
      <c r="N16" s="456"/>
      <c r="O16" s="440"/>
    </row>
    <row r="17" spans="1:15">
      <c r="A17" s="445" t="s">
        <v>111</v>
      </c>
      <c r="B17" s="446" t="s">
        <v>112</v>
      </c>
      <c r="C17" s="445" t="s">
        <v>1562</v>
      </c>
      <c r="D17" s="445"/>
      <c r="E17" s="445"/>
      <c r="F17" s="445"/>
      <c r="G17" s="445" t="str">
        <f>IF(AND(ISNUMBER(MATCH(D17,{"F","E","D","D+","C","C+","B","B+","A","A+","S"},0)),ISNUMBER(MATCH(E17,{"F","E","D","D+","C","C+","B","B+","A","A+","S"},0)),ISNUMBER(MATCH(F17,{"F","E","D","D+","C","C+","B","B+","A","A+","S"},0))),LOOKUP(AVERAGE(_xlfn.SWITCH(D17,"F",0,"E",10,"D",20,"D+",30,"C",40,"C+",50,"B",60,"B+",70,"A",80,"A+",90,"S",100),_xlfn.SWITCH(E17,"F",0,"E",10,"D",20,"D+",30,"C",40,"C+",50,"B",60,"B+",70,"A",80,"A+",90,"S",100),_xlfn.SWITCH(F17,"F",0,"E",10,"D",20,"D+",30,"C",40,"C+",50,"B",60,"B+",70,"A",80,"A+",90,"S",100)),{0,15,25,35,45,55,65,75,85,95},{"D","D","D+","C","C+","B","B+","A","A+","S"}),"?")</f>
        <v>?</v>
      </c>
      <c r="H17" s="447" t="str">
        <f>IF(AND(ISNUMBER(MATCH(C17,{"F","E","D","D+","C","C+","B","B+","A","A+","S"},0)),ISNUMBER(MATCH(D17,{"F","E","D","D+","C","C+","B","B+","A","A+","S"},0)),ISNUMBER(MATCH(E17,{"F","E","D","D+","C","C+","B","B+","A","A+","S"},0)),ISNUMBER(MATCH(F17,{"F","E","D","D+","C","C+","B","B+","A","A+","S"},0))),_xlfn.SWITCH(C17,"F",0,"E",1,"D",2,"D+",3,"C",4,"C+",5,"B",6,"B+",7,"A",8,"A+",9,"S",10)*0.1+_xlfn.SWITCH(D17,"F",0,"E",1,"D",2,"D+",3,"C",4,"C+",5,"B",6,"B+",7,"A",8,"A+",9,"S",10)*0.4+_xlfn.SWITCH(E17,"F",0,"E",1,"D",2,"D+",3,"C",4,"C+",5,"B",6,"B+",7,"A",8,"A+",9,"S",10)*0.3+_xlfn.SWITCH(F17,"F",0,"E",1,"D",2,"D+",3,"C",4,"C+",5,"B",6,"B+",7,"A",8,"A+",9,"S",10)*0.2,"")</f>
        <v/>
      </c>
      <c r="I17" s="448" t="s">
        <v>4974</v>
      </c>
      <c r="J17" s="439"/>
      <c r="K17" s="441"/>
      <c r="L17" s="456"/>
      <c r="M17" s="456"/>
      <c r="N17" s="456"/>
      <c r="O17" s="440"/>
    </row>
    <row r="18" spans="1:15">
      <c r="A18" s="445" t="s">
        <v>118</v>
      </c>
      <c r="B18" s="446" t="s">
        <v>119</v>
      </c>
      <c r="C18" s="445" t="s">
        <v>1574</v>
      </c>
      <c r="D18" s="445"/>
      <c r="E18" s="445"/>
      <c r="F18" s="445"/>
      <c r="G18" s="445" t="str">
        <f>IF(AND(ISNUMBER(MATCH(D18,{"F","E","D","D+","C","C+","B","B+","A","A+","S"},0)),ISNUMBER(MATCH(E18,{"F","E","D","D+","C","C+","B","B+","A","A+","S"},0)),ISNUMBER(MATCH(F18,{"F","E","D","D+","C","C+","B","B+","A","A+","S"},0))),LOOKUP(AVERAGE(_xlfn.SWITCH(D18,"F",0,"E",10,"D",20,"D+",30,"C",40,"C+",50,"B",60,"B+",70,"A",80,"A+",90,"S",100),_xlfn.SWITCH(E18,"F",0,"E",10,"D",20,"D+",30,"C",40,"C+",50,"B",60,"B+",70,"A",80,"A+",90,"S",100),_xlfn.SWITCH(F18,"F",0,"E",10,"D",20,"D+",30,"C",40,"C+",50,"B",60,"B+",70,"A",80,"A+",90,"S",100)),{0,15,25,35,45,55,65,75,85,95},{"D","D","D+","C","C+","B","B+","A","A+","S"}),"?")</f>
        <v>?</v>
      </c>
      <c r="H18" s="447" t="str">
        <f>IF(AND(ISNUMBER(MATCH(C18,{"F","E","D","D+","C","C+","B","B+","A","A+","S"},0)),ISNUMBER(MATCH(D18,{"F","E","D","D+","C","C+","B","B+","A","A+","S"},0)),ISNUMBER(MATCH(E18,{"F","E","D","D+","C","C+","B","B+","A","A+","S"},0)),ISNUMBER(MATCH(F18,{"F","E","D","D+","C","C+","B","B+","A","A+","S"},0))),_xlfn.SWITCH(C18,"F",0,"E",1,"D",2,"D+",3,"C",4,"C+",5,"B",6,"B+",7,"A",8,"A+",9,"S",10)*0.1+_xlfn.SWITCH(D18,"F",0,"E",1,"D",2,"D+",3,"C",4,"C+",5,"B",6,"B+",7,"A",8,"A+",9,"S",10)*0.4+_xlfn.SWITCH(E18,"F",0,"E",1,"D",2,"D+",3,"C",4,"C+",5,"B",6,"B+",7,"A",8,"A+",9,"S",10)*0.3+_xlfn.SWITCH(F18,"F",0,"E",1,"D",2,"D+",3,"C",4,"C+",5,"B",6,"B+",7,"A",8,"A+",9,"S",10)*0.2,"")</f>
        <v/>
      </c>
      <c r="I18" s="448"/>
      <c r="J18" s="439"/>
      <c r="K18" s="441"/>
      <c r="L18" s="457" t="s">
        <v>4975</v>
      </c>
      <c r="M18" s="457"/>
      <c r="N18" s="456"/>
      <c r="O18" s="440"/>
    </row>
    <row r="19" spans="1:15">
      <c r="A19" s="445" t="s">
        <v>125</v>
      </c>
      <c r="B19" s="446" t="s">
        <v>126</v>
      </c>
      <c r="C19" s="445" t="s">
        <v>4976</v>
      </c>
      <c r="D19" s="445"/>
      <c r="E19" s="445"/>
      <c r="F19" s="445"/>
      <c r="G19" s="445" t="str">
        <f>IF(AND(ISNUMBER(MATCH(D19,{"F","E","D","D+","C","C+","B","B+","A","A+","S"},0)),ISNUMBER(MATCH(E19,{"F","E","D","D+","C","C+","B","B+","A","A+","S"},0)),ISNUMBER(MATCH(F19,{"F","E","D","D+","C","C+","B","B+","A","A+","S"},0))),LOOKUP(AVERAGE(_xlfn.SWITCH(D19,"F",0,"E",10,"D",20,"D+",30,"C",40,"C+",50,"B",60,"B+",70,"A",80,"A+",90,"S",100),_xlfn.SWITCH(E19,"F",0,"E",10,"D",20,"D+",30,"C",40,"C+",50,"B",60,"B+",70,"A",80,"A+",90,"S",100),_xlfn.SWITCH(F19,"F",0,"E",10,"D",20,"D+",30,"C",40,"C+",50,"B",60,"B+",70,"A",80,"A+",90,"S",100)),{0,15,25,35,45,55,65,75,85,95},{"D","D","D+","C","C+","B","B+","A","A+","S"}),"?")</f>
        <v>?</v>
      </c>
      <c r="H19" s="447" t="str">
        <f>IF(AND(ISNUMBER(MATCH(C19,{"F","E","D","D+","C","C+","B","B+","A","A+","S"},0)),ISNUMBER(MATCH(D19,{"F","E","D","D+","C","C+","B","B+","A","A+","S"},0)),ISNUMBER(MATCH(E19,{"F","E","D","D+","C","C+","B","B+","A","A+","S"},0)),ISNUMBER(MATCH(F19,{"F","E","D","D+","C","C+","B","B+","A","A+","S"},0))),_xlfn.SWITCH(C19,"F",0,"E",1,"D",2,"D+",3,"C",4,"C+",5,"B",6,"B+",7,"A",8,"A+",9,"S",10)*0.1+_xlfn.SWITCH(D19,"F",0,"E",1,"D",2,"D+",3,"C",4,"C+",5,"B",6,"B+",7,"A",8,"A+",9,"S",10)*0.4+_xlfn.SWITCH(E19,"F",0,"E",1,"D",2,"D+",3,"C",4,"C+",5,"B",6,"B+",7,"A",8,"A+",9,"S",10)*0.3+_xlfn.SWITCH(F19,"F",0,"E",1,"D",2,"D+",3,"C",4,"C+",5,"B",6,"B+",7,"A",8,"A+",9,"S",10)*0.2,"")</f>
        <v/>
      </c>
      <c r="I19" s="448"/>
      <c r="J19" s="439"/>
      <c r="K19" s="441"/>
      <c r="N19" s="456"/>
      <c r="O19" s="440"/>
    </row>
    <row r="20" spans="1:15">
      <c r="A20" s="445" t="s">
        <v>131</v>
      </c>
      <c r="B20" s="451" t="s">
        <v>132</v>
      </c>
      <c r="C20" s="445" t="s">
        <v>17</v>
      </c>
      <c r="D20" s="445" t="s">
        <v>28</v>
      </c>
      <c r="E20" s="445" t="s">
        <v>17</v>
      </c>
      <c r="F20" s="445" t="s">
        <v>21</v>
      </c>
      <c r="G20" s="445" t="str">
        <f>IF(AND(ISNUMBER(MATCH(D20,{"F","E","D","D+","C","C+","B","B+","A","A+","S"},0)),ISNUMBER(MATCH(E20,{"F","E","D","D+","C","C+","B","B+","A","A+","S"},0)),ISNUMBER(MATCH(F20,{"F","E","D","D+","C","C+","B","B+","A","A+","S"},0))),LOOKUP(AVERAGE(_xlfn.SWITCH(D20,"F",0,"E",10,"D",20,"D+",30,"C",40,"C+",50,"B",60,"B+",70,"A",80,"A+",90,"S",100),_xlfn.SWITCH(E20,"F",0,"E",10,"D",20,"D+",30,"C",40,"C+",50,"B",60,"B+",70,"A",80,"A+",90,"S",100),_xlfn.SWITCH(F20,"F",0,"E",10,"D",20,"D+",30,"C",40,"C+",50,"B",60,"B+",70,"A",80,"A+",90,"S",100)),{0,15,25,35,45,55,65,75,85,95},{"D","D","D+","C","C+","B","B+","A","A+","S"}),"?")</f>
        <v>A+</v>
      </c>
      <c r="H20" s="447">
        <f>IF(AND(ISNUMBER(MATCH(C20,{"F","E","D","D+","C","C+","B","B+","A","A+","S"},0)),ISNUMBER(MATCH(D20,{"F","E","D","D+","C","C+","B","B+","A","A+","S"},0)),ISNUMBER(MATCH(E20,{"F","E","D","D+","C","C+","B","B+","A","A+","S"},0)),ISNUMBER(MATCH(F20,{"F","E","D","D+","C","C+","B","B+","A","A+","S"},0))),_xlfn.SWITCH(C20,"F",0,"E",1,"D",2,"D+",3,"C",4,"C+",5,"B",6,"B+",7,"A",8,"A+",9,"S",10)*0.1+_xlfn.SWITCH(D20,"F",0,"E",1,"D",2,"D+",3,"C",4,"C+",5,"B",6,"B+",7,"A",8,"A+",9,"S",10)*0.4+_xlfn.SWITCH(E20,"F",0,"E",1,"D",2,"D+",3,"C",4,"C+",5,"B",6,"B+",7,"A",8,"A+",9,"S",10)*0.3+_xlfn.SWITCH(F20,"F",0,"E",1,"D",2,"D+",3,"C",4,"C+",5,"B",6,"B+",7,"A",8,"A+",9,"S",10)*0.2,"")</f>
        <v>9.1999999999999993</v>
      </c>
      <c r="I20" s="448" t="s">
        <v>4977</v>
      </c>
      <c r="J20" s="439"/>
      <c r="K20" s="441"/>
      <c r="L20" s="440"/>
      <c r="M20" s="440"/>
      <c r="N20" s="440"/>
      <c r="O20" s="440"/>
    </row>
    <row r="21" spans="1:15">
      <c r="A21" s="445" t="s">
        <v>138</v>
      </c>
      <c r="B21" s="446" t="s">
        <v>139</v>
      </c>
      <c r="C21" s="445" t="s">
        <v>1562</v>
      </c>
      <c r="D21" s="445"/>
      <c r="E21" s="445"/>
      <c r="F21" s="445"/>
      <c r="G21" s="445" t="str">
        <f>IF(AND(ISNUMBER(MATCH(D21,{"F","E","D","D+","C","C+","B","B+","A","A+","S"},0)),ISNUMBER(MATCH(E21,{"F","E","D","D+","C","C+","B","B+","A","A+","S"},0)),ISNUMBER(MATCH(F21,{"F","E","D","D+","C","C+","B","B+","A","A+","S"},0))),LOOKUP(AVERAGE(_xlfn.SWITCH(D21,"F",0,"E",10,"D",20,"D+",30,"C",40,"C+",50,"B",60,"B+",70,"A",80,"A+",90,"S",100),_xlfn.SWITCH(E21,"F",0,"E",10,"D",20,"D+",30,"C",40,"C+",50,"B",60,"B+",70,"A",80,"A+",90,"S",100),_xlfn.SWITCH(F21,"F",0,"E",10,"D",20,"D+",30,"C",40,"C+",50,"B",60,"B+",70,"A",80,"A+",90,"S",100)),{0,15,25,35,45,55,65,75,85,95},{"D","D","D+","C","C+","B","B+","A","A+","S"}),"?")</f>
        <v>?</v>
      </c>
      <c r="H21" s="447" t="str">
        <f>IF(AND(ISNUMBER(MATCH(C21,{"F","E","D","D+","C","C+","B","B+","A","A+","S"},0)),ISNUMBER(MATCH(D21,{"F","E","D","D+","C","C+","B","B+","A","A+","S"},0)),ISNUMBER(MATCH(E21,{"F","E","D","D+","C","C+","B","B+","A","A+","S"},0)),ISNUMBER(MATCH(F21,{"F","E","D","D+","C","C+","B","B+","A","A+","S"},0))),_xlfn.SWITCH(C21,"F",0,"E",1,"D",2,"D+",3,"C",4,"C+",5,"B",6,"B+",7,"A",8,"A+",9,"S",10)*0.1+_xlfn.SWITCH(D21,"F",0,"E",1,"D",2,"D+",3,"C",4,"C+",5,"B",6,"B+",7,"A",8,"A+",9,"S",10)*0.4+_xlfn.SWITCH(E21,"F",0,"E",1,"D",2,"D+",3,"C",4,"C+",5,"B",6,"B+",7,"A",8,"A+",9,"S",10)*0.3+_xlfn.SWITCH(F21,"F",0,"E",1,"D",2,"D+",3,"C",4,"C+",5,"B",6,"B+",7,"A",8,"A+",9,"S",10)*0.2,"")</f>
        <v/>
      </c>
      <c r="I21" s="448" t="s">
        <v>4978</v>
      </c>
      <c r="J21" s="439"/>
      <c r="K21" s="441"/>
      <c r="L21" s="440"/>
      <c r="M21" s="440"/>
      <c r="N21" s="440"/>
      <c r="O21" s="440"/>
    </row>
    <row r="22" spans="1:15">
      <c r="A22" s="445" t="s">
        <v>145</v>
      </c>
      <c r="B22" s="446" t="s">
        <v>146</v>
      </c>
      <c r="C22" s="445" t="s">
        <v>1574</v>
      </c>
      <c r="D22" s="445"/>
      <c r="E22" s="445"/>
      <c r="F22" s="445"/>
      <c r="G22" s="445" t="str">
        <f>IF(AND(ISNUMBER(MATCH(D22,{"F","E","D","D+","C","C+","B","B+","A","A+","S"},0)),ISNUMBER(MATCH(E22,{"F","E","D","D+","C","C+","B","B+","A","A+","S"},0)),ISNUMBER(MATCH(F22,{"F","E","D","D+","C","C+","B","B+","A","A+","S"},0))),LOOKUP(AVERAGE(_xlfn.SWITCH(D22,"F",0,"E",10,"D",20,"D+",30,"C",40,"C+",50,"B",60,"B+",70,"A",80,"A+",90,"S",100),_xlfn.SWITCH(E22,"F",0,"E",10,"D",20,"D+",30,"C",40,"C+",50,"B",60,"B+",70,"A",80,"A+",90,"S",100),_xlfn.SWITCH(F22,"F",0,"E",10,"D",20,"D+",30,"C",40,"C+",50,"B",60,"B+",70,"A",80,"A+",90,"S",100)),{0,15,25,35,45,55,65,75,85,95},{"D","D","D+","C","C+","B","B+","A","A+","S"}),"?")</f>
        <v>?</v>
      </c>
      <c r="H22" s="447" t="str">
        <f>IF(AND(ISNUMBER(MATCH(C22,{"F","E","D","D+","C","C+","B","B+","A","A+","S"},0)),ISNUMBER(MATCH(D22,{"F","E","D","D+","C","C+","B","B+","A","A+","S"},0)),ISNUMBER(MATCH(E22,{"F","E","D","D+","C","C+","B","B+","A","A+","S"},0)),ISNUMBER(MATCH(F22,{"F","E","D","D+","C","C+","B","B+","A","A+","S"},0))),_xlfn.SWITCH(C22,"F",0,"E",1,"D",2,"D+",3,"C",4,"C+",5,"B",6,"B+",7,"A",8,"A+",9,"S",10)*0.1+_xlfn.SWITCH(D22,"F",0,"E",1,"D",2,"D+",3,"C",4,"C+",5,"B",6,"B+",7,"A",8,"A+",9,"S",10)*0.4+_xlfn.SWITCH(E22,"F",0,"E",1,"D",2,"D+",3,"C",4,"C+",5,"B",6,"B+",7,"A",8,"A+",9,"S",10)*0.3+_xlfn.SWITCH(F22,"F",0,"E",1,"D",2,"D+",3,"C",4,"C+",5,"B",6,"B+",7,"A",8,"A+",9,"S",10)*0.2,"")</f>
        <v/>
      </c>
      <c r="I22" s="448"/>
      <c r="J22" s="439"/>
      <c r="K22" s="441"/>
      <c r="L22" s="440"/>
      <c r="M22" s="440"/>
      <c r="N22" s="440"/>
      <c r="O22" s="440"/>
    </row>
    <row r="23" spans="1:15">
      <c r="A23" s="445" t="s">
        <v>152</v>
      </c>
      <c r="B23" s="450" t="s">
        <v>30</v>
      </c>
      <c r="C23" s="445" t="s">
        <v>21</v>
      </c>
      <c r="D23" s="445" t="s">
        <v>28</v>
      </c>
      <c r="E23" s="445" t="s">
        <v>28</v>
      </c>
      <c r="F23" s="445" t="s">
        <v>18</v>
      </c>
      <c r="G23" s="445" t="str">
        <f>IF(AND(ISNUMBER(MATCH(D23,{"F","E","D","D+","C","C+","B","B+","A","A+","S"},0)),ISNUMBER(MATCH(E23,{"F","E","D","D+","C","C+","B","B+","A","A+","S"},0)),ISNUMBER(MATCH(F23,{"F","E","D","D+","C","C+","B","B+","A","A+","S"},0))),LOOKUP(AVERAGE(_xlfn.SWITCH(D23,"F",0,"E",10,"D",20,"D+",30,"C",40,"C+",50,"B",60,"B+",70,"A",80,"A+",90,"S",100),_xlfn.SWITCH(E23,"F",0,"E",10,"D",20,"D+",30,"C",40,"C+",50,"B",60,"B+",70,"A",80,"A+",90,"S",100),_xlfn.SWITCH(F23,"F",0,"E",10,"D",20,"D+",30,"C",40,"C+",50,"B",60,"B+",70,"A",80,"A+",90,"S",100)),{0,15,25,35,45,55,65,75,85,95},{"D","D","D+","C","C+","B","B+","A","A+","S"}),"?")</f>
        <v>A</v>
      </c>
      <c r="H23" s="447">
        <f>IF(AND(ISNUMBER(MATCH(C23,{"F","E","D","D+","C","C+","B","B+","A","A+","S"},0)),ISNUMBER(MATCH(D23,{"F","E","D","D+","C","C+","B","B+","A","A+","S"},0)),ISNUMBER(MATCH(E23,{"F","E","D","D+","C","C+","B","B+","A","A+","S"},0)),ISNUMBER(MATCH(F23,{"F","E","D","D+","C","C+","B","B+","A","A+","S"},0))),_xlfn.SWITCH(C23,"F",0,"E",1,"D",2,"D+",3,"C",4,"C+",5,"B",6,"B+",7,"A",8,"A+",9,"S",10)*0.1+_xlfn.SWITCH(D23,"F",0,"E",1,"D",2,"D+",3,"C",4,"C+",5,"B",6,"B+",7,"A",8,"A+",9,"S",10)*0.4+_xlfn.SWITCH(E23,"F",0,"E",1,"D",2,"D+",3,"C",4,"C+",5,"B",6,"B+",7,"A",8,"A+",9,"S",10)*0.3+_xlfn.SWITCH(F23,"F",0,"E",1,"D",2,"D+",3,"C",4,"C+",5,"B",6,"B+",7,"A",8,"A+",9,"S",10)*0.2,"")</f>
        <v>8.3000000000000007</v>
      </c>
      <c r="I23" s="448" t="s">
        <v>4979</v>
      </c>
      <c r="J23" s="439"/>
      <c r="K23" s="441"/>
      <c r="L23" s="440"/>
      <c r="M23" s="440"/>
      <c r="N23" s="440"/>
      <c r="O23" s="440"/>
    </row>
    <row r="24" spans="1:15">
      <c r="A24" s="445" t="s">
        <v>158</v>
      </c>
      <c r="B24" s="450" t="s">
        <v>159</v>
      </c>
      <c r="C24" s="445" t="s">
        <v>1567</v>
      </c>
      <c r="D24" s="445" t="s">
        <v>28</v>
      </c>
      <c r="E24" s="445" t="s">
        <v>21</v>
      </c>
      <c r="F24" s="445" t="s">
        <v>1562</v>
      </c>
      <c r="G24" s="445" t="str">
        <f>IF(AND(ISNUMBER(MATCH(D24,{"F","E","D","D+","C","C+","B","B+","A","A+","S"},0)),ISNUMBER(MATCH(E24,{"F","E","D","D+","C","C+","B","B+","A","A+","S"},0)),ISNUMBER(MATCH(F24,{"F","E","D","D+","C","C+","B","B+","A","A+","S"},0))),LOOKUP(AVERAGE(_xlfn.SWITCH(D24,"F",0,"E",10,"D",20,"D+",30,"C",40,"C+",50,"B",60,"B+",70,"A",80,"A+",90,"S",100),_xlfn.SWITCH(E24,"F",0,"E",10,"D",20,"D+",30,"C",40,"C+",50,"B",60,"B+",70,"A",80,"A+",90,"S",100),_xlfn.SWITCH(F24,"F",0,"E",10,"D",20,"D+",30,"C",40,"C+",50,"B",60,"B+",70,"A",80,"A+",90,"S",100)),{0,15,25,35,45,55,65,75,85,95},{"D","D","D+","C","C+","B","B+","A","A+","S"}),"?")</f>
        <v>B+</v>
      </c>
      <c r="H24" s="447">
        <f>IF(AND(ISNUMBER(MATCH(C24,{"F","E","D","D+","C","C+","B","B+","A","A+","S"},0)),ISNUMBER(MATCH(D24,{"F","E","D","D+","C","C+","B","B+","A","A+","S"},0)),ISNUMBER(MATCH(E24,{"F","E","D","D+","C","C+","B","B+","A","A+","S"},0)),ISNUMBER(MATCH(F24,{"F","E","D","D+","C","C+","B","B+","A","A+","S"},0))),_xlfn.SWITCH(C24,"F",0,"E",1,"D",2,"D+",3,"C",4,"C+",5,"B",6,"B+",7,"A",8,"A+",9,"S",10)*0.1+_xlfn.SWITCH(D24,"F",0,"E",1,"D",2,"D+",3,"C",4,"C+",5,"B",6,"B+",7,"A",8,"A+",9,"S",10)*0.4+_xlfn.SWITCH(E24,"F",0,"E",1,"D",2,"D+",3,"C",4,"C+",5,"B",6,"B+",7,"A",8,"A+",9,"S",10)*0.3+_xlfn.SWITCH(F24,"F",0,"E",1,"D",2,"D+",3,"C",4,"C+",5,"B",6,"B+",7,"A",8,"A+",9,"S",10)*0.2,"")</f>
        <v>7.6999999999999993</v>
      </c>
      <c r="I24" s="448" t="s">
        <v>4980</v>
      </c>
      <c r="J24" s="439"/>
      <c r="K24" s="441"/>
      <c r="L24" s="440"/>
      <c r="M24" s="440"/>
      <c r="N24" s="440"/>
      <c r="O24" s="440"/>
    </row>
    <row r="25" spans="1:15">
      <c r="A25" s="445" t="s">
        <v>165</v>
      </c>
      <c r="B25" s="446" t="s">
        <v>166</v>
      </c>
      <c r="C25" s="445" t="s">
        <v>1661</v>
      </c>
      <c r="D25" s="445"/>
      <c r="E25" s="445"/>
      <c r="F25" s="445"/>
      <c r="G25" s="445" t="str">
        <f>IF(AND(ISNUMBER(MATCH(D25,{"F","E","D","D+","C","C+","B","B+","A","A+","S"},0)),ISNUMBER(MATCH(E25,{"F","E","D","D+","C","C+","B","B+","A","A+","S"},0)),ISNUMBER(MATCH(F25,{"F","E","D","D+","C","C+","B","B+","A","A+","S"},0))),LOOKUP(AVERAGE(_xlfn.SWITCH(D25,"F",0,"E",10,"D",20,"D+",30,"C",40,"C+",50,"B",60,"B+",70,"A",80,"A+",90,"S",100),_xlfn.SWITCH(E25,"F",0,"E",10,"D",20,"D+",30,"C",40,"C+",50,"B",60,"B+",70,"A",80,"A+",90,"S",100),_xlfn.SWITCH(F25,"F",0,"E",10,"D",20,"D+",30,"C",40,"C+",50,"B",60,"B+",70,"A",80,"A+",90,"S",100)),{0,15,25,35,45,55,65,75,85,95},{"D","D","D+","C","C+","B","B+","A","A+","S"}),"?")</f>
        <v>?</v>
      </c>
      <c r="H25" s="447" t="str">
        <f>IF(AND(ISNUMBER(MATCH(C25,{"F","E","D","D+","C","C+","B","B+","A","A+","S"},0)),ISNUMBER(MATCH(D25,{"F","E","D","D+","C","C+","B","B+","A","A+","S"},0)),ISNUMBER(MATCH(E25,{"F","E","D","D+","C","C+","B","B+","A","A+","S"},0)),ISNUMBER(MATCH(F25,{"F","E","D","D+","C","C+","B","B+","A","A+","S"},0))),_xlfn.SWITCH(C25,"F",0,"E",1,"D",2,"D+",3,"C",4,"C+",5,"B",6,"B+",7,"A",8,"A+",9,"S",10)*0.1+_xlfn.SWITCH(D25,"F",0,"E",1,"D",2,"D+",3,"C",4,"C+",5,"B",6,"B+",7,"A",8,"A+",9,"S",10)*0.4+_xlfn.SWITCH(E25,"F",0,"E",1,"D",2,"D+",3,"C",4,"C+",5,"B",6,"B+",7,"A",8,"A+",9,"S",10)*0.3+_xlfn.SWITCH(F25,"F",0,"E",1,"D",2,"D+",3,"C",4,"C+",5,"B",6,"B+",7,"A",8,"A+",9,"S",10)*0.2,"")</f>
        <v/>
      </c>
      <c r="I25" s="448"/>
      <c r="J25" s="439"/>
      <c r="K25" s="441"/>
      <c r="L25" s="440"/>
      <c r="M25" s="440"/>
      <c r="N25" s="440"/>
      <c r="O25" s="440"/>
    </row>
    <row r="26" spans="1:15" ht="34">
      <c r="A26" s="445" t="s">
        <v>172</v>
      </c>
      <c r="B26" s="450" t="s">
        <v>173</v>
      </c>
      <c r="C26" s="445" t="s">
        <v>1567</v>
      </c>
      <c r="D26" s="445" t="s">
        <v>28</v>
      </c>
      <c r="E26" s="445" t="s">
        <v>21</v>
      </c>
      <c r="F26" s="445" t="s">
        <v>18</v>
      </c>
      <c r="G26" s="445" t="str">
        <f>IF(AND(ISNUMBER(MATCH(D26,{"F","E","D","D+","C","C+","B","B+","A","A+","S"},0)),ISNUMBER(MATCH(E26,{"F","E","D","D+","C","C+","B","B+","A","A+","S"},0)),ISNUMBER(MATCH(F26,{"F","E","D","D+","C","C+","B","B+","A","A+","S"},0))),LOOKUP(AVERAGE(_xlfn.SWITCH(D26,"F",0,"E",10,"D",20,"D+",30,"C",40,"C+",50,"B",60,"B+",70,"A",80,"A+",90,"S",100),_xlfn.SWITCH(E26,"F",0,"E",10,"D",20,"D+",30,"C",40,"C+",50,"B",60,"B+",70,"A",80,"A+",90,"S",100),_xlfn.SWITCH(F26,"F",0,"E",10,"D",20,"D+",30,"C",40,"C+",50,"B",60,"B+",70,"A",80,"A+",90,"S",100)),{0,15,25,35,45,55,65,75,85,95},{"D","D","D+","C","C+","B","B+","A","A+","S"}),"?")</f>
        <v>A</v>
      </c>
      <c r="H26" s="447">
        <f>IF(AND(ISNUMBER(MATCH(C26,{"F","E","D","D+","C","C+","B","B+","A","A+","S"},0)),ISNUMBER(MATCH(D26,{"F","E","D","D+","C","C+","B","B+","A","A+","S"},0)),ISNUMBER(MATCH(E26,{"F","E","D","D+","C","C+","B","B+","A","A+","S"},0)),ISNUMBER(MATCH(F26,{"F","E","D","D+","C","C+","B","B+","A","A+","S"},0))),_xlfn.SWITCH(C26,"F",0,"E",1,"D",2,"D+",3,"C",4,"C+",5,"B",6,"B+",7,"A",8,"A+",9,"S",10)*0.1+_xlfn.SWITCH(D26,"F",0,"E",1,"D",2,"D+",3,"C",4,"C+",5,"B",6,"B+",7,"A",8,"A+",9,"S",10)*0.4+_xlfn.SWITCH(E26,"F",0,"E",1,"D",2,"D+",3,"C",4,"C+",5,"B",6,"B+",7,"A",8,"A+",9,"S",10)*0.3+_xlfn.SWITCH(F26,"F",0,"E",1,"D",2,"D+",3,"C",4,"C+",5,"B",6,"B+",7,"A",8,"A+",9,"S",10)*0.2,"")</f>
        <v>7.8999999999999995</v>
      </c>
      <c r="I26" s="459" t="s">
        <v>4981</v>
      </c>
      <c r="J26" s="439"/>
      <c r="K26" s="441"/>
      <c r="L26" s="440"/>
      <c r="M26" s="440"/>
      <c r="N26" s="440"/>
      <c r="O26" s="440"/>
    </row>
    <row r="27" spans="1:15">
      <c r="A27" s="445" t="s">
        <v>179</v>
      </c>
      <c r="B27" s="446" t="s">
        <v>180</v>
      </c>
      <c r="C27" s="445" t="s">
        <v>1661</v>
      </c>
      <c r="D27" s="445"/>
      <c r="E27" s="445"/>
      <c r="F27" s="445"/>
      <c r="G27" s="445" t="str">
        <f>IF(AND(ISNUMBER(MATCH(D27,{"F","E","D","D+","C","C+","B","B+","A","A+","S"},0)),ISNUMBER(MATCH(E27,{"F","E","D","D+","C","C+","B","B+","A","A+","S"},0)),ISNUMBER(MATCH(F27,{"F","E","D","D+","C","C+","B","B+","A","A+","S"},0))),LOOKUP(AVERAGE(_xlfn.SWITCH(D27,"F",0,"E",10,"D",20,"D+",30,"C",40,"C+",50,"B",60,"B+",70,"A",80,"A+",90,"S",100),_xlfn.SWITCH(E27,"F",0,"E",10,"D",20,"D+",30,"C",40,"C+",50,"B",60,"B+",70,"A",80,"A+",90,"S",100),_xlfn.SWITCH(F27,"F",0,"E",10,"D",20,"D+",30,"C",40,"C+",50,"B",60,"B+",70,"A",80,"A+",90,"S",100)),{0,15,25,35,45,55,65,75,85,95},{"D","D","D+","C","C+","B","B+","A","A+","S"}),"?")</f>
        <v>?</v>
      </c>
      <c r="H27" s="447" t="str">
        <f>IF(AND(ISNUMBER(MATCH(C27,{"F","E","D","D+","C","C+","B","B+","A","A+","S"},0)),ISNUMBER(MATCH(D27,{"F","E","D","D+","C","C+","B","B+","A","A+","S"},0)),ISNUMBER(MATCH(E27,{"F","E","D","D+","C","C+","B","B+","A","A+","S"},0)),ISNUMBER(MATCH(F27,{"F","E","D","D+","C","C+","B","B+","A","A+","S"},0))),_xlfn.SWITCH(C27,"F",0,"E",1,"D",2,"D+",3,"C",4,"C+",5,"B",6,"B+",7,"A",8,"A+",9,"S",10)*0.1+_xlfn.SWITCH(D27,"F",0,"E",1,"D",2,"D+",3,"C",4,"C+",5,"B",6,"B+",7,"A",8,"A+",9,"S",10)*0.4+_xlfn.SWITCH(E27,"F",0,"E",1,"D",2,"D+",3,"C",4,"C+",5,"B",6,"B+",7,"A",8,"A+",9,"S",10)*0.3+_xlfn.SWITCH(F27,"F",0,"E",1,"D",2,"D+",3,"C",4,"C+",5,"B",6,"B+",7,"A",8,"A+",9,"S",10)*0.2,"")</f>
        <v/>
      </c>
      <c r="I27" s="448" t="s">
        <v>4982</v>
      </c>
      <c r="J27" s="439"/>
      <c r="K27" s="441"/>
      <c r="L27" s="440"/>
      <c r="M27" s="440"/>
      <c r="N27" s="440"/>
      <c r="O27" s="440"/>
    </row>
    <row r="28" spans="1:15">
      <c r="A28" s="445" t="s">
        <v>186</v>
      </c>
      <c r="B28" s="450" t="s">
        <v>187</v>
      </c>
      <c r="C28" s="445" t="s">
        <v>18</v>
      </c>
      <c r="D28" s="445" t="s">
        <v>1567</v>
      </c>
      <c r="E28" s="445" t="s">
        <v>18</v>
      </c>
      <c r="F28" s="445" t="s">
        <v>1567</v>
      </c>
      <c r="G28" s="445" t="str">
        <f>IF(AND(ISNUMBER(MATCH(D28,{"F","E","D","D+","C","C+","B","B+","A","A+","S"},0)),ISNUMBER(MATCH(E28,{"F","E","D","D+","C","C+","B","B+","A","A+","S"},0)),ISNUMBER(MATCH(F28,{"F","E","D","D+","C","C+","B","B+","A","A+","S"},0))),LOOKUP(AVERAGE(_xlfn.SWITCH(D28,"F",0,"E",10,"D",20,"D+",30,"C",40,"C+",50,"B",60,"B+",70,"A",80,"A+",90,"S",100),_xlfn.SWITCH(E28,"F",0,"E",10,"D",20,"D+",30,"C",40,"C+",50,"B",60,"B+",70,"A",80,"A+",90,"S",100),_xlfn.SWITCH(F28,"F",0,"E",10,"D",20,"D+",30,"C",40,"C+",50,"B",60,"B+",70,"A",80,"A+",90,"S",100)),{0,15,25,35,45,55,65,75,85,95},{"D","D","D+","C","C+","B","B+","A","A+","S"}),"?")</f>
        <v>B+</v>
      </c>
      <c r="H28" s="447">
        <f>IF(AND(ISNUMBER(MATCH(C28,{"F","E","D","D+","C","C+","B","B+","A","A+","S"},0)),ISNUMBER(MATCH(D28,{"F","E","D","D+","C","C+","B","B+","A","A+","S"},0)),ISNUMBER(MATCH(E28,{"F","E","D","D+","C","C+","B","B+","A","A+","S"},0)),ISNUMBER(MATCH(F28,{"F","E","D","D+","C","C+","B","B+","A","A+","S"},0))),_xlfn.SWITCH(C28,"F",0,"E",1,"D",2,"D+",3,"C",4,"C+",5,"B",6,"B+",7,"A",8,"A+",9,"S",10)*0.1+_xlfn.SWITCH(D28,"F",0,"E",1,"D",2,"D+",3,"C",4,"C+",5,"B",6,"B+",7,"A",8,"A+",9,"S",10)*0.4+_xlfn.SWITCH(E28,"F",0,"E",1,"D",2,"D+",3,"C",4,"C+",5,"B",6,"B+",7,"A",8,"A+",9,"S",10)*0.3+_xlfn.SWITCH(F28,"F",0,"E",1,"D",2,"D+",3,"C",4,"C+",5,"B",6,"B+",7,"A",8,"A+",9,"S",10)*0.2,"")</f>
        <v>6.6000000000000005</v>
      </c>
      <c r="I28" s="448" t="s">
        <v>4983</v>
      </c>
      <c r="J28" s="439"/>
      <c r="K28" s="441"/>
      <c r="L28" s="440"/>
      <c r="M28" s="440"/>
      <c r="N28" s="440"/>
      <c r="O28" s="440"/>
    </row>
    <row r="29" spans="1:15" ht="34">
      <c r="A29" s="445" t="s">
        <v>193</v>
      </c>
      <c r="B29" s="450" t="s">
        <v>194</v>
      </c>
      <c r="C29" s="445" t="s">
        <v>21</v>
      </c>
      <c r="D29" s="445" t="s">
        <v>21</v>
      </c>
      <c r="E29" s="445" t="s">
        <v>1567</v>
      </c>
      <c r="F29" s="445" t="s">
        <v>1567</v>
      </c>
      <c r="G29" s="445" t="str">
        <f>IF(AND(ISNUMBER(MATCH(D29,{"F","E","D","D+","C","C+","B","B+","A","A+","S"},0)),ISNUMBER(MATCH(E29,{"F","E","D","D+","C","C+","B","B+","A","A+","S"},0)),ISNUMBER(MATCH(F29,{"F","E","D","D+","C","C+","B","B+","A","A+","S"},0))),LOOKUP(AVERAGE(_xlfn.SWITCH(D29,"F",0,"E",10,"D",20,"D+",30,"C",40,"C+",50,"B",60,"B+",70,"A",80,"A+",90,"S",100),_xlfn.SWITCH(E29,"F",0,"E",10,"D",20,"D+",30,"C",40,"C+",50,"B",60,"B+",70,"A",80,"A+",90,"S",100),_xlfn.SWITCH(F29,"F",0,"E",10,"D",20,"D+",30,"C",40,"C+",50,"B",60,"B+",70,"A",80,"A+",90,"S",100)),{0,15,25,35,45,55,65,75,85,95},{"D","D","D+","C","C+","B","B+","A","A+","S"}),"?")</f>
        <v>B+</v>
      </c>
      <c r="H29" s="447">
        <f>IF(AND(ISNUMBER(MATCH(C29,{"F","E","D","D+","C","C+","B","B+","A","A+","S"},0)),ISNUMBER(MATCH(D29,{"F","E","D","D+","C","C+","B","B+","A","A+","S"},0)),ISNUMBER(MATCH(E29,{"F","E","D","D+","C","C+","B","B+","A","A+","S"},0)),ISNUMBER(MATCH(F29,{"F","E","D","D+","C","C+","B","B+","A","A+","S"},0))),_xlfn.SWITCH(C29,"F",0,"E",1,"D",2,"D+",3,"C",4,"C+",5,"B",6,"B+",7,"A",8,"A+",9,"S",10)*0.1+_xlfn.SWITCH(D29,"F",0,"E",1,"D",2,"D+",3,"C",4,"C+",5,"B",6,"B+",7,"A",8,"A+",9,"S",10)*0.4+_xlfn.SWITCH(E29,"F",0,"E",1,"D",2,"D+",3,"C",4,"C+",5,"B",6,"B+",7,"A",8,"A+",9,"S",10)*0.3+_xlfn.SWITCH(F29,"F",0,"E",1,"D",2,"D+",3,"C",4,"C+",5,"B",6,"B+",7,"A",8,"A+",9,"S",10)*0.2,"")</f>
        <v>7.5</v>
      </c>
      <c r="I29" s="459" t="s">
        <v>4984</v>
      </c>
      <c r="J29" s="439"/>
      <c r="K29" s="441"/>
      <c r="L29" s="440"/>
      <c r="M29" s="440"/>
      <c r="N29" s="440"/>
      <c r="O29" s="440"/>
    </row>
    <row r="30" spans="1:15">
      <c r="A30" s="445" t="s">
        <v>200</v>
      </c>
      <c r="B30" s="446" t="s">
        <v>201</v>
      </c>
      <c r="C30" s="445" t="s">
        <v>1562</v>
      </c>
      <c r="D30" s="445"/>
      <c r="E30" s="445"/>
      <c r="F30" s="445"/>
      <c r="G30" s="445" t="str">
        <f>IF(AND(ISNUMBER(MATCH(D30,{"F","E","D","D+","C","C+","B","B+","A","A+","S"},0)),ISNUMBER(MATCH(E30,{"F","E","D","D+","C","C+","B","B+","A","A+","S"},0)),ISNUMBER(MATCH(F30,{"F","E","D","D+","C","C+","B","B+","A","A+","S"},0))),LOOKUP(AVERAGE(_xlfn.SWITCH(D30,"F",0,"E",10,"D",20,"D+",30,"C",40,"C+",50,"B",60,"B+",70,"A",80,"A+",90,"S",100),_xlfn.SWITCH(E30,"F",0,"E",10,"D",20,"D+",30,"C",40,"C+",50,"B",60,"B+",70,"A",80,"A+",90,"S",100),_xlfn.SWITCH(F30,"F",0,"E",10,"D",20,"D+",30,"C",40,"C+",50,"B",60,"B+",70,"A",80,"A+",90,"S",100)),{0,15,25,35,45,55,65,75,85,95},{"D","D","D+","C","C+","B","B+","A","A+","S"}),"?")</f>
        <v>?</v>
      </c>
      <c r="H30" s="447" t="str">
        <f>IF(AND(ISNUMBER(MATCH(C30,{"F","E","D","D+","C","C+","B","B+","A","A+","S"},0)),ISNUMBER(MATCH(D30,{"F","E","D","D+","C","C+","B","B+","A","A+","S"},0)),ISNUMBER(MATCH(E30,{"F","E","D","D+","C","C+","B","B+","A","A+","S"},0)),ISNUMBER(MATCH(F30,{"F","E","D","D+","C","C+","B","B+","A","A+","S"},0))),_xlfn.SWITCH(C30,"F",0,"E",1,"D",2,"D+",3,"C",4,"C+",5,"B",6,"B+",7,"A",8,"A+",9,"S",10)*0.1+_xlfn.SWITCH(D30,"F",0,"E",1,"D",2,"D+",3,"C",4,"C+",5,"B",6,"B+",7,"A",8,"A+",9,"S",10)*0.4+_xlfn.SWITCH(E30,"F",0,"E",1,"D",2,"D+",3,"C",4,"C+",5,"B",6,"B+",7,"A",8,"A+",9,"S",10)*0.3+_xlfn.SWITCH(F30,"F",0,"E",1,"D",2,"D+",3,"C",4,"C+",5,"B",6,"B+",7,"A",8,"A+",9,"S",10)*0.2,"")</f>
        <v/>
      </c>
      <c r="I30" s="448" t="s">
        <v>4985</v>
      </c>
      <c r="J30" s="439"/>
      <c r="K30" s="441"/>
      <c r="L30" s="440"/>
      <c r="M30" s="440"/>
      <c r="N30" s="440"/>
      <c r="O30" s="440"/>
    </row>
    <row r="31" spans="1:15">
      <c r="A31" s="445" t="s">
        <v>207</v>
      </c>
      <c r="B31" s="446" t="s">
        <v>208</v>
      </c>
      <c r="C31" s="445" t="s">
        <v>1562</v>
      </c>
      <c r="D31" s="445"/>
      <c r="E31" s="445"/>
      <c r="F31" s="445"/>
      <c r="G31" s="445" t="str">
        <f>IF(AND(ISNUMBER(MATCH(D31,{"F","E","D","D+","C","C+","B","B+","A","A+","S"},0)),ISNUMBER(MATCH(E31,{"F","E","D","D+","C","C+","B","B+","A","A+","S"},0)),ISNUMBER(MATCH(F31,{"F","E","D","D+","C","C+","B","B+","A","A+","S"},0))),LOOKUP(AVERAGE(_xlfn.SWITCH(D31,"F",0,"E",10,"D",20,"D+",30,"C",40,"C+",50,"B",60,"B+",70,"A",80,"A+",90,"S",100),_xlfn.SWITCH(E31,"F",0,"E",10,"D",20,"D+",30,"C",40,"C+",50,"B",60,"B+",70,"A",80,"A+",90,"S",100),_xlfn.SWITCH(F31,"F",0,"E",10,"D",20,"D+",30,"C",40,"C+",50,"B",60,"B+",70,"A",80,"A+",90,"S",100)),{0,15,25,35,45,55,65,75,85,95},{"D","D","D+","C","C+","B","B+","A","A+","S"}),"?")</f>
        <v>?</v>
      </c>
      <c r="H31" s="447" t="str">
        <f>IF(AND(ISNUMBER(MATCH(C31,{"F","E","D","D+","C","C+","B","B+","A","A+","S"},0)),ISNUMBER(MATCH(D31,{"F","E","D","D+","C","C+","B","B+","A","A+","S"},0)),ISNUMBER(MATCH(E31,{"F","E","D","D+","C","C+","B","B+","A","A+","S"},0)),ISNUMBER(MATCH(F31,{"F","E","D","D+","C","C+","B","B+","A","A+","S"},0))),_xlfn.SWITCH(C31,"F",0,"E",1,"D",2,"D+",3,"C",4,"C+",5,"B",6,"B+",7,"A",8,"A+",9,"S",10)*0.1+_xlfn.SWITCH(D31,"F",0,"E",1,"D",2,"D+",3,"C",4,"C+",5,"B",6,"B+",7,"A",8,"A+",9,"S",10)*0.4+_xlfn.SWITCH(E31,"F",0,"E",1,"D",2,"D+",3,"C",4,"C+",5,"B",6,"B+",7,"A",8,"A+",9,"S",10)*0.3+_xlfn.SWITCH(F31,"F",0,"E",1,"D",2,"D+",3,"C",4,"C+",5,"B",6,"B+",7,"A",8,"A+",9,"S",10)*0.2,"")</f>
        <v/>
      </c>
      <c r="I31" s="448" t="s">
        <v>4986</v>
      </c>
      <c r="J31" s="439"/>
      <c r="K31" s="441"/>
      <c r="L31" s="440"/>
      <c r="M31" s="440"/>
      <c r="N31" s="440"/>
      <c r="O31" s="440"/>
    </row>
    <row r="32" spans="1:15">
      <c r="A32" s="445" t="s">
        <v>214</v>
      </c>
      <c r="B32" s="446" t="s">
        <v>215</v>
      </c>
      <c r="C32" s="445" t="s">
        <v>1661</v>
      </c>
      <c r="D32" s="445"/>
      <c r="E32" s="445"/>
      <c r="F32" s="445"/>
      <c r="G32" s="445" t="str">
        <f>IF(AND(ISNUMBER(MATCH(D32,{"F","E","D","D+","C","C+","B","B+","A","A+","S"},0)),ISNUMBER(MATCH(E32,{"F","E","D","D+","C","C+","B","B+","A","A+","S"},0)),ISNUMBER(MATCH(F32,{"F","E","D","D+","C","C+","B","B+","A","A+","S"},0))),LOOKUP(AVERAGE(_xlfn.SWITCH(D32,"F",0,"E",10,"D",20,"D+",30,"C",40,"C+",50,"B",60,"B+",70,"A",80,"A+",90,"S",100),_xlfn.SWITCH(E32,"F",0,"E",10,"D",20,"D+",30,"C",40,"C+",50,"B",60,"B+",70,"A",80,"A+",90,"S",100),_xlfn.SWITCH(F32,"F",0,"E",10,"D",20,"D+",30,"C",40,"C+",50,"B",60,"B+",70,"A",80,"A+",90,"S",100)),{0,15,25,35,45,55,65,75,85,95},{"D","D","D+","C","C+","B","B+","A","A+","S"}),"?")</f>
        <v>?</v>
      </c>
      <c r="H32" s="447" t="str">
        <f>IF(AND(ISNUMBER(MATCH(C32,{"F","E","D","D+","C","C+","B","B+","A","A+","S"},0)),ISNUMBER(MATCH(D32,{"F","E","D","D+","C","C+","B","B+","A","A+","S"},0)),ISNUMBER(MATCH(E32,{"F","E","D","D+","C","C+","B","B+","A","A+","S"},0)),ISNUMBER(MATCH(F32,{"F","E","D","D+","C","C+","B","B+","A","A+","S"},0))),_xlfn.SWITCH(C32,"F",0,"E",1,"D",2,"D+",3,"C",4,"C+",5,"B",6,"B+",7,"A",8,"A+",9,"S",10)*0.1+_xlfn.SWITCH(D32,"F",0,"E",1,"D",2,"D+",3,"C",4,"C+",5,"B",6,"B+",7,"A",8,"A+",9,"S",10)*0.4+_xlfn.SWITCH(E32,"F",0,"E",1,"D",2,"D+",3,"C",4,"C+",5,"B",6,"B+",7,"A",8,"A+",9,"S",10)*0.3+_xlfn.SWITCH(F32,"F",0,"E",1,"D",2,"D+",3,"C",4,"C+",5,"B",6,"B+",7,"A",8,"A+",9,"S",10)*0.2,"")</f>
        <v/>
      </c>
      <c r="I32" s="448" t="s">
        <v>4987</v>
      </c>
      <c r="J32" s="439"/>
      <c r="K32" s="441"/>
      <c r="L32" s="440"/>
      <c r="M32" s="440"/>
      <c r="N32" s="440"/>
      <c r="O32" s="440"/>
    </row>
    <row r="33" spans="1:15">
      <c r="A33" s="445" t="s">
        <v>220</v>
      </c>
      <c r="B33" s="446" t="s">
        <v>221</v>
      </c>
      <c r="C33" s="445" t="s">
        <v>1562</v>
      </c>
      <c r="D33" s="445"/>
      <c r="E33" s="445"/>
      <c r="F33" s="445"/>
      <c r="G33" s="445" t="str">
        <f>IF(AND(ISNUMBER(MATCH(D33,{"F","E","D","D+","C","C+","B","B+","A","A+","S"},0)),ISNUMBER(MATCH(E33,{"F","E","D","D+","C","C+","B","B+","A","A+","S"},0)),ISNUMBER(MATCH(F33,{"F","E","D","D+","C","C+","B","B+","A","A+","S"},0))),LOOKUP(AVERAGE(_xlfn.SWITCH(D33,"F",0,"E",10,"D",20,"D+",30,"C",40,"C+",50,"B",60,"B+",70,"A",80,"A+",90,"S",100),_xlfn.SWITCH(E33,"F",0,"E",10,"D",20,"D+",30,"C",40,"C+",50,"B",60,"B+",70,"A",80,"A+",90,"S",100),_xlfn.SWITCH(F33,"F",0,"E",10,"D",20,"D+",30,"C",40,"C+",50,"B",60,"B+",70,"A",80,"A+",90,"S",100)),{0,15,25,35,45,55,65,75,85,95},{"D","D","D+","C","C+","B","B+","A","A+","S"}),"?")</f>
        <v>?</v>
      </c>
      <c r="H33" s="447" t="str">
        <f>IF(AND(ISNUMBER(MATCH(C33,{"F","E","D","D+","C","C+","B","B+","A","A+","S"},0)),ISNUMBER(MATCH(D33,{"F","E","D","D+","C","C+","B","B+","A","A+","S"},0)),ISNUMBER(MATCH(E33,{"F","E","D","D+","C","C+","B","B+","A","A+","S"},0)),ISNUMBER(MATCH(F33,{"F","E","D","D+","C","C+","B","B+","A","A+","S"},0))),_xlfn.SWITCH(C33,"F",0,"E",1,"D",2,"D+",3,"C",4,"C+",5,"B",6,"B+",7,"A",8,"A+",9,"S",10)*0.1+_xlfn.SWITCH(D33,"F",0,"E",1,"D",2,"D+",3,"C",4,"C+",5,"B",6,"B+",7,"A",8,"A+",9,"S",10)*0.4+_xlfn.SWITCH(E33,"F",0,"E",1,"D",2,"D+",3,"C",4,"C+",5,"B",6,"B+",7,"A",8,"A+",9,"S",10)*0.3+_xlfn.SWITCH(F33,"F",0,"E",1,"D",2,"D+",3,"C",4,"C+",5,"B",6,"B+",7,"A",8,"A+",9,"S",10)*0.2,"")</f>
        <v/>
      </c>
      <c r="I33" s="448" t="s">
        <v>4988</v>
      </c>
      <c r="J33" s="439"/>
      <c r="K33" s="441"/>
      <c r="L33" s="440"/>
      <c r="M33" s="440"/>
      <c r="N33" s="440"/>
      <c r="O33" s="440"/>
    </row>
    <row r="34" spans="1:15">
      <c r="A34" s="445" t="s">
        <v>227</v>
      </c>
      <c r="B34" s="446" t="s">
        <v>228</v>
      </c>
      <c r="C34" s="445" t="s">
        <v>21</v>
      </c>
      <c r="D34" s="445" t="s">
        <v>18</v>
      </c>
      <c r="E34" s="445" t="s">
        <v>18</v>
      </c>
      <c r="F34" s="445" t="s">
        <v>1562</v>
      </c>
      <c r="G34" s="445" t="str">
        <f>IF(AND(ISNUMBER(MATCH(D34,{"F","E","D","D+","C","C+","B","B+","A","A+","S"},0)),ISNUMBER(MATCH(E34,{"F","E","D","D+","C","C+","B","B+","A","A+","S"},0)),ISNUMBER(MATCH(F34,{"F","E","D","D+","C","C+","B","B+","A","A+","S"},0))),LOOKUP(AVERAGE(_xlfn.SWITCH(D34,"F",0,"E",10,"D",20,"D+",30,"C",40,"C+",50,"B",60,"B+",70,"A",80,"A+",90,"S",100),_xlfn.SWITCH(E34,"F",0,"E",10,"D",20,"D+",30,"C",40,"C+",50,"B",60,"B+",70,"A",80,"A+",90,"S",100),_xlfn.SWITCH(F34,"F",0,"E",10,"D",20,"D+",30,"C",40,"C+",50,"B",60,"B+",70,"A",80,"A+",90,"S",100)),{0,15,25,35,45,55,65,75,85,95},{"D","D","D+","C","C+","B","B+","A","A+","S"}),"?")</f>
        <v>B</v>
      </c>
      <c r="H34" s="447">
        <f>IF(AND(ISNUMBER(MATCH(C34,{"F","E","D","D+","C","C+","B","B+","A","A+","S"},0)),ISNUMBER(MATCH(D34,{"F","E","D","D+","C","C+","B","B+","A","A+","S"},0)),ISNUMBER(MATCH(E34,{"F","E","D","D+","C","C+","B","B+","A","A+","S"},0)),ISNUMBER(MATCH(F34,{"F","E","D","D+","C","C+","B","B+","A","A+","S"},0))),_xlfn.SWITCH(C34,"F",0,"E",1,"D",2,"D+",3,"C",4,"C+",5,"B",6,"B+",7,"A",8,"A+",9,"S",10)*0.1+_xlfn.SWITCH(D34,"F",0,"E",1,"D",2,"D+",3,"C",4,"C+",5,"B",6,"B+",7,"A",8,"A+",9,"S",10)*0.4+_xlfn.SWITCH(E34,"F",0,"E",1,"D",2,"D+",3,"C",4,"C+",5,"B",6,"B+",7,"A",8,"A+",9,"S",10)*0.3+_xlfn.SWITCH(F34,"F",0,"E",1,"D",2,"D+",3,"C",4,"C+",5,"B",6,"B+",7,"A",8,"A+",9,"S",10)*0.2,"")</f>
        <v>6</v>
      </c>
      <c r="I34" s="448" t="s">
        <v>4989</v>
      </c>
      <c r="J34" s="439"/>
      <c r="K34" s="441"/>
      <c r="L34" s="440"/>
      <c r="M34" s="440"/>
      <c r="N34" s="440"/>
      <c r="O34" s="440"/>
    </row>
    <row r="35" spans="1:15" ht="34">
      <c r="A35" s="445" t="s">
        <v>234</v>
      </c>
      <c r="B35" s="450" t="s">
        <v>68</v>
      </c>
      <c r="C35" s="445" t="s">
        <v>18</v>
      </c>
      <c r="D35" s="445" t="s">
        <v>1567</v>
      </c>
      <c r="E35" s="445" t="s">
        <v>18</v>
      </c>
      <c r="F35" s="445" t="s">
        <v>18</v>
      </c>
      <c r="G35" s="445" t="str">
        <f>IF(AND(ISNUMBER(MATCH(D35,{"F","E","D","D+","C","C+","B","B+","A","A+","S"},0)),ISNUMBER(MATCH(E35,{"F","E","D","D+","C","C+","B","B+","A","A+","S"},0)),ISNUMBER(MATCH(F35,{"F","E","D","D+","C","C+","B","B+","A","A+","S"},0))),LOOKUP(AVERAGE(_xlfn.SWITCH(D35,"F",0,"E",10,"D",20,"D+",30,"C",40,"C+",50,"B",60,"B+",70,"A",80,"A+",90,"S",100),_xlfn.SWITCH(E35,"F",0,"E",10,"D",20,"D+",30,"C",40,"C+",50,"B",60,"B+",70,"A",80,"A+",90,"S",100),_xlfn.SWITCH(F35,"F",0,"E",10,"D",20,"D+",30,"C",40,"C+",50,"B",60,"B+",70,"A",80,"A+",90,"S",100)),{0,15,25,35,45,55,65,75,85,95},{"D","D","D+","C","C+","B","B+","A","A+","S"}),"?")</f>
        <v>B</v>
      </c>
      <c r="H35" s="447">
        <f>IF(AND(ISNUMBER(MATCH(C35,{"F","E","D","D+","C","C+","B","B+","A","A+","S"},0)),ISNUMBER(MATCH(D35,{"F","E","D","D+","C","C+","B","B+","A","A+","S"},0)),ISNUMBER(MATCH(E35,{"F","E","D","D+","C","C+","B","B+","A","A+","S"},0)),ISNUMBER(MATCH(F35,{"F","E","D","D+","C","C+","B","B+","A","A+","S"},0))),_xlfn.SWITCH(C35,"F",0,"E",1,"D",2,"D+",3,"C",4,"C+",5,"B",6,"B+",7,"A",8,"A+",9,"S",10)*0.1+_xlfn.SWITCH(D35,"F",0,"E",1,"D",2,"D+",3,"C",4,"C+",5,"B",6,"B+",7,"A",8,"A+",9,"S",10)*0.4+_xlfn.SWITCH(E35,"F",0,"E",1,"D",2,"D+",3,"C",4,"C+",5,"B",6,"B+",7,"A",8,"A+",9,"S",10)*0.3+_xlfn.SWITCH(F35,"F",0,"E",1,"D",2,"D+",3,"C",4,"C+",5,"B",6,"B+",7,"A",8,"A+",9,"S",10)*0.2,"")</f>
        <v>6.4</v>
      </c>
      <c r="I35" s="459" t="s">
        <v>4990</v>
      </c>
      <c r="J35" s="439"/>
      <c r="K35" s="441"/>
      <c r="L35" s="440"/>
      <c r="M35" s="440"/>
      <c r="N35" s="440"/>
      <c r="O35" s="440"/>
    </row>
    <row r="36" spans="1:15" ht="34">
      <c r="A36" s="445" t="s">
        <v>240</v>
      </c>
      <c r="B36" s="446" t="s">
        <v>241</v>
      </c>
      <c r="C36" s="445" t="s">
        <v>18</v>
      </c>
      <c r="D36" s="445" t="s">
        <v>1562</v>
      </c>
      <c r="E36" s="445" t="s">
        <v>1562</v>
      </c>
      <c r="F36" s="445" t="s">
        <v>1562</v>
      </c>
      <c r="G36" s="445" t="str">
        <f>IF(AND(ISNUMBER(MATCH(D36,{"F","E","D","D+","C","C+","B","B+","A","A+","S"},0)),ISNUMBER(MATCH(E36,{"F","E","D","D+","C","C+","B","B+","A","A+","S"},0)),ISNUMBER(MATCH(F36,{"F","E","D","D+","C","C+","B","B+","A","A+","S"},0))),LOOKUP(AVERAGE(_xlfn.SWITCH(D36,"F",0,"E",10,"D",20,"D+",30,"C",40,"C+",50,"B",60,"B+",70,"A",80,"A+",90,"S",100),_xlfn.SWITCH(E36,"F",0,"E",10,"D",20,"D+",30,"C",40,"C+",50,"B",60,"B+",70,"A",80,"A+",90,"S",100),_xlfn.SWITCH(F36,"F",0,"E",10,"D",20,"D+",30,"C",40,"C+",50,"B",60,"B+",70,"A",80,"A+",90,"S",100)),{0,15,25,35,45,55,65,75,85,95},{"D","D","D+","C","C+","B","B+","A","A+","S"}),"?")</f>
        <v>C+</v>
      </c>
      <c r="H36" s="447">
        <f>IF(AND(ISNUMBER(MATCH(C36,{"F","E","D","D+","C","C+","B","B+","A","A+","S"},0)),ISNUMBER(MATCH(D36,{"F","E","D","D+","C","C+","B","B+","A","A+","S"},0)),ISNUMBER(MATCH(E36,{"F","E","D","D+","C","C+","B","B+","A","A+","S"},0)),ISNUMBER(MATCH(F36,{"F","E","D","D+","C","C+","B","B+","A","A+","S"},0))),_xlfn.SWITCH(C36,"F",0,"E",1,"D",2,"D+",3,"C",4,"C+",5,"B",6,"B+",7,"A",8,"A+",9,"S",10)*0.1+_xlfn.SWITCH(D36,"F",0,"E",1,"D",2,"D+",3,"C",4,"C+",5,"B",6,"B+",7,"A",8,"A+",9,"S",10)*0.4+_xlfn.SWITCH(E36,"F",0,"E",1,"D",2,"D+",3,"C",4,"C+",5,"B",6,"B+",7,"A",8,"A+",9,"S",10)*0.3+_xlfn.SWITCH(F36,"F",0,"E",1,"D",2,"D+",3,"C",4,"C+",5,"B",6,"B+",7,"A",8,"A+",9,"S",10)*0.2,"")</f>
        <v>5.0999999999999996</v>
      </c>
      <c r="I36" s="459" t="s">
        <v>4991</v>
      </c>
      <c r="J36" s="439"/>
      <c r="K36" s="441"/>
      <c r="L36" s="440"/>
      <c r="M36" s="440"/>
      <c r="N36" s="440"/>
      <c r="O36" s="440"/>
    </row>
    <row r="37" spans="1:15">
      <c r="A37" s="445" t="s">
        <v>245</v>
      </c>
      <c r="B37" s="446" t="s">
        <v>246</v>
      </c>
      <c r="C37" s="445" t="s">
        <v>1661</v>
      </c>
      <c r="D37" s="445"/>
      <c r="E37" s="445"/>
      <c r="F37" s="445"/>
      <c r="G37" s="445" t="str">
        <f>IF(AND(ISNUMBER(MATCH(D37,{"F","E","D","D+","C","C+","B","B+","A","A+","S"},0)),ISNUMBER(MATCH(E37,{"F","E","D","D+","C","C+","B","B+","A","A+","S"},0)),ISNUMBER(MATCH(F37,{"F","E","D","D+","C","C+","B","B+","A","A+","S"},0))),LOOKUP(AVERAGE(_xlfn.SWITCH(D37,"F",0,"E",10,"D",20,"D+",30,"C",40,"C+",50,"B",60,"B+",70,"A",80,"A+",90,"S",100),_xlfn.SWITCH(E37,"F",0,"E",10,"D",20,"D+",30,"C",40,"C+",50,"B",60,"B+",70,"A",80,"A+",90,"S",100),_xlfn.SWITCH(F37,"F",0,"E",10,"D",20,"D+",30,"C",40,"C+",50,"B",60,"B+",70,"A",80,"A+",90,"S",100)),{0,15,25,35,45,55,65,75,85,95},{"D","D","D+","C","C+","B","B+","A","A+","S"}),"?")</f>
        <v>?</v>
      </c>
      <c r="H37" s="447" t="str">
        <f>IF(AND(ISNUMBER(MATCH(C37,{"F","E","D","D+","C","C+","B","B+","A","A+","S"},0)),ISNUMBER(MATCH(D37,{"F","E","D","D+","C","C+","B","B+","A","A+","S"},0)),ISNUMBER(MATCH(E37,{"F","E","D","D+","C","C+","B","B+","A","A+","S"},0)),ISNUMBER(MATCH(F37,{"F","E","D","D+","C","C+","B","B+","A","A+","S"},0))),_xlfn.SWITCH(C37,"F",0,"E",1,"D",2,"D+",3,"C",4,"C+",5,"B",6,"B+",7,"A",8,"A+",9,"S",10)*0.1+_xlfn.SWITCH(D37,"F",0,"E",1,"D",2,"D+",3,"C",4,"C+",5,"B",6,"B+",7,"A",8,"A+",9,"S",10)*0.4+_xlfn.SWITCH(E37,"F",0,"E",1,"D",2,"D+",3,"C",4,"C+",5,"B",6,"B+",7,"A",8,"A+",9,"S",10)*0.3+_xlfn.SWITCH(F37,"F",0,"E",1,"D",2,"D+",3,"C",4,"C+",5,"B",6,"B+",7,"A",8,"A+",9,"S",10)*0.2,"")</f>
        <v/>
      </c>
      <c r="I37" s="448" t="s">
        <v>4992</v>
      </c>
      <c r="J37" s="439"/>
      <c r="K37" s="441"/>
      <c r="L37" s="440"/>
      <c r="M37" s="440"/>
      <c r="N37" s="440"/>
      <c r="O37" s="440"/>
    </row>
    <row r="38" spans="1:15">
      <c r="A38" s="445" t="s">
        <v>251</v>
      </c>
      <c r="B38" s="446" t="s">
        <v>252</v>
      </c>
      <c r="C38" s="445" t="s">
        <v>1574</v>
      </c>
      <c r="D38" s="445"/>
      <c r="E38" s="445"/>
      <c r="F38" s="445"/>
      <c r="G38" s="445" t="str">
        <f>IF(AND(ISNUMBER(MATCH(D38,{"F","E","D","D+","C","C+","B","B+","A","A+","S"},0)),ISNUMBER(MATCH(E38,{"F","E","D","D+","C","C+","B","B+","A","A+","S"},0)),ISNUMBER(MATCH(F38,{"F","E","D","D+","C","C+","B","B+","A","A+","S"},0))),LOOKUP(AVERAGE(_xlfn.SWITCH(D38,"F",0,"E",10,"D",20,"D+",30,"C",40,"C+",50,"B",60,"B+",70,"A",80,"A+",90,"S",100),_xlfn.SWITCH(E38,"F",0,"E",10,"D",20,"D+",30,"C",40,"C+",50,"B",60,"B+",70,"A",80,"A+",90,"S",100),_xlfn.SWITCH(F38,"F",0,"E",10,"D",20,"D+",30,"C",40,"C+",50,"B",60,"B+",70,"A",80,"A+",90,"S",100)),{0,15,25,35,45,55,65,75,85,95},{"D","D","D+","C","C+","B","B+","A","A+","S"}),"?")</f>
        <v>?</v>
      </c>
      <c r="H38" s="447" t="str">
        <f>IF(AND(ISNUMBER(MATCH(C38,{"F","E","D","D+","C","C+","B","B+","A","A+","S"},0)),ISNUMBER(MATCH(D38,{"F","E","D","D+","C","C+","B","B+","A","A+","S"},0)),ISNUMBER(MATCH(E38,{"F","E","D","D+","C","C+","B","B+","A","A+","S"},0)),ISNUMBER(MATCH(F38,{"F","E","D","D+","C","C+","B","B+","A","A+","S"},0))),_xlfn.SWITCH(C38,"F",0,"E",1,"D",2,"D+",3,"C",4,"C+",5,"B",6,"B+",7,"A",8,"A+",9,"S",10)*0.1+_xlfn.SWITCH(D38,"F",0,"E",1,"D",2,"D+",3,"C",4,"C+",5,"B",6,"B+",7,"A",8,"A+",9,"S",10)*0.4+_xlfn.SWITCH(E38,"F",0,"E",1,"D",2,"D+",3,"C",4,"C+",5,"B",6,"B+",7,"A",8,"A+",9,"S",10)*0.3+_xlfn.SWITCH(F38,"F",0,"E",1,"D",2,"D+",3,"C",4,"C+",5,"B",6,"B+",7,"A",8,"A+",9,"S",10)*0.2,"")</f>
        <v/>
      </c>
      <c r="I38" s="448" t="s">
        <v>4993</v>
      </c>
      <c r="J38" s="439"/>
      <c r="K38" s="441"/>
      <c r="L38" s="440"/>
      <c r="M38" s="440"/>
      <c r="N38" s="440"/>
      <c r="O38" s="440"/>
    </row>
    <row r="39" spans="1:15">
      <c r="A39" s="445" t="s">
        <v>258</v>
      </c>
      <c r="B39" s="450" t="s">
        <v>259</v>
      </c>
      <c r="C39" s="445" t="s">
        <v>1567</v>
      </c>
      <c r="D39" s="445" t="s">
        <v>21</v>
      </c>
      <c r="E39" s="445" t="s">
        <v>18</v>
      </c>
      <c r="F39" s="445" t="s">
        <v>21</v>
      </c>
      <c r="G39" s="445" t="str">
        <f>IF(AND(ISNUMBER(MATCH(D39,{"F","E","D","D+","C","C+","B","B+","A","A+","S"},0)),ISNUMBER(MATCH(E39,{"F","E","D","D+","C","C+","B","B+","A","A+","S"},0)),ISNUMBER(MATCH(F39,{"F","E","D","D+","C","C+","B","B+","A","A+","S"},0))),LOOKUP(AVERAGE(_xlfn.SWITCH(D39,"F",0,"E",10,"D",20,"D+",30,"C",40,"C+",50,"B",60,"B+",70,"A",80,"A+",90,"S",100),_xlfn.SWITCH(E39,"F",0,"E",10,"D",20,"D+",30,"C",40,"C+",50,"B",60,"B+",70,"A",80,"A+",90,"S",100),_xlfn.SWITCH(F39,"F",0,"E",10,"D",20,"D+",30,"C",40,"C+",50,"B",60,"B+",70,"A",80,"A+",90,"S",100)),{0,15,25,35,45,55,65,75,85,95},{"D","D","D+","C","C+","B","B+","A","A+","S"}),"?")</f>
        <v>B+</v>
      </c>
      <c r="H39" s="447">
        <f>IF(AND(ISNUMBER(MATCH(C39,{"F","E","D","D+","C","C+","B","B+","A","A+","S"},0)),ISNUMBER(MATCH(D39,{"F","E","D","D+","C","C+","B","B+","A","A+","S"},0)),ISNUMBER(MATCH(E39,{"F","E","D","D+","C","C+","B","B+","A","A+","S"},0)),ISNUMBER(MATCH(F39,{"F","E","D","D+","C","C+","B","B+","A","A+","S"},0))),_xlfn.SWITCH(C39,"F",0,"E",1,"D",2,"D+",3,"C",4,"C+",5,"B",6,"B+",7,"A",8,"A+",9,"S",10)*0.1+_xlfn.SWITCH(D39,"F",0,"E",1,"D",2,"D+",3,"C",4,"C+",5,"B",6,"B+",7,"A",8,"A+",9,"S",10)*0.4+_xlfn.SWITCH(E39,"F",0,"E",1,"D",2,"D+",3,"C",4,"C+",5,"B",6,"B+",7,"A",8,"A+",9,"S",10)*0.3+_xlfn.SWITCH(F39,"F",0,"E",1,"D",2,"D+",3,"C",4,"C+",5,"B",6,"B+",7,"A",8,"A+",9,"S",10)*0.2,"")</f>
        <v>7.3000000000000007</v>
      </c>
      <c r="I39" s="448" t="s">
        <v>4994</v>
      </c>
      <c r="J39" s="439"/>
      <c r="K39" s="441"/>
      <c r="L39" s="440"/>
      <c r="M39" s="440"/>
      <c r="N39" s="440"/>
      <c r="O39" s="440"/>
    </row>
    <row r="40" spans="1:15">
      <c r="A40" s="445" t="s">
        <v>265</v>
      </c>
      <c r="B40" s="446" t="s">
        <v>266</v>
      </c>
      <c r="C40" s="445" t="s">
        <v>1574</v>
      </c>
      <c r="D40" s="445"/>
      <c r="E40" s="445"/>
      <c r="F40" s="445"/>
      <c r="G40" s="445" t="str">
        <f>IF(AND(ISNUMBER(MATCH(D40,{"F","E","D","D+","C","C+","B","B+","A","A+","S"},0)),ISNUMBER(MATCH(E40,{"F","E","D","D+","C","C+","B","B+","A","A+","S"},0)),ISNUMBER(MATCH(F40,{"F","E","D","D+","C","C+","B","B+","A","A+","S"},0))),LOOKUP(AVERAGE(_xlfn.SWITCH(D40,"F",0,"E",10,"D",20,"D+",30,"C",40,"C+",50,"B",60,"B+",70,"A",80,"A+",90,"S",100),_xlfn.SWITCH(E40,"F",0,"E",10,"D",20,"D+",30,"C",40,"C+",50,"B",60,"B+",70,"A",80,"A+",90,"S",100),_xlfn.SWITCH(F40,"F",0,"E",10,"D",20,"D+",30,"C",40,"C+",50,"B",60,"B+",70,"A",80,"A+",90,"S",100)),{0,15,25,35,45,55,65,75,85,95},{"D","D","D+","C","C+","B","B+","A","A+","S"}),"?")</f>
        <v>?</v>
      </c>
      <c r="H40" s="447" t="str">
        <f>IF(AND(ISNUMBER(MATCH(C40,{"F","E","D","D+","C","C+","B","B+","A","A+","S"},0)),ISNUMBER(MATCH(D40,{"F","E","D","D+","C","C+","B","B+","A","A+","S"},0)),ISNUMBER(MATCH(E40,{"F","E","D","D+","C","C+","B","B+","A","A+","S"},0)),ISNUMBER(MATCH(F40,{"F","E","D","D+","C","C+","B","B+","A","A+","S"},0))),_xlfn.SWITCH(C40,"F",0,"E",1,"D",2,"D+",3,"C",4,"C+",5,"B",6,"B+",7,"A",8,"A+",9,"S",10)*0.1+_xlfn.SWITCH(D40,"F",0,"E",1,"D",2,"D+",3,"C",4,"C+",5,"B",6,"B+",7,"A",8,"A+",9,"S",10)*0.4+_xlfn.SWITCH(E40,"F",0,"E",1,"D",2,"D+",3,"C",4,"C+",5,"B",6,"B+",7,"A",8,"A+",9,"S",10)*0.3+_xlfn.SWITCH(F40,"F",0,"E",1,"D",2,"D+",3,"C",4,"C+",5,"B",6,"B+",7,"A",8,"A+",9,"S",10)*0.2,"")</f>
        <v/>
      </c>
      <c r="I40" s="448" t="s">
        <v>4995</v>
      </c>
      <c r="J40" s="439"/>
      <c r="K40" s="441"/>
      <c r="L40" s="440"/>
      <c r="M40" s="440"/>
      <c r="N40" s="440"/>
      <c r="O40" s="440"/>
    </row>
    <row r="41" spans="1:15">
      <c r="A41" s="445" t="s">
        <v>271</v>
      </c>
      <c r="B41" s="450" t="s">
        <v>272</v>
      </c>
      <c r="C41" s="445" t="s">
        <v>28</v>
      </c>
      <c r="D41" s="445" t="s">
        <v>1567</v>
      </c>
      <c r="E41" s="445" t="s">
        <v>21</v>
      </c>
      <c r="F41" s="445" t="s">
        <v>21</v>
      </c>
      <c r="G41" s="445" t="str">
        <f>IF(AND(ISNUMBER(MATCH(D41,{"F","E","D","D+","C","C+","B","B+","A","A+","S"},0)),ISNUMBER(MATCH(E41,{"F","E","D","D+","C","C+","B","B+","A","A+","S"},0)),ISNUMBER(MATCH(F41,{"F","E","D","D+","C","C+","B","B+","A","A+","S"},0))),LOOKUP(AVERAGE(_xlfn.SWITCH(D41,"F",0,"E",10,"D",20,"D+",30,"C",40,"C+",50,"B",60,"B+",70,"A",80,"A+",90,"S",100),_xlfn.SWITCH(E41,"F",0,"E",10,"D",20,"D+",30,"C",40,"C+",50,"B",60,"B+",70,"A",80,"A+",90,"S",100),_xlfn.SWITCH(F41,"F",0,"E",10,"D",20,"D+",30,"C",40,"C+",50,"B",60,"B+",70,"A",80,"A+",90,"S",100)),{0,15,25,35,45,55,65,75,85,95},{"D","D","D+","C","C+","B","B+","A","A+","S"}),"?")</f>
        <v>A</v>
      </c>
      <c r="H41" s="447">
        <f>IF(AND(ISNUMBER(MATCH(C41,{"F","E","D","D+","C","C+","B","B+","A","A+","S"},0)),ISNUMBER(MATCH(D41,{"F","E","D","D+","C","C+","B","B+","A","A+","S"},0)),ISNUMBER(MATCH(E41,{"F","E","D","D+","C","C+","B","B+","A","A+","S"},0)),ISNUMBER(MATCH(F41,{"F","E","D","D+","C","C+","B","B+","A","A+","S"},0))),_xlfn.SWITCH(C41,"F",0,"E",1,"D",2,"D+",3,"C",4,"C+",5,"B",6,"B+",7,"A",8,"A+",9,"S",10)*0.1+_xlfn.SWITCH(D41,"F",0,"E",1,"D",2,"D+",3,"C",4,"C+",5,"B",6,"B+",7,"A",8,"A+",9,"S",10)*0.4+_xlfn.SWITCH(E41,"F",0,"E",1,"D",2,"D+",3,"C",4,"C+",5,"B",6,"B+",7,"A",8,"A+",9,"S",10)*0.3+_xlfn.SWITCH(F41,"F",0,"E",1,"D",2,"D+",3,"C",4,"C+",5,"B",6,"B+",7,"A",8,"A+",9,"S",10)*0.2,"")</f>
        <v>7.6999999999999993</v>
      </c>
      <c r="I41" s="448" t="s">
        <v>4996</v>
      </c>
      <c r="J41" s="439"/>
      <c r="K41" s="441"/>
      <c r="L41" s="440"/>
      <c r="M41" s="440"/>
      <c r="N41" s="440"/>
      <c r="O41" s="440"/>
    </row>
    <row r="42" spans="1:15">
      <c r="A42" s="445" t="s">
        <v>121</v>
      </c>
      <c r="B42" s="450" t="s">
        <v>122</v>
      </c>
      <c r="C42" s="445" t="s">
        <v>21</v>
      </c>
      <c r="D42" s="445" t="s">
        <v>28</v>
      </c>
      <c r="E42" s="445" t="s">
        <v>21</v>
      </c>
      <c r="F42" s="445" t="s">
        <v>21</v>
      </c>
      <c r="G42" s="445" t="str">
        <f>IF(AND(ISNUMBER(MATCH(D42,{"F","E","D","D+","C","C+","B","B+","A","A+","S"},0)),ISNUMBER(MATCH(E42,{"F","E","D","D+","C","C+","B","B+","A","A+","S"},0)),ISNUMBER(MATCH(F42,{"F","E","D","D+","C","C+","B","B+","A","A+","S"},0))),LOOKUP(AVERAGE(_xlfn.SWITCH(D42,"F",0,"E",10,"D",20,"D+",30,"C",40,"C+",50,"B",60,"B+",70,"A",80,"A+",90,"S",100),_xlfn.SWITCH(E42,"F",0,"E",10,"D",20,"D+",30,"C",40,"C+",50,"B",60,"B+",70,"A",80,"A+",90,"S",100),_xlfn.SWITCH(F42,"F",0,"E",10,"D",20,"D+",30,"C",40,"C+",50,"B",60,"B+",70,"A",80,"A+",90,"S",100)),{0,15,25,35,45,55,65,75,85,95},{"D","D","D+","C","C+","B","B+","A","A+","S"}),"?")</f>
        <v>A</v>
      </c>
      <c r="H42" s="447">
        <f>IF(AND(ISNUMBER(MATCH(C42,{"F","E","D","D+","C","C+","B","B+","A","A+","S"},0)),ISNUMBER(MATCH(D42,{"F","E","D","D+","C","C+","B","B+","A","A+","S"},0)),ISNUMBER(MATCH(E42,{"F","E","D","D+","C","C+","B","B+","A","A+","S"},0)),ISNUMBER(MATCH(F42,{"F","E","D","D+","C","C+","B","B+","A","A+","S"},0))),_xlfn.SWITCH(C42,"F",0,"E",1,"D",2,"D+",3,"C",4,"C+",5,"B",6,"B+",7,"A",8,"A+",9,"S",10)*0.1+_xlfn.SWITCH(D42,"F",0,"E",1,"D",2,"D+",3,"C",4,"C+",5,"B",6,"B+",7,"A",8,"A+",9,"S",10)*0.4+_xlfn.SWITCH(E42,"F",0,"E",1,"D",2,"D+",3,"C",4,"C+",5,"B",6,"B+",7,"A",8,"A+",9,"S",10)*0.3+_xlfn.SWITCH(F42,"F",0,"E",1,"D",2,"D+",3,"C",4,"C+",5,"B",6,"B+",7,"A",8,"A+",9,"S",10)*0.2,"")</f>
        <v>8.4</v>
      </c>
      <c r="I42" s="448" t="s">
        <v>4997</v>
      </c>
      <c r="J42" s="439"/>
      <c r="K42" s="441"/>
      <c r="L42" s="440"/>
      <c r="M42" s="440"/>
      <c r="N42" s="440"/>
      <c r="O42" s="440"/>
    </row>
    <row r="43" spans="1:15">
      <c r="A43" s="445" t="s">
        <v>281</v>
      </c>
      <c r="B43" s="446" t="s">
        <v>282</v>
      </c>
      <c r="C43" s="445" t="s">
        <v>18</v>
      </c>
      <c r="D43" s="445"/>
      <c r="E43" s="445"/>
      <c r="F43" s="445"/>
      <c r="G43" s="445" t="str">
        <f>IF(AND(ISNUMBER(MATCH(D43,{"F","E","D","D+","C","C+","B","B+","A","A+","S"},0)),ISNUMBER(MATCH(E43,{"F","E","D","D+","C","C+","B","B+","A","A+","S"},0)),ISNUMBER(MATCH(F43,{"F","E","D","D+","C","C+","B","B+","A","A+","S"},0))),LOOKUP(AVERAGE(_xlfn.SWITCH(D43,"F",0,"E",10,"D",20,"D+",30,"C",40,"C+",50,"B",60,"B+",70,"A",80,"A+",90,"S",100),_xlfn.SWITCH(E43,"F",0,"E",10,"D",20,"D+",30,"C",40,"C+",50,"B",60,"B+",70,"A",80,"A+",90,"S",100),_xlfn.SWITCH(F43,"F",0,"E",10,"D",20,"D+",30,"C",40,"C+",50,"B",60,"B+",70,"A",80,"A+",90,"S",100)),{0,15,25,35,45,55,65,75,85,95},{"D","D","D+","C","C+","B","B+","A","A+","S"}),"?")</f>
        <v>?</v>
      </c>
      <c r="H43" s="447" t="str">
        <f>IF(AND(ISNUMBER(MATCH(C43,{"F","E","D","D+","C","C+","B","B+","A","A+","S"},0)),ISNUMBER(MATCH(D43,{"F","E","D","D+","C","C+","B","B+","A","A+","S"},0)),ISNUMBER(MATCH(E43,{"F","E","D","D+","C","C+","B","B+","A","A+","S"},0)),ISNUMBER(MATCH(F43,{"F","E","D","D+","C","C+","B","B+","A","A+","S"},0))),_xlfn.SWITCH(C43,"F",0,"E",1,"D",2,"D+",3,"C",4,"C+",5,"B",6,"B+",7,"A",8,"A+",9,"S",10)*0.1+_xlfn.SWITCH(D43,"F",0,"E",1,"D",2,"D+",3,"C",4,"C+",5,"B",6,"B+",7,"A",8,"A+",9,"S",10)*0.4+_xlfn.SWITCH(E43,"F",0,"E",1,"D",2,"D+",3,"C",4,"C+",5,"B",6,"B+",7,"A",8,"A+",9,"S",10)*0.3+_xlfn.SWITCH(F43,"F",0,"E",1,"D",2,"D+",3,"C",4,"C+",5,"B",6,"B+",7,"A",8,"A+",9,"S",10)*0.2,"")</f>
        <v/>
      </c>
      <c r="I43" s="448" t="s">
        <v>4998</v>
      </c>
      <c r="J43" s="439"/>
      <c r="K43" s="441"/>
      <c r="L43" s="440"/>
      <c r="M43" s="440"/>
      <c r="N43" s="440"/>
      <c r="O43" s="440"/>
    </row>
    <row r="44" spans="1:15">
      <c r="A44" s="445" t="s">
        <v>287</v>
      </c>
      <c r="B44" s="446" t="s">
        <v>288</v>
      </c>
      <c r="C44" s="445" t="s">
        <v>18</v>
      </c>
      <c r="D44" s="445" t="s">
        <v>1562</v>
      </c>
      <c r="E44" s="445" t="s">
        <v>1562</v>
      </c>
      <c r="F44" s="445" t="s">
        <v>1562</v>
      </c>
      <c r="G44" s="445" t="str">
        <f>IF(AND(ISNUMBER(MATCH(D44,{"F","E","D","D+","C","C+","B","B+","A","A+","S"},0)),ISNUMBER(MATCH(E44,{"F","E","D","D+","C","C+","B","B+","A","A+","S"},0)),ISNUMBER(MATCH(F44,{"F","E","D","D+","C","C+","B","B+","A","A+","S"},0))),LOOKUP(AVERAGE(_xlfn.SWITCH(D44,"F",0,"E",10,"D",20,"D+",30,"C",40,"C+",50,"B",60,"B+",70,"A",80,"A+",90,"S",100),_xlfn.SWITCH(E44,"F",0,"E",10,"D",20,"D+",30,"C",40,"C+",50,"B",60,"B+",70,"A",80,"A+",90,"S",100),_xlfn.SWITCH(F44,"F",0,"E",10,"D",20,"D+",30,"C",40,"C+",50,"B",60,"B+",70,"A",80,"A+",90,"S",100)),{0,15,25,35,45,55,65,75,85,95},{"D","D","D+","C","C+","B","B+","A","A+","S"}),"?")</f>
        <v>C+</v>
      </c>
      <c r="H44" s="447">
        <f>IF(AND(ISNUMBER(MATCH(C44,{"F","E","D","D+","C","C+","B","B+","A","A+","S"},0)),ISNUMBER(MATCH(D44,{"F","E","D","D+","C","C+","B","B+","A","A+","S"},0)),ISNUMBER(MATCH(E44,{"F","E","D","D+","C","C+","B","B+","A","A+","S"},0)),ISNUMBER(MATCH(F44,{"F","E","D","D+","C","C+","B","B+","A","A+","S"},0))),_xlfn.SWITCH(C44,"F",0,"E",1,"D",2,"D+",3,"C",4,"C+",5,"B",6,"B+",7,"A",8,"A+",9,"S",10)*0.1+_xlfn.SWITCH(D44,"F",0,"E",1,"D",2,"D+",3,"C",4,"C+",5,"B",6,"B+",7,"A",8,"A+",9,"S",10)*0.4+_xlfn.SWITCH(E44,"F",0,"E",1,"D",2,"D+",3,"C",4,"C+",5,"B",6,"B+",7,"A",8,"A+",9,"S",10)*0.3+_xlfn.SWITCH(F44,"F",0,"E",1,"D",2,"D+",3,"C",4,"C+",5,"B",6,"B+",7,"A",8,"A+",9,"S",10)*0.2,"")</f>
        <v>5.0999999999999996</v>
      </c>
      <c r="I44" s="448" t="s">
        <v>4999</v>
      </c>
      <c r="J44" s="439"/>
      <c r="K44" s="441"/>
      <c r="L44" s="440"/>
      <c r="M44" s="440"/>
      <c r="N44" s="440"/>
      <c r="O44" s="440"/>
    </row>
    <row r="45" spans="1:15">
      <c r="A45" s="445" t="s">
        <v>294</v>
      </c>
      <c r="B45" s="446" t="s">
        <v>295</v>
      </c>
      <c r="C45" s="445" t="s">
        <v>1562</v>
      </c>
      <c r="D45" s="445"/>
      <c r="E45" s="445"/>
      <c r="F45" s="445"/>
      <c r="G45" s="445" t="str">
        <f>IF(AND(ISNUMBER(MATCH(D45,{"F","E","D","D+","C","C+","B","B+","A","A+","S"},0)),ISNUMBER(MATCH(E45,{"F","E","D","D+","C","C+","B","B+","A","A+","S"},0)),ISNUMBER(MATCH(F45,{"F","E","D","D+","C","C+","B","B+","A","A+","S"},0))),LOOKUP(AVERAGE(_xlfn.SWITCH(D45,"F",0,"E",10,"D",20,"D+",30,"C",40,"C+",50,"B",60,"B+",70,"A",80,"A+",90,"S",100),_xlfn.SWITCH(E45,"F",0,"E",10,"D",20,"D+",30,"C",40,"C+",50,"B",60,"B+",70,"A",80,"A+",90,"S",100),_xlfn.SWITCH(F45,"F",0,"E",10,"D",20,"D+",30,"C",40,"C+",50,"B",60,"B+",70,"A",80,"A+",90,"S",100)),{0,15,25,35,45,55,65,75,85,95},{"D","D","D+","C","C+","B","B+","A","A+","S"}),"?")</f>
        <v>?</v>
      </c>
      <c r="H45" s="447" t="str">
        <f>IF(AND(ISNUMBER(MATCH(C45,{"F","E","D","D+","C","C+","B","B+","A","A+","S"},0)),ISNUMBER(MATCH(D45,{"F","E","D","D+","C","C+","B","B+","A","A+","S"},0)),ISNUMBER(MATCH(E45,{"F","E","D","D+","C","C+","B","B+","A","A+","S"},0)),ISNUMBER(MATCH(F45,{"F","E","D","D+","C","C+","B","B+","A","A+","S"},0))),_xlfn.SWITCH(C45,"F",0,"E",1,"D",2,"D+",3,"C",4,"C+",5,"B",6,"B+",7,"A",8,"A+",9,"S",10)*0.1+_xlfn.SWITCH(D45,"F",0,"E",1,"D",2,"D+",3,"C",4,"C+",5,"B",6,"B+",7,"A",8,"A+",9,"S",10)*0.4+_xlfn.SWITCH(E45,"F",0,"E",1,"D",2,"D+",3,"C",4,"C+",5,"B",6,"B+",7,"A",8,"A+",9,"S",10)*0.3+_xlfn.SWITCH(F45,"F",0,"E",1,"D",2,"D+",3,"C",4,"C+",5,"B",6,"B+",7,"A",8,"A+",9,"S",10)*0.2,"")</f>
        <v/>
      </c>
      <c r="I45" s="448" t="s">
        <v>5000</v>
      </c>
      <c r="J45" s="439"/>
      <c r="K45" s="441"/>
      <c r="L45" s="440"/>
      <c r="M45" s="440"/>
      <c r="N45" s="440"/>
      <c r="O45" s="440"/>
    </row>
    <row r="46" spans="1:15" ht="34">
      <c r="A46" s="445" t="s">
        <v>39</v>
      </c>
      <c r="B46" s="446" t="s">
        <v>40</v>
      </c>
      <c r="C46" s="445" t="s">
        <v>21</v>
      </c>
      <c r="D46" s="445" t="s">
        <v>18</v>
      </c>
      <c r="E46" s="445" t="s">
        <v>18</v>
      </c>
      <c r="F46" s="445" t="s">
        <v>1562</v>
      </c>
      <c r="G46" s="445" t="str">
        <f>IF(AND(ISNUMBER(MATCH(D46,{"F","E","D","D+","C","C+","B","B+","A","A+","S"},0)),ISNUMBER(MATCH(E46,{"F","E","D","D+","C","C+","B","B+","A","A+","S"},0)),ISNUMBER(MATCH(F46,{"F","E","D","D+","C","C+","B","B+","A","A+","S"},0))),LOOKUP(AVERAGE(_xlfn.SWITCH(D46,"F",0,"E",10,"D",20,"D+",30,"C",40,"C+",50,"B",60,"B+",70,"A",80,"A+",90,"S",100),_xlfn.SWITCH(E46,"F",0,"E",10,"D",20,"D+",30,"C",40,"C+",50,"B",60,"B+",70,"A",80,"A+",90,"S",100),_xlfn.SWITCH(F46,"F",0,"E",10,"D",20,"D+",30,"C",40,"C+",50,"B",60,"B+",70,"A",80,"A+",90,"S",100)),{0,15,25,35,45,55,65,75,85,95},{"D","D","D+","C","C+","B","B+","A","A+","S"}),"?")</f>
        <v>B</v>
      </c>
      <c r="H46" s="447">
        <f>IF(AND(ISNUMBER(MATCH(C46,{"F","E","D","D+","C","C+","B","B+","A","A+","S"},0)),ISNUMBER(MATCH(D46,{"F","E","D","D+","C","C+","B","B+","A","A+","S"},0)),ISNUMBER(MATCH(E46,{"F","E","D","D+","C","C+","B","B+","A","A+","S"},0)),ISNUMBER(MATCH(F46,{"F","E","D","D+","C","C+","B","B+","A","A+","S"},0))),_xlfn.SWITCH(C46,"F",0,"E",1,"D",2,"D+",3,"C",4,"C+",5,"B",6,"B+",7,"A",8,"A+",9,"S",10)*0.1+_xlfn.SWITCH(D46,"F",0,"E",1,"D",2,"D+",3,"C",4,"C+",5,"B",6,"B+",7,"A",8,"A+",9,"S",10)*0.4+_xlfn.SWITCH(E46,"F",0,"E",1,"D",2,"D+",3,"C",4,"C+",5,"B",6,"B+",7,"A",8,"A+",9,"S",10)*0.3+_xlfn.SWITCH(F46,"F",0,"E",1,"D",2,"D+",3,"C",4,"C+",5,"B",6,"B+",7,"A",8,"A+",9,"S",10)*0.2,"")</f>
        <v>6</v>
      </c>
      <c r="I46" s="459" t="s">
        <v>5001</v>
      </c>
      <c r="J46" s="439"/>
      <c r="K46" s="441"/>
      <c r="L46" s="440"/>
      <c r="M46" s="440"/>
      <c r="N46" s="440"/>
      <c r="O46" s="440"/>
    </row>
    <row r="47" spans="1:15">
      <c r="A47" s="445" t="s">
        <v>304</v>
      </c>
      <c r="B47" s="446" t="s">
        <v>305</v>
      </c>
      <c r="C47" s="445" t="s">
        <v>1661</v>
      </c>
      <c r="D47" s="445"/>
      <c r="E47" s="445"/>
      <c r="F47" s="445"/>
      <c r="G47" s="445" t="str">
        <f>IF(AND(ISNUMBER(MATCH(D47,{"F","E","D","D+","C","C+","B","B+","A","A+","S"},0)),ISNUMBER(MATCH(E47,{"F","E","D","D+","C","C+","B","B+","A","A+","S"},0)),ISNUMBER(MATCH(F47,{"F","E","D","D+","C","C+","B","B+","A","A+","S"},0))),LOOKUP(AVERAGE(_xlfn.SWITCH(D47,"F",0,"E",10,"D",20,"D+",30,"C",40,"C+",50,"B",60,"B+",70,"A",80,"A+",90,"S",100),_xlfn.SWITCH(E47,"F",0,"E",10,"D",20,"D+",30,"C",40,"C+",50,"B",60,"B+",70,"A",80,"A+",90,"S",100),_xlfn.SWITCH(F47,"F",0,"E",10,"D",20,"D+",30,"C",40,"C+",50,"B",60,"B+",70,"A",80,"A+",90,"S",100)),{0,15,25,35,45,55,65,75,85,95},{"D","D","D+","C","C+","B","B+","A","A+","S"}),"?")</f>
        <v>?</v>
      </c>
      <c r="H47" s="447" t="str">
        <f>IF(AND(ISNUMBER(MATCH(C47,{"F","E","D","D+","C","C+","B","B+","A","A+","S"},0)),ISNUMBER(MATCH(D47,{"F","E","D","D+","C","C+","B","B+","A","A+","S"},0)),ISNUMBER(MATCH(E47,{"F","E","D","D+","C","C+","B","B+","A","A+","S"},0)),ISNUMBER(MATCH(F47,{"F","E","D","D+","C","C+","B","B+","A","A+","S"},0))),_xlfn.SWITCH(C47,"F",0,"E",1,"D",2,"D+",3,"C",4,"C+",5,"B",6,"B+",7,"A",8,"A+",9,"S",10)*0.1+_xlfn.SWITCH(D47,"F",0,"E",1,"D",2,"D+",3,"C",4,"C+",5,"B",6,"B+",7,"A",8,"A+",9,"S",10)*0.4+_xlfn.SWITCH(E47,"F",0,"E",1,"D",2,"D+",3,"C",4,"C+",5,"B",6,"B+",7,"A",8,"A+",9,"S",10)*0.3+_xlfn.SWITCH(F47,"F",0,"E",1,"D",2,"D+",3,"C",4,"C+",5,"B",6,"B+",7,"A",8,"A+",9,"S",10)*0.2,"")</f>
        <v/>
      </c>
      <c r="I47" s="448" t="s">
        <v>3670</v>
      </c>
      <c r="J47" s="439"/>
      <c r="K47" s="441"/>
      <c r="L47" s="440"/>
      <c r="M47" s="440"/>
      <c r="N47" s="440"/>
      <c r="O47" s="440"/>
    </row>
    <row r="48" spans="1:15">
      <c r="A48" s="445" t="s">
        <v>311</v>
      </c>
      <c r="B48" s="446" t="s">
        <v>312</v>
      </c>
      <c r="C48" s="445" t="s">
        <v>21</v>
      </c>
      <c r="D48" s="445" t="s">
        <v>18</v>
      </c>
      <c r="E48" s="445" t="s">
        <v>1562</v>
      </c>
      <c r="F48" s="445" t="s">
        <v>18</v>
      </c>
      <c r="G48" s="445" t="str">
        <f>IF(AND(ISNUMBER(MATCH(D48,{"F","E","D","D+","C","C+","B","B+","A","A+","S"},0)),ISNUMBER(MATCH(E48,{"F","E","D","D+","C","C+","B","B+","A","A+","S"},0)),ISNUMBER(MATCH(F48,{"F","E","D","D+","C","C+","B","B+","A","A+","S"},0))),LOOKUP(AVERAGE(_xlfn.SWITCH(D48,"F",0,"E",10,"D",20,"D+",30,"C",40,"C+",50,"B",60,"B+",70,"A",80,"A+",90,"S",100),_xlfn.SWITCH(E48,"F",0,"E",10,"D",20,"D+",30,"C",40,"C+",50,"B",60,"B+",70,"A",80,"A+",90,"S",100),_xlfn.SWITCH(F48,"F",0,"E",10,"D",20,"D+",30,"C",40,"C+",50,"B",60,"B+",70,"A",80,"A+",90,"S",100)),{0,15,25,35,45,55,65,75,85,95},{"D","D","D+","C","C+","B","B+","A","A+","S"}),"?")</f>
        <v>B</v>
      </c>
      <c r="H48" s="447">
        <f>IF(AND(ISNUMBER(MATCH(C48,{"F","E","D","D+","C","C+","B","B+","A","A+","S"},0)),ISNUMBER(MATCH(D48,{"F","E","D","D+","C","C+","B","B+","A","A+","S"},0)),ISNUMBER(MATCH(E48,{"F","E","D","D+","C","C+","B","B+","A","A+","S"},0)),ISNUMBER(MATCH(F48,{"F","E","D","D+","C","C+","B","B+","A","A+","S"},0))),_xlfn.SWITCH(C48,"F",0,"E",1,"D",2,"D+",3,"C",4,"C+",5,"B",6,"B+",7,"A",8,"A+",9,"S",10)*0.1+_xlfn.SWITCH(D48,"F",0,"E",1,"D",2,"D+",3,"C",4,"C+",5,"B",6,"B+",7,"A",8,"A+",9,"S",10)*0.4+_xlfn.SWITCH(E48,"F",0,"E",1,"D",2,"D+",3,"C",4,"C+",5,"B",6,"B+",7,"A",8,"A+",9,"S",10)*0.3+_xlfn.SWITCH(F48,"F",0,"E",1,"D",2,"D+",3,"C",4,"C+",5,"B",6,"B+",7,"A",8,"A+",9,"S",10)*0.2,"")</f>
        <v>5.9</v>
      </c>
      <c r="I48" s="448" t="s">
        <v>5002</v>
      </c>
      <c r="J48" s="439"/>
      <c r="K48" s="441"/>
      <c r="L48" s="440"/>
      <c r="M48" s="440"/>
      <c r="N48" s="440"/>
      <c r="O48" s="440"/>
    </row>
    <row r="49" spans="1:15">
      <c r="A49" s="445" t="s">
        <v>317</v>
      </c>
      <c r="B49" s="446" t="s">
        <v>318</v>
      </c>
      <c r="C49" s="445" t="s">
        <v>18</v>
      </c>
      <c r="D49" s="445"/>
      <c r="E49" s="445"/>
      <c r="F49" s="445"/>
      <c r="G49" s="445" t="str">
        <f>IF(AND(ISNUMBER(MATCH(D49,{"F","E","D","D+","C","C+","B","B+","A","A+","S"},0)),ISNUMBER(MATCH(E49,{"F","E","D","D+","C","C+","B","B+","A","A+","S"},0)),ISNUMBER(MATCH(F49,{"F","E","D","D+","C","C+","B","B+","A","A+","S"},0))),LOOKUP(AVERAGE(_xlfn.SWITCH(D49,"F",0,"E",10,"D",20,"D+",30,"C",40,"C+",50,"B",60,"B+",70,"A",80,"A+",90,"S",100),_xlfn.SWITCH(E49,"F",0,"E",10,"D",20,"D+",30,"C",40,"C+",50,"B",60,"B+",70,"A",80,"A+",90,"S",100),_xlfn.SWITCH(F49,"F",0,"E",10,"D",20,"D+",30,"C",40,"C+",50,"B",60,"B+",70,"A",80,"A+",90,"S",100)),{0,15,25,35,45,55,65,75,85,95},{"D","D","D+","C","C+","B","B+","A","A+","S"}),"?")</f>
        <v>?</v>
      </c>
      <c r="H49" s="447" t="str">
        <f>IF(AND(ISNUMBER(MATCH(C49,{"F","E","D","D+","C","C+","B","B+","A","A+","S"},0)),ISNUMBER(MATCH(D49,{"F","E","D","D+","C","C+","B","B+","A","A+","S"},0)),ISNUMBER(MATCH(E49,{"F","E","D","D+","C","C+","B","B+","A","A+","S"},0)),ISNUMBER(MATCH(F49,{"F","E","D","D+","C","C+","B","B+","A","A+","S"},0))),_xlfn.SWITCH(C49,"F",0,"E",1,"D",2,"D+",3,"C",4,"C+",5,"B",6,"B+",7,"A",8,"A+",9,"S",10)*0.1+_xlfn.SWITCH(D49,"F",0,"E",1,"D",2,"D+",3,"C",4,"C+",5,"B",6,"B+",7,"A",8,"A+",9,"S",10)*0.4+_xlfn.SWITCH(E49,"F",0,"E",1,"D",2,"D+",3,"C",4,"C+",5,"B",6,"B+",7,"A",8,"A+",9,"S",10)*0.3+_xlfn.SWITCH(F49,"F",0,"E",1,"D",2,"D+",3,"C",4,"C+",5,"B",6,"B+",7,"A",8,"A+",9,"S",10)*0.2,"")</f>
        <v/>
      </c>
      <c r="I49" s="448" t="s">
        <v>5003</v>
      </c>
      <c r="J49" s="439"/>
      <c r="K49" s="441"/>
      <c r="L49" s="440"/>
      <c r="M49" s="440"/>
      <c r="N49" s="440"/>
      <c r="O49" s="440"/>
    </row>
    <row r="50" spans="1:15" ht="34">
      <c r="A50" s="445" t="s">
        <v>323</v>
      </c>
      <c r="B50" s="450" t="s">
        <v>185</v>
      </c>
      <c r="C50" s="445" t="s">
        <v>28</v>
      </c>
      <c r="D50" s="445" t="s">
        <v>18</v>
      </c>
      <c r="E50" s="445" t="s">
        <v>18</v>
      </c>
      <c r="F50" s="445" t="s">
        <v>18</v>
      </c>
      <c r="G50" s="445" t="str">
        <f>IF(AND(ISNUMBER(MATCH(D50,{"F","E","D","D+","C","C+","B","B+","A","A+","S"},0)),ISNUMBER(MATCH(E50,{"F","E","D","D+","C","C+","B","B+","A","A+","S"},0)),ISNUMBER(MATCH(F50,{"F","E","D","D+","C","C+","B","B+","A","A+","S"},0))),LOOKUP(AVERAGE(_xlfn.SWITCH(D50,"F",0,"E",10,"D",20,"D+",30,"C",40,"C+",50,"B",60,"B+",70,"A",80,"A+",90,"S",100),_xlfn.SWITCH(E50,"F",0,"E",10,"D",20,"D+",30,"C",40,"C+",50,"B",60,"B+",70,"A",80,"A+",90,"S",100),_xlfn.SWITCH(F50,"F",0,"E",10,"D",20,"D+",30,"C",40,"C+",50,"B",60,"B+",70,"A",80,"A+",90,"S",100)),{0,15,25,35,45,55,65,75,85,95},{"D","D","D+","C","C+","B","B+","A","A+","S"}),"?")</f>
        <v>B</v>
      </c>
      <c r="H50" s="447">
        <f>IF(AND(ISNUMBER(MATCH(C50,{"F","E","D","D+","C","C+","B","B+","A","A+","S"},0)),ISNUMBER(MATCH(D50,{"F","E","D","D+","C","C+","B","B+","A","A+","S"},0)),ISNUMBER(MATCH(E50,{"F","E","D","D+","C","C+","B","B+","A","A+","S"},0)),ISNUMBER(MATCH(F50,{"F","E","D","D+","C","C+","B","B+","A","A+","S"},0))),_xlfn.SWITCH(C50,"F",0,"E",1,"D",2,"D+",3,"C",4,"C+",5,"B",6,"B+",7,"A",8,"A+",9,"S",10)*0.1+_xlfn.SWITCH(D50,"F",0,"E",1,"D",2,"D+",3,"C",4,"C+",5,"B",6,"B+",7,"A",8,"A+",9,"S",10)*0.4+_xlfn.SWITCH(E50,"F",0,"E",1,"D",2,"D+",3,"C",4,"C+",5,"B",6,"B+",7,"A",8,"A+",9,"S",10)*0.3+_xlfn.SWITCH(F50,"F",0,"E",1,"D",2,"D+",3,"C",4,"C+",5,"B",6,"B+",7,"A",8,"A+",9,"S",10)*0.2,"")</f>
        <v>6.3</v>
      </c>
      <c r="I50" s="459" t="s">
        <v>5004</v>
      </c>
      <c r="J50" s="439"/>
      <c r="K50" s="441"/>
      <c r="L50" s="440"/>
      <c r="M50" s="440"/>
      <c r="N50" s="440"/>
      <c r="O50" s="440"/>
    </row>
    <row r="51" spans="1:15">
      <c r="A51" s="445" t="s">
        <v>327</v>
      </c>
      <c r="B51" s="446" t="s">
        <v>328</v>
      </c>
      <c r="C51" s="445" t="s">
        <v>18</v>
      </c>
      <c r="D51" s="445" t="s">
        <v>18</v>
      </c>
      <c r="E51" s="445" t="s">
        <v>1562</v>
      </c>
      <c r="F51" s="445" t="s">
        <v>18</v>
      </c>
      <c r="G51" s="445" t="str">
        <f>IF(AND(ISNUMBER(MATCH(D51,{"F","E","D","D+","C","C+","B","B+","A","A+","S"},0)),ISNUMBER(MATCH(E51,{"F","E","D","D+","C","C+","B","B+","A","A+","S"},0)),ISNUMBER(MATCH(F51,{"F","E","D","D+","C","C+","B","B+","A","A+","S"},0))),LOOKUP(AVERAGE(_xlfn.SWITCH(D51,"F",0,"E",10,"D",20,"D+",30,"C",40,"C+",50,"B",60,"B+",70,"A",80,"A+",90,"S",100),_xlfn.SWITCH(E51,"F",0,"E",10,"D",20,"D+",30,"C",40,"C+",50,"B",60,"B+",70,"A",80,"A+",90,"S",100),_xlfn.SWITCH(F51,"F",0,"E",10,"D",20,"D+",30,"C",40,"C+",50,"B",60,"B+",70,"A",80,"A+",90,"S",100)),{0,15,25,35,45,55,65,75,85,95},{"D","D","D+","C","C+","B","B+","A","A+","S"}),"?")</f>
        <v>B</v>
      </c>
      <c r="H51" s="447">
        <f>IF(AND(ISNUMBER(MATCH(C51,{"F","E","D","D+","C","C+","B","B+","A","A+","S"},0)),ISNUMBER(MATCH(D51,{"F","E","D","D+","C","C+","B","B+","A","A+","S"},0)),ISNUMBER(MATCH(E51,{"F","E","D","D+","C","C+","B","B+","A","A+","S"},0)),ISNUMBER(MATCH(F51,{"F","E","D","D+","C","C+","B","B+","A","A+","S"},0))),_xlfn.SWITCH(C51,"F",0,"E",1,"D",2,"D+",3,"C",4,"C+",5,"B",6,"B+",7,"A",8,"A+",9,"S",10)*0.1+_xlfn.SWITCH(D51,"F",0,"E",1,"D",2,"D+",3,"C",4,"C+",5,"B",6,"B+",7,"A",8,"A+",9,"S",10)*0.4+_xlfn.SWITCH(E51,"F",0,"E",1,"D",2,"D+",3,"C",4,"C+",5,"B",6,"B+",7,"A",8,"A+",9,"S",10)*0.3+_xlfn.SWITCH(F51,"F",0,"E",1,"D",2,"D+",3,"C",4,"C+",5,"B",6,"B+",7,"A",8,"A+",9,"S",10)*0.2,"")</f>
        <v>5.7</v>
      </c>
      <c r="I51" s="448" t="s">
        <v>5005</v>
      </c>
      <c r="J51" s="439"/>
      <c r="K51" s="441"/>
      <c r="L51" s="440"/>
      <c r="M51" s="440"/>
      <c r="N51" s="440"/>
      <c r="O51" s="440"/>
    </row>
    <row r="52" spans="1:15" ht="34">
      <c r="A52" s="445" t="s">
        <v>217</v>
      </c>
      <c r="B52" s="450" t="s">
        <v>68</v>
      </c>
      <c r="C52" s="445" t="s">
        <v>1567</v>
      </c>
      <c r="D52" s="445" t="s">
        <v>1567</v>
      </c>
      <c r="E52" s="445" t="s">
        <v>21</v>
      </c>
      <c r="F52" s="445" t="s">
        <v>1574</v>
      </c>
      <c r="G52" s="445" t="str">
        <f>IF(AND(ISNUMBER(MATCH(D52,{"F","E","D","D+","C","C+","B","B+","A","A+","S"},0)),ISNUMBER(MATCH(E52,{"F","E","D","D+","C","C+","B","B+","A","A+","S"},0)),ISNUMBER(MATCH(F52,{"F","E","D","D+","C","C+","B","B+","A","A+","S"},0))),LOOKUP(AVERAGE(_xlfn.SWITCH(D52,"F",0,"E",10,"D",20,"D+",30,"C",40,"C+",50,"B",60,"B+",70,"A",80,"A+",90,"S",100),_xlfn.SWITCH(E52,"F",0,"E",10,"D",20,"D+",30,"C",40,"C+",50,"B",60,"B+",70,"A",80,"A+",90,"S",100),_xlfn.SWITCH(F52,"F",0,"E",10,"D",20,"D+",30,"C",40,"C+",50,"B",60,"B+",70,"A",80,"A+",90,"S",100)),{0,15,25,35,45,55,65,75,85,95},{"D","D","D+","C","C+","B","B+","A","A+","S"}),"?")</f>
        <v>B</v>
      </c>
      <c r="H52" s="447">
        <f>IF(AND(ISNUMBER(MATCH(C52,{"F","E","D","D+","C","C+","B","B+","A","A+","S"},0)),ISNUMBER(MATCH(D52,{"F","E","D","D+","C","C+","B","B+","A","A+","S"},0)),ISNUMBER(MATCH(E52,{"F","E","D","D+","C","C+","B","B+","A","A+","S"},0)),ISNUMBER(MATCH(F52,{"F","E","D","D+","C","C+","B","B+","A","A+","S"},0))),_xlfn.SWITCH(C52,"F",0,"E",1,"D",2,"D+",3,"C",4,"C+",5,"B",6,"B+",7,"A",8,"A+",9,"S",10)*0.1+_xlfn.SWITCH(D52,"F",0,"E",1,"D",2,"D+",3,"C",4,"C+",5,"B",6,"B+",7,"A",8,"A+",9,"S",10)*0.4+_xlfn.SWITCH(E52,"F",0,"E",1,"D",2,"D+",3,"C",4,"C+",5,"B",6,"B+",7,"A",8,"A+",9,"S",10)*0.3+_xlfn.SWITCH(F52,"F",0,"E",1,"D",2,"D+",3,"C",4,"C+",5,"B",6,"B+",7,"A",8,"A+",9,"S",10)*0.2,"")</f>
        <v>6.7</v>
      </c>
      <c r="I52" s="459" t="s">
        <v>5006</v>
      </c>
      <c r="J52" s="439"/>
      <c r="K52" s="441"/>
      <c r="L52" s="440"/>
      <c r="M52" s="440"/>
      <c r="N52" s="440"/>
      <c r="O52" s="440"/>
    </row>
    <row r="53" spans="1:15">
      <c r="A53" s="445" t="s">
        <v>336</v>
      </c>
      <c r="B53" s="446" t="s">
        <v>337</v>
      </c>
      <c r="C53" s="445" t="s">
        <v>18</v>
      </c>
      <c r="D53" s="445" t="s">
        <v>1562</v>
      </c>
      <c r="E53" s="445" t="s">
        <v>1562</v>
      </c>
      <c r="F53" s="445" t="s">
        <v>1562</v>
      </c>
      <c r="G53" s="445" t="str">
        <f>IF(AND(ISNUMBER(MATCH(D53,{"F","E","D","D+","C","C+","B","B+","A","A+","S"},0)),ISNUMBER(MATCH(E53,{"F","E","D","D+","C","C+","B","B+","A","A+","S"},0)),ISNUMBER(MATCH(F53,{"F","E","D","D+","C","C+","B","B+","A","A+","S"},0))),LOOKUP(AVERAGE(_xlfn.SWITCH(D53,"F",0,"E",10,"D",20,"D+",30,"C",40,"C+",50,"B",60,"B+",70,"A",80,"A+",90,"S",100),_xlfn.SWITCH(E53,"F",0,"E",10,"D",20,"D+",30,"C",40,"C+",50,"B",60,"B+",70,"A",80,"A+",90,"S",100),_xlfn.SWITCH(F53,"F",0,"E",10,"D",20,"D+",30,"C",40,"C+",50,"B",60,"B+",70,"A",80,"A+",90,"S",100)),{0,15,25,35,45,55,65,75,85,95},{"D","D","D+","C","C+","B","B+","A","A+","S"}),"?")</f>
        <v>C+</v>
      </c>
      <c r="H53" s="447">
        <f>IF(AND(ISNUMBER(MATCH(C53,{"F","E","D","D+","C","C+","B","B+","A","A+","S"},0)),ISNUMBER(MATCH(D53,{"F","E","D","D+","C","C+","B","B+","A","A+","S"},0)),ISNUMBER(MATCH(E53,{"F","E","D","D+","C","C+","B","B+","A","A+","S"},0)),ISNUMBER(MATCH(F53,{"F","E","D","D+","C","C+","B","B+","A","A+","S"},0))),_xlfn.SWITCH(C53,"F",0,"E",1,"D",2,"D+",3,"C",4,"C+",5,"B",6,"B+",7,"A",8,"A+",9,"S",10)*0.1+_xlfn.SWITCH(D53,"F",0,"E",1,"D",2,"D+",3,"C",4,"C+",5,"B",6,"B+",7,"A",8,"A+",9,"S",10)*0.4+_xlfn.SWITCH(E53,"F",0,"E",1,"D",2,"D+",3,"C",4,"C+",5,"B",6,"B+",7,"A",8,"A+",9,"S",10)*0.3+_xlfn.SWITCH(F53,"F",0,"E",1,"D",2,"D+",3,"C",4,"C+",5,"B",6,"B+",7,"A",8,"A+",9,"S",10)*0.2,"")</f>
        <v>5.0999999999999996</v>
      </c>
      <c r="I53" s="448" t="s">
        <v>5007</v>
      </c>
      <c r="J53" s="439"/>
      <c r="K53" s="441"/>
      <c r="L53" s="440"/>
      <c r="M53" s="440"/>
      <c r="N53" s="440"/>
      <c r="O53" s="440"/>
    </row>
    <row r="54" spans="1:15">
      <c r="A54" s="445" t="s">
        <v>341</v>
      </c>
      <c r="B54" s="446" t="s">
        <v>342</v>
      </c>
      <c r="C54" s="445" t="s">
        <v>18</v>
      </c>
      <c r="D54" s="445" t="s">
        <v>18</v>
      </c>
      <c r="E54" s="445" t="s">
        <v>18</v>
      </c>
      <c r="F54" s="445" t="s">
        <v>1574</v>
      </c>
      <c r="G54" s="445" t="str">
        <f>IF(AND(ISNUMBER(MATCH(D54,{"F","E","D","D+","C","C+","B","B+","A","A+","S"},0)),ISNUMBER(MATCH(E54,{"F","E","D","D+","C","C+","B","B+","A","A+","S"},0)),ISNUMBER(MATCH(F54,{"F","E","D","D+","C","C+","B","B+","A","A+","S"},0))),LOOKUP(AVERAGE(_xlfn.SWITCH(D54,"F",0,"E",10,"D",20,"D+",30,"C",40,"C+",50,"B",60,"B+",70,"A",80,"A+",90,"S",100),_xlfn.SWITCH(E54,"F",0,"E",10,"D",20,"D+",30,"C",40,"C+",50,"B",60,"B+",70,"A",80,"A+",90,"S",100),_xlfn.SWITCH(F54,"F",0,"E",10,"D",20,"D+",30,"C",40,"C+",50,"B",60,"B+",70,"A",80,"A+",90,"S",100)),{0,15,25,35,45,55,65,75,85,95},{"D","D","D+","C","C+","B","B+","A","A+","S"}),"?")</f>
        <v>C+</v>
      </c>
      <c r="H54" s="447">
        <f>IF(AND(ISNUMBER(MATCH(C54,{"F","E","D","D+","C","C+","B","B+","A","A+","S"},0)),ISNUMBER(MATCH(D54,{"F","E","D","D+","C","C+","B","B+","A","A+","S"},0)),ISNUMBER(MATCH(E54,{"F","E","D","D+","C","C+","B","B+","A","A+","S"},0)),ISNUMBER(MATCH(F54,{"F","E","D","D+","C","C+","B","B+","A","A+","S"},0))),_xlfn.SWITCH(C54,"F",0,"E",1,"D",2,"D+",3,"C",4,"C+",5,"B",6,"B+",7,"A",8,"A+",9,"S",10)*0.1+_xlfn.SWITCH(D54,"F",0,"E",1,"D",2,"D+",3,"C",4,"C+",5,"B",6,"B+",7,"A",8,"A+",9,"S",10)*0.4+_xlfn.SWITCH(E54,"F",0,"E",1,"D",2,"D+",3,"C",4,"C+",5,"B",6,"B+",7,"A",8,"A+",9,"S",10)*0.3+_xlfn.SWITCH(F54,"F",0,"E",1,"D",2,"D+",3,"C",4,"C+",5,"B",6,"B+",7,"A",8,"A+",9,"S",10)*0.2,"")</f>
        <v>5.6000000000000005</v>
      </c>
      <c r="I54" s="448" t="s">
        <v>5008</v>
      </c>
      <c r="J54" s="439"/>
      <c r="K54" s="441"/>
      <c r="L54" s="440"/>
      <c r="M54" s="440"/>
      <c r="N54" s="440"/>
      <c r="O54" s="440"/>
    </row>
    <row r="55" spans="1:15" ht="34">
      <c r="A55" s="445" t="s">
        <v>348</v>
      </c>
      <c r="B55" s="450" t="s">
        <v>349</v>
      </c>
      <c r="C55" s="445" t="s">
        <v>1567</v>
      </c>
      <c r="D55" s="445" t="s">
        <v>18</v>
      </c>
      <c r="E55" s="445" t="s">
        <v>28</v>
      </c>
      <c r="F55" s="445" t="s">
        <v>18</v>
      </c>
      <c r="G55" s="445" t="str">
        <f>IF(AND(ISNUMBER(MATCH(D55,{"F","E","D","D+","C","C+","B","B+","A","A+","S"},0)),ISNUMBER(MATCH(E55,{"F","E","D","D+","C","C+","B","B+","A","A+","S"},0)),ISNUMBER(MATCH(F55,{"F","E","D","D+","C","C+","B","B+","A","A+","S"},0))),LOOKUP(AVERAGE(_xlfn.SWITCH(D55,"F",0,"E",10,"D",20,"D+",30,"C",40,"C+",50,"B",60,"B+",70,"A",80,"A+",90,"S",100),_xlfn.SWITCH(E55,"F",0,"E",10,"D",20,"D+",30,"C",40,"C+",50,"B",60,"B+",70,"A",80,"A+",90,"S",100),_xlfn.SWITCH(F55,"F",0,"E",10,"D",20,"D+",30,"C",40,"C+",50,"B",60,"B+",70,"A",80,"A+",90,"S",100)),{0,15,25,35,45,55,65,75,85,95},{"D","D","D+","C","C+","B","B+","A","A+","S"}),"?")</f>
        <v>B+</v>
      </c>
      <c r="H55" s="447">
        <f>IF(AND(ISNUMBER(MATCH(C55,{"F","E","D","D+","C","C+","B","B+","A","A+","S"},0)),ISNUMBER(MATCH(D55,{"F","E","D","D+","C","C+","B","B+","A","A+","S"},0)),ISNUMBER(MATCH(E55,{"F","E","D","D+","C","C+","B","B+","A","A+","S"},0)),ISNUMBER(MATCH(F55,{"F","E","D","D+","C","C+","B","B+","A","A+","S"},0))),_xlfn.SWITCH(C55,"F",0,"E",1,"D",2,"D+",3,"C",4,"C+",5,"B",6,"B+",7,"A",8,"A+",9,"S",10)*0.1+_xlfn.SWITCH(D55,"F",0,"E",1,"D",2,"D+",3,"C",4,"C+",5,"B",6,"B+",7,"A",8,"A+",9,"S",10)*0.4+_xlfn.SWITCH(E55,"F",0,"E",1,"D",2,"D+",3,"C",4,"C+",5,"B",6,"B+",7,"A",8,"A+",9,"S",10)*0.3+_xlfn.SWITCH(F55,"F",0,"E",1,"D",2,"D+",3,"C",4,"C+",5,"B",6,"B+",7,"A",8,"A+",9,"S",10)*0.2,"")</f>
        <v>7.0000000000000009</v>
      </c>
      <c r="I55" s="459" t="s">
        <v>5009</v>
      </c>
      <c r="J55" s="439"/>
      <c r="K55" s="441"/>
      <c r="L55" s="440"/>
      <c r="M55" s="440"/>
      <c r="N55" s="440"/>
      <c r="O55" s="440"/>
    </row>
    <row r="56" spans="1:15">
      <c r="A56" s="445" t="s">
        <v>355</v>
      </c>
      <c r="B56" s="446" t="s">
        <v>356</v>
      </c>
      <c r="C56" s="445" t="s">
        <v>1567</v>
      </c>
      <c r="D56" s="445" t="s">
        <v>18</v>
      </c>
      <c r="E56" s="445" t="s">
        <v>1562</v>
      </c>
      <c r="F56" s="445" t="s">
        <v>18</v>
      </c>
      <c r="G56" s="445" t="str">
        <f>IF(AND(ISNUMBER(MATCH(D56,{"F","E","D","D+","C","C+","B","B+","A","A+","S"},0)),ISNUMBER(MATCH(E56,{"F","E","D","D+","C","C+","B","B+","A","A+","S"},0)),ISNUMBER(MATCH(F56,{"F","E","D","D+","C","C+","B","B+","A","A+","S"},0))),LOOKUP(AVERAGE(_xlfn.SWITCH(D56,"F",0,"E",10,"D",20,"D+",30,"C",40,"C+",50,"B",60,"B+",70,"A",80,"A+",90,"S",100),_xlfn.SWITCH(E56,"F",0,"E",10,"D",20,"D+",30,"C",40,"C+",50,"B",60,"B+",70,"A",80,"A+",90,"S",100),_xlfn.SWITCH(F56,"F",0,"E",10,"D",20,"D+",30,"C",40,"C+",50,"B",60,"B+",70,"A",80,"A+",90,"S",100)),{0,15,25,35,45,55,65,75,85,95},{"D","D","D+","C","C+","B","B+","A","A+","S"}),"?")</f>
        <v>B</v>
      </c>
      <c r="H56" s="447">
        <f>IF(AND(ISNUMBER(MATCH(C56,{"F","E","D","D+","C","C+","B","B+","A","A+","S"},0)),ISNUMBER(MATCH(D56,{"F","E","D","D+","C","C+","B","B+","A","A+","S"},0)),ISNUMBER(MATCH(E56,{"F","E","D","D+","C","C+","B","B+","A","A+","S"},0)),ISNUMBER(MATCH(F56,{"F","E","D","D+","C","C+","B","B+","A","A+","S"},0))),_xlfn.SWITCH(C56,"F",0,"E",1,"D",2,"D+",3,"C",4,"C+",5,"B",6,"B+",7,"A",8,"A+",9,"S",10)*0.1+_xlfn.SWITCH(D56,"F",0,"E",1,"D",2,"D+",3,"C",4,"C+",5,"B",6,"B+",7,"A",8,"A+",9,"S",10)*0.4+_xlfn.SWITCH(E56,"F",0,"E",1,"D",2,"D+",3,"C",4,"C+",5,"B",6,"B+",7,"A",8,"A+",9,"S",10)*0.3+_xlfn.SWITCH(F56,"F",0,"E",1,"D",2,"D+",3,"C",4,"C+",5,"B",6,"B+",7,"A",8,"A+",9,"S",10)*0.2,"")</f>
        <v>5.8000000000000007</v>
      </c>
      <c r="I56" s="448" t="s">
        <v>5010</v>
      </c>
      <c r="J56" s="439"/>
      <c r="K56" s="441"/>
      <c r="L56" s="440"/>
      <c r="M56" s="440"/>
      <c r="N56" s="440"/>
      <c r="O56" s="440"/>
    </row>
    <row r="57" spans="1:15">
      <c r="A57" s="445" t="s">
        <v>360</v>
      </c>
      <c r="B57" s="446" t="s">
        <v>361</v>
      </c>
      <c r="C57" s="445" t="s">
        <v>18</v>
      </c>
      <c r="D57" s="445" t="s">
        <v>1562</v>
      </c>
      <c r="E57" s="445" t="s">
        <v>1562</v>
      </c>
      <c r="F57" s="445" t="s">
        <v>1562</v>
      </c>
      <c r="G57" s="445" t="str">
        <f>IF(AND(ISNUMBER(MATCH(D57,{"F","E","D","D+","C","C+","B","B+","A","A+","S"},0)),ISNUMBER(MATCH(E57,{"F","E","D","D+","C","C+","B","B+","A","A+","S"},0)),ISNUMBER(MATCH(F57,{"F","E","D","D+","C","C+","B","B+","A","A+","S"},0))),LOOKUP(AVERAGE(_xlfn.SWITCH(D57,"F",0,"E",10,"D",20,"D+",30,"C",40,"C+",50,"B",60,"B+",70,"A",80,"A+",90,"S",100),_xlfn.SWITCH(E57,"F",0,"E",10,"D",20,"D+",30,"C",40,"C+",50,"B",60,"B+",70,"A",80,"A+",90,"S",100),_xlfn.SWITCH(F57,"F",0,"E",10,"D",20,"D+",30,"C",40,"C+",50,"B",60,"B+",70,"A",80,"A+",90,"S",100)),{0,15,25,35,45,55,65,75,85,95},{"D","D","D+","C","C+","B","B+","A","A+","S"}),"?")</f>
        <v>C+</v>
      </c>
      <c r="H57" s="447">
        <f>IF(AND(ISNUMBER(MATCH(C57,{"F","E","D","D+","C","C+","B","B+","A","A+","S"},0)),ISNUMBER(MATCH(D57,{"F","E","D","D+","C","C+","B","B+","A","A+","S"},0)),ISNUMBER(MATCH(E57,{"F","E","D","D+","C","C+","B","B+","A","A+","S"},0)),ISNUMBER(MATCH(F57,{"F","E","D","D+","C","C+","B","B+","A","A+","S"},0))),_xlfn.SWITCH(C57,"F",0,"E",1,"D",2,"D+",3,"C",4,"C+",5,"B",6,"B+",7,"A",8,"A+",9,"S",10)*0.1+_xlfn.SWITCH(D57,"F",0,"E",1,"D",2,"D+",3,"C",4,"C+",5,"B",6,"B+",7,"A",8,"A+",9,"S",10)*0.4+_xlfn.SWITCH(E57,"F",0,"E",1,"D",2,"D+",3,"C",4,"C+",5,"B",6,"B+",7,"A",8,"A+",9,"S",10)*0.3+_xlfn.SWITCH(F57,"F",0,"E",1,"D",2,"D+",3,"C",4,"C+",5,"B",6,"B+",7,"A",8,"A+",9,"S",10)*0.2,"")</f>
        <v>5.0999999999999996</v>
      </c>
      <c r="I57" s="448" t="s">
        <v>5011</v>
      </c>
      <c r="J57" s="439"/>
      <c r="K57" s="441"/>
      <c r="L57" s="440"/>
      <c r="M57" s="440"/>
      <c r="N57" s="440"/>
      <c r="O57" s="440"/>
    </row>
    <row r="58" spans="1:15" ht="34">
      <c r="A58" s="445" t="s">
        <v>367</v>
      </c>
      <c r="B58" s="446" t="s">
        <v>368</v>
      </c>
      <c r="C58" s="445" t="s">
        <v>1567</v>
      </c>
      <c r="D58" s="445" t="s">
        <v>18</v>
      </c>
      <c r="E58" s="445" t="s">
        <v>1562</v>
      </c>
      <c r="F58" s="445" t="s">
        <v>18</v>
      </c>
      <c r="G58" s="445" t="str">
        <f>IF(AND(ISNUMBER(MATCH(D58,{"F","E","D","D+","C","C+","B","B+","A","A+","S"},0)),ISNUMBER(MATCH(E58,{"F","E","D","D+","C","C+","B","B+","A","A+","S"},0)),ISNUMBER(MATCH(F58,{"F","E","D","D+","C","C+","B","B+","A","A+","S"},0))),LOOKUP(AVERAGE(_xlfn.SWITCH(D58,"F",0,"E",10,"D",20,"D+",30,"C",40,"C+",50,"B",60,"B+",70,"A",80,"A+",90,"S",100),_xlfn.SWITCH(E58,"F",0,"E",10,"D",20,"D+",30,"C",40,"C+",50,"B",60,"B+",70,"A",80,"A+",90,"S",100),_xlfn.SWITCH(F58,"F",0,"E",10,"D",20,"D+",30,"C",40,"C+",50,"B",60,"B+",70,"A",80,"A+",90,"S",100)),{0,15,25,35,45,55,65,75,85,95},{"D","D","D+","C","C+","B","B+","A","A+","S"}),"?")</f>
        <v>B</v>
      </c>
      <c r="H58" s="447">
        <f>IF(AND(ISNUMBER(MATCH(C58,{"F","E","D","D+","C","C+","B","B+","A","A+","S"},0)),ISNUMBER(MATCH(D58,{"F","E","D","D+","C","C+","B","B+","A","A+","S"},0)),ISNUMBER(MATCH(E58,{"F","E","D","D+","C","C+","B","B+","A","A+","S"},0)),ISNUMBER(MATCH(F58,{"F","E","D","D+","C","C+","B","B+","A","A+","S"},0))),_xlfn.SWITCH(C58,"F",0,"E",1,"D",2,"D+",3,"C",4,"C+",5,"B",6,"B+",7,"A",8,"A+",9,"S",10)*0.1+_xlfn.SWITCH(D58,"F",0,"E",1,"D",2,"D+",3,"C",4,"C+",5,"B",6,"B+",7,"A",8,"A+",9,"S",10)*0.4+_xlfn.SWITCH(E58,"F",0,"E",1,"D",2,"D+",3,"C",4,"C+",5,"B",6,"B+",7,"A",8,"A+",9,"S",10)*0.3+_xlfn.SWITCH(F58,"F",0,"E",1,"D",2,"D+",3,"C",4,"C+",5,"B",6,"B+",7,"A",8,"A+",9,"S",10)*0.2,"")</f>
        <v>5.8000000000000007</v>
      </c>
      <c r="I58" s="459" t="s">
        <v>5012</v>
      </c>
      <c r="J58" s="439"/>
      <c r="K58" s="441"/>
      <c r="L58" s="440"/>
      <c r="M58" s="440"/>
      <c r="N58" s="440"/>
      <c r="O58" s="440"/>
    </row>
    <row r="59" spans="1:15">
      <c r="A59" s="445" t="s">
        <v>210</v>
      </c>
      <c r="B59" s="450" t="s">
        <v>211</v>
      </c>
      <c r="C59" s="445" t="s">
        <v>1567</v>
      </c>
      <c r="D59" s="445" t="s">
        <v>28</v>
      </c>
      <c r="E59" s="445" t="s">
        <v>1567</v>
      </c>
      <c r="F59" s="445" t="s">
        <v>21</v>
      </c>
      <c r="G59" s="445" t="str">
        <f>IF(AND(ISNUMBER(MATCH(D59,{"F","E","D","D+","C","C+","B","B+","A","A+","S"},0)),ISNUMBER(MATCH(E59,{"F","E","D","D+","C","C+","B","B+","A","A+","S"},0)),ISNUMBER(MATCH(F59,{"F","E","D","D+","C","C+","B","B+","A","A+","S"},0))),LOOKUP(AVERAGE(_xlfn.SWITCH(D59,"F",0,"E",10,"D",20,"D+",30,"C",40,"C+",50,"B",60,"B+",70,"A",80,"A+",90,"S",100),_xlfn.SWITCH(E59,"F",0,"E",10,"D",20,"D+",30,"C",40,"C+",50,"B",60,"B+",70,"A",80,"A+",90,"S",100),_xlfn.SWITCH(F59,"F",0,"E",10,"D",20,"D+",30,"C",40,"C+",50,"B",60,"B+",70,"A",80,"A+",90,"S",100)),{0,15,25,35,45,55,65,75,85,95},{"D","D","D+","C","C+","B","B+","A","A+","S"}),"?")</f>
        <v>A</v>
      </c>
      <c r="H59" s="447">
        <f>IF(AND(ISNUMBER(MATCH(C59,{"F","E","D","D+","C","C+","B","B+","A","A+","S"},0)),ISNUMBER(MATCH(D59,{"F","E","D","D+","C","C+","B","B+","A","A+","S"},0)),ISNUMBER(MATCH(E59,{"F","E","D","D+","C","C+","B","B+","A","A+","S"},0)),ISNUMBER(MATCH(F59,{"F","E","D","D+","C","C+","B","B+","A","A+","S"},0))),_xlfn.SWITCH(C59,"F",0,"E",1,"D",2,"D+",3,"C",4,"C+",5,"B",6,"B+",7,"A",8,"A+",9,"S",10)*0.1+_xlfn.SWITCH(D59,"F",0,"E",1,"D",2,"D+",3,"C",4,"C+",5,"B",6,"B+",7,"A",8,"A+",9,"S",10)*0.4+_xlfn.SWITCH(E59,"F",0,"E",1,"D",2,"D+",3,"C",4,"C+",5,"B",6,"B+",7,"A",8,"A+",9,"S",10)*0.3+_xlfn.SWITCH(F59,"F",0,"E",1,"D",2,"D+",3,"C",4,"C+",5,"B",6,"B+",7,"A",8,"A+",9,"S",10)*0.2,"")</f>
        <v>8</v>
      </c>
      <c r="I59" s="448" t="s">
        <v>5013</v>
      </c>
      <c r="J59" s="439"/>
      <c r="K59" s="441"/>
      <c r="L59" s="440"/>
      <c r="M59" s="440"/>
      <c r="N59" s="440"/>
      <c r="O59" s="440"/>
    </row>
    <row r="60" spans="1:15">
      <c r="A60" s="445" t="s">
        <v>377</v>
      </c>
      <c r="B60" s="446" t="s">
        <v>378</v>
      </c>
      <c r="C60" s="445" t="s">
        <v>1562</v>
      </c>
      <c r="D60" s="445"/>
      <c r="E60" s="445"/>
      <c r="F60" s="445"/>
      <c r="G60" s="445" t="str">
        <f>IF(AND(ISNUMBER(MATCH(D60,{"F","E","D","D+","C","C+","B","B+","A","A+","S"},0)),ISNUMBER(MATCH(E60,{"F","E","D","D+","C","C+","B","B+","A","A+","S"},0)),ISNUMBER(MATCH(F60,{"F","E","D","D+","C","C+","B","B+","A","A+","S"},0))),LOOKUP(AVERAGE(_xlfn.SWITCH(D60,"F",0,"E",10,"D",20,"D+",30,"C",40,"C+",50,"B",60,"B+",70,"A",80,"A+",90,"S",100),_xlfn.SWITCH(E60,"F",0,"E",10,"D",20,"D+",30,"C",40,"C+",50,"B",60,"B+",70,"A",80,"A+",90,"S",100),_xlfn.SWITCH(F60,"F",0,"E",10,"D",20,"D+",30,"C",40,"C+",50,"B",60,"B+",70,"A",80,"A+",90,"S",100)),{0,15,25,35,45,55,65,75,85,95},{"D","D","D+","C","C+","B","B+","A","A+","S"}),"?")</f>
        <v>?</v>
      </c>
      <c r="H60" s="447" t="str">
        <f>IF(AND(ISNUMBER(MATCH(C60,{"F","E","D","D+","C","C+","B","B+","A","A+","S"},0)),ISNUMBER(MATCH(D60,{"F","E","D","D+","C","C+","B","B+","A","A+","S"},0)),ISNUMBER(MATCH(E60,{"F","E","D","D+","C","C+","B","B+","A","A+","S"},0)),ISNUMBER(MATCH(F60,{"F","E","D","D+","C","C+","B","B+","A","A+","S"},0))),_xlfn.SWITCH(C60,"F",0,"E",1,"D",2,"D+",3,"C",4,"C+",5,"B",6,"B+",7,"A",8,"A+",9,"S",10)*0.1+_xlfn.SWITCH(D60,"F",0,"E",1,"D",2,"D+",3,"C",4,"C+",5,"B",6,"B+",7,"A",8,"A+",9,"S",10)*0.4+_xlfn.SWITCH(E60,"F",0,"E",1,"D",2,"D+",3,"C",4,"C+",5,"B",6,"B+",7,"A",8,"A+",9,"S",10)*0.3+_xlfn.SWITCH(F60,"F",0,"E",1,"D",2,"D+",3,"C",4,"C+",5,"B",6,"B+",7,"A",8,"A+",9,"S",10)*0.2,"")</f>
        <v/>
      </c>
      <c r="I60" s="448" t="s">
        <v>5014</v>
      </c>
      <c r="J60" s="439"/>
      <c r="K60" s="441"/>
      <c r="L60" s="440"/>
      <c r="M60" s="440"/>
      <c r="N60" s="440"/>
      <c r="O60" s="440"/>
    </row>
    <row r="61" spans="1:15">
      <c r="A61" s="445" t="s">
        <v>384</v>
      </c>
      <c r="B61" s="446" t="s">
        <v>385</v>
      </c>
      <c r="C61" s="445" t="s">
        <v>18</v>
      </c>
      <c r="D61" s="445"/>
      <c r="E61" s="445"/>
      <c r="F61" s="445"/>
      <c r="G61" s="445" t="str">
        <f>IF(AND(ISNUMBER(MATCH(D61,{"F","E","D","D+","C","C+","B","B+","A","A+","S"},0)),ISNUMBER(MATCH(E61,{"F","E","D","D+","C","C+","B","B+","A","A+","S"},0)),ISNUMBER(MATCH(F61,{"F","E","D","D+","C","C+","B","B+","A","A+","S"},0))),LOOKUP(AVERAGE(_xlfn.SWITCH(D61,"F",0,"E",10,"D",20,"D+",30,"C",40,"C+",50,"B",60,"B+",70,"A",80,"A+",90,"S",100),_xlfn.SWITCH(E61,"F",0,"E",10,"D",20,"D+",30,"C",40,"C+",50,"B",60,"B+",70,"A",80,"A+",90,"S",100),_xlfn.SWITCH(F61,"F",0,"E",10,"D",20,"D+",30,"C",40,"C+",50,"B",60,"B+",70,"A",80,"A+",90,"S",100)),{0,15,25,35,45,55,65,75,85,95},{"D","D","D+","C","C+","B","B+","A","A+","S"}),"?")</f>
        <v>?</v>
      </c>
      <c r="H61" s="447" t="str">
        <f>IF(AND(ISNUMBER(MATCH(C61,{"F","E","D","D+","C","C+","B","B+","A","A+","S"},0)),ISNUMBER(MATCH(D61,{"F","E","D","D+","C","C+","B","B+","A","A+","S"},0)),ISNUMBER(MATCH(E61,{"F","E","D","D+","C","C+","B","B+","A","A+","S"},0)),ISNUMBER(MATCH(F61,{"F","E","D","D+","C","C+","B","B+","A","A+","S"},0))),_xlfn.SWITCH(C61,"F",0,"E",1,"D",2,"D+",3,"C",4,"C+",5,"B",6,"B+",7,"A",8,"A+",9,"S",10)*0.1+_xlfn.SWITCH(D61,"F",0,"E",1,"D",2,"D+",3,"C",4,"C+",5,"B",6,"B+",7,"A",8,"A+",9,"S",10)*0.4+_xlfn.SWITCH(E61,"F",0,"E",1,"D",2,"D+",3,"C",4,"C+",5,"B",6,"B+",7,"A",8,"A+",9,"S",10)*0.3+_xlfn.SWITCH(F61,"F",0,"E",1,"D",2,"D+",3,"C",4,"C+",5,"B",6,"B+",7,"A",8,"A+",9,"S",10)*0.2,"")</f>
        <v/>
      </c>
      <c r="I61" s="448" t="s">
        <v>5003</v>
      </c>
      <c r="J61" s="439"/>
      <c r="K61" s="441"/>
      <c r="L61" s="440"/>
      <c r="M61" s="440"/>
      <c r="N61" s="440"/>
      <c r="O61" s="440"/>
    </row>
    <row r="62" spans="1:15">
      <c r="A62" s="445" t="s">
        <v>389</v>
      </c>
      <c r="B62" s="446" t="s">
        <v>390</v>
      </c>
      <c r="C62" s="445" t="s">
        <v>1661</v>
      </c>
      <c r="D62" s="445"/>
      <c r="E62" s="445"/>
      <c r="F62" s="445"/>
      <c r="G62" s="445" t="str">
        <f>IF(AND(ISNUMBER(MATCH(D62,{"F","E","D","D+","C","C+","B","B+","A","A+","S"},0)),ISNUMBER(MATCH(E62,{"F","E","D","D+","C","C+","B","B+","A","A+","S"},0)),ISNUMBER(MATCH(F62,{"F","E","D","D+","C","C+","B","B+","A","A+","S"},0))),LOOKUP(AVERAGE(_xlfn.SWITCH(D62,"F",0,"E",10,"D",20,"D+",30,"C",40,"C+",50,"B",60,"B+",70,"A",80,"A+",90,"S",100),_xlfn.SWITCH(E62,"F",0,"E",10,"D",20,"D+",30,"C",40,"C+",50,"B",60,"B+",70,"A",80,"A+",90,"S",100),_xlfn.SWITCH(F62,"F",0,"E",10,"D",20,"D+",30,"C",40,"C+",50,"B",60,"B+",70,"A",80,"A+",90,"S",100)),{0,15,25,35,45,55,65,75,85,95},{"D","D","D+","C","C+","B","B+","A","A+","S"}),"?")</f>
        <v>?</v>
      </c>
      <c r="H62" s="447" t="str">
        <f>IF(AND(ISNUMBER(MATCH(C62,{"F","E","D","D+","C","C+","B","B+","A","A+","S"},0)),ISNUMBER(MATCH(D62,{"F","E","D","D+","C","C+","B","B+","A","A+","S"},0)),ISNUMBER(MATCH(E62,{"F","E","D","D+","C","C+","B","B+","A","A+","S"},0)),ISNUMBER(MATCH(F62,{"F","E","D","D+","C","C+","B","B+","A","A+","S"},0))),_xlfn.SWITCH(C62,"F",0,"E",1,"D",2,"D+",3,"C",4,"C+",5,"B",6,"B+",7,"A",8,"A+",9,"S",10)*0.1+_xlfn.SWITCH(D62,"F",0,"E",1,"D",2,"D+",3,"C",4,"C+",5,"B",6,"B+",7,"A",8,"A+",9,"S",10)*0.4+_xlfn.SWITCH(E62,"F",0,"E",1,"D",2,"D+",3,"C",4,"C+",5,"B",6,"B+",7,"A",8,"A+",9,"S",10)*0.3+_xlfn.SWITCH(F62,"F",0,"E",1,"D",2,"D+",3,"C",4,"C+",5,"B",6,"B+",7,"A",8,"A+",9,"S",10)*0.2,"")</f>
        <v/>
      </c>
      <c r="I62" s="448" t="s">
        <v>5015</v>
      </c>
      <c r="J62" s="439"/>
      <c r="K62" s="441"/>
      <c r="L62" s="440"/>
      <c r="M62" s="440"/>
      <c r="N62" s="440"/>
      <c r="O62" s="440"/>
    </row>
    <row r="63" spans="1:15">
      <c r="A63" s="445" t="s">
        <v>395</v>
      </c>
      <c r="B63" s="446" t="s">
        <v>396</v>
      </c>
      <c r="C63" s="445" t="s">
        <v>1567</v>
      </c>
      <c r="D63" s="445" t="s">
        <v>1562</v>
      </c>
      <c r="E63" s="445" t="s">
        <v>1562</v>
      </c>
      <c r="F63" s="445" t="s">
        <v>1562</v>
      </c>
      <c r="G63" s="445" t="str">
        <f>IF(AND(ISNUMBER(MATCH(D63,{"F","E","D","D+","C","C+","B","B+","A","A+","S"},0)),ISNUMBER(MATCH(E63,{"F","E","D","D+","C","C+","B","B+","A","A+","S"},0)),ISNUMBER(MATCH(F63,{"F","E","D","D+","C","C+","B","B+","A","A+","S"},0))),LOOKUP(AVERAGE(_xlfn.SWITCH(D63,"F",0,"E",10,"D",20,"D+",30,"C",40,"C+",50,"B",60,"B+",70,"A",80,"A+",90,"S",100),_xlfn.SWITCH(E63,"F",0,"E",10,"D",20,"D+",30,"C",40,"C+",50,"B",60,"B+",70,"A",80,"A+",90,"S",100),_xlfn.SWITCH(F63,"F",0,"E",10,"D",20,"D+",30,"C",40,"C+",50,"B",60,"B+",70,"A",80,"A+",90,"S",100)),{0,15,25,35,45,55,65,75,85,95},{"D","D","D+","C","C+","B","B+","A","A+","S"}),"?")</f>
        <v>C+</v>
      </c>
      <c r="H63" s="447">
        <f>IF(AND(ISNUMBER(MATCH(C63,{"F","E","D","D+","C","C+","B","B+","A","A+","S"},0)),ISNUMBER(MATCH(D63,{"F","E","D","D+","C","C+","B","B+","A","A+","S"},0)),ISNUMBER(MATCH(E63,{"F","E","D","D+","C","C+","B","B+","A","A+","S"},0)),ISNUMBER(MATCH(F63,{"F","E","D","D+","C","C+","B","B+","A","A+","S"},0))),_xlfn.SWITCH(C63,"F",0,"E",1,"D",2,"D+",3,"C",4,"C+",5,"B",6,"B+",7,"A",8,"A+",9,"S",10)*0.1+_xlfn.SWITCH(D63,"F",0,"E",1,"D",2,"D+",3,"C",4,"C+",5,"B",6,"B+",7,"A",8,"A+",9,"S",10)*0.4+_xlfn.SWITCH(E63,"F",0,"E",1,"D",2,"D+",3,"C",4,"C+",5,"B",6,"B+",7,"A",8,"A+",9,"S",10)*0.3+_xlfn.SWITCH(F63,"F",0,"E",1,"D",2,"D+",3,"C",4,"C+",5,"B",6,"B+",7,"A",8,"A+",9,"S",10)*0.2,"")</f>
        <v>5.2</v>
      </c>
      <c r="I63" s="448" t="s">
        <v>5016</v>
      </c>
      <c r="J63" s="439"/>
      <c r="K63" s="441"/>
      <c r="L63" s="440"/>
      <c r="M63" s="440"/>
      <c r="N63" s="440"/>
      <c r="O63" s="440"/>
    </row>
    <row r="64" spans="1:15" ht="34">
      <c r="A64" s="445" t="s">
        <v>401</v>
      </c>
      <c r="B64" s="450" t="s">
        <v>402</v>
      </c>
      <c r="C64" s="445" t="s">
        <v>18</v>
      </c>
      <c r="D64" s="445" t="s">
        <v>1567</v>
      </c>
      <c r="E64" s="445" t="s">
        <v>18</v>
      </c>
      <c r="F64" s="445" t="s">
        <v>18</v>
      </c>
      <c r="G64" s="445" t="str">
        <f>IF(AND(ISNUMBER(MATCH(D64,{"F","E","D","D+","C","C+","B","B+","A","A+","S"},0)),ISNUMBER(MATCH(E64,{"F","E","D","D+","C","C+","B","B+","A","A+","S"},0)),ISNUMBER(MATCH(F64,{"F","E","D","D+","C","C+","B","B+","A","A+","S"},0))),LOOKUP(AVERAGE(_xlfn.SWITCH(D64,"F",0,"E",10,"D",20,"D+",30,"C",40,"C+",50,"B",60,"B+",70,"A",80,"A+",90,"S",100),_xlfn.SWITCH(E64,"F",0,"E",10,"D",20,"D+",30,"C",40,"C+",50,"B",60,"B+",70,"A",80,"A+",90,"S",100),_xlfn.SWITCH(F64,"F",0,"E",10,"D",20,"D+",30,"C",40,"C+",50,"B",60,"B+",70,"A",80,"A+",90,"S",100)),{0,15,25,35,45,55,65,75,85,95},{"D","D","D+","C","C+","B","B+","A","A+","S"}),"?")</f>
        <v>B</v>
      </c>
      <c r="H64" s="447">
        <f>IF(AND(ISNUMBER(MATCH(C64,{"F","E","D","D+","C","C+","B","B+","A","A+","S"},0)),ISNUMBER(MATCH(D64,{"F","E","D","D+","C","C+","B","B+","A","A+","S"},0)),ISNUMBER(MATCH(E64,{"F","E","D","D+","C","C+","B","B+","A","A+","S"},0)),ISNUMBER(MATCH(F64,{"F","E","D","D+","C","C+","B","B+","A","A+","S"},0))),_xlfn.SWITCH(C64,"F",0,"E",1,"D",2,"D+",3,"C",4,"C+",5,"B",6,"B+",7,"A",8,"A+",9,"S",10)*0.1+_xlfn.SWITCH(D64,"F",0,"E",1,"D",2,"D+",3,"C",4,"C+",5,"B",6,"B+",7,"A",8,"A+",9,"S",10)*0.4+_xlfn.SWITCH(E64,"F",0,"E",1,"D",2,"D+",3,"C",4,"C+",5,"B",6,"B+",7,"A",8,"A+",9,"S",10)*0.3+_xlfn.SWITCH(F64,"F",0,"E",1,"D",2,"D+",3,"C",4,"C+",5,"B",6,"B+",7,"A",8,"A+",9,"S",10)*0.2,"")</f>
        <v>6.4</v>
      </c>
      <c r="I64" s="459" t="s">
        <v>5017</v>
      </c>
      <c r="J64" s="439"/>
      <c r="K64" s="441"/>
      <c r="L64" s="440"/>
      <c r="M64" s="440"/>
      <c r="N64" s="440"/>
      <c r="O64" s="440"/>
    </row>
    <row r="65" spans="1:15">
      <c r="A65" s="445" t="s">
        <v>374</v>
      </c>
      <c r="B65" s="450" t="s">
        <v>375</v>
      </c>
      <c r="C65" s="445" t="s">
        <v>1567</v>
      </c>
      <c r="D65" s="445" t="s">
        <v>1567</v>
      </c>
      <c r="E65" s="445" t="s">
        <v>18</v>
      </c>
      <c r="F65" s="445" t="s">
        <v>18</v>
      </c>
      <c r="G65" s="445" t="str">
        <f>IF(AND(ISNUMBER(MATCH(D65,{"F","E","D","D+","C","C+","B","B+","A","A+","S"},0)),ISNUMBER(MATCH(E65,{"F","E","D","D+","C","C+","B","B+","A","A+","S"},0)),ISNUMBER(MATCH(F65,{"F","E","D","D+","C","C+","B","B+","A","A+","S"},0))),LOOKUP(AVERAGE(_xlfn.SWITCH(D65,"F",0,"E",10,"D",20,"D+",30,"C",40,"C+",50,"B",60,"B+",70,"A",80,"A+",90,"S",100),_xlfn.SWITCH(E65,"F",0,"E",10,"D",20,"D+",30,"C",40,"C+",50,"B",60,"B+",70,"A",80,"A+",90,"S",100),_xlfn.SWITCH(F65,"F",0,"E",10,"D",20,"D+",30,"C",40,"C+",50,"B",60,"B+",70,"A",80,"A+",90,"S",100)),{0,15,25,35,45,55,65,75,85,95},{"D","D","D+","C","C+","B","B+","A","A+","S"}),"?")</f>
        <v>B</v>
      </c>
      <c r="H65" s="447">
        <f>IF(AND(ISNUMBER(MATCH(C65,{"F","E","D","D+","C","C+","B","B+","A","A+","S"},0)),ISNUMBER(MATCH(D65,{"F","E","D","D+","C","C+","B","B+","A","A+","S"},0)),ISNUMBER(MATCH(E65,{"F","E","D","D+","C","C+","B","B+","A","A+","S"},0)),ISNUMBER(MATCH(F65,{"F","E","D","D+","C","C+","B","B+","A","A+","S"},0))),_xlfn.SWITCH(C65,"F",0,"E",1,"D",2,"D+",3,"C",4,"C+",5,"B",6,"B+",7,"A",8,"A+",9,"S",10)*0.1+_xlfn.SWITCH(D65,"F",0,"E",1,"D",2,"D+",3,"C",4,"C+",5,"B",6,"B+",7,"A",8,"A+",9,"S",10)*0.4+_xlfn.SWITCH(E65,"F",0,"E",1,"D",2,"D+",3,"C",4,"C+",5,"B",6,"B+",7,"A",8,"A+",9,"S",10)*0.3+_xlfn.SWITCH(F65,"F",0,"E",1,"D",2,"D+",3,"C",4,"C+",5,"B",6,"B+",7,"A",8,"A+",9,"S",10)*0.2,"")</f>
        <v>6.5000000000000009</v>
      </c>
      <c r="I65" s="448" t="s">
        <v>5018</v>
      </c>
      <c r="J65" s="439"/>
      <c r="K65" s="441"/>
      <c r="L65" s="440"/>
      <c r="M65" s="440"/>
      <c r="N65" s="440"/>
      <c r="O65" s="440"/>
    </row>
    <row r="66" spans="1:15">
      <c r="A66" s="445" t="s">
        <v>230</v>
      </c>
      <c r="B66" s="446" t="s">
        <v>231</v>
      </c>
      <c r="C66" s="445" t="s">
        <v>1562</v>
      </c>
      <c r="D66" s="445"/>
      <c r="E66" s="445"/>
      <c r="F66" s="445"/>
      <c r="G66" s="445" t="str">
        <f>IF(AND(ISNUMBER(MATCH(D66,{"F","E","D","D+","C","C+","B","B+","A","A+","S"},0)),ISNUMBER(MATCH(E66,{"F","E","D","D+","C","C+","B","B+","A","A+","S"},0)),ISNUMBER(MATCH(F66,{"F","E","D","D+","C","C+","B","B+","A","A+","S"},0))),LOOKUP(AVERAGE(_xlfn.SWITCH(D66,"F",0,"E",10,"D",20,"D+",30,"C",40,"C+",50,"B",60,"B+",70,"A",80,"A+",90,"S",100),_xlfn.SWITCH(E66,"F",0,"E",10,"D",20,"D+",30,"C",40,"C+",50,"B",60,"B+",70,"A",80,"A+",90,"S",100),_xlfn.SWITCH(F66,"F",0,"E",10,"D",20,"D+",30,"C",40,"C+",50,"B",60,"B+",70,"A",80,"A+",90,"S",100)),{0,15,25,35,45,55,65,75,85,95},{"D","D","D+","C","C+","B","B+","A","A+","S"}),"?")</f>
        <v>?</v>
      </c>
      <c r="H66" s="447" t="str">
        <f>IF(AND(ISNUMBER(MATCH(C66,{"F","E","D","D+","C","C+","B","B+","A","A+","S"},0)),ISNUMBER(MATCH(D66,{"F","E","D","D+","C","C+","B","B+","A","A+","S"},0)),ISNUMBER(MATCH(E66,{"F","E","D","D+","C","C+","B","B+","A","A+","S"},0)),ISNUMBER(MATCH(F66,{"F","E","D","D+","C","C+","B","B+","A","A+","S"},0))),_xlfn.SWITCH(C66,"F",0,"E",1,"D",2,"D+",3,"C",4,"C+",5,"B",6,"B+",7,"A",8,"A+",9,"S",10)*0.1+_xlfn.SWITCH(D66,"F",0,"E",1,"D",2,"D+",3,"C",4,"C+",5,"B",6,"B+",7,"A",8,"A+",9,"S",10)*0.4+_xlfn.SWITCH(E66,"F",0,"E",1,"D",2,"D+",3,"C",4,"C+",5,"B",6,"B+",7,"A",8,"A+",9,"S",10)*0.3+_xlfn.SWITCH(F66,"F",0,"E",1,"D",2,"D+",3,"C",4,"C+",5,"B",6,"B+",7,"A",8,"A+",9,"S",10)*0.2,"")</f>
        <v/>
      </c>
      <c r="I66" s="448"/>
      <c r="J66" s="439"/>
      <c r="K66" s="441"/>
      <c r="L66" s="440"/>
      <c r="M66" s="440"/>
      <c r="N66" s="440"/>
      <c r="O66" s="440"/>
    </row>
    <row r="67" spans="1:15">
      <c r="A67" s="445" t="s">
        <v>86</v>
      </c>
      <c r="B67" s="446" t="s">
        <v>87</v>
      </c>
      <c r="C67" s="445" t="s">
        <v>1562</v>
      </c>
      <c r="D67" s="445"/>
      <c r="E67" s="445"/>
      <c r="F67" s="445"/>
      <c r="G67" s="445" t="str">
        <f>IF(AND(ISNUMBER(MATCH(D67,{"F","E","D","D+","C","C+","B","B+","A","A+","S"},0)),ISNUMBER(MATCH(E67,{"F","E","D","D+","C","C+","B","B+","A","A+","S"},0)),ISNUMBER(MATCH(F67,{"F","E","D","D+","C","C+","B","B+","A","A+","S"},0))),LOOKUP(AVERAGE(_xlfn.SWITCH(D67,"F",0,"E",10,"D",20,"D+",30,"C",40,"C+",50,"B",60,"B+",70,"A",80,"A+",90,"S",100),_xlfn.SWITCH(E67,"F",0,"E",10,"D",20,"D+",30,"C",40,"C+",50,"B",60,"B+",70,"A",80,"A+",90,"S",100),_xlfn.SWITCH(F67,"F",0,"E",10,"D",20,"D+",30,"C",40,"C+",50,"B",60,"B+",70,"A",80,"A+",90,"S",100)),{0,15,25,35,45,55,65,75,85,95},{"D","D","D+","C","C+","B","B+","A","A+","S"}),"?")</f>
        <v>?</v>
      </c>
      <c r="H67" s="447" t="str">
        <f>IF(AND(ISNUMBER(MATCH(C67,{"F","E","D","D+","C","C+","B","B+","A","A+","S"},0)),ISNUMBER(MATCH(D67,{"F","E","D","D+","C","C+","B","B+","A","A+","S"},0)),ISNUMBER(MATCH(E67,{"F","E","D","D+","C","C+","B","B+","A","A+","S"},0)),ISNUMBER(MATCH(F67,{"F","E","D","D+","C","C+","B","B+","A","A+","S"},0))),_xlfn.SWITCH(C67,"F",0,"E",1,"D",2,"D+",3,"C",4,"C+",5,"B",6,"B+",7,"A",8,"A+",9,"S",10)*0.1+_xlfn.SWITCH(D67,"F",0,"E",1,"D",2,"D+",3,"C",4,"C+",5,"B",6,"B+",7,"A",8,"A+",9,"S",10)*0.4+_xlfn.SWITCH(E67,"F",0,"E",1,"D",2,"D+",3,"C",4,"C+",5,"B",6,"B+",7,"A",8,"A+",9,"S",10)*0.3+_xlfn.SWITCH(F67,"F",0,"E",1,"D",2,"D+",3,"C",4,"C+",5,"B",6,"B+",7,"A",8,"A+",9,"S",10)*0.2,"")</f>
        <v/>
      </c>
      <c r="I67" s="448" t="s">
        <v>5019</v>
      </c>
      <c r="J67" s="439"/>
      <c r="K67" s="441"/>
      <c r="L67" s="440"/>
      <c r="M67" s="440"/>
      <c r="N67" s="440"/>
      <c r="O67" s="440"/>
    </row>
    <row r="68" spans="1:15">
      <c r="A68" s="445" t="s">
        <v>100</v>
      </c>
      <c r="B68" s="446" t="s">
        <v>101</v>
      </c>
      <c r="C68" s="445" t="s">
        <v>4976</v>
      </c>
      <c r="D68" s="445"/>
      <c r="E68" s="445"/>
      <c r="F68" s="445"/>
      <c r="G68" s="445" t="str">
        <f>IF(AND(ISNUMBER(MATCH(D68,{"F","E","D","D+","C","C+","B","B+","A","A+","S"},0)),ISNUMBER(MATCH(E68,{"F","E","D","D+","C","C+","B","B+","A","A+","S"},0)),ISNUMBER(MATCH(F68,{"F","E","D","D+","C","C+","B","B+","A","A+","S"},0))),LOOKUP(AVERAGE(_xlfn.SWITCH(D68,"F",0,"E",10,"D",20,"D+",30,"C",40,"C+",50,"B",60,"B+",70,"A",80,"A+",90,"S",100),_xlfn.SWITCH(E68,"F",0,"E",10,"D",20,"D+",30,"C",40,"C+",50,"B",60,"B+",70,"A",80,"A+",90,"S",100),_xlfn.SWITCH(F68,"F",0,"E",10,"D",20,"D+",30,"C",40,"C+",50,"B",60,"B+",70,"A",80,"A+",90,"S",100)),{0,15,25,35,45,55,65,75,85,95},{"D","D","D+","C","C+","B","B+","A","A+","S"}),"?")</f>
        <v>?</v>
      </c>
      <c r="H68" s="447" t="str">
        <f>IF(AND(ISNUMBER(MATCH(C68,{"F","E","D","D+","C","C+","B","B+","A","A+","S"},0)),ISNUMBER(MATCH(D68,{"F","E","D","D+","C","C+","B","B+","A","A+","S"},0)),ISNUMBER(MATCH(E68,{"F","E","D","D+","C","C+","B","B+","A","A+","S"},0)),ISNUMBER(MATCH(F68,{"F","E","D","D+","C","C+","B","B+","A","A+","S"},0))),_xlfn.SWITCH(C68,"F",0,"E",1,"D",2,"D+",3,"C",4,"C+",5,"B",6,"B+",7,"A",8,"A+",9,"S",10)*0.1+_xlfn.SWITCH(D68,"F",0,"E",1,"D",2,"D+",3,"C",4,"C+",5,"B",6,"B+",7,"A",8,"A+",9,"S",10)*0.4+_xlfn.SWITCH(E68,"F",0,"E",1,"D",2,"D+",3,"C",4,"C+",5,"B",6,"B+",7,"A",8,"A+",9,"S",10)*0.3+_xlfn.SWITCH(F68,"F",0,"E",1,"D",2,"D+",3,"C",4,"C+",5,"B",6,"B+",7,"A",8,"A+",9,"S",10)*0.2,"")</f>
        <v/>
      </c>
      <c r="I68" s="448"/>
      <c r="J68" s="439"/>
      <c r="K68" s="441"/>
      <c r="L68" s="440"/>
      <c r="M68" s="440"/>
      <c r="N68" s="440"/>
      <c r="O68" s="440"/>
    </row>
    <row r="69" spans="1:15">
      <c r="A69" s="445" t="s">
        <v>423</v>
      </c>
      <c r="B69" s="451" t="s">
        <v>424</v>
      </c>
      <c r="C69" s="445" t="s">
        <v>28</v>
      </c>
      <c r="D69" s="445" t="s">
        <v>28</v>
      </c>
      <c r="E69" s="445" t="s">
        <v>28</v>
      </c>
      <c r="F69" s="445" t="s">
        <v>21</v>
      </c>
      <c r="G69" s="445" t="str">
        <f>IF(AND(ISNUMBER(MATCH(D69,{"F","E","D","D+","C","C+","B","B+","A","A+","S"},0)),ISNUMBER(MATCH(E69,{"F","E","D","D+","C","C+","B","B+","A","A+","S"},0)),ISNUMBER(MATCH(F69,{"F","E","D","D+","C","C+","B","B+","A","A+","S"},0))),LOOKUP(AVERAGE(_xlfn.SWITCH(D69,"F",0,"E",10,"D",20,"D+",30,"C",40,"C+",50,"B",60,"B+",70,"A",80,"A+",90,"S",100),_xlfn.SWITCH(E69,"F",0,"E",10,"D",20,"D+",30,"C",40,"C+",50,"B",60,"B+",70,"A",80,"A+",90,"S",100),_xlfn.SWITCH(F69,"F",0,"E",10,"D",20,"D+",30,"C",40,"C+",50,"B",60,"B+",70,"A",80,"A+",90,"S",100)),{0,15,25,35,45,55,65,75,85,95},{"D","D","D+","C","C+","B","B+","A","A+","S"}),"?")</f>
        <v>A+</v>
      </c>
      <c r="H69" s="447">
        <f>IF(AND(ISNUMBER(MATCH(C69,{"F","E","D","D+","C","C+","B","B+","A","A+","S"},0)),ISNUMBER(MATCH(D69,{"F","E","D","D+","C","C+","B","B+","A","A+","S"},0)),ISNUMBER(MATCH(E69,{"F","E","D","D+","C","C+","B","B+","A","A+","S"},0)),ISNUMBER(MATCH(F69,{"F","E","D","D+","C","C+","B","B+","A","A+","S"},0))),_xlfn.SWITCH(C69,"F",0,"E",1,"D",2,"D+",3,"C",4,"C+",5,"B",6,"B+",7,"A",8,"A+",9,"S",10)*0.1+_xlfn.SWITCH(D69,"F",0,"E",1,"D",2,"D+",3,"C",4,"C+",5,"B",6,"B+",7,"A",8,"A+",9,"S",10)*0.4+_xlfn.SWITCH(E69,"F",0,"E",1,"D",2,"D+",3,"C",4,"C+",5,"B",6,"B+",7,"A",8,"A+",9,"S",10)*0.3+_xlfn.SWITCH(F69,"F",0,"E",1,"D",2,"D+",3,"C",4,"C+",5,"B",6,"B+",7,"A",8,"A+",9,"S",10)*0.2,"")</f>
        <v>8.7999999999999989</v>
      </c>
      <c r="I69" s="448" t="s">
        <v>5020</v>
      </c>
      <c r="J69" s="439"/>
      <c r="K69" s="441"/>
      <c r="L69" s="440"/>
      <c r="M69" s="440"/>
      <c r="N69" s="440"/>
      <c r="O69" s="440"/>
    </row>
    <row r="70" spans="1:15">
      <c r="A70" s="445" t="s">
        <v>428</v>
      </c>
      <c r="B70" s="446" t="s">
        <v>429</v>
      </c>
      <c r="C70" s="445" t="s">
        <v>1574</v>
      </c>
      <c r="D70" s="445"/>
      <c r="E70" s="445"/>
      <c r="F70" s="445"/>
      <c r="G70" s="445" t="str">
        <f>IF(AND(ISNUMBER(MATCH(D70,{"F","E","D","D+","C","C+","B","B+","A","A+","S"},0)),ISNUMBER(MATCH(E70,{"F","E","D","D+","C","C+","B","B+","A","A+","S"},0)),ISNUMBER(MATCH(F70,{"F","E","D","D+","C","C+","B","B+","A","A+","S"},0))),LOOKUP(AVERAGE(_xlfn.SWITCH(D70,"F",0,"E",10,"D",20,"D+",30,"C",40,"C+",50,"B",60,"B+",70,"A",80,"A+",90,"S",100),_xlfn.SWITCH(E70,"F",0,"E",10,"D",20,"D+",30,"C",40,"C+",50,"B",60,"B+",70,"A",80,"A+",90,"S",100),_xlfn.SWITCH(F70,"F",0,"E",10,"D",20,"D+",30,"C",40,"C+",50,"B",60,"B+",70,"A",80,"A+",90,"S",100)),{0,15,25,35,45,55,65,75,85,95},{"D","D","D+","C","C+","B","B+","A","A+","S"}),"?")</f>
        <v>?</v>
      </c>
      <c r="H70" s="447" t="str">
        <f>IF(AND(ISNUMBER(MATCH(C70,{"F","E","D","D+","C","C+","B","B+","A","A+","S"},0)),ISNUMBER(MATCH(D70,{"F","E","D","D+","C","C+","B","B+","A","A+","S"},0)),ISNUMBER(MATCH(E70,{"F","E","D","D+","C","C+","B","B+","A","A+","S"},0)),ISNUMBER(MATCH(F70,{"F","E","D","D+","C","C+","B","B+","A","A+","S"},0))),_xlfn.SWITCH(C70,"F",0,"E",1,"D",2,"D+",3,"C",4,"C+",5,"B",6,"B+",7,"A",8,"A+",9,"S",10)*0.1+_xlfn.SWITCH(D70,"F",0,"E",1,"D",2,"D+",3,"C",4,"C+",5,"B",6,"B+",7,"A",8,"A+",9,"S",10)*0.4+_xlfn.SWITCH(E70,"F",0,"E",1,"D",2,"D+",3,"C",4,"C+",5,"B",6,"B+",7,"A",8,"A+",9,"S",10)*0.3+_xlfn.SWITCH(F70,"F",0,"E",1,"D",2,"D+",3,"C",4,"C+",5,"B",6,"B+",7,"A",8,"A+",9,"S",10)*0.2,"")</f>
        <v/>
      </c>
      <c r="I70" s="448"/>
      <c r="J70" s="439"/>
      <c r="K70" s="441"/>
      <c r="L70" s="440"/>
      <c r="M70" s="440"/>
      <c r="N70" s="440"/>
      <c r="O70" s="440"/>
    </row>
    <row r="71" spans="1:15">
      <c r="A71" s="445" t="s">
        <v>261</v>
      </c>
      <c r="B71" s="450" t="s">
        <v>262</v>
      </c>
      <c r="C71" s="445" t="s">
        <v>1567</v>
      </c>
      <c r="D71" s="445" t="s">
        <v>21</v>
      </c>
      <c r="E71" s="445" t="s">
        <v>21</v>
      </c>
      <c r="F71" s="445" t="s">
        <v>1567</v>
      </c>
      <c r="G71" s="445" t="str">
        <f>IF(AND(ISNUMBER(MATCH(D71,{"F","E","D","D+","C","C+","B","B+","A","A+","S"},0)),ISNUMBER(MATCH(E71,{"F","E","D","D+","C","C+","B","B+","A","A+","S"},0)),ISNUMBER(MATCH(F71,{"F","E","D","D+","C","C+","B","B+","A","A+","S"},0))),LOOKUP(AVERAGE(_xlfn.SWITCH(D71,"F",0,"E",10,"D",20,"D+",30,"C",40,"C+",50,"B",60,"B+",70,"A",80,"A+",90,"S",100),_xlfn.SWITCH(E71,"F",0,"E",10,"D",20,"D+",30,"C",40,"C+",50,"B",60,"B+",70,"A",80,"A+",90,"S",100),_xlfn.SWITCH(F71,"F",0,"E",10,"D",20,"D+",30,"C",40,"C+",50,"B",60,"B+",70,"A",80,"A+",90,"S",100)),{0,15,25,35,45,55,65,75,85,95},{"D","D","D+","C","C+","B","B+","A","A+","S"}),"?")</f>
        <v>A</v>
      </c>
      <c r="H71" s="447">
        <f>IF(AND(ISNUMBER(MATCH(C71,{"F","E","D","D+","C","C+","B","B+","A","A+","S"},0)),ISNUMBER(MATCH(D71,{"F","E","D","D+","C","C+","B","B+","A","A+","S"},0)),ISNUMBER(MATCH(E71,{"F","E","D","D+","C","C+","B","B+","A","A+","S"},0)),ISNUMBER(MATCH(F71,{"F","E","D","D+","C","C+","B","B+","A","A+","S"},0))),_xlfn.SWITCH(C71,"F",0,"E",1,"D",2,"D+",3,"C",4,"C+",5,"B",6,"B+",7,"A",8,"A+",9,"S",10)*0.1+_xlfn.SWITCH(D71,"F",0,"E",1,"D",2,"D+",3,"C",4,"C+",5,"B",6,"B+",7,"A",8,"A+",9,"S",10)*0.4+_xlfn.SWITCH(E71,"F",0,"E",1,"D",2,"D+",3,"C",4,"C+",5,"B",6,"B+",7,"A",8,"A+",9,"S",10)*0.3+_xlfn.SWITCH(F71,"F",0,"E",1,"D",2,"D+",3,"C",4,"C+",5,"B",6,"B+",7,"A",8,"A+",9,"S",10)*0.2,"")</f>
        <v>7.7000000000000011</v>
      </c>
      <c r="I71" s="448" t="s">
        <v>5021</v>
      </c>
      <c r="J71" s="439"/>
      <c r="K71" s="441"/>
      <c r="L71" s="440"/>
      <c r="M71" s="440"/>
      <c r="N71" s="440"/>
      <c r="O71" s="440"/>
    </row>
    <row r="72" spans="1:15">
      <c r="A72" s="445" t="s">
        <v>437</v>
      </c>
      <c r="B72" s="446" t="s">
        <v>438</v>
      </c>
      <c r="C72" s="445" t="s">
        <v>1574</v>
      </c>
      <c r="D72" s="445"/>
      <c r="E72" s="445"/>
      <c r="F72" s="445"/>
      <c r="G72" s="445" t="str">
        <f>IF(AND(ISNUMBER(MATCH(D72,{"F","E","D","D+","C","C+","B","B+","A","A+","S"},0)),ISNUMBER(MATCH(E72,{"F","E","D","D+","C","C+","B","B+","A","A+","S"},0)),ISNUMBER(MATCH(F72,{"F","E","D","D+","C","C+","B","B+","A","A+","S"},0))),LOOKUP(AVERAGE(_xlfn.SWITCH(D72,"F",0,"E",10,"D",20,"D+",30,"C",40,"C+",50,"B",60,"B+",70,"A",80,"A+",90,"S",100),_xlfn.SWITCH(E72,"F",0,"E",10,"D",20,"D+",30,"C",40,"C+",50,"B",60,"B+",70,"A",80,"A+",90,"S",100),_xlfn.SWITCH(F72,"F",0,"E",10,"D",20,"D+",30,"C",40,"C+",50,"B",60,"B+",70,"A",80,"A+",90,"S",100)),{0,15,25,35,45,55,65,75,85,95},{"D","D","D+","C","C+","B","B+","A","A+","S"}),"?")</f>
        <v>?</v>
      </c>
      <c r="H72" s="447" t="str">
        <f>IF(AND(ISNUMBER(MATCH(C72,{"F","E","D","D+","C","C+","B","B+","A","A+","S"},0)),ISNUMBER(MATCH(D72,{"F","E","D","D+","C","C+","B","B+","A","A+","S"},0)),ISNUMBER(MATCH(E72,{"F","E","D","D+","C","C+","B","B+","A","A+","S"},0)),ISNUMBER(MATCH(F72,{"F","E","D","D+","C","C+","B","B+","A","A+","S"},0))),_xlfn.SWITCH(C72,"F",0,"E",1,"D",2,"D+",3,"C",4,"C+",5,"B",6,"B+",7,"A",8,"A+",9,"S",10)*0.1+_xlfn.SWITCH(D72,"F",0,"E",1,"D",2,"D+",3,"C",4,"C+",5,"B",6,"B+",7,"A",8,"A+",9,"S",10)*0.4+_xlfn.SWITCH(E72,"F",0,"E",1,"D",2,"D+",3,"C",4,"C+",5,"B",6,"B+",7,"A",8,"A+",9,"S",10)*0.3+_xlfn.SWITCH(F72,"F",0,"E",1,"D",2,"D+",3,"C",4,"C+",5,"B",6,"B+",7,"A",8,"A+",9,"S",10)*0.2,"")</f>
        <v/>
      </c>
      <c r="I72" s="448" t="s">
        <v>5022</v>
      </c>
      <c r="J72" s="439"/>
      <c r="K72" s="441"/>
      <c r="L72" s="440"/>
      <c r="M72" s="440"/>
      <c r="N72" s="440"/>
      <c r="O72" s="440"/>
    </row>
    <row r="73" spans="1:15">
      <c r="A73" s="445" t="s">
        <v>444</v>
      </c>
      <c r="B73" s="446" t="s">
        <v>445</v>
      </c>
      <c r="C73" s="445" t="s">
        <v>1661</v>
      </c>
      <c r="D73" s="445"/>
      <c r="E73" s="445"/>
      <c r="F73" s="445"/>
      <c r="G73" s="445" t="str">
        <f>IF(AND(ISNUMBER(MATCH(D73,{"F","E","D","D+","C","C+","B","B+","A","A+","S"},0)),ISNUMBER(MATCH(E73,{"F","E","D","D+","C","C+","B","B+","A","A+","S"},0)),ISNUMBER(MATCH(F73,{"F","E","D","D+","C","C+","B","B+","A","A+","S"},0))),LOOKUP(AVERAGE(_xlfn.SWITCH(D73,"F",0,"E",10,"D",20,"D+",30,"C",40,"C+",50,"B",60,"B+",70,"A",80,"A+",90,"S",100),_xlfn.SWITCH(E73,"F",0,"E",10,"D",20,"D+",30,"C",40,"C+",50,"B",60,"B+",70,"A",80,"A+",90,"S",100),_xlfn.SWITCH(F73,"F",0,"E",10,"D",20,"D+",30,"C",40,"C+",50,"B",60,"B+",70,"A",80,"A+",90,"S",100)),{0,15,25,35,45,55,65,75,85,95},{"D","D","D+","C","C+","B","B+","A","A+","S"}),"?")</f>
        <v>?</v>
      </c>
      <c r="H73" s="447" t="str">
        <f>IF(AND(ISNUMBER(MATCH(C73,{"F","E","D","D+","C","C+","B","B+","A","A+","S"},0)),ISNUMBER(MATCH(D73,{"F","E","D","D+","C","C+","B","B+","A","A+","S"},0)),ISNUMBER(MATCH(E73,{"F","E","D","D+","C","C+","B","B+","A","A+","S"},0)),ISNUMBER(MATCH(F73,{"F","E","D","D+","C","C+","B","B+","A","A+","S"},0))),_xlfn.SWITCH(C73,"F",0,"E",1,"D",2,"D+",3,"C",4,"C+",5,"B",6,"B+",7,"A",8,"A+",9,"S",10)*0.1+_xlfn.SWITCH(D73,"F",0,"E",1,"D",2,"D+",3,"C",4,"C+",5,"B",6,"B+",7,"A",8,"A+",9,"S",10)*0.4+_xlfn.SWITCH(E73,"F",0,"E",1,"D",2,"D+",3,"C",4,"C+",5,"B",6,"B+",7,"A",8,"A+",9,"S",10)*0.3+_xlfn.SWITCH(F73,"F",0,"E",1,"D",2,"D+",3,"C",4,"C+",5,"B",6,"B+",7,"A",8,"A+",9,"S",10)*0.2,"")</f>
        <v/>
      </c>
      <c r="I73" s="448" t="s">
        <v>5019</v>
      </c>
      <c r="J73" s="439"/>
      <c r="K73" s="441"/>
      <c r="L73" s="440"/>
      <c r="M73" s="440"/>
      <c r="N73" s="440"/>
      <c r="O73" s="440"/>
    </row>
    <row r="74" spans="1:15">
      <c r="A74" s="445" t="s">
        <v>448</v>
      </c>
      <c r="B74" s="450" t="s">
        <v>449</v>
      </c>
      <c r="C74" s="445" t="s">
        <v>21</v>
      </c>
      <c r="D74" s="445" t="s">
        <v>1567</v>
      </c>
      <c r="E74" s="445" t="s">
        <v>18</v>
      </c>
      <c r="F74" s="445" t="s">
        <v>18</v>
      </c>
      <c r="G74" s="445" t="str">
        <f>IF(AND(ISNUMBER(MATCH(D74,{"F","E","D","D+","C","C+","B","B+","A","A+","S"},0)),ISNUMBER(MATCH(E74,{"F","E","D","D+","C","C+","B","B+","A","A+","S"},0)),ISNUMBER(MATCH(F74,{"F","E","D","D+","C","C+","B","B+","A","A+","S"},0))),LOOKUP(AVERAGE(_xlfn.SWITCH(D74,"F",0,"E",10,"D",20,"D+",30,"C",40,"C+",50,"B",60,"B+",70,"A",80,"A+",90,"S",100),_xlfn.SWITCH(E74,"F",0,"E",10,"D",20,"D+",30,"C",40,"C+",50,"B",60,"B+",70,"A",80,"A+",90,"S",100),_xlfn.SWITCH(F74,"F",0,"E",10,"D",20,"D+",30,"C",40,"C+",50,"B",60,"B+",70,"A",80,"A+",90,"S",100)),{0,15,25,35,45,55,65,75,85,95},{"D","D","D+","C","C+","B","B+","A","A+","S"}),"?")</f>
        <v>B</v>
      </c>
      <c r="H74" s="447">
        <f>IF(AND(ISNUMBER(MATCH(C74,{"F","E","D","D+","C","C+","B","B+","A","A+","S"},0)),ISNUMBER(MATCH(D74,{"F","E","D","D+","C","C+","B","B+","A","A+","S"},0)),ISNUMBER(MATCH(E74,{"F","E","D","D+","C","C+","B","B+","A","A+","S"},0)),ISNUMBER(MATCH(F74,{"F","E","D","D+","C","C+","B","B+","A","A+","S"},0))),_xlfn.SWITCH(C74,"F",0,"E",1,"D",2,"D+",3,"C",4,"C+",5,"B",6,"B+",7,"A",8,"A+",9,"S",10)*0.1+_xlfn.SWITCH(D74,"F",0,"E",1,"D",2,"D+",3,"C",4,"C+",5,"B",6,"B+",7,"A",8,"A+",9,"S",10)*0.4+_xlfn.SWITCH(E74,"F",0,"E",1,"D",2,"D+",3,"C",4,"C+",5,"B",6,"B+",7,"A",8,"A+",9,"S",10)*0.3+_xlfn.SWITCH(F74,"F",0,"E",1,"D",2,"D+",3,"C",4,"C+",5,"B",6,"B+",7,"A",8,"A+",9,"S",10)*0.2,"")</f>
        <v>6.6000000000000005</v>
      </c>
      <c r="I74" s="448" t="s">
        <v>5023</v>
      </c>
      <c r="J74" s="439"/>
      <c r="K74" s="441"/>
      <c r="L74" s="440"/>
      <c r="M74" s="440"/>
      <c r="N74" s="440"/>
      <c r="O74" s="440"/>
    </row>
    <row r="75" spans="1:15" ht="34">
      <c r="A75" s="445" t="s">
        <v>452</v>
      </c>
      <c r="B75" s="446" t="s">
        <v>453</v>
      </c>
      <c r="C75" s="445" t="s">
        <v>18</v>
      </c>
      <c r="D75" s="445" t="s">
        <v>1562</v>
      </c>
      <c r="E75" s="445" t="s">
        <v>1562</v>
      </c>
      <c r="F75" s="445" t="s">
        <v>18</v>
      </c>
      <c r="G75" s="445" t="str">
        <f>IF(AND(ISNUMBER(MATCH(D75,{"F","E","D","D+","C","C+","B","B+","A","A+","S"},0)),ISNUMBER(MATCH(E75,{"F","E","D","D+","C","C+","B","B+","A","A+","S"},0)),ISNUMBER(MATCH(F75,{"F","E","D","D+","C","C+","B","B+","A","A+","S"},0))),LOOKUP(AVERAGE(_xlfn.SWITCH(D75,"F",0,"E",10,"D",20,"D+",30,"C",40,"C+",50,"B",60,"B+",70,"A",80,"A+",90,"S",100),_xlfn.SWITCH(E75,"F",0,"E",10,"D",20,"D+",30,"C",40,"C+",50,"B",60,"B+",70,"A",80,"A+",90,"S",100),_xlfn.SWITCH(F75,"F",0,"E",10,"D",20,"D+",30,"C",40,"C+",50,"B",60,"B+",70,"A",80,"A+",90,"S",100)),{0,15,25,35,45,55,65,75,85,95},{"D","D","D+","C","C+","B","B+","A","A+","S"}),"?")</f>
        <v>C+</v>
      </c>
      <c r="H75" s="447">
        <f>IF(AND(ISNUMBER(MATCH(C75,{"F","E","D","D+","C","C+","B","B+","A","A+","S"},0)),ISNUMBER(MATCH(D75,{"F","E","D","D+","C","C+","B","B+","A","A+","S"},0)),ISNUMBER(MATCH(E75,{"F","E","D","D+","C","C+","B","B+","A","A+","S"},0)),ISNUMBER(MATCH(F75,{"F","E","D","D+","C","C+","B","B+","A","A+","S"},0))),_xlfn.SWITCH(C75,"F",0,"E",1,"D",2,"D+",3,"C",4,"C+",5,"B",6,"B+",7,"A",8,"A+",9,"S",10)*0.1+_xlfn.SWITCH(D75,"F",0,"E",1,"D",2,"D+",3,"C",4,"C+",5,"B",6,"B+",7,"A",8,"A+",9,"S",10)*0.4+_xlfn.SWITCH(E75,"F",0,"E",1,"D",2,"D+",3,"C",4,"C+",5,"B",6,"B+",7,"A",8,"A+",9,"S",10)*0.3+_xlfn.SWITCH(F75,"F",0,"E",1,"D",2,"D+",3,"C",4,"C+",5,"B",6,"B+",7,"A",8,"A+",9,"S",10)*0.2,"")</f>
        <v>5.3</v>
      </c>
      <c r="I75" s="459" t="s">
        <v>5024</v>
      </c>
      <c r="J75" s="439"/>
      <c r="K75" s="441"/>
      <c r="L75" s="440"/>
      <c r="M75" s="440"/>
      <c r="N75" s="440"/>
      <c r="O75" s="440"/>
    </row>
    <row r="76" spans="1:15">
      <c r="A76" s="445" t="s">
        <v>456</v>
      </c>
      <c r="B76" s="446" t="s">
        <v>457</v>
      </c>
      <c r="C76" s="445" t="s">
        <v>1574</v>
      </c>
      <c r="D76" s="445"/>
      <c r="E76" s="445"/>
      <c r="F76" s="445"/>
      <c r="G76" s="445" t="str">
        <f>IF(AND(ISNUMBER(MATCH(D76,{"F","E","D","D+","C","C+","B","B+","A","A+","S"},0)),ISNUMBER(MATCH(E76,{"F","E","D","D+","C","C+","B","B+","A","A+","S"},0)),ISNUMBER(MATCH(F76,{"F","E","D","D+","C","C+","B","B+","A","A+","S"},0))),LOOKUP(AVERAGE(_xlfn.SWITCH(D76,"F",0,"E",10,"D",20,"D+",30,"C",40,"C+",50,"B",60,"B+",70,"A",80,"A+",90,"S",100),_xlfn.SWITCH(E76,"F",0,"E",10,"D",20,"D+",30,"C",40,"C+",50,"B",60,"B+",70,"A",80,"A+",90,"S",100),_xlfn.SWITCH(F76,"F",0,"E",10,"D",20,"D+",30,"C",40,"C+",50,"B",60,"B+",70,"A",80,"A+",90,"S",100)),{0,15,25,35,45,55,65,75,85,95},{"D","D","D+","C","C+","B","B+","A","A+","S"}),"?")</f>
        <v>?</v>
      </c>
      <c r="H76" s="447" t="str">
        <f>IF(AND(ISNUMBER(MATCH(C76,{"F","E","D","D+","C","C+","B","B+","A","A+","S"},0)),ISNUMBER(MATCH(D76,{"F","E","D","D+","C","C+","B","B+","A","A+","S"},0)),ISNUMBER(MATCH(E76,{"F","E","D","D+","C","C+","B","B+","A","A+","S"},0)),ISNUMBER(MATCH(F76,{"F","E","D","D+","C","C+","B","B+","A","A+","S"},0))),_xlfn.SWITCH(C76,"F",0,"E",1,"D",2,"D+",3,"C",4,"C+",5,"B",6,"B+",7,"A",8,"A+",9,"S",10)*0.1+_xlfn.SWITCH(D76,"F",0,"E",1,"D",2,"D+",3,"C",4,"C+",5,"B",6,"B+",7,"A",8,"A+",9,"S",10)*0.4+_xlfn.SWITCH(E76,"F",0,"E",1,"D",2,"D+",3,"C",4,"C+",5,"B",6,"B+",7,"A",8,"A+",9,"S",10)*0.3+_xlfn.SWITCH(F76,"F",0,"E",1,"D",2,"D+",3,"C",4,"C+",5,"B",6,"B+",7,"A",8,"A+",9,"S",10)*0.2,"")</f>
        <v/>
      </c>
      <c r="I76" s="448" t="s">
        <v>5025</v>
      </c>
      <c r="J76" s="439"/>
      <c r="K76" s="441"/>
      <c r="L76" s="440"/>
      <c r="M76" s="440"/>
      <c r="N76" s="440"/>
      <c r="O76" s="440"/>
    </row>
    <row r="77" spans="1:15">
      <c r="A77" s="445" t="s">
        <v>462</v>
      </c>
      <c r="B77" s="446" t="s">
        <v>463</v>
      </c>
      <c r="C77" s="445" t="s">
        <v>1562</v>
      </c>
      <c r="D77" s="445"/>
      <c r="E77" s="445"/>
      <c r="F77" s="445"/>
      <c r="G77" s="445" t="str">
        <f>IF(AND(ISNUMBER(MATCH(D77,{"F","E","D","D+","C","C+","B","B+","A","A+","S"},0)),ISNUMBER(MATCH(E77,{"F","E","D","D+","C","C+","B","B+","A","A+","S"},0)),ISNUMBER(MATCH(F77,{"F","E","D","D+","C","C+","B","B+","A","A+","S"},0))),LOOKUP(AVERAGE(_xlfn.SWITCH(D77,"F",0,"E",10,"D",20,"D+",30,"C",40,"C+",50,"B",60,"B+",70,"A",80,"A+",90,"S",100),_xlfn.SWITCH(E77,"F",0,"E",10,"D",20,"D+",30,"C",40,"C+",50,"B",60,"B+",70,"A",80,"A+",90,"S",100),_xlfn.SWITCH(F77,"F",0,"E",10,"D",20,"D+",30,"C",40,"C+",50,"B",60,"B+",70,"A",80,"A+",90,"S",100)),{0,15,25,35,45,55,65,75,85,95},{"D","D","D+","C","C+","B","B+","A","A+","S"}),"?")</f>
        <v>?</v>
      </c>
      <c r="H77" s="447" t="str">
        <f>IF(AND(ISNUMBER(MATCH(C77,{"F","E","D","D+","C","C+","B","B+","A","A+","S"},0)),ISNUMBER(MATCH(D77,{"F","E","D","D+","C","C+","B","B+","A","A+","S"},0)),ISNUMBER(MATCH(E77,{"F","E","D","D+","C","C+","B","B+","A","A+","S"},0)),ISNUMBER(MATCH(F77,{"F","E","D","D+","C","C+","B","B+","A","A+","S"},0))),_xlfn.SWITCH(C77,"F",0,"E",1,"D",2,"D+",3,"C",4,"C+",5,"B",6,"B+",7,"A",8,"A+",9,"S",10)*0.1+_xlfn.SWITCH(D77,"F",0,"E",1,"D",2,"D+",3,"C",4,"C+",5,"B",6,"B+",7,"A",8,"A+",9,"S",10)*0.4+_xlfn.SWITCH(E77,"F",0,"E",1,"D",2,"D+",3,"C",4,"C+",5,"B",6,"B+",7,"A",8,"A+",9,"S",10)*0.3+_xlfn.SWITCH(F77,"F",0,"E",1,"D",2,"D+",3,"C",4,"C+",5,"B",6,"B+",7,"A",8,"A+",9,"S",10)*0.2,"")</f>
        <v/>
      </c>
      <c r="I77" s="448" t="s">
        <v>5026</v>
      </c>
      <c r="J77" s="439"/>
      <c r="K77" s="441"/>
      <c r="L77" s="440"/>
      <c r="M77" s="440"/>
      <c r="N77" s="440"/>
      <c r="O77" s="440"/>
    </row>
    <row r="78" spans="1:15">
      <c r="A78" s="445" t="s">
        <v>468</v>
      </c>
      <c r="B78" s="446" t="s">
        <v>469</v>
      </c>
      <c r="C78" s="445" t="s">
        <v>18</v>
      </c>
      <c r="D78" s="445" t="s">
        <v>1562</v>
      </c>
      <c r="E78" s="445" t="s">
        <v>1562</v>
      </c>
      <c r="F78" s="445" t="s">
        <v>18</v>
      </c>
      <c r="G78" s="445" t="str">
        <f>IF(AND(ISNUMBER(MATCH(D78,{"F","E","D","D+","C","C+","B","B+","A","A+","S"},0)),ISNUMBER(MATCH(E78,{"F","E","D","D+","C","C+","B","B+","A","A+","S"},0)),ISNUMBER(MATCH(F78,{"F","E","D","D+","C","C+","B","B+","A","A+","S"},0))),LOOKUP(AVERAGE(_xlfn.SWITCH(D78,"F",0,"E",10,"D",20,"D+",30,"C",40,"C+",50,"B",60,"B+",70,"A",80,"A+",90,"S",100),_xlfn.SWITCH(E78,"F",0,"E",10,"D",20,"D+",30,"C",40,"C+",50,"B",60,"B+",70,"A",80,"A+",90,"S",100),_xlfn.SWITCH(F78,"F",0,"E",10,"D",20,"D+",30,"C",40,"C+",50,"B",60,"B+",70,"A",80,"A+",90,"S",100)),{0,15,25,35,45,55,65,75,85,95},{"D","D","D+","C","C+","B","B+","A","A+","S"}),"?")</f>
        <v>C+</v>
      </c>
      <c r="H78" s="447">
        <f>IF(AND(ISNUMBER(MATCH(C78,{"F","E","D","D+","C","C+","B","B+","A","A+","S"},0)),ISNUMBER(MATCH(D78,{"F","E","D","D+","C","C+","B","B+","A","A+","S"},0)),ISNUMBER(MATCH(E78,{"F","E","D","D+","C","C+","B","B+","A","A+","S"},0)),ISNUMBER(MATCH(F78,{"F","E","D","D+","C","C+","B","B+","A","A+","S"},0))),_xlfn.SWITCH(C78,"F",0,"E",1,"D",2,"D+",3,"C",4,"C+",5,"B",6,"B+",7,"A",8,"A+",9,"S",10)*0.1+_xlfn.SWITCH(D78,"F",0,"E",1,"D",2,"D+",3,"C",4,"C+",5,"B",6,"B+",7,"A",8,"A+",9,"S",10)*0.4+_xlfn.SWITCH(E78,"F",0,"E",1,"D",2,"D+",3,"C",4,"C+",5,"B",6,"B+",7,"A",8,"A+",9,"S",10)*0.3+_xlfn.SWITCH(F78,"F",0,"E",1,"D",2,"D+",3,"C",4,"C+",5,"B",6,"B+",7,"A",8,"A+",9,"S",10)*0.2,"")</f>
        <v>5.3</v>
      </c>
      <c r="I78" s="448" t="s">
        <v>5027</v>
      </c>
      <c r="J78" s="439"/>
      <c r="K78" s="441"/>
      <c r="L78" s="440"/>
      <c r="M78" s="440"/>
      <c r="N78" s="440"/>
      <c r="O78" s="440"/>
    </row>
    <row r="79" spans="1:15">
      <c r="A79" s="445" t="s">
        <v>175</v>
      </c>
      <c r="B79" s="450" t="s">
        <v>176</v>
      </c>
      <c r="C79" s="445" t="s">
        <v>21</v>
      </c>
      <c r="D79" s="445" t="s">
        <v>28</v>
      </c>
      <c r="E79" s="445" t="s">
        <v>28</v>
      </c>
      <c r="F79" s="445" t="s">
        <v>18</v>
      </c>
      <c r="G79" s="445" t="str">
        <f>IF(AND(ISNUMBER(MATCH(D79,{"F","E","D","D+","C","C+","B","B+","A","A+","S"},0)),ISNUMBER(MATCH(E79,{"F","E","D","D+","C","C+","B","B+","A","A+","S"},0)),ISNUMBER(MATCH(F79,{"F","E","D","D+","C","C+","B","B+","A","A+","S"},0))),LOOKUP(AVERAGE(_xlfn.SWITCH(D79,"F",0,"E",10,"D",20,"D+",30,"C",40,"C+",50,"B",60,"B+",70,"A",80,"A+",90,"S",100),_xlfn.SWITCH(E79,"F",0,"E",10,"D",20,"D+",30,"C",40,"C+",50,"B",60,"B+",70,"A",80,"A+",90,"S",100),_xlfn.SWITCH(F79,"F",0,"E",10,"D",20,"D+",30,"C",40,"C+",50,"B",60,"B+",70,"A",80,"A+",90,"S",100)),{0,15,25,35,45,55,65,75,85,95},{"D","D","D+","C","C+","B","B+","A","A+","S"}),"?")</f>
        <v>A</v>
      </c>
      <c r="H79" s="447">
        <f>IF(AND(ISNUMBER(MATCH(C79,{"F","E","D","D+","C","C+","B","B+","A","A+","S"},0)),ISNUMBER(MATCH(D79,{"F","E","D","D+","C","C+","B","B+","A","A+","S"},0)),ISNUMBER(MATCH(E79,{"F","E","D","D+","C","C+","B","B+","A","A+","S"},0)),ISNUMBER(MATCH(F79,{"F","E","D","D+","C","C+","B","B+","A","A+","S"},0))),_xlfn.SWITCH(C79,"F",0,"E",1,"D",2,"D+",3,"C",4,"C+",5,"B",6,"B+",7,"A",8,"A+",9,"S",10)*0.1+_xlfn.SWITCH(D79,"F",0,"E",1,"D",2,"D+",3,"C",4,"C+",5,"B",6,"B+",7,"A",8,"A+",9,"S",10)*0.4+_xlfn.SWITCH(E79,"F",0,"E",1,"D",2,"D+",3,"C",4,"C+",5,"B",6,"B+",7,"A",8,"A+",9,"S",10)*0.3+_xlfn.SWITCH(F79,"F",0,"E",1,"D",2,"D+",3,"C",4,"C+",5,"B",6,"B+",7,"A",8,"A+",9,"S",10)*0.2,"")</f>
        <v>8.3000000000000007</v>
      </c>
      <c r="I79" s="448" t="s">
        <v>5028</v>
      </c>
      <c r="J79" s="439"/>
      <c r="K79" s="441"/>
      <c r="L79" s="440"/>
      <c r="M79" s="440"/>
      <c r="N79" s="440"/>
      <c r="O79" s="440"/>
    </row>
    <row r="80" spans="1:15">
      <c r="A80" s="445" t="s">
        <v>189</v>
      </c>
      <c r="B80" s="446" t="s">
        <v>190</v>
      </c>
      <c r="C80" s="445" t="s">
        <v>18</v>
      </c>
      <c r="D80" s="445" t="s">
        <v>18</v>
      </c>
      <c r="E80" s="445" t="s">
        <v>18</v>
      </c>
      <c r="F80" s="445" t="s">
        <v>18</v>
      </c>
      <c r="G80" s="445" t="str">
        <f>IF(AND(ISNUMBER(MATCH(D80,{"F","E","D","D+","C","C+","B","B+","A","A+","S"},0)),ISNUMBER(MATCH(E80,{"F","E","D","D+","C","C+","B","B+","A","A+","S"},0)),ISNUMBER(MATCH(F80,{"F","E","D","D+","C","C+","B","B+","A","A+","S"},0))),LOOKUP(AVERAGE(_xlfn.SWITCH(D80,"F",0,"E",10,"D",20,"D+",30,"C",40,"C+",50,"B",60,"B+",70,"A",80,"A+",90,"S",100),_xlfn.SWITCH(E80,"F",0,"E",10,"D",20,"D+",30,"C",40,"C+",50,"B",60,"B+",70,"A",80,"A+",90,"S",100),_xlfn.SWITCH(F80,"F",0,"E",10,"D",20,"D+",30,"C",40,"C+",50,"B",60,"B+",70,"A",80,"A+",90,"S",100)),{0,15,25,35,45,55,65,75,85,95},{"D","D","D+","C","C+","B","B+","A","A+","S"}),"?")</f>
        <v>B</v>
      </c>
      <c r="H80" s="447">
        <f>IF(AND(ISNUMBER(MATCH(C80,{"F","E","D","D+","C","C+","B","B+","A","A+","S"},0)),ISNUMBER(MATCH(D80,{"F","E","D","D+","C","C+","B","B+","A","A+","S"},0)),ISNUMBER(MATCH(E80,{"F","E","D","D+","C","C+","B","B+","A","A+","S"},0)),ISNUMBER(MATCH(F80,{"F","E","D","D+","C","C+","B","B+","A","A+","S"},0))),_xlfn.SWITCH(C80,"F",0,"E",1,"D",2,"D+",3,"C",4,"C+",5,"B",6,"B+",7,"A",8,"A+",9,"S",10)*0.1+_xlfn.SWITCH(D80,"F",0,"E",1,"D",2,"D+",3,"C",4,"C+",5,"B",6,"B+",7,"A",8,"A+",9,"S",10)*0.4+_xlfn.SWITCH(E80,"F",0,"E",1,"D",2,"D+",3,"C",4,"C+",5,"B",6,"B+",7,"A",8,"A+",9,"S",10)*0.3+_xlfn.SWITCH(F80,"F",0,"E",1,"D",2,"D+",3,"C",4,"C+",5,"B",6,"B+",7,"A",8,"A+",9,"S",10)*0.2,"")</f>
        <v>6.0000000000000009</v>
      </c>
      <c r="I80" s="448" t="s">
        <v>5029</v>
      </c>
      <c r="J80" s="439"/>
      <c r="K80" s="441"/>
      <c r="L80" s="440"/>
      <c r="M80" s="440"/>
      <c r="N80" s="440"/>
      <c r="O80" s="440"/>
    </row>
    <row r="81" spans="1:15">
      <c r="A81" s="445" t="s">
        <v>479</v>
      </c>
      <c r="B81" s="446" t="s">
        <v>480</v>
      </c>
      <c r="C81" s="445" t="s">
        <v>1574</v>
      </c>
      <c r="D81" s="445"/>
      <c r="E81" s="445"/>
      <c r="F81" s="445"/>
      <c r="G81" s="445" t="str">
        <f>IF(AND(ISNUMBER(MATCH(D81,{"F","E","D","D+","C","C+","B","B+","A","A+","S"},0)),ISNUMBER(MATCH(E81,{"F","E","D","D+","C","C+","B","B+","A","A+","S"},0)),ISNUMBER(MATCH(F81,{"F","E","D","D+","C","C+","B","B+","A","A+","S"},0))),LOOKUP(AVERAGE(_xlfn.SWITCH(D81,"F",0,"E",10,"D",20,"D+",30,"C",40,"C+",50,"B",60,"B+",70,"A",80,"A+",90,"S",100),_xlfn.SWITCH(E81,"F",0,"E",10,"D",20,"D+",30,"C",40,"C+",50,"B",60,"B+",70,"A",80,"A+",90,"S",100),_xlfn.SWITCH(F81,"F",0,"E",10,"D",20,"D+",30,"C",40,"C+",50,"B",60,"B+",70,"A",80,"A+",90,"S",100)),{0,15,25,35,45,55,65,75,85,95},{"D","D","D+","C","C+","B","B+","A","A+","S"}),"?")</f>
        <v>?</v>
      </c>
      <c r="H81" s="447" t="str">
        <f>IF(AND(ISNUMBER(MATCH(C81,{"F","E","D","D+","C","C+","B","B+","A","A+","S"},0)),ISNUMBER(MATCH(D81,{"F","E","D","D+","C","C+","B","B+","A","A+","S"},0)),ISNUMBER(MATCH(E81,{"F","E","D","D+","C","C+","B","B+","A","A+","S"},0)),ISNUMBER(MATCH(F81,{"F","E","D","D+","C","C+","B","B+","A","A+","S"},0))),_xlfn.SWITCH(C81,"F",0,"E",1,"D",2,"D+",3,"C",4,"C+",5,"B",6,"B+",7,"A",8,"A+",9,"S",10)*0.1+_xlfn.SWITCH(D81,"F",0,"E",1,"D",2,"D+",3,"C",4,"C+",5,"B",6,"B+",7,"A",8,"A+",9,"S",10)*0.4+_xlfn.SWITCH(E81,"F",0,"E",1,"D",2,"D+",3,"C",4,"C+",5,"B",6,"B+",7,"A",8,"A+",9,"S",10)*0.3+_xlfn.SWITCH(F81,"F",0,"E",1,"D",2,"D+",3,"C",4,"C+",5,"B",6,"B+",7,"A",8,"A+",9,"S",10)*0.2,"")</f>
        <v/>
      </c>
      <c r="I81" s="448"/>
      <c r="J81" s="439"/>
      <c r="K81" s="441"/>
      <c r="L81" s="440"/>
      <c r="M81" s="440"/>
      <c r="N81" s="440"/>
      <c r="O81" s="440"/>
    </row>
    <row r="82" spans="1:15">
      <c r="A82" s="445" t="s">
        <v>485</v>
      </c>
      <c r="B82" s="450" t="s">
        <v>486</v>
      </c>
      <c r="C82" s="445" t="s">
        <v>1567</v>
      </c>
      <c r="D82" s="445" t="s">
        <v>1567</v>
      </c>
      <c r="E82" s="445" t="s">
        <v>1567</v>
      </c>
      <c r="F82" s="445" t="s">
        <v>1562</v>
      </c>
      <c r="G82" s="445" t="str">
        <f>IF(AND(ISNUMBER(MATCH(D82,{"F","E","D","D+","C","C+","B","B+","A","A+","S"},0)),ISNUMBER(MATCH(E82,{"F","E","D","D+","C","C+","B","B+","A","A+","S"},0)),ISNUMBER(MATCH(F82,{"F","E","D","D+","C","C+","B","B+","A","A+","S"},0))),LOOKUP(AVERAGE(_xlfn.SWITCH(D82,"F",0,"E",10,"D",20,"D+",30,"C",40,"C+",50,"B",60,"B+",70,"A",80,"A+",90,"S",100),_xlfn.SWITCH(E82,"F",0,"E",10,"D",20,"D+",30,"C",40,"C+",50,"B",60,"B+",70,"A",80,"A+",90,"S",100),_xlfn.SWITCH(F82,"F",0,"E",10,"D",20,"D+",30,"C",40,"C+",50,"B",60,"B+",70,"A",80,"A+",90,"S",100)),{0,15,25,35,45,55,65,75,85,95},{"D","D","D+","C","C+","B","B+","A","A+","S"}),"?")</f>
        <v>B</v>
      </c>
      <c r="H82" s="447">
        <f>IF(AND(ISNUMBER(MATCH(C82,{"F","E","D","D+","C","C+","B","B+","A","A+","S"},0)),ISNUMBER(MATCH(D82,{"F","E","D","D+","C","C+","B","B+","A","A+","S"},0)),ISNUMBER(MATCH(E82,{"F","E","D","D+","C","C+","B","B+","A","A+","S"},0)),ISNUMBER(MATCH(F82,{"F","E","D","D+","C","C+","B","B+","A","A+","S"},0))),_xlfn.SWITCH(C82,"F",0,"E",1,"D",2,"D+",3,"C",4,"C+",5,"B",6,"B+",7,"A",8,"A+",9,"S",10)*0.1+_xlfn.SWITCH(D82,"F",0,"E",1,"D",2,"D+",3,"C",4,"C+",5,"B",6,"B+",7,"A",8,"A+",9,"S",10)*0.4+_xlfn.SWITCH(E82,"F",0,"E",1,"D",2,"D+",3,"C",4,"C+",5,"B",6,"B+",7,"A",8,"A+",9,"S",10)*0.3+_xlfn.SWITCH(F82,"F",0,"E",1,"D",2,"D+",3,"C",4,"C+",5,"B",6,"B+",7,"A",8,"A+",9,"S",10)*0.2,"")</f>
        <v>6.6000000000000005</v>
      </c>
      <c r="I82" s="448" t="s">
        <v>5030</v>
      </c>
      <c r="J82" s="439"/>
      <c r="K82" s="441"/>
      <c r="L82" s="440"/>
      <c r="M82" s="440"/>
      <c r="N82" s="440"/>
      <c r="O82" s="440"/>
    </row>
    <row r="83" spans="1:15" ht="34">
      <c r="A83" s="445" t="s">
        <v>490</v>
      </c>
      <c r="B83" s="446" t="s">
        <v>491</v>
      </c>
      <c r="C83" s="445" t="s">
        <v>18</v>
      </c>
      <c r="D83" s="445" t="s">
        <v>18</v>
      </c>
      <c r="E83" s="445" t="s">
        <v>1562</v>
      </c>
      <c r="F83" s="445" t="s">
        <v>18</v>
      </c>
      <c r="G83" s="445" t="str">
        <f>IF(AND(ISNUMBER(MATCH(D83,{"F","E","D","D+","C","C+","B","B+","A","A+","S"},0)),ISNUMBER(MATCH(E83,{"F","E","D","D+","C","C+","B","B+","A","A+","S"},0)),ISNUMBER(MATCH(F83,{"F","E","D","D+","C","C+","B","B+","A","A+","S"},0))),LOOKUP(AVERAGE(_xlfn.SWITCH(D83,"F",0,"E",10,"D",20,"D+",30,"C",40,"C+",50,"B",60,"B+",70,"A",80,"A+",90,"S",100),_xlfn.SWITCH(E83,"F",0,"E",10,"D",20,"D+",30,"C",40,"C+",50,"B",60,"B+",70,"A",80,"A+",90,"S",100),_xlfn.SWITCH(F83,"F",0,"E",10,"D",20,"D+",30,"C",40,"C+",50,"B",60,"B+",70,"A",80,"A+",90,"S",100)),{0,15,25,35,45,55,65,75,85,95},{"D","D","D+","C","C+","B","B+","A","A+","S"}),"?")</f>
        <v>B</v>
      </c>
      <c r="H83" s="447">
        <f>IF(AND(ISNUMBER(MATCH(C83,{"F","E","D","D+","C","C+","B","B+","A","A+","S"},0)),ISNUMBER(MATCH(D83,{"F","E","D","D+","C","C+","B","B+","A","A+","S"},0)),ISNUMBER(MATCH(E83,{"F","E","D","D+","C","C+","B","B+","A","A+","S"},0)),ISNUMBER(MATCH(F83,{"F","E","D","D+","C","C+","B","B+","A","A+","S"},0))),_xlfn.SWITCH(C83,"F",0,"E",1,"D",2,"D+",3,"C",4,"C+",5,"B",6,"B+",7,"A",8,"A+",9,"S",10)*0.1+_xlfn.SWITCH(D83,"F",0,"E",1,"D",2,"D+",3,"C",4,"C+",5,"B",6,"B+",7,"A",8,"A+",9,"S",10)*0.4+_xlfn.SWITCH(E83,"F",0,"E",1,"D",2,"D+",3,"C",4,"C+",5,"B",6,"B+",7,"A",8,"A+",9,"S",10)*0.3+_xlfn.SWITCH(F83,"F",0,"E",1,"D",2,"D+",3,"C",4,"C+",5,"B",6,"B+",7,"A",8,"A+",9,"S",10)*0.2,"")</f>
        <v>5.7</v>
      </c>
      <c r="I83" s="459" t="s">
        <v>5031</v>
      </c>
      <c r="J83" s="439"/>
      <c r="K83" s="441"/>
      <c r="L83" s="440"/>
      <c r="M83" s="440"/>
      <c r="N83" s="440"/>
      <c r="O83" s="440"/>
    </row>
    <row r="84" spans="1:15">
      <c r="A84" s="445" t="s">
        <v>496</v>
      </c>
      <c r="B84" s="446" t="s">
        <v>497</v>
      </c>
      <c r="C84" s="445" t="s">
        <v>18</v>
      </c>
      <c r="D84" s="445" t="s">
        <v>1562</v>
      </c>
      <c r="E84" s="445" t="s">
        <v>1562</v>
      </c>
      <c r="F84" s="445" t="s">
        <v>1562</v>
      </c>
      <c r="G84" s="445" t="str">
        <f>IF(AND(ISNUMBER(MATCH(D84,{"F","E","D","D+","C","C+","B","B+","A","A+","S"},0)),ISNUMBER(MATCH(E84,{"F","E","D","D+","C","C+","B","B+","A","A+","S"},0)),ISNUMBER(MATCH(F84,{"F","E","D","D+","C","C+","B","B+","A","A+","S"},0))),LOOKUP(AVERAGE(_xlfn.SWITCH(D84,"F",0,"E",10,"D",20,"D+",30,"C",40,"C+",50,"B",60,"B+",70,"A",80,"A+",90,"S",100),_xlfn.SWITCH(E84,"F",0,"E",10,"D",20,"D+",30,"C",40,"C+",50,"B",60,"B+",70,"A",80,"A+",90,"S",100),_xlfn.SWITCH(F84,"F",0,"E",10,"D",20,"D+",30,"C",40,"C+",50,"B",60,"B+",70,"A",80,"A+",90,"S",100)),{0,15,25,35,45,55,65,75,85,95},{"D","D","D+","C","C+","B","B+","A","A+","S"}),"?")</f>
        <v>C+</v>
      </c>
      <c r="H84" s="447">
        <f>IF(AND(ISNUMBER(MATCH(C84,{"F","E","D","D+","C","C+","B","B+","A","A+","S"},0)),ISNUMBER(MATCH(D84,{"F","E","D","D+","C","C+","B","B+","A","A+","S"},0)),ISNUMBER(MATCH(E84,{"F","E","D","D+","C","C+","B","B+","A","A+","S"},0)),ISNUMBER(MATCH(F84,{"F","E","D","D+","C","C+","B","B+","A","A+","S"},0))),_xlfn.SWITCH(C84,"F",0,"E",1,"D",2,"D+",3,"C",4,"C+",5,"B",6,"B+",7,"A",8,"A+",9,"S",10)*0.1+_xlfn.SWITCH(D84,"F",0,"E",1,"D",2,"D+",3,"C",4,"C+",5,"B",6,"B+",7,"A",8,"A+",9,"S",10)*0.4+_xlfn.SWITCH(E84,"F",0,"E",1,"D",2,"D+",3,"C",4,"C+",5,"B",6,"B+",7,"A",8,"A+",9,"S",10)*0.3+_xlfn.SWITCH(F84,"F",0,"E",1,"D",2,"D+",3,"C",4,"C+",5,"B",6,"B+",7,"A",8,"A+",9,"S",10)*0.2,"")</f>
        <v>5.0999999999999996</v>
      </c>
      <c r="I84" s="448" t="s">
        <v>5032</v>
      </c>
      <c r="J84" s="439"/>
      <c r="K84" s="441"/>
      <c r="L84" s="440"/>
      <c r="M84" s="440"/>
      <c r="N84" s="440"/>
      <c r="O84" s="440"/>
    </row>
    <row r="85" spans="1:15">
      <c r="A85" s="445" t="s">
        <v>502</v>
      </c>
      <c r="B85" s="446" t="s">
        <v>503</v>
      </c>
      <c r="C85" s="445" t="s">
        <v>18</v>
      </c>
      <c r="D85" s="445" t="s">
        <v>18</v>
      </c>
      <c r="E85" s="445" t="s">
        <v>18</v>
      </c>
      <c r="F85" s="445" t="s">
        <v>1562</v>
      </c>
      <c r="G85" s="445" t="str">
        <f>IF(AND(ISNUMBER(MATCH(D85,{"F","E","D","D+","C","C+","B","B+","A","A+","S"},0)),ISNUMBER(MATCH(E85,{"F","E","D","D+","C","C+","B","B+","A","A+","S"},0)),ISNUMBER(MATCH(F85,{"F","E","D","D+","C","C+","B","B+","A","A+","S"},0))),LOOKUP(AVERAGE(_xlfn.SWITCH(D85,"F",0,"E",10,"D",20,"D+",30,"C",40,"C+",50,"B",60,"B+",70,"A",80,"A+",90,"S",100),_xlfn.SWITCH(E85,"F",0,"E",10,"D",20,"D+",30,"C",40,"C+",50,"B",60,"B+",70,"A",80,"A+",90,"S",100),_xlfn.SWITCH(F85,"F",0,"E",10,"D",20,"D+",30,"C",40,"C+",50,"B",60,"B+",70,"A",80,"A+",90,"S",100)),{0,15,25,35,45,55,65,75,85,95},{"D","D","D+","C","C+","B","B+","A","A+","S"}),"?")</f>
        <v>B</v>
      </c>
      <c r="H85" s="447">
        <f>IF(AND(ISNUMBER(MATCH(C85,{"F","E","D","D+","C","C+","B","B+","A","A+","S"},0)),ISNUMBER(MATCH(D85,{"F","E","D","D+","C","C+","B","B+","A","A+","S"},0)),ISNUMBER(MATCH(E85,{"F","E","D","D+","C","C+","B","B+","A","A+","S"},0)),ISNUMBER(MATCH(F85,{"F","E","D","D+","C","C+","B","B+","A","A+","S"},0))),_xlfn.SWITCH(C85,"F",0,"E",1,"D",2,"D+",3,"C",4,"C+",5,"B",6,"B+",7,"A",8,"A+",9,"S",10)*0.1+_xlfn.SWITCH(D85,"F",0,"E",1,"D",2,"D+",3,"C",4,"C+",5,"B",6,"B+",7,"A",8,"A+",9,"S",10)*0.4+_xlfn.SWITCH(E85,"F",0,"E",1,"D",2,"D+",3,"C",4,"C+",5,"B",6,"B+",7,"A",8,"A+",9,"S",10)*0.3+_xlfn.SWITCH(F85,"F",0,"E",1,"D",2,"D+",3,"C",4,"C+",5,"B",6,"B+",7,"A",8,"A+",9,"S",10)*0.2,"")</f>
        <v>5.8000000000000007</v>
      </c>
      <c r="I85" s="448" t="s">
        <v>5033</v>
      </c>
      <c r="J85" s="439"/>
      <c r="K85" s="441"/>
      <c r="L85" s="440"/>
      <c r="M85" s="440"/>
      <c r="N85" s="440"/>
      <c r="O85" s="440"/>
    </row>
    <row r="86" spans="1:15">
      <c r="A86" s="445" t="s">
        <v>507</v>
      </c>
      <c r="B86" s="450" t="s">
        <v>508</v>
      </c>
      <c r="C86" s="445" t="s">
        <v>18</v>
      </c>
      <c r="D86" s="445" t="s">
        <v>21</v>
      </c>
      <c r="E86" s="445" t="s">
        <v>21</v>
      </c>
      <c r="F86" s="445" t="s">
        <v>18</v>
      </c>
      <c r="G86" s="445" t="str">
        <f>IF(AND(ISNUMBER(MATCH(D86,{"F","E","D","D+","C","C+","B","B+","A","A+","S"},0)),ISNUMBER(MATCH(E86,{"F","E","D","D+","C","C+","B","B+","A","A+","S"},0)),ISNUMBER(MATCH(F86,{"F","E","D","D+","C","C+","B","B+","A","A+","S"},0))),LOOKUP(AVERAGE(_xlfn.SWITCH(D86,"F",0,"E",10,"D",20,"D+",30,"C",40,"C+",50,"B",60,"B+",70,"A",80,"A+",90,"S",100),_xlfn.SWITCH(E86,"F",0,"E",10,"D",20,"D+",30,"C",40,"C+",50,"B",60,"B+",70,"A",80,"A+",90,"S",100),_xlfn.SWITCH(F86,"F",0,"E",10,"D",20,"D+",30,"C",40,"C+",50,"B",60,"B+",70,"A",80,"A+",90,"S",100)),{0,15,25,35,45,55,65,75,85,95},{"D","D","D+","C","C+","B","B+","A","A+","S"}),"?")</f>
        <v>B+</v>
      </c>
      <c r="H86" s="447">
        <f>IF(AND(ISNUMBER(MATCH(C86,{"F","E","D","D+","C","C+","B","B+","A","A+","S"},0)),ISNUMBER(MATCH(D86,{"F","E","D","D+","C","C+","B","B+","A","A+","S"},0)),ISNUMBER(MATCH(E86,{"F","E","D","D+","C","C+","B","B+","A","A+","S"},0)),ISNUMBER(MATCH(F86,{"F","E","D","D+","C","C+","B","B+","A","A+","S"},0))),_xlfn.SWITCH(C86,"F",0,"E",1,"D",2,"D+",3,"C",4,"C+",5,"B",6,"B+",7,"A",8,"A+",9,"S",10)*0.1+_xlfn.SWITCH(D86,"F",0,"E",1,"D",2,"D+",3,"C",4,"C+",5,"B",6,"B+",7,"A",8,"A+",9,"S",10)*0.4+_xlfn.SWITCH(E86,"F",0,"E",1,"D",2,"D+",3,"C",4,"C+",5,"B",6,"B+",7,"A",8,"A+",9,"S",10)*0.3+_xlfn.SWITCH(F86,"F",0,"E",1,"D",2,"D+",3,"C",4,"C+",5,"B",6,"B+",7,"A",8,"A+",9,"S",10)*0.2,"")</f>
        <v>7.4</v>
      </c>
      <c r="I86" s="448" t="s">
        <v>5034</v>
      </c>
      <c r="J86" s="439"/>
      <c r="K86" s="441"/>
      <c r="L86" s="440"/>
      <c r="M86" s="440"/>
      <c r="N86" s="440"/>
      <c r="O86" s="440"/>
    </row>
    <row r="87" spans="1:15" ht="34">
      <c r="A87" s="445" t="s">
        <v>182</v>
      </c>
      <c r="B87" s="450" t="s">
        <v>183</v>
      </c>
      <c r="C87" s="445" t="s">
        <v>21</v>
      </c>
      <c r="D87" s="445" t="s">
        <v>28</v>
      </c>
      <c r="E87" s="445" t="s">
        <v>21</v>
      </c>
      <c r="F87" s="445" t="s">
        <v>1574</v>
      </c>
      <c r="G87" s="445" t="str">
        <f>IF(AND(ISNUMBER(MATCH(D87,{"F","E","D","D+","C","C+","B","B+","A","A+","S"},0)),ISNUMBER(MATCH(E87,{"F","E","D","D+","C","C+","B","B+","A","A+","S"},0)),ISNUMBER(MATCH(F87,{"F","E","D","D+","C","C+","B","B+","A","A+","S"},0))),LOOKUP(AVERAGE(_xlfn.SWITCH(D87,"F",0,"E",10,"D",20,"D+",30,"C",40,"C+",50,"B",60,"B+",70,"A",80,"A+",90,"S",100),_xlfn.SWITCH(E87,"F",0,"E",10,"D",20,"D+",30,"C",40,"C+",50,"B",60,"B+",70,"A",80,"A+",90,"S",100),_xlfn.SWITCH(F87,"F",0,"E",10,"D",20,"D+",30,"C",40,"C+",50,"B",60,"B+",70,"A",80,"A+",90,"S",100)),{0,15,25,35,45,55,65,75,85,95},{"D","D","D+","C","C+","B","B+","A","A+","S"}),"?")</f>
        <v>B+</v>
      </c>
      <c r="H87" s="447">
        <f>IF(AND(ISNUMBER(MATCH(C87,{"F","E","D","D+","C","C+","B","B+","A","A+","S"},0)),ISNUMBER(MATCH(D87,{"F","E","D","D+","C","C+","B","B+","A","A+","S"},0)),ISNUMBER(MATCH(E87,{"F","E","D","D+","C","C+","B","B+","A","A+","S"},0)),ISNUMBER(MATCH(F87,{"F","E","D","D+","C","C+","B","B+","A","A+","S"},0))),_xlfn.SWITCH(C87,"F",0,"E",1,"D",2,"D+",3,"C",4,"C+",5,"B",6,"B+",7,"A",8,"A+",9,"S",10)*0.1+_xlfn.SWITCH(D87,"F",0,"E",1,"D",2,"D+",3,"C",4,"C+",5,"B",6,"B+",7,"A",8,"A+",9,"S",10)*0.4+_xlfn.SWITCH(E87,"F",0,"E",1,"D",2,"D+",3,"C",4,"C+",5,"B",6,"B+",7,"A",8,"A+",9,"S",10)*0.3+_xlfn.SWITCH(F87,"F",0,"E",1,"D",2,"D+",3,"C",4,"C+",5,"B",6,"B+",7,"A",8,"A+",9,"S",10)*0.2,"")</f>
        <v>7.6000000000000005</v>
      </c>
      <c r="I87" s="459" t="s">
        <v>5035</v>
      </c>
      <c r="J87" s="439"/>
      <c r="K87" s="441"/>
      <c r="L87" s="440"/>
      <c r="M87" s="440"/>
      <c r="N87" s="440"/>
      <c r="O87" s="440"/>
    </row>
    <row r="88" spans="1:15">
      <c r="A88" s="445" t="s">
        <v>512</v>
      </c>
      <c r="B88" s="450" t="s">
        <v>513</v>
      </c>
      <c r="C88" s="445" t="s">
        <v>1567</v>
      </c>
      <c r="D88" s="445" t="s">
        <v>21</v>
      </c>
      <c r="E88" s="445" t="s">
        <v>1567</v>
      </c>
      <c r="F88" s="445" t="s">
        <v>1567</v>
      </c>
      <c r="G88" s="445" t="str">
        <f>IF(AND(ISNUMBER(MATCH(D88,{"F","E","D","D+","C","C+","B","B+","A","A+","S"},0)),ISNUMBER(MATCH(E88,{"F","E","D","D+","C","C+","B","B+","A","A+","S"},0)),ISNUMBER(MATCH(F88,{"F","E","D","D+","C","C+","B","B+","A","A+","S"},0))),LOOKUP(AVERAGE(_xlfn.SWITCH(D88,"F",0,"E",10,"D",20,"D+",30,"C",40,"C+",50,"B",60,"B+",70,"A",80,"A+",90,"S",100),_xlfn.SWITCH(E88,"F",0,"E",10,"D",20,"D+",30,"C",40,"C+",50,"B",60,"B+",70,"A",80,"A+",90,"S",100),_xlfn.SWITCH(F88,"F",0,"E",10,"D",20,"D+",30,"C",40,"C+",50,"B",60,"B+",70,"A",80,"A+",90,"S",100)),{0,15,25,35,45,55,65,75,85,95},{"D","D","D+","C","C+","B","B+","A","A+","S"}),"?")</f>
        <v>B+</v>
      </c>
      <c r="H88" s="447">
        <f>IF(AND(ISNUMBER(MATCH(C88,{"F","E","D","D+","C","C+","B","B+","A","A+","S"},0)),ISNUMBER(MATCH(D88,{"F","E","D","D+","C","C+","B","B+","A","A+","S"},0)),ISNUMBER(MATCH(E88,{"F","E","D","D+","C","C+","B","B+","A","A+","S"},0)),ISNUMBER(MATCH(F88,{"F","E","D","D+","C","C+","B","B+","A","A+","S"},0))),_xlfn.SWITCH(C88,"F",0,"E",1,"D",2,"D+",3,"C",4,"C+",5,"B",6,"B+",7,"A",8,"A+",9,"S",10)*0.1+_xlfn.SWITCH(D88,"F",0,"E",1,"D",2,"D+",3,"C",4,"C+",5,"B",6,"B+",7,"A",8,"A+",9,"S",10)*0.4+_xlfn.SWITCH(E88,"F",0,"E",1,"D",2,"D+",3,"C",4,"C+",5,"B",6,"B+",7,"A",8,"A+",9,"S",10)*0.3+_xlfn.SWITCH(F88,"F",0,"E",1,"D",2,"D+",3,"C",4,"C+",5,"B",6,"B+",7,"A",8,"A+",9,"S",10)*0.2,"")</f>
        <v>7.4</v>
      </c>
      <c r="I88" s="448" t="s">
        <v>5036</v>
      </c>
      <c r="J88" s="439"/>
      <c r="K88" s="441"/>
      <c r="L88" s="440"/>
      <c r="M88" s="440"/>
      <c r="N88" s="440"/>
      <c r="O88" s="440"/>
    </row>
    <row r="89" spans="1:15">
      <c r="A89" s="445" t="s">
        <v>518</v>
      </c>
      <c r="B89" s="446" t="s">
        <v>519</v>
      </c>
      <c r="C89" s="445" t="s">
        <v>1567</v>
      </c>
      <c r="D89" s="445" t="s">
        <v>18</v>
      </c>
      <c r="E89" s="445" t="s">
        <v>1567</v>
      </c>
      <c r="F89" s="445" t="s">
        <v>1574</v>
      </c>
      <c r="G89" s="445" t="str">
        <f>IF(AND(ISNUMBER(MATCH(D89,{"F","E","D","D+","C","C+","B","B+","A","A+","S"},0)),ISNUMBER(MATCH(E89,{"F","E","D","D+","C","C+","B","B+","A","A+","S"},0)),ISNUMBER(MATCH(F89,{"F","E","D","D+","C","C+","B","B+","A","A+","S"},0))),LOOKUP(AVERAGE(_xlfn.SWITCH(D89,"F",0,"E",10,"D",20,"D+",30,"C",40,"C+",50,"B",60,"B+",70,"A",80,"A+",90,"S",100),_xlfn.SWITCH(E89,"F",0,"E",10,"D",20,"D+",30,"C",40,"C+",50,"B",60,"B+",70,"A",80,"A+",90,"S",100),_xlfn.SWITCH(F89,"F",0,"E",10,"D",20,"D+",30,"C",40,"C+",50,"B",60,"B+",70,"A",80,"A+",90,"S",100)),{0,15,25,35,45,55,65,75,85,95},{"D","D","D+","C","C+","B","B+","A","A+","S"}),"?")</f>
        <v>B</v>
      </c>
      <c r="H89" s="447">
        <f>IF(AND(ISNUMBER(MATCH(C89,{"F","E","D","D+","C","C+","B","B+","A","A+","S"},0)),ISNUMBER(MATCH(D89,{"F","E","D","D+","C","C+","B","B+","A","A+","S"},0)),ISNUMBER(MATCH(E89,{"F","E","D","D+","C","C+","B","B+","A","A+","S"},0)),ISNUMBER(MATCH(F89,{"F","E","D","D+","C","C+","B","B+","A","A+","S"},0))),_xlfn.SWITCH(C89,"F",0,"E",1,"D",2,"D+",3,"C",4,"C+",5,"B",6,"B+",7,"A",8,"A+",9,"S",10)*0.1+_xlfn.SWITCH(D89,"F",0,"E",1,"D",2,"D+",3,"C",4,"C+",5,"B",6,"B+",7,"A",8,"A+",9,"S",10)*0.4+_xlfn.SWITCH(E89,"F",0,"E",1,"D",2,"D+",3,"C",4,"C+",5,"B",6,"B+",7,"A",8,"A+",9,"S",10)*0.3+_xlfn.SWITCH(F89,"F",0,"E",1,"D",2,"D+",3,"C",4,"C+",5,"B",6,"B+",7,"A",8,"A+",9,"S",10)*0.2,"")</f>
        <v>6.0000000000000009</v>
      </c>
      <c r="I89" s="448" t="s">
        <v>5037</v>
      </c>
      <c r="J89" s="439"/>
      <c r="K89" s="441"/>
      <c r="L89" s="440"/>
      <c r="M89" s="440"/>
      <c r="N89" s="440"/>
      <c r="O89" s="440"/>
    </row>
    <row r="90" spans="1:15">
      <c r="A90" s="445" t="s">
        <v>524</v>
      </c>
      <c r="B90" s="450" t="s">
        <v>525</v>
      </c>
      <c r="C90" s="445" t="s">
        <v>21</v>
      </c>
      <c r="D90" s="445" t="s">
        <v>28</v>
      </c>
      <c r="E90" s="445" t="s">
        <v>21</v>
      </c>
      <c r="F90" s="445" t="s">
        <v>18</v>
      </c>
      <c r="G90" s="445" t="str">
        <f>IF(AND(ISNUMBER(MATCH(D90,{"F","E","D","D+","C","C+","B","B+","A","A+","S"},0)),ISNUMBER(MATCH(E90,{"F","E","D","D+","C","C+","B","B+","A","A+","S"},0)),ISNUMBER(MATCH(F90,{"F","E","D","D+","C","C+","B","B+","A","A+","S"},0))),LOOKUP(AVERAGE(_xlfn.SWITCH(D90,"F",0,"E",10,"D",20,"D+",30,"C",40,"C+",50,"B",60,"B+",70,"A",80,"A+",90,"S",100),_xlfn.SWITCH(E90,"F",0,"E",10,"D",20,"D+",30,"C",40,"C+",50,"B",60,"B+",70,"A",80,"A+",90,"S",100),_xlfn.SWITCH(F90,"F",0,"E",10,"D",20,"D+",30,"C",40,"C+",50,"B",60,"B+",70,"A",80,"A+",90,"S",100)),{0,15,25,35,45,55,65,75,85,95},{"D","D","D+","C","C+","B","B+","A","A+","S"}),"?")</f>
        <v>A</v>
      </c>
      <c r="H90" s="447">
        <f>IF(AND(ISNUMBER(MATCH(C90,{"F","E","D","D+","C","C+","B","B+","A","A+","S"},0)),ISNUMBER(MATCH(D90,{"F","E","D","D+","C","C+","B","B+","A","A+","S"},0)),ISNUMBER(MATCH(E90,{"F","E","D","D+","C","C+","B","B+","A","A+","S"},0)),ISNUMBER(MATCH(F90,{"F","E","D","D+","C","C+","B","B+","A","A+","S"},0))),_xlfn.SWITCH(C90,"F",0,"E",1,"D",2,"D+",3,"C",4,"C+",5,"B",6,"B+",7,"A",8,"A+",9,"S",10)*0.1+_xlfn.SWITCH(D90,"F",0,"E",1,"D",2,"D+",3,"C",4,"C+",5,"B",6,"B+",7,"A",8,"A+",9,"S",10)*0.4+_xlfn.SWITCH(E90,"F",0,"E",1,"D",2,"D+",3,"C",4,"C+",5,"B",6,"B+",7,"A",8,"A+",9,"S",10)*0.3+_xlfn.SWITCH(F90,"F",0,"E",1,"D",2,"D+",3,"C",4,"C+",5,"B",6,"B+",7,"A",8,"A+",9,"S",10)*0.2,"")</f>
        <v>8</v>
      </c>
      <c r="I90" s="448" t="s">
        <v>5038</v>
      </c>
      <c r="J90" s="439"/>
      <c r="K90" s="441"/>
      <c r="L90" s="440"/>
      <c r="M90" s="440"/>
      <c r="N90" s="440"/>
      <c r="O90" s="440"/>
    </row>
    <row r="91" spans="1:15">
      <c r="A91" s="445" t="s">
        <v>72</v>
      </c>
      <c r="B91" s="450" t="s">
        <v>73</v>
      </c>
      <c r="C91" s="445" t="s">
        <v>18</v>
      </c>
      <c r="D91" s="445" t="s">
        <v>1567</v>
      </c>
      <c r="E91" s="445" t="s">
        <v>18</v>
      </c>
      <c r="F91" s="445" t="s">
        <v>21</v>
      </c>
      <c r="G91" s="445" t="str">
        <f>IF(AND(ISNUMBER(MATCH(D91,{"F","E","D","D+","C","C+","B","B+","A","A+","S"},0)),ISNUMBER(MATCH(E91,{"F","E","D","D+","C","C+","B","B+","A","A+","S"},0)),ISNUMBER(MATCH(F91,{"F","E","D","D+","C","C+","B","B+","A","A+","S"},0))),LOOKUP(AVERAGE(_xlfn.SWITCH(D91,"F",0,"E",10,"D",20,"D+",30,"C",40,"C+",50,"B",60,"B+",70,"A",80,"A+",90,"S",100),_xlfn.SWITCH(E91,"F",0,"E",10,"D",20,"D+",30,"C",40,"C+",50,"B",60,"B+",70,"A",80,"A+",90,"S",100),_xlfn.SWITCH(F91,"F",0,"E",10,"D",20,"D+",30,"C",40,"C+",50,"B",60,"B+",70,"A",80,"A+",90,"S",100)),{0,15,25,35,45,55,65,75,85,95},{"D","D","D+","C","C+","B","B+","A","A+","S"}),"?")</f>
        <v>B+</v>
      </c>
      <c r="H91" s="447">
        <f>IF(AND(ISNUMBER(MATCH(C91,{"F","E","D","D+","C","C+","B","B+","A","A+","S"},0)),ISNUMBER(MATCH(D91,{"F","E","D","D+","C","C+","B","B+","A","A+","S"},0)),ISNUMBER(MATCH(E91,{"F","E","D","D+","C","C+","B","B+","A","A+","S"},0)),ISNUMBER(MATCH(F91,{"F","E","D","D+","C","C+","B","B+","A","A+","S"},0))),_xlfn.SWITCH(C91,"F",0,"E",1,"D",2,"D+",3,"C",4,"C+",5,"B",6,"B+",7,"A",8,"A+",9,"S",10)*0.1+_xlfn.SWITCH(D91,"F",0,"E",1,"D",2,"D+",3,"C",4,"C+",5,"B",6,"B+",7,"A",8,"A+",9,"S",10)*0.4+_xlfn.SWITCH(E91,"F",0,"E",1,"D",2,"D+",3,"C",4,"C+",5,"B",6,"B+",7,"A",8,"A+",9,"S",10)*0.3+_xlfn.SWITCH(F91,"F",0,"E",1,"D",2,"D+",3,"C",4,"C+",5,"B",6,"B+",7,"A",8,"A+",9,"S",10)*0.2,"")</f>
        <v>6.8000000000000007</v>
      </c>
      <c r="I91" s="448" t="s">
        <v>5039</v>
      </c>
      <c r="J91" s="439"/>
      <c r="K91" s="441"/>
      <c r="L91" s="440"/>
      <c r="M91" s="440"/>
      <c r="N91" s="440"/>
      <c r="O91" s="440"/>
    </row>
    <row r="92" spans="1:15">
      <c r="A92" s="445" t="s">
        <v>536</v>
      </c>
      <c r="B92" s="446" t="s">
        <v>537</v>
      </c>
      <c r="C92" s="445" t="s">
        <v>1574</v>
      </c>
      <c r="D92" s="445"/>
      <c r="E92" s="445"/>
      <c r="F92" s="445"/>
      <c r="G92" s="445" t="str">
        <f>IF(AND(ISNUMBER(MATCH(D92,{"F","E","D","D+","C","C+","B","B+","A","A+","S"},0)),ISNUMBER(MATCH(E92,{"F","E","D","D+","C","C+","B","B+","A","A+","S"},0)),ISNUMBER(MATCH(F92,{"F","E","D","D+","C","C+","B","B+","A","A+","S"},0))),LOOKUP(AVERAGE(_xlfn.SWITCH(D92,"F",0,"E",10,"D",20,"D+",30,"C",40,"C+",50,"B",60,"B+",70,"A",80,"A+",90,"S",100),_xlfn.SWITCH(E92,"F",0,"E",10,"D",20,"D+",30,"C",40,"C+",50,"B",60,"B+",70,"A",80,"A+",90,"S",100),_xlfn.SWITCH(F92,"F",0,"E",10,"D",20,"D+",30,"C",40,"C+",50,"B",60,"B+",70,"A",80,"A+",90,"S",100)),{0,15,25,35,45,55,65,75,85,95},{"D","D","D+","C","C+","B","B+","A","A+","S"}),"?")</f>
        <v>?</v>
      </c>
      <c r="H92" s="447" t="str">
        <f>IF(AND(ISNUMBER(MATCH(C92,{"F","E","D","D+","C","C+","B","B+","A","A+","S"},0)),ISNUMBER(MATCH(D92,{"F","E","D","D+","C","C+","B","B+","A","A+","S"},0)),ISNUMBER(MATCH(E92,{"F","E","D","D+","C","C+","B","B+","A","A+","S"},0)),ISNUMBER(MATCH(F92,{"F","E","D","D+","C","C+","B","B+","A","A+","S"},0))),_xlfn.SWITCH(C92,"F",0,"E",1,"D",2,"D+",3,"C",4,"C+",5,"B",6,"B+",7,"A",8,"A+",9,"S",10)*0.1+_xlfn.SWITCH(D92,"F",0,"E",1,"D",2,"D+",3,"C",4,"C+",5,"B",6,"B+",7,"A",8,"A+",9,"S",10)*0.4+_xlfn.SWITCH(E92,"F",0,"E",1,"D",2,"D+",3,"C",4,"C+",5,"B",6,"B+",7,"A",8,"A+",9,"S",10)*0.3+_xlfn.SWITCH(F92,"F",0,"E",1,"D",2,"D+",3,"C",4,"C+",5,"B",6,"B+",7,"A",8,"A+",9,"S",10)*0.2,"")</f>
        <v/>
      </c>
      <c r="I92" s="448"/>
      <c r="J92" s="439"/>
      <c r="K92" s="441"/>
      <c r="L92" s="440"/>
      <c r="M92" s="440"/>
      <c r="N92" s="440"/>
      <c r="O92" s="440"/>
    </row>
    <row r="93" spans="1:15">
      <c r="A93" s="445" t="s">
        <v>543</v>
      </c>
      <c r="B93" s="446" t="s">
        <v>544</v>
      </c>
      <c r="C93" s="445" t="s">
        <v>18</v>
      </c>
      <c r="D93" s="445" t="s">
        <v>1562</v>
      </c>
      <c r="E93" s="445" t="s">
        <v>18</v>
      </c>
      <c r="F93" s="445" t="s">
        <v>18</v>
      </c>
      <c r="G93" s="445" t="str">
        <f>IF(AND(ISNUMBER(MATCH(D93,{"F","E","D","D+","C","C+","B","B+","A","A+","S"},0)),ISNUMBER(MATCH(E93,{"F","E","D","D+","C","C+","B","B+","A","A+","S"},0)),ISNUMBER(MATCH(F93,{"F","E","D","D+","C","C+","B","B+","A","A+","S"},0))),LOOKUP(AVERAGE(_xlfn.SWITCH(D93,"F",0,"E",10,"D",20,"D+",30,"C",40,"C+",50,"B",60,"B+",70,"A",80,"A+",90,"S",100),_xlfn.SWITCH(E93,"F",0,"E",10,"D",20,"D+",30,"C",40,"C+",50,"B",60,"B+",70,"A",80,"A+",90,"S",100),_xlfn.SWITCH(F93,"F",0,"E",10,"D",20,"D+",30,"C",40,"C+",50,"B",60,"B+",70,"A",80,"A+",90,"S",100)),{0,15,25,35,45,55,65,75,85,95},{"D","D","D+","C","C+","B","B+","A","A+","S"}),"?")</f>
        <v>B</v>
      </c>
      <c r="H93" s="447">
        <f>IF(AND(ISNUMBER(MATCH(C93,{"F","E","D","D+","C","C+","B","B+","A","A+","S"},0)),ISNUMBER(MATCH(D93,{"F","E","D","D+","C","C+","B","B+","A","A+","S"},0)),ISNUMBER(MATCH(E93,{"F","E","D","D+","C","C+","B","B+","A","A+","S"},0)),ISNUMBER(MATCH(F93,{"F","E","D","D+","C","C+","B","B+","A","A+","S"},0))),_xlfn.SWITCH(C93,"F",0,"E",1,"D",2,"D+",3,"C",4,"C+",5,"B",6,"B+",7,"A",8,"A+",9,"S",10)*0.1+_xlfn.SWITCH(D93,"F",0,"E",1,"D",2,"D+",3,"C",4,"C+",5,"B",6,"B+",7,"A",8,"A+",9,"S",10)*0.4+_xlfn.SWITCH(E93,"F",0,"E",1,"D",2,"D+",3,"C",4,"C+",5,"B",6,"B+",7,"A",8,"A+",9,"S",10)*0.3+_xlfn.SWITCH(F93,"F",0,"E",1,"D",2,"D+",3,"C",4,"C+",5,"B",6,"B+",7,"A",8,"A+",9,"S",10)*0.2,"")</f>
        <v>5.6000000000000005</v>
      </c>
      <c r="I93" s="448" t="s">
        <v>5040</v>
      </c>
      <c r="J93" s="439"/>
      <c r="K93" s="441"/>
      <c r="L93" s="440"/>
      <c r="M93" s="440"/>
      <c r="N93" s="440"/>
      <c r="O93" s="440"/>
    </row>
    <row r="94" spans="1:15">
      <c r="A94" s="445" t="s">
        <v>363</v>
      </c>
      <c r="B94" s="450" t="s">
        <v>364</v>
      </c>
      <c r="C94" s="445" t="s">
        <v>1567</v>
      </c>
      <c r="D94" s="445" t="s">
        <v>21</v>
      </c>
      <c r="E94" s="445" t="s">
        <v>21</v>
      </c>
      <c r="F94" s="445" t="s">
        <v>18</v>
      </c>
      <c r="G94" s="445" t="str">
        <f>IF(AND(ISNUMBER(MATCH(D94,{"F","E","D","D+","C","C+","B","B+","A","A+","S"},0)),ISNUMBER(MATCH(E94,{"F","E","D","D+","C","C+","B","B+","A","A+","S"},0)),ISNUMBER(MATCH(F94,{"F","E","D","D+","C","C+","B","B+","A","A+","S"},0))),LOOKUP(AVERAGE(_xlfn.SWITCH(D94,"F",0,"E",10,"D",20,"D+",30,"C",40,"C+",50,"B",60,"B+",70,"A",80,"A+",90,"S",100),_xlfn.SWITCH(E94,"F",0,"E",10,"D",20,"D+",30,"C",40,"C+",50,"B",60,"B+",70,"A",80,"A+",90,"S",100),_xlfn.SWITCH(F94,"F",0,"E",10,"D",20,"D+",30,"C",40,"C+",50,"B",60,"B+",70,"A",80,"A+",90,"S",100)),{0,15,25,35,45,55,65,75,85,95},{"D","D","D+","C","C+","B","B+","A","A+","S"}),"?")</f>
        <v>B+</v>
      </c>
      <c r="H94" s="447">
        <f>IF(AND(ISNUMBER(MATCH(C94,{"F","E","D","D+","C","C+","B","B+","A","A+","S"},0)),ISNUMBER(MATCH(D94,{"F","E","D","D+","C","C+","B","B+","A","A+","S"},0)),ISNUMBER(MATCH(E94,{"F","E","D","D+","C","C+","B","B+","A","A+","S"},0)),ISNUMBER(MATCH(F94,{"F","E","D","D+","C","C+","B","B+","A","A+","S"},0))),_xlfn.SWITCH(C94,"F",0,"E",1,"D",2,"D+",3,"C",4,"C+",5,"B",6,"B+",7,"A",8,"A+",9,"S",10)*0.1+_xlfn.SWITCH(D94,"F",0,"E",1,"D",2,"D+",3,"C",4,"C+",5,"B",6,"B+",7,"A",8,"A+",9,"S",10)*0.4+_xlfn.SWITCH(E94,"F",0,"E",1,"D",2,"D+",3,"C",4,"C+",5,"B",6,"B+",7,"A",8,"A+",9,"S",10)*0.3+_xlfn.SWITCH(F94,"F",0,"E",1,"D",2,"D+",3,"C",4,"C+",5,"B",6,"B+",7,"A",8,"A+",9,"S",10)*0.2,"")</f>
        <v>7.5000000000000009</v>
      </c>
      <c r="I94" s="448" t="s">
        <v>5041</v>
      </c>
      <c r="J94" s="439"/>
      <c r="K94" s="441"/>
      <c r="L94" s="440"/>
      <c r="M94" s="440"/>
      <c r="N94" s="440"/>
      <c r="O94" s="440"/>
    </row>
    <row r="95" spans="1:15">
      <c r="A95" s="445" t="s">
        <v>554</v>
      </c>
      <c r="B95" s="446" t="s">
        <v>555</v>
      </c>
      <c r="C95" s="445" t="s">
        <v>1562</v>
      </c>
      <c r="D95" s="445"/>
      <c r="E95" s="445"/>
      <c r="F95" s="445"/>
      <c r="G95" s="445" t="str">
        <f>IF(AND(ISNUMBER(MATCH(D95,{"F","E","D","D+","C","C+","B","B+","A","A+","S"},0)),ISNUMBER(MATCH(E95,{"F","E","D","D+","C","C+","B","B+","A","A+","S"},0)),ISNUMBER(MATCH(F95,{"F","E","D","D+","C","C+","B","B+","A","A+","S"},0))),LOOKUP(AVERAGE(_xlfn.SWITCH(D95,"F",0,"E",10,"D",20,"D+",30,"C",40,"C+",50,"B",60,"B+",70,"A",80,"A+",90,"S",100),_xlfn.SWITCH(E95,"F",0,"E",10,"D",20,"D+",30,"C",40,"C+",50,"B",60,"B+",70,"A",80,"A+",90,"S",100),_xlfn.SWITCH(F95,"F",0,"E",10,"D",20,"D+",30,"C",40,"C+",50,"B",60,"B+",70,"A",80,"A+",90,"S",100)),{0,15,25,35,45,55,65,75,85,95},{"D","D","D+","C","C+","B","B+","A","A+","S"}),"?")</f>
        <v>?</v>
      </c>
      <c r="H95" s="447" t="str">
        <f>IF(AND(ISNUMBER(MATCH(C95,{"F","E","D","D+","C","C+","B","B+","A","A+","S"},0)),ISNUMBER(MATCH(D95,{"F","E","D","D+","C","C+","B","B+","A","A+","S"},0)),ISNUMBER(MATCH(E95,{"F","E","D","D+","C","C+","B","B+","A","A+","S"},0)),ISNUMBER(MATCH(F95,{"F","E","D","D+","C","C+","B","B+","A","A+","S"},0))),_xlfn.SWITCH(C95,"F",0,"E",1,"D",2,"D+",3,"C",4,"C+",5,"B",6,"B+",7,"A",8,"A+",9,"S",10)*0.1+_xlfn.SWITCH(D95,"F",0,"E",1,"D",2,"D+",3,"C",4,"C+",5,"B",6,"B+",7,"A",8,"A+",9,"S",10)*0.4+_xlfn.SWITCH(E95,"F",0,"E",1,"D",2,"D+",3,"C",4,"C+",5,"B",6,"B+",7,"A",8,"A+",9,"S",10)*0.3+_xlfn.SWITCH(F95,"F",0,"E",1,"D",2,"D+",3,"C",4,"C+",5,"B",6,"B+",7,"A",8,"A+",9,"S",10)*0.2,"")</f>
        <v/>
      </c>
      <c r="I95" s="448"/>
      <c r="J95" s="439"/>
      <c r="K95" s="441"/>
      <c r="L95" s="440"/>
      <c r="M95" s="440"/>
      <c r="N95" s="440"/>
      <c r="O95" s="440"/>
    </row>
    <row r="96" spans="1:15">
      <c r="A96" s="445" t="s">
        <v>561</v>
      </c>
      <c r="B96" s="446"/>
      <c r="C96" s="445"/>
      <c r="D96" s="445"/>
      <c r="E96" s="445"/>
      <c r="F96" s="445"/>
      <c r="G96" s="445" t="str">
        <f>IF(AND(ISNUMBER(MATCH(D96,{"F","E","D","D+","C","C+","B","B+","A","A+","S"},0)),ISNUMBER(MATCH(E96,{"F","E","D","D+","C","C+","B","B+","A","A+","S"},0)),ISNUMBER(MATCH(F96,{"F","E","D","D+","C","C+","B","B+","A","A+","S"},0))),LOOKUP(AVERAGE(_xlfn.SWITCH(D96,"F",0,"E",10,"D",20,"D+",30,"C",40,"C+",50,"B",60,"B+",70,"A",80,"A+",90,"S",100),_xlfn.SWITCH(E96,"F",0,"E",10,"D",20,"D+",30,"C",40,"C+",50,"B",60,"B+",70,"A",80,"A+",90,"S",100),_xlfn.SWITCH(F96,"F",0,"E",10,"D",20,"D+",30,"C",40,"C+",50,"B",60,"B+",70,"A",80,"A+",90,"S",100)),{0,15,25,35,45,55,65,75,85,95},{"D","D","D+","C","C+","B","B+","A","A+","S"}),"?")</f>
        <v>?</v>
      </c>
      <c r="H96" s="447" t="str">
        <f>IF(AND(ISNUMBER(MATCH(C96,{"F","E","D","D+","C","C+","B","B+","A","A+","S"},0)),ISNUMBER(MATCH(D96,{"F","E","D","D+","C","C+","B","B+","A","A+","S"},0)),ISNUMBER(MATCH(E96,{"F","E","D","D+","C","C+","B","B+","A","A+","S"},0)),ISNUMBER(MATCH(F96,{"F","E","D","D+","C","C+","B","B+","A","A+","S"},0))),_xlfn.SWITCH(C96,"F",0,"E",1,"D",2,"D+",3,"C",4,"C+",5,"B",6,"B+",7,"A",8,"A+",9,"S",10)*0.1+_xlfn.SWITCH(D96,"F",0,"E",1,"D",2,"D+",3,"C",4,"C+",5,"B",6,"B+",7,"A",8,"A+",9,"S",10)*0.4+_xlfn.SWITCH(E96,"F",0,"E",1,"D",2,"D+",3,"C",4,"C+",5,"B",6,"B+",7,"A",8,"A+",9,"S",10)*0.3+_xlfn.SWITCH(F96,"F",0,"E",1,"D",2,"D+",3,"C",4,"C+",5,"B",6,"B+",7,"A",8,"A+",9,"S",10)*0.2,"")</f>
        <v/>
      </c>
      <c r="I96" s="448"/>
      <c r="J96" s="439"/>
      <c r="K96" s="441"/>
      <c r="L96" s="440"/>
      <c r="M96" s="440"/>
      <c r="N96" s="440"/>
      <c r="O96" s="440"/>
    </row>
    <row r="97" spans="1:15">
      <c r="A97" s="445" t="s">
        <v>566</v>
      </c>
      <c r="B97" s="446" t="s">
        <v>567</v>
      </c>
      <c r="C97" s="445" t="s">
        <v>1661</v>
      </c>
      <c r="D97" s="445"/>
      <c r="E97" s="445"/>
      <c r="F97" s="445"/>
      <c r="G97" s="445" t="str">
        <f>IF(AND(ISNUMBER(MATCH(D97,{"F","E","D","D+","C","C+","B","B+","A","A+","S"},0)),ISNUMBER(MATCH(E97,{"F","E","D","D+","C","C+","B","B+","A","A+","S"},0)),ISNUMBER(MATCH(F97,{"F","E","D","D+","C","C+","B","B+","A","A+","S"},0))),LOOKUP(AVERAGE(_xlfn.SWITCH(D97,"F",0,"E",10,"D",20,"D+",30,"C",40,"C+",50,"B",60,"B+",70,"A",80,"A+",90,"S",100),_xlfn.SWITCH(E97,"F",0,"E",10,"D",20,"D+",30,"C",40,"C+",50,"B",60,"B+",70,"A",80,"A+",90,"S",100),_xlfn.SWITCH(F97,"F",0,"E",10,"D",20,"D+",30,"C",40,"C+",50,"B",60,"B+",70,"A",80,"A+",90,"S",100)),{0,15,25,35,45,55,65,75,85,95},{"D","D","D+","C","C+","B","B+","A","A+","S"}),"?")</f>
        <v>?</v>
      </c>
      <c r="H97" s="447" t="str">
        <f>IF(AND(ISNUMBER(MATCH(C97,{"F","E","D","D+","C","C+","B","B+","A","A+","S"},0)),ISNUMBER(MATCH(D97,{"F","E","D","D+","C","C+","B","B+","A","A+","S"},0)),ISNUMBER(MATCH(E97,{"F","E","D","D+","C","C+","B","B+","A","A+","S"},0)),ISNUMBER(MATCH(F97,{"F","E","D","D+","C","C+","B","B+","A","A+","S"},0))),_xlfn.SWITCH(C97,"F",0,"E",1,"D",2,"D+",3,"C",4,"C+",5,"B",6,"B+",7,"A",8,"A+",9,"S",10)*0.1+_xlfn.SWITCH(D97,"F",0,"E",1,"D",2,"D+",3,"C",4,"C+",5,"B",6,"B+",7,"A",8,"A+",9,"S",10)*0.4+_xlfn.SWITCH(E97,"F",0,"E",1,"D",2,"D+",3,"C",4,"C+",5,"B",6,"B+",7,"A",8,"A+",9,"S",10)*0.3+_xlfn.SWITCH(F97,"F",0,"E",1,"D",2,"D+",3,"C",4,"C+",5,"B",6,"B+",7,"A",8,"A+",9,"S",10)*0.2,"")</f>
        <v/>
      </c>
      <c r="I97" s="448" t="s">
        <v>5042</v>
      </c>
      <c r="J97" s="439"/>
      <c r="K97" s="441"/>
      <c r="L97" s="440"/>
      <c r="M97" s="440"/>
      <c r="N97" s="440"/>
      <c r="O97" s="440"/>
    </row>
    <row r="98" spans="1:15">
      <c r="A98" s="445" t="s">
        <v>573</v>
      </c>
      <c r="B98" s="446" t="s">
        <v>574</v>
      </c>
      <c r="C98" s="445" t="s">
        <v>1574</v>
      </c>
      <c r="D98" s="445"/>
      <c r="E98" s="445"/>
      <c r="F98" s="445"/>
      <c r="G98" s="445" t="str">
        <f>IF(AND(ISNUMBER(MATCH(D98,{"F","E","D","D+","C","C+","B","B+","A","A+","S"},0)),ISNUMBER(MATCH(E98,{"F","E","D","D+","C","C+","B","B+","A","A+","S"},0)),ISNUMBER(MATCH(F98,{"F","E","D","D+","C","C+","B","B+","A","A+","S"},0))),LOOKUP(AVERAGE(_xlfn.SWITCH(D98,"F",0,"E",10,"D",20,"D+",30,"C",40,"C+",50,"B",60,"B+",70,"A",80,"A+",90,"S",100),_xlfn.SWITCH(E98,"F",0,"E",10,"D",20,"D+",30,"C",40,"C+",50,"B",60,"B+",70,"A",80,"A+",90,"S",100),_xlfn.SWITCH(F98,"F",0,"E",10,"D",20,"D+",30,"C",40,"C+",50,"B",60,"B+",70,"A",80,"A+",90,"S",100)),{0,15,25,35,45,55,65,75,85,95},{"D","D","D+","C","C+","B","B+","A","A+","S"}),"?")</f>
        <v>?</v>
      </c>
      <c r="H98" s="447" t="str">
        <f>IF(AND(ISNUMBER(MATCH(C98,{"F","E","D","D+","C","C+","B","B+","A","A+","S"},0)),ISNUMBER(MATCH(D98,{"F","E","D","D+","C","C+","B","B+","A","A+","S"},0)),ISNUMBER(MATCH(E98,{"F","E","D","D+","C","C+","B","B+","A","A+","S"},0)),ISNUMBER(MATCH(F98,{"F","E","D","D+","C","C+","B","B+","A","A+","S"},0))),_xlfn.SWITCH(C98,"F",0,"E",1,"D",2,"D+",3,"C",4,"C+",5,"B",6,"B+",7,"A",8,"A+",9,"S",10)*0.1+_xlfn.SWITCH(D98,"F",0,"E",1,"D",2,"D+",3,"C",4,"C+",5,"B",6,"B+",7,"A",8,"A+",9,"S",10)*0.4+_xlfn.SWITCH(E98,"F",0,"E",1,"D",2,"D+",3,"C",4,"C+",5,"B",6,"B+",7,"A",8,"A+",9,"S",10)*0.3+_xlfn.SWITCH(F98,"F",0,"E",1,"D",2,"D+",3,"C",4,"C+",5,"B",6,"B+",7,"A",8,"A+",9,"S",10)*0.2,"")</f>
        <v/>
      </c>
      <c r="I98" s="448"/>
      <c r="J98" s="439"/>
      <c r="K98" s="441"/>
      <c r="L98" s="440"/>
      <c r="M98" s="440"/>
      <c r="N98" s="440"/>
      <c r="O98" s="440"/>
    </row>
    <row r="99" spans="1:15">
      <c r="A99" s="445" t="s">
        <v>580</v>
      </c>
      <c r="B99" s="446" t="s">
        <v>581</v>
      </c>
      <c r="C99" s="445" t="s">
        <v>18</v>
      </c>
      <c r="D99" s="445" t="s">
        <v>1562</v>
      </c>
      <c r="E99" s="445" t="s">
        <v>1574</v>
      </c>
      <c r="F99" s="445" t="s">
        <v>1562</v>
      </c>
      <c r="G99" s="445" t="str">
        <f>IF(AND(ISNUMBER(MATCH(D99,{"F","E","D","D+","C","C+","B","B+","A","A+","S"},0)),ISNUMBER(MATCH(E99,{"F","E","D","D+","C","C+","B","B+","A","A+","S"},0)),ISNUMBER(MATCH(F99,{"F","E","D","D+","C","C+","B","B+","A","A+","S"},0))),LOOKUP(AVERAGE(_xlfn.SWITCH(D99,"F",0,"E",10,"D",20,"D+",30,"C",40,"C+",50,"B",60,"B+",70,"A",80,"A+",90,"S",100),_xlfn.SWITCH(E99,"F",0,"E",10,"D",20,"D+",30,"C",40,"C+",50,"B",60,"B+",70,"A",80,"A+",90,"S",100),_xlfn.SWITCH(F99,"F",0,"E",10,"D",20,"D+",30,"C",40,"C+",50,"B",60,"B+",70,"A",80,"A+",90,"S",100)),{0,15,25,35,45,55,65,75,85,95},{"D","D","D+","C","C+","B","B+","A","A+","S"}),"?")</f>
        <v>C+</v>
      </c>
      <c r="H99" s="447">
        <f>IF(AND(ISNUMBER(MATCH(C99,{"F","E","D","D+","C","C+","B","B+","A","A+","S"},0)),ISNUMBER(MATCH(D99,{"F","E","D","D+","C","C+","B","B+","A","A+","S"},0)),ISNUMBER(MATCH(E99,{"F","E","D","D+","C","C+","B","B+","A","A+","S"},0)),ISNUMBER(MATCH(F99,{"F","E","D","D+","C","C+","B","B+","A","A+","S"},0))),_xlfn.SWITCH(C99,"F",0,"E",1,"D",2,"D+",3,"C",4,"C+",5,"B",6,"B+",7,"A",8,"A+",9,"S",10)*0.1+_xlfn.SWITCH(D99,"F",0,"E",1,"D",2,"D+",3,"C",4,"C+",5,"B",6,"B+",7,"A",8,"A+",9,"S",10)*0.4+_xlfn.SWITCH(E99,"F",0,"E",1,"D",2,"D+",3,"C",4,"C+",5,"B",6,"B+",7,"A",8,"A+",9,"S",10)*0.3+_xlfn.SWITCH(F99,"F",0,"E",1,"D",2,"D+",3,"C",4,"C+",5,"B",6,"B+",7,"A",8,"A+",9,"S",10)*0.2,"")</f>
        <v>4.8</v>
      </c>
      <c r="I99" s="448" t="s">
        <v>5043</v>
      </c>
      <c r="J99" s="439"/>
      <c r="K99" s="441"/>
      <c r="L99" s="440"/>
      <c r="M99" s="440"/>
      <c r="N99" s="440"/>
      <c r="O99" s="440"/>
    </row>
    <row r="100" spans="1:15">
      <c r="A100" s="445" t="s">
        <v>154</v>
      </c>
      <c r="B100" s="450" t="s">
        <v>155</v>
      </c>
      <c r="C100" s="445" t="s">
        <v>21</v>
      </c>
      <c r="D100" s="445" t="s">
        <v>28</v>
      </c>
      <c r="E100" s="445" t="s">
        <v>21</v>
      </c>
      <c r="F100" s="445" t="s">
        <v>1567</v>
      </c>
      <c r="G100" s="445" t="str">
        <f>IF(AND(ISNUMBER(MATCH(D100,{"F","E","D","D+","C","C+","B","B+","A","A+","S"},0)),ISNUMBER(MATCH(E100,{"F","E","D","D+","C","C+","B","B+","A","A+","S"},0)),ISNUMBER(MATCH(F100,{"F","E","D","D+","C","C+","B","B+","A","A+","S"},0))),LOOKUP(AVERAGE(_xlfn.SWITCH(D100,"F",0,"E",10,"D",20,"D+",30,"C",40,"C+",50,"B",60,"B+",70,"A",80,"A+",90,"S",100),_xlfn.SWITCH(E100,"F",0,"E",10,"D",20,"D+",30,"C",40,"C+",50,"B",60,"B+",70,"A",80,"A+",90,"S",100),_xlfn.SWITCH(F100,"F",0,"E",10,"D",20,"D+",30,"C",40,"C+",50,"B",60,"B+",70,"A",80,"A+",90,"S",100)),{0,15,25,35,45,55,65,75,85,95},{"D","D","D+","C","C+","B","B+","A","A+","S"}),"?")</f>
        <v>A</v>
      </c>
      <c r="H100" s="447">
        <f>IF(AND(ISNUMBER(MATCH(C100,{"F","E","D","D+","C","C+","B","B+","A","A+","S"},0)),ISNUMBER(MATCH(D100,{"F","E","D","D+","C","C+","B","B+","A","A+","S"},0)),ISNUMBER(MATCH(E100,{"F","E","D","D+","C","C+","B","B+","A","A+","S"},0)),ISNUMBER(MATCH(F100,{"F","E","D","D+","C","C+","B","B+","A","A+","S"},0))),_xlfn.SWITCH(C100,"F",0,"E",1,"D",2,"D+",3,"C",4,"C+",5,"B",6,"B+",7,"A",8,"A+",9,"S",10)*0.1+_xlfn.SWITCH(D100,"F",0,"E",1,"D",2,"D+",3,"C",4,"C+",5,"B",6,"B+",7,"A",8,"A+",9,"S",10)*0.4+_xlfn.SWITCH(E100,"F",0,"E",1,"D",2,"D+",3,"C",4,"C+",5,"B",6,"B+",7,"A",8,"A+",9,"S",10)*0.3+_xlfn.SWITCH(F100,"F",0,"E",1,"D",2,"D+",3,"C",4,"C+",5,"B",6,"B+",7,"A",8,"A+",9,"S",10)*0.2,"")</f>
        <v>8.2000000000000011</v>
      </c>
      <c r="I100" s="448" t="s">
        <v>5044</v>
      </c>
      <c r="J100" s="439"/>
      <c r="K100" s="441"/>
      <c r="L100" s="440"/>
      <c r="M100" s="440"/>
      <c r="N100" s="440"/>
      <c r="O100" s="440"/>
    </row>
    <row r="101" spans="1:15">
      <c r="A101" s="445" t="s">
        <v>248</v>
      </c>
      <c r="B101" s="450" t="s">
        <v>249</v>
      </c>
      <c r="C101" s="445" t="s">
        <v>18</v>
      </c>
      <c r="D101" s="445" t="s">
        <v>1567</v>
      </c>
      <c r="E101" s="445" t="s">
        <v>18</v>
      </c>
      <c r="F101" s="445" t="s">
        <v>18</v>
      </c>
      <c r="G101" s="445" t="str">
        <f>IF(AND(ISNUMBER(MATCH(D101,{"F","E","D","D+","C","C+","B","B+","A","A+","S"},0)),ISNUMBER(MATCH(E101,{"F","E","D","D+","C","C+","B","B+","A","A+","S"},0)),ISNUMBER(MATCH(F101,{"F","E","D","D+","C","C+","B","B+","A","A+","S"},0))),LOOKUP(AVERAGE(_xlfn.SWITCH(D101,"F",0,"E",10,"D",20,"D+",30,"C",40,"C+",50,"B",60,"B+",70,"A",80,"A+",90,"S",100),_xlfn.SWITCH(E101,"F",0,"E",10,"D",20,"D+",30,"C",40,"C+",50,"B",60,"B+",70,"A",80,"A+",90,"S",100),_xlfn.SWITCH(F101,"F",0,"E",10,"D",20,"D+",30,"C",40,"C+",50,"B",60,"B+",70,"A",80,"A+",90,"S",100)),{0,15,25,35,45,55,65,75,85,95},{"D","D","D+","C","C+","B","B+","A","A+","S"}),"?")</f>
        <v>B</v>
      </c>
      <c r="H101" s="447">
        <f>IF(AND(ISNUMBER(MATCH(C101,{"F","E","D","D+","C","C+","B","B+","A","A+","S"},0)),ISNUMBER(MATCH(D101,{"F","E","D","D+","C","C+","B","B+","A","A+","S"},0)),ISNUMBER(MATCH(E101,{"F","E","D","D+","C","C+","B","B+","A","A+","S"},0)),ISNUMBER(MATCH(F101,{"F","E","D","D+","C","C+","B","B+","A","A+","S"},0))),_xlfn.SWITCH(C101,"F",0,"E",1,"D",2,"D+",3,"C",4,"C+",5,"B",6,"B+",7,"A",8,"A+",9,"S",10)*0.1+_xlfn.SWITCH(D101,"F",0,"E",1,"D",2,"D+",3,"C",4,"C+",5,"B",6,"B+",7,"A",8,"A+",9,"S",10)*0.4+_xlfn.SWITCH(E101,"F",0,"E",1,"D",2,"D+",3,"C",4,"C+",5,"B",6,"B+",7,"A",8,"A+",9,"S",10)*0.3+_xlfn.SWITCH(F101,"F",0,"E",1,"D",2,"D+",3,"C",4,"C+",5,"B",6,"B+",7,"A",8,"A+",9,"S",10)*0.2,"")</f>
        <v>6.4</v>
      </c>
      <c r="I101" s="448" t="s">
        <v>5045</v>
      </c>
      <c r="J101" s="439"/>
      <c r="K101" s="441"/>
      <c r="L101" s="440"/>
      <c r="M101" s="440"/>
      <c r="N101" s="440"/>
      <c r="O101" s="440"/>
    </row>
    <row r="102" spans="1:15">
      <c r="A102" s="445" t="s">
        <v>597</v>
      </c>
      <c r="B102" s="446" t="s">
        <v>598</v>
      </c>
      <c r="C102" s="445" t="s">
        <v>1562</v>
      </c>
      <c r="D102" s="445"/>
      <c r="E102" s="445"/>
      <c r="F102" s="445"/>
      <c r="G102" s="445" t="str">
        <f>IF(AND(ISNUMBER(MATCH(D102,{"F","E","D","D+","C","C+","B","B+","A","A+","S"},0)),ISNUMBER(MATCH(E102,{"F","E","D","D+","C","C+","B","B+","A","A+","S"},0)),ISNUMBER(MATCH(F102,{"F","E","D","D+","C","C+","B","B+","A","A+","S"},0))),LOOKUP(AVERAGE(_xlfn.SWITCH(D102,"F",0,"E",10,"D",20,"D+",30,"C",40,"C+",50,"B",60,"B+",70,"A",80,"A+",90,"S",100),_xlfn.SWITCH(E102,"F",0,"E",10,"D",20,"D+",30,"C",40,"C+",50,"B",60,"B+",70,"A",80,"A+",90,"S",100),_xlfn.SWITCH(F102,"F",0,"E",10,"D",20,"D+",30,"C",40,"C+",50,"B",60,"B+",70,"A",80,"A+",90,"S",100)),{0,15,25,35,45,55,65,75,85,95},{"D","D","D+","C","C+","B","B+","A","A+","S"}),"?")</f>
        <v>?</v>
      </c>
      <c r="H102" s="447" t="str">
        <f>IF(AND(ISNUMBER(MATCH(C102,{"F","E","D","D+","C","C+","B","B+","A","A+","S"},0)),ISNUMBER(MATCH(D102,{"F","E","D","D+","C","C+","B","B+","A","A+","S"},0)),ISNUMBER(MATCH(E102,{"F","E","D","D+","C","C+","B","B+","A","A+","S"},0)),ISNUMBER(MATCH(F102,{"F","E","D","D+","C","C+","B","B+","A","A+","S"},0))),_xlfn.SWITCH(C102,"F",0,"E",1,"D",2,"D+",3,"C",4,"C+",5,"B",6,"B+",7,"A",8,"A+",9,"S",10)*0.1+_xlfn.SWITCH(D102,"F",0,"E",1,"D",2,"D+",3,"C",4,"C+",5,"B",6,"B+",7,"A",8,"A+",9,"S",10)*0.4+_xlfn.SWITCH(E102,"F",0,"E",1,"D",2,"D+",3,"C",4,"C+",5,"B",6,"B+",7,"A",8,"A+",9,"S",10)*0.3+_xlfn.SWITCH(F102,"F",0,"E",1,"D",2,"D+",3,"C",4,"C+",5,"B",6,"B+",7,"A",8,"A+",9,"S",10)*0.2,"")</f>
        <v/>
      </c>
      <c r="I102" s="448" t="s">
        <v>5026</v>
      </c>
      <c r="J102" s="439"/>
      <c r="K102" s="441"/>
      <c r="L102" s="440"/>
      <c r="M102" s="440"/>
      <c r="N102" s="440"/>
      <c r="O102" s="440"/>
    </row>
    <row r="103" spans="1:15">
      <c r="A103" s="445" t="s">
        <v>141</v>
      </c>
      <c r="B103" s="451" t="s">
        <v>142</v>
      </c>
      <c r="C103" s="445" t="s">
        <v>17</v>
      </c>
      <c r="D103" s="445" t="s">
        <v>17</v>
      </c>
      <c r="E103" s="445" t="s">
        <v>17</v>
      </c>
      <c r="F103" s="445" t="s">
        <v>17</v>
      </c>
      <c r="G103" s="445" t="str">
        <f>IF(AND(ISNUMBER(MATCH(D103,{"F","E","D","D+","C","C+","B","B+","A","A+","S"},0)),ISNUMBER(MATCH(E103,{"F","E","D","D+","C","C+","B","B+","A","A+","S"},0)),ISNUMBER(MATCH(F103,{"F","E","D","D+","C","C+","B","B+","A","A+","S"},0))),LOOKUP(AVERAGE(_xlfn.SWITCH(D103,"F",0,"E",10,"D",20,"D+",30,"C",40,"C+",50,"B",60,"B+",70,"A",80,"A+",90,"S",100),_xlfn.SWITCH(E103,"F",0,"E",10,"D",20,"D+",30,"C",40,"C+",50,"B",60,"B+",70,"A",80,"A+",90,"S",100),_xlfn.SWITCH(F103,"F",0,"E",10,"D",20,"D+",30,"C",40,"C+",50,"B",60,"B+",70,"A",80,"A+",90,"S",100)),{0,15,25,35,45,55,65,75,85,95},{"D","D","D+","C","C+","B","B+","A","A+","S"}),"?")</f>
        <v>S</v>
      </c>
      <c r="H103" s="447">
        <f>IF(AND(ISNUMBER(MATCH(C103,{"F","E","D","D+","C","C+","B","B+","A","A+","S"},0)),ISNUMBER(MATCH(D103,{"F","E","D","D+","C","C+","B","B+","A","A+","S"},0)),ISNUMBER(MATCH(E103,{"F","E","D","D+","C","C+","B","B+","A","A+","S"},0)),ISNUMBER(MATCH(F103,{"F","E","D","D+","C","C+","B","B+","A","A+","S"},0))),_xlfn.SWITCH(C103,"F",0,"E",1,"D",2,"D+",3,"C",4,"C+",5,"B",6,"B+",7,"A",8,"A+",9,"S",10)*0.1+_xlfn.SWITCH(D103,"F",0,"E",1,"D",2,"D+",3,"C",4,"C+",5,"B",6,"B+",7,"A",8,"A+",9,"S",10)*0.4+_xlfn.SWITCH(E103,"F",0,"E",1,"D",2,"D+",3,"C",4,"C+",5,"B",6,"B+",7,"A",8,"A+",9,"S",10)*0.3+_xlfn.SWITCH(F103,"F",0,"E",1,"D",2,"D+",3,"C",4,"C+",5,"B",6,"B+",7,"A",8,"A+",9,"S",10)*0.2,"")</f>
        <v>10</v>
      </c>
      <c r="I103" s="448" t="s">
        <v>5046</v>
      </c>
      <c r="J103" s="439"/>
      <c r="K103" s="441"/>
      <c r="L103" s="440"/>
      <c r="M103" s="440"/>
      <c r="N103" s="440"/>
      <c r="O103" s="440"/>
    </row>
    <row r="104" spans="1:15">
      <c r="A104" s="445" t="s">
        <v>608</v>
      </c>
      <c r="B104" s="446" t="s">
        <v>609</v>
      </c>
      <c r="C104" s="445" t="s">
        <v>1574</v>
      </c>
      <c r="D104" s="445"/>
      <c r="E104" s="445"/>
      <c r="F104" s="445"/>
      <c r="G104" s="445" t="str">
        <f>IF(AND(ISNUMBER(MATCH(D104,{"F","E","D","D+","C","C+","B","B+","A","A+","S"},0)),ISNUMBER(MATCH(E104,{"F","E","D","D+","C","C+","B","B+","A","A+","S"},0)),ISNUMBER(MATCH(F104,{"F","E","D","D+","C","C+","B","B+","A","A+","S"},0))),LOOKUP(AVERAGE(_xlfn.SWITCH(D104,"F",0,"E",10,"D",20,"D+",30,"C",40,"C+",50,"B",60,"B+",70,"A",80,"A+",90,"S",100),_xlfn.SWITCH(E104,"F",0,"E",10,"D",20,"D+",30,"C",40,"C+",50,"B",60,"B+",70,"A",80,"A+",90,"S",100),_xlfn.SWITCH(F104,"F",0,"E",10,"D",20,"D+",30,"C",40,"C+",50,"B",60,"B+",70,"A",80,"A+",90,"S",100)),{0,15,25,35,45,55,65,75,85,95},{"D","D","D+","C","C+","B","B+","A","A+","S"}),"?")</f>
        <v>?</v>
      </c>
      <c r="H104" s="447" t="str">
        <f>IF(AND(ISNUMBER(MATCH(C104,{"F","E","D","D+","C","C+","B","B+","A","A+","S"},0)),ISNUMBER(MATCH(D104,{"F","E","D","D+","C","C+","B","B+","A","A+","S"},0)),ISNUMBER(MATCH(E104,{"F","E","D","D+","C","C+","B","B+","A","A+","S"},0)),ISNUMBER(MATCH(F104,{"F","E","D","D+","C","C+","B","B+","A","A+","S"},0))),_xlfn.SWITCH(C104,"F",0,"E",1,"D",2,"D+",3,"C",4,"C+",5,"B",6,"B+",7,"A",8,"A+",9,"S",10)*0.1+_xlfn.SWITCH(D104,"F",0,"E",1,"D",2,"D+",3,"C",4,"C+",5,"B",6,"B+",7,"A",8,"A+",9,"S",10)*0.4+_xlfn.SWITCH(E104,"F",0,"E",1,"D",2,"D+",3,"C",4,"C+",5,"B",6,"B+",7,"A",8,"A+",9,"S",10)*0.3+_xlfn.SWITCH(F104,"F",0,"E",1,"D",2,"D+",3,"C",4,"C+",5,"B",6,"B+",7,"A",8,"A+",9,"S",10)*0.2,"")</f>
        <v/>
      </c>
      <c r="I104" s="448" t="s">
        <v>5047</v>
      </c>
      <c r="J104" s="439"/>
      <c r="K104" s="441"/>
      <c r="L104" s="440"/>
      <c r="M104" s="440"/>
      <c r="N104" s="440"/>
      <c r="O104" s="440"/>
    </row>
    <row r="105" spans="1:15">
      <c r="A105" s="445" t="s">
        <v>614</v>
      </c>
      <c r="B105" s="446" t="s">
        <v>615</v>
      </c>
      <c r="C105" s="445" t="s">
        <v>1562</v>
      </c>
      <c r="D105" s="445"/>
      <c r="E105" s="445"/>
      <c r="F105" s="445"/>
      <c r="G105" s="445" t="str">
        <f>IF(AND(ISNUMBER(MATCH(D105,{"F","E","D","D+","C","C+","B","B+","A","A+","S"},0)),ISNUMBER(MATCH(E105,{"F","E","D","D+","C","C+","B","B+","A","A+","S"},0)),ISNUMBER(MATCH(F105,{"F","E","D","D+","C","C+","B","B+","A","A+","S"},0))),LOOKUP(AVERAGE(_xlfn.SWITCH(D105,"F",0,"E",10,"D",20,"D+",30,"C",40,"C+",50,"B",60,"B+",70,"A",80,"A+",90,"S",100),_xlfn.SWITCH(E105,"F",0,"E",10,"D",20,"D+",30,"C",40,"C+",50,"B",60,"B+",70,"A",80,"A+",90,"S",100),_xlfn.SWITCH(F105,"F",0,"E",10,"D",20,"D+",30,"C",40,"C+",50,"B",60,"B+",70,"A",80,"A+",90,"S",100)),{0,15,25,35,45,55,65,75,85,95},{"D","D","D+","C","C+","B","B+","A","A+","S"}),"?")</f>
        <v>?</v>
      </c>
      <c r="H105" s="447" t="str">
        <f>IF(AND(ISNUMBER(MATCH(C105,{"F","E","D","D+","C","C+","B","B+","A","A+","S"},0)),ISNUMBER(MATCH(D105,{"F","E","D","D+","C","C+","B","B+","A","A+","S"},0)),ISNUMBER(MATCH(E105,{"F","E","D","D+","C","C+","B","B+","A","A+","S"},0)),ISNUMBER(MATCH(F105,{"F","E","D","D+","C","C+","B","B+","A","A+","S"},0))),_xlfn.SWITCH(C105,"F",0,"E",1,"D",2,"D+",3,"C",4,"C+",5,"B",6,"B+",7,"A",8,"A+",9,"S",10)*0.1+_xlfn.SWITCH(D105,"F",0,"E",1,"D",2,"D+",3,"C",4,"C+",5,"B",6,"B+",7,"A",8,"A+",9,"S",10)*0.4+_xlfn.SWITCH(E105,"F",0,"E",1,"D",2,"D+",3,"C",4,"C+",5,"B",6,"B+",7,"A",8,"A+",9,"S",10)*0.3+_xlfn.SWITCH(F105,"F",0,"E",1,"D",2,"D+",3,"C",4,"C+",5,"B",6,"B+",7,"A",8,"A+",9,"S",10)*0.2,"")</f>
        <v/>
      </c>
      <c r="I105" s="448"/>
      <c r="J105" s="439"/>
      <c r="K105" s="441"/>
      <c r="L105" s="440"/>
      <c r="M105" s="440"/>
      <c r="N105" s="440"/>
      <c r="O105" s="440"/>
    </row>
    <row r="106" spans="1:15" ht="19.5" customHeight="1">
      <c r="A106" s="445" t="s">
        <v>620</v>
      </c>
      <c r="B106" s="446" t="s">
        <v>621</v>
      </c>
      <c r="C106" s="445" t="s">
        <v>1574</v>
      </c>
      <c r="D106" s="445"/>
      <c r="E106" s="445"/>
      <c r="F106" s="445"/>
      <c r="G106" s="445" t="str">
        <f>IF(AND(ISNUMBER(MATCH(D106,{"F","E","D","D+","C","C+","B","B+","A","A+","S"},0)),ISNUMBER(MATCH(E106,{"F","E","D","D+","C","C+","B","B+","A","A+","S"},0)),ISNUMBER(MATCH(F106,{"F","E","D","D+","C","C+","B","B+","A","A+","S"},0))),LOOKUP(AVERAGE(_xlfn.SWITCH(D106,"F",0,"E",10,"D",20,"D+",30,"C",40,"C+",50,"B",60,"B+",70,"A",80,"A+",90,"S",100),_xlfn.SWITCH(E106,"F",0,"E",10,"D",20,"D+",30,"C",40,"C+",50,"B",60,"B+",70,"A",80,"A+",90,"S",100),_xlfn.SWITCH(F106,"F",0,"E",10,"D",20,"D+",30,"C",40,"C+",50,"B",60,"B+",70,"A",80,"A+",90,"S",100)),{0,15,25,35,45,55,65,75,85,95},{"D","D","D+","C","C+","B","B+","A","A+","S"}),"?")</f>
        <v>?</v>
      </c>
      <c r="H106" s="447" t="str">
        <f>IF(AND(ISNUMBER(MATCH(C106,{"F","E","D","D+","C","C+","B","B+","A","A+","S"},0)),ISNUMBER(MATCH(D106,{"F","E","D","D+","C","C+","B","B+","A","A+","S"},0)),ISNUMBER(MATCH(E106,{"F","E","D","D+","C","C+","B","B+","A","A+","S"},0)),ISNUMBER(MATCH(F106,{"F","E","D","D+","C","C+","B","B+","A","A+","S"},0))),_xlfn.SWITCH(C106,"F",0,"E",1,"D",2,"D+",3,"C",4,"C+",5,"B",6,"B+",7,"A",8,"A+",9,"S",10)*0.1+_xlfn.SWITCH(D106,"F",0,"E",1,"D",2,"D+",3,"C",4,"C+",5,"B",6,"B+",7,"A",8,"A+",9,"S",10)*0.4+_xlfn.SWITCH(E106,"F",0,"E",1,"D",2,"D+",3,"C",4,"C+",5,"B",6,"B+",7,"A",8,"A+",9,"S",10)*0.3+_xlfn.SWITCH(F106,"F",0,"E",1,"D",2,"D+",3,"C",4,"C+",5,"B",6,"B+",7,"A",8,"A+",9,"S",10)*0.2,"")</f>
        <v/>
      </c>
      <c r="I106" s="448" t="s">
        <v>5048</v>
      </c>
      <c r="J106" s="439"/>
      <c r="K106" s="441"/>
      <c r="L106" s="440"/>
      <c r="M106" s="440"/>
      <c r="N106" s="440"/>
      <c r="O106" s="440"/>
    </row>
    <row r="107" spans="1:15">
      <c r="A107" s="445" t="s">
        <v>419</v>
      </c>
      <c r="B107" s="451" t="s">
        <v>420</v>
      </c>
      <c r="C107" s="445" t="s">
        <v>17</v>
      </c>
      <c r="D107" s="445" t="s">
        <v>17</v>
      </c>
      <c r="E107" s="445" t="s">
        <v>17</v>
      </c>
      <c r="F107" s="445" t="s">
        <v>21</v>
      </c>
      <c r="G107" s="445" t="str">
        <f>IF(AND(ISNUMBER(MATCH(D107,{"F","E","D","D+","C","C+","B","B+","A","A+","S"},0)),ISNUMBER(MATCH(E107,{"F","E","D","D+","C","C+","B","B+","A","A+","S"},0)),ISNUMBER(MATCH(F107,{"F","E","D","D+","C","C+","B","B+","A","A+","S"},0))),LOOKUP(AVERAGE(_xlfn.SWITCH(D107,"F",0,"E",10,"D",20,"D+",30,"C",40,"C+",50,"B",60,"B+",70,"A",80,"A+",90,"S",100),_xlfn.SWITCH(E107,"F",0,"E",10,"D",20,"D+",30,"C",40,"C+",50,"B",60,"B+",70,"A",80,"A+",90,"S",100),_xlfn.SWITCH(F107,"F",0,"E",10,"D",20,"D+",30,"C",40,"C+",50,"B",60,"B+",70,"A",80,"A+",90,"S",100)),{0,15,25,35,45,55,65,75,85,95},{"D","D","D+","C","C+","B","B+","A","A+","S"}),"?")</f>
        <v>A+</v>
      </c>
      <c r="H107" s="447">
        <f>IF(AND(ISNUMBER(MATCH(C107,{"F","E","D","D+","C","C+","B","B+","A","A+","S"},0)),ISNUMBER(MATCH(D107,{"F","E","D","D+","C","C+","B","B+","A","A+","S"},0)),ISNUMBER(MATCH(E107,{"F","E","D","D+","C","C+","B","B+","A","A+","S"},0)),ISNUMBER(MATCH(F107,{"F","E","D","D+","C","C+","B","B+","A","A+","S"},0))),_xlfn.SWITCH(C107,"F",0,"E",1,"D",2,"D+",3,"C",4,"C+",5,"B",6,"B+",7,"A",8,"A+",9,"S",10)*0.1+_xlfn.SWITCH(D107,"F",0,"E",1,"D",2,"D+",3,"C",4,"C+",5,"B",6,"B+",7,"A",8,"A+",9,"S",10)*0.4+_xlfn.SWITCH(E107,"F",0,"E",1,"D",2,"D+",3,"C",4,"C+",5,"B",6,"B+",7,"A",8,"A+",9,"S",10)*0.3+_xlfn.SWITCH(F107,"F",0,"E",1,"D",2,"D+",3,"C",4,"C+",5,"B",6,"B+",7,"A",8,"A+",9,"S",10)*0.2,"")</f>
        <v>9.6</v>
      </c>
      <c r="I107" s="448" t="s">
        <v>5049</v>
      </c>
      <c r="J107" s="439"/>
      <c r="K107" s="441"/>
      <c r="L107" s="440"/>
      <c r="M107" s="440"/>
      <c r="N107" s="440"/>
      <c r="O107" s="440"/>
    </row>
    <row r="108" spans="1:15">
      <c r="A108" s="445" t="s">
        <v>628</v>
      </c>
      <c r="B108" s="446" t="s">
        <v>629</v>
      </c>
      <c r="C108" s="445" t="s">
        <v>4976</v>
      </c>
      <c r="D108" s="445"/>
      <c r="E108" s="445"/>
      <c r="F108" s="445"/>
      <c r="G108" s="445" t="str">
        <f>IF(AND(ISNUMBER(MATCH(D108,{"F","E","D","D+","C","C+","B","B+","A","A+","S"},0)),ISNUMBER(MATCH(E108,{"F","E","D","D+","C","C+","B","B+","A","A+","S"},0)),ISNUMBER(MATCH(F108,{"F","E","D","D+","C","C+","B","B+","A","A+","S"},0))),LOOKUP(AVERAGE(_xlfn.SWITCH(D108,"F",0,"E",10,"D",20,"D+",30,"C",40,"C+",50,"B",60,"B+",70,"A",80,"A+",90,"S",100),_xlfn.SWITCH(E108,"F",0,"E",10,"D",20,"D+",30,"C",40,"C+",50,"B",60,"B+",70,"A",80,"A+",90,"S",100),_xlfn.SWITCH(F108,"F",0,"E",10,"D",20,"D+",30,"C",40,"C+",50,"B",60,"B+",70,"A",80,"A+",90,"S",100)),{0,15,25,35,45,55,65,75,85,95},{"D","D","D+","C","C+","B","B+","A","A+","S"}),"?")</f>
        <v>?</v>
      </c>
      <c r="H108" s="447" t="str">
        <f>IF(AND(ISNUMBER(MATCH(C108,{"F","E","D","D+","C","C+","B","B+","A","A+","S"},0)),ISNUMBER(MATCH(D108,{"F","E","D","D+","C","C+","B","B+","A","A+","S"},0)),ISNUMBER(MATCH(E108,{"F","E","D","D+","C","C+","B","B+","A","A+","S"},0)),ISNUMBER(MATCH(F108,{"F","E","D","D+","C","C+","B","B+","A","A+","S"},0))),_xlfn.SWITCH(C108,"F",0,"E",1,"D",2,"D+",3,"C",4,"C+",5,"B",6,"B+",7,"A",8,"A+",9,"S",10)*0.1+_xlfn.SWITCH(D108,"F",0,"E",1,"D",2,"D+",3,"C",4,"C+",5,"B",6,"B+",7,"A",8,"A+",9,"S",10)*0.4+_xlfn.SWITCH(E108,"F",0,"E",1,"D",2,"D+",3,"C",4,"C+",5,"B",6,"B+",7,"A",8,"A+",9,"S",10)*0.3+_xlfn.SWITCH(F108,"F",0,"E",1,"D",2,"D+",3,"C",4,"C+",5,"B",6,"B+",7,"A",8,"A+",9,"S",10)*0.2,"")</f>
        <v/>
      </c>
      <c r="I108" s="448"/>
      <c r="J108" s="439"/>
      <c r="K108" s="441"/>
      <c r="L108" s="440"/>
      <c r="M108" s="440"/>
      <c r="N108" s="440"/>
      <c r="O108" s="440"/>
    </row>
    <row r="109" spans="1:15">
      <c r="A109" s="445" t="s">
        <v>634</v>
      </c>
      <c r="B109" s="446" t="s">
        <v>635</v>
      </c>
      <c r="C109" s="445" t="s">
        <v>18</v>
      </c>
      <c r="D109" s="445" t="s">
        <v>18</v>
      </c>
      <c r="E109" s="445" t="s">
        <v>18</v>
      </c>
      <c r="F109" s="445" t="s">
        <v>18</v>
      </c>
      <c r="G109" s="445" t="str">
        <f>IF(AND(ISNUMBER(MATCH(D109,{"F","E","D","D+","C","C+","B","B+","A","A+","S"},0)),ISNUMBER(MATCH(E109,{"F","E","D","D+","C","C+","B","B+","A","A+","S"},0)),ISNUMBER(MATCH(F109,{"F","E","D","D+","C","C+","B","B+","A","A+","S"},0))),LOOKUP(AVERAGE(_xlfn.SWITCH(D109,"F",0,"E",10,"D",20,"D+",30,"C",40,"C+",50,"B",60,"B+",70,"A",80,"A+",90,"S",100),_xlfn.SWITCH(E109,"F",0,"E",10,"D",20,"D+",30,"C",40,"C+",50,"B",60,"B+",70,"A",80,"A+",90,"S",100),_xlfn.SWITCH(F109,"F",0,"E",10,"D",20,"D+",30,"C",40,"C+",50,"B",60,"B+",70,"A",80,"A+",90,"S",100)),{0,15,25,35,45,55,65,75,85,95},{"D","D","D+","C","C+","B","B+","A","A+","S"}),"?")</f>
        <v>B</v>
      </c>
      <c r="H109" s="447">
        <f>IF(AND(ISNUMBER(MATCH(C109,{"F","E","D","D+","C","C+","B","B+","A","A+","S"},0)),ISNUMBER(MATCH(D109,{"F","E","D","D+","C","C+","B","B+","A","A+","S"},0)),ISNUMBER(MATCH(E109,{"F","E","D","D+","C","C+","B","B+","A","A+","S"},0)),ISNUMBER(MATCH(F109,{"F","E","D","D+","C","C+","B","B+","A","A+","S"},0))),_xlfn.SWITCH(C109,"F",0,"E",1,"D",2,"D+",3,"C",4,"C+",5,"B",6,"B+",7,"A",8,"A+",9,"S",10)*0.1+_xlfn.SWITCH(D109,"F",0,"E",1,"D",2,"D+",3,"C",4,"C+",5,"B",6,"B+",7,"A",8,"A+",9,"S",10)*0.4+_xlfn.SWITCH(E109,"F",0,"E",1,"D",2,"D+",3,"C",4,"C+",5,"B",6,"B+",7,"A",8,"A+",9,"S",10)*0.3+_xlfn.SWITCH(F109,"F",0,"E",1,"D",2,"D+",3,"C",4,"C+",5,"B",6,"B+",7,"A",8,"A+",9,"S",10)*0.2,"")</f>
        <v>6.0000000000000009</v>
      </c>
      <c r="I109" s="448" t="s">
        <v>5050</v>
      </c>
      <c r="J109" s="439"/>
      <c r="K109" s="441"/>
      <c r="L109" s="440"/>
      <c r="M109" s="440"/>
      <c r="N109" s="440"/>
      <c r="O109" s="440"/>
    </row>
    <row r="110" spans="1:15">
      <c r="A110" s="445" t="s">
        <v>284</v>
      </c>
      <c r="B110" s="450" t="s">
        <v>285</v>
      </c>
      <c r="C110" s="445" t="s">
        <v>18</v>
      </c>
      <c r="D110" s="445" t="s">
        <v>1567</v>
      </c>
      <c r="E110" s="445" t="s">
        <v>18</v>
      </c>
      <c r="F110" s="445" t="s">
        <v>18</v>
      </c>
      <c r="G110" s="445" t="str">
        <f>IF(AND(ISNUMBER(MATCH(D110,{"F","E","D","D+","C","C+","B","B+","A","A+","S"},0)),ISNUMBER(MATCH(E110,{"F","E","D","D+","C","C+","B","B+","A","A+","S"},0)),ISNUMBER(MATCH(F110,{"F","E","D","D+","C","C+","B","B+","A","A+","S"},0))),LOOKUP(AVERAGE(_xlfn.SWITCH(D110,"F",0,"E",10,"D",20,"D+",30,"C",40,"C+",50,"B",60,"B+",70,"A",80,"A+",90,"S",100),_xlfn.SWITCH(E110,"F",0,"E",10,"D",20,"D+",30,"C",40,"C+",50,"B",60,"B+",70,"A",80,"A+",90,"S",100),_xlfn.SWITCH(F110,"F",0,"E",10,"D",20,"D+",30,"C",40,"C+",50,"B",60,"B+",70,"A",80,"A+",90,"S",100)),{0,15,25,35,45,55,65,75,85,95},{"D","D","D+","C","C+","B","B+","A","A+","S"}),"?")</f>
        <v>B</v>
      </c>
      <c r="H110" s="447">
        <f>IF(AND(ISNUMBER(MATCH(C110,{"F","E","D","D+","C","C+","B","B+","A","A+","S"},0)),ISNUMBER(MATCH(D110,{"F","E","D","D+","C","C+","B","B+","A","A+","S"},0)),ISNUMBER(MATCH(E110,{"F","E","D","D+","C","C+","B","B+","A","A+","S"},0)),ISNUMBER(MATCH(F110,{"F","E","D","D+","C","C+","B","B+","A","A+","S"},0))),_xlfn.SWITCH(C110,"F",0,"E",1,"D",2,"D+",3,"C",4,"C+",5,"B",6,"B+",7,"A",8,"A+",9,"S",10)*0.1+_xlfn.SWITCH(D110,"F",0,"E",1,"D",2,"D+",3,"C",4,"C+",5,"B",6,"B+",7,"A",8,"A+",9,"S",10)*0.4+_xlfn.SWITCH(E110,"F",0,"E",1,"D",2,"D+",3,"C",4,"C+",5,"B",6,"B+",7,"A",8,"A+",9,"S",10)*0.3+_xlfn.SWITCH(F110,"F",0,"E",1,"D",2,"D+",3,"C",4,"C+",5,"B",6,"B+",7,"A",8,"A+",9,"S",10)*0.2,"")</f>
        <v>6.4</v>
      </c>
      <c r="I110" s="448" t="s">
        <v>5051</v>
      </c>
      <c r="J110" s="439"/>
      <c r="K110" s="441"/>
      <c r="L110" s="440"/>
      <c r="M110" s="440"/>
      <c r="N110" s="440"/>
      <c r="O110" s="440"/>
    </row>
    <row r="111" spans="1:15">
      <c r="A111" s="445" t="s">
        <v>646</v>
      </c>
      <c r="B111" s="446" t="s">
        <v>647</v>
      </c>
      <c r="C111" s="445" t="s">
        <v>1562</v>
      </c>
      <c r="D111" s="445"/>
      <c r="E111" s="445"/>
      <c r="F111" s="445"/>
      <c r="G111" s="445" t="str">
        <f>IF(AND(ISNUMBER(MATCH(D111,{"F","E","D","D+","C","C+","B","B+","A","A+","S"},0)),ISNUMBER(MATCH(E111,{"F","E","D","D+","C","C+","B","B+","A","A+","S"},0)),ISNUMBER(MATCH(F111,{"F","E","D","D+","C","C+","B","B+","A","A+","S"},0))),LOOKUP(AVERAGE(_xlfn.SWITCH(D111,"F",0,"E",10,"D",20,"D+",30,"C",40,"C+",50,"B",60,"B+",70,"A",80,"A+",90,"S",100),_xlfn.SWITCH(E111,"F",0,"E",10,"D",20,"D+",30,"C",40,"C+",50,"B",60,"B+",70,"A",80,"A+",90,"S",100),_xlfn.SWITCH(F111,"F",0,"E",10,"D",20,"D+",30,"C",40,"C+",50,"B",60,"B+",70,"A",80,"A+",90,"S",100)),{0,15,25,35,45,55,65,75,85,95},{"D","D","D+","C","C+","B","B+","A","A+","S"}),"?")</f>
        <v>?</v>
      </c>
      <c r="H111" s="447" t="str">
        <f>IF(AND(ISNUMBER(MATCH(C111,{"F","E","D","D+","C","C+","B","B+","A","A+","S"},0)),ISNUMBER(MATCH(D111,{"F","E","D","D+","C","C+","B","B+","A","A+","S"},0)),ISNUMBER(MATCH(E111,{"F","E","D","D+","C","C+","B","B+","A","A+","S"},0)),ISNUMBER(MATCH(F111,{"F","E","D","D+","C","C+","B","B+","A","A+","S"},0))),_xlfn.SWITCH(C111,"F",0,"E",1,"D",2,"D+",3,"C",4,"C+",5,"B",6,"B+",7,"A",8,"A+",9,"S",10)*0.1+_xlfn.SWITCH(D111,"F",0,"E",1,"D",2,"D+",3,"C",4,"C+",5,"B",6,"B+",7,"A",8,"A+",9,"S",10)*0.4+_xlfn.SWITCH(E111,"F",0,"E",1,"D",2,"D+",3,"C",4,"C+",5,"B",6,"B+",7,"A",8,"A+",9,"S",10)*0.3+_xlfn.SWITCH(F111,"F",0,"E",1,"D",2,"D+",3,"C",4,"C+",5,"B",6,"B+",7,"A",8,"A+",9,"S",10)*0.2,"")</f>
        <v/>
      </c>
      <c r="I111" s="448"/>
      <c r="J111" s="439"/>
      <c r="K111" s="441"/>
      <c r="L111" s="440"/>
      <c r="M111" s="440"/>
      <c r="N111" s="440"/>
      <c r="O111" s="440"/>
    </row>
    <row r="112" spans="1:15">
      <c r="A112" s="445" t="s">
        <v>653</v>
      </c>
      <c r="B112" s="446" t="s">
        <v>654</v>
      </c>
      <c r="C112" s="445" t="s">
        <v>1661</v>
      </c>
      <c r="D112" s="445"/>
      <c r="E112" s="445"/>
      <c r="F112" s="445"/>
      <c r="G112" s="445" t="str">
        <f>IF(AND(ISNUMBER(MATCH(D112,{"F","E","D","D+","C","C+","B","B+","A","A+","S"},0)),ISNUMBER(MATCH(E112,{"F","E","D","D+","C","C+","B","B+","A","A+","S"},0)),ISNUMBER(MATCH(F112,{"F","E","D","D+","C","C+","B","B+","A","A+","S"},0))),LOOKUP(AVERAGE(_xlfn.SWITCH(D112,"F",0,"E",10,"D",20,"D+",30,"C",40,"C+",50,"B",60,"B+",70,"A",80,"A+",90,"S",100),_xlfn.SWITCH(E112,"F",0,"E",10,"D",20,"D+",30,"C",40,"C+",50,"B",60,"B+",70,"A",80,"A+",90,"S",100),_xlfn.SWITCH(F112,"F",0,"E",10,"D",20,"D+",30,"C",40,"C+",50,"B",60,"B+",70,"A",80,"A+",90,"S",100)),{0,15,25,35,45,55,65,75,85,95},{"D","D","D+","C","C+","B","B+","A","A+","S"}),"?")</f>
        <v>?</v>
      </c>
      <c r="H112" s="447" t="str">
        <f>IF(AND(ISNUMBER(MATCH(C112,{"F","E","D","D+","C","C+","B","B+","A","A+","S"},0)),ISNUMBER(MATCH(D112,{"F","E","D","D+","C","C+","B","B+","A","A+","S"},0)),ISNUMBER(MATCH(E112,{"F","E","D","D+","C","C+","B","B+","A","A+","S"},0)),ISNUMBER(MATCH(F112,{"F","E","D","D+","C","C+","B","B+","A","A+","S"},0))),_xlfn.SWITCH(C112,"F",0,"E",1,"D",2,"D+",3,"C",4,"C+",5,"B",6,"B+",7,"A",8,"A+",9,"S",10)*0.1+_xlfn.SWITCH(D112,"F",0,"E",1,"D",2,"D+",3,"C",4,"C+",5,"B",6,"B+",7,"A",8,"A+",9,"S",10)*0.4+_xlfn.SWITCH(E112,"F",0,"E",1,"D",2,"D+",3,"C",4,"C+",5,"B",6,"B+",7,"A",8,"A+",9,"S",10)*0.3+_xlfn.SWITCH(F112,"F",0,"E",1,"D",2,"D+",3,"C",4,"C+",5,"B",6,"B+",7,"A",8,"A+",9,"S",10)*0.2,"")</f>
        <v/>
      </c>
      <c r="I112" s="448"/>
      <c r="J112" s="439"/>
      <c r="K112" s="441"/>
      <c r="L112" s="440"/>
      <c r="M112" s="440"/>
      <c r="N112" s="440"/>
      <c r="O112" s="440"/>
    </row>
    <row r="113" spans="1:15">
      <c r="A113" s="445" t="s">
        <v>203</v>
      </c>
      <c r="B113" s="450" t="s">
        <v>204</v>
      </c>
      <c r="C113" s="445" t="s">
        <v>28</v>
      </c>
      <c r="D113" s="445" t="s">
        <v>1567</v>
      </c>
      <c r="E113" s="445" t="s">
        <v>18</v>
      </c>
      <c r="F113" s="445" t="s">
        <v>1567</v>
      </c>
      <c r="G113" s="445" t="str">
        <f>IF(AND(ISNUMBER(MATCH(D113,{"F","E","D","D+","C","C+","B","B+","A","A+","S"},0)),ISNUMBER(MATCH(E113,{"F","E","D","D+","C","C+","B","B+","A","A+","S"},0)),ISNUMBER(MATCH(F113,{"F","E","D","D+","C","C+","B","B+","A","A+","S"},0))),LOOKUP(AVERAGE(_xlfn.SWITCH(D113,"F",0,"E",10,"D",20,"D+",30,"C",40,"C+",50,"B",60,"B+",70,"A",80,"A+",90,"S",100),_xlfn.SWITCH(E113,"F",0,"E",10,"D",20,"D+",30,"C",40,"C+",50,"B",60,"B+",70,"A",80,"A+",90,"S",100),_xlfn.SWITCH(F113,"F",0,"E",10,"D",20,"D+",30,"C",40,"C+",50,"B",60,"B+",70,"A",80,"A+",90,"S",100)),{0,15,25,35,45,55,65,75,85,95},{"D","D","D+","C","C+","B","B+","A","A+","S"}),"?")</f>
        <v>B+</v>
      </c>
      <c r="H113" s="447">
        <f>IF(AND(ISNUMBER(MATCH(C113,{"F","E","D","D+","C","C+","B","B+","A","A+","S"},0)),ISNUMBER(MATCH(D113,{"F","E","D","D+","C","C+","B","B+","A","A+","S"},0)),ISNUMBER(MATCH(E113,{"F","E","D","D+","C","C+","B","B+","A","A+","S"},0)),ISNUMBER(MATCH(F113,{"F","E","D","D+","C","C+","B","B+","A","A+","S"},0))),_xlfn.SWITCH(C113,"F",0,"E",1,"D",2,"D+",3,"C",4,"C+",5,"B",6,"B+",7,"A",8,"A+",9,"S",10)*0.1+_xlfn.SWITCH(D113,"F",0,"E",1,"D",2,"D+",3,"C",4,"C+",5,"B",6,"B+",7,"A",8,"A+",9,"S",10)*0.4+_xlfn.SWITCH(E113,"F",0,"E",1,"D",2,"D+",3,"C",4,"C+",5,"B",6,"B+",7,"A",8,"A+",9,"S",10)*0.3+_xlfn.SWITCH(F113,"F",0,"E",1,"D",2,"D+",3,"C",4,"C+",5,"B",6,"B+",7,"A",8,"A+",9,"S",10)*0.2,"")</f>
        <v>6.9</v>
      </c>
      <c r="I113" s="448" t="s">
        <v>5052</v>
      </c>
      <c r="J113" s="439"/>
      <c r="K113" s="441"/>
      <c r="L113" s="440"/>
      <c r="M113" s="440"/>
      <c r="N113" s="440"/>
      <c r="O113" s="440"/>
    </row>
    <row r="114" spans="1:15">
      <c r="A114" s="445" t="s">
        <v>60</v>
      </c>
      <c r="B114" s="451" t="s">
        <v>61</v>
      </c>
      <c r="C114" s="445" t="s">
        <v>17</v>
      </c>
      <c r="D114" s="445" t="s">
        <v>17</v>
      </c>
      <c r="E114" s="445" t="s">
        <v>17</v>
      </c>
      <c r="F114" s="445" t="s">
        <v>21</v>
      </c>
      <c r="G114" s="445" t="str">
        <f>IF(AND(ISNUMBER(MATCH(D114,{"F","E","D","D+","C","C+","B","B+","A","A+","S"},0)),ISNUMBER(MATCH(E114,{"F","E","D","D+","C","C+","B","B+","A","A+","S"},0)),ISNUMBER(MATCH(F114,{"F","E","D","D+","C","C+","B","B+","A","A+","S"},0))),LOOKUP(AVERAGE(_xlfn.SWITCH(D114,"F",0,"E",10,"D",20,"D+",30,"C",40,"C+",50,"B",60,"B+",70,"A",80,"A+",90,"S",100),_xlfn.SWITCH(E114,"F",0,"E",10,"D",20,"D+",30,"C",40,"C+",50,"B",60,"B+",70,"A",80,"A+",90,"S",100),_xlfn.SWITCH(F114,"F",0,"E",10,"D",20,"D+",30,"C",40,"C+",50,"B",60,"B+",70,"A",80,"A+",90,"S",100)),{0,15,25,35,45,55,65,75,85,95},{"D","D","D+","C","C+","B","B+","A","A+","S"}),"?")</f>
        <v>A+</v>
      </c>
      <c r="H114" s="447">
        <f>IF(AND(ISNUMBER(MATCH(C114,{"F","E","D","D+","C","C+","B","B+","A","A+","S"},0)),ISNUMBER(MATCH(D114,{"F","E","D","D+","C","C+","B","B+","A","A+","S"},0)),ISNUMBER(MATCH(E114,{"F","E","D","D+","C","C+","B","B+","A","A+","S"},0)),ISNUMBER(MATCH(F114,{"F","E","D","D+","C","C+","B","B+","A","A+","S"},0))),_xlfn.SWITCH(C114,"F",0,"E",1,"D",2,"D+",3,"C",4,"C+",5,"B",6,"B+",7,"A",8,"A+",9,"S",10)*0.1+_xlfn.SWITCH(D114,"F",0,"E",1,"D",2,"D+",3,"C",4,"C+",5,"B",6,"B+",7,"A",8,"A+",9,"S",10)*0.4+_xlfn.SWITCH(E114,"F",0,"E",1,"D",2,"D+",3,"C",4,"C+",5,"B",6,"B+",7,"A",8,"A+",9,"S",10)*0.3+_xlfn.SWITCH(F114,"F",0,"E",1,"D",2,"D+",3,"C",4,"C+",5,"B",6,"B+",7,"A",8,"A+",9,"S",10)*0.2,"")</f>
        <v>9.6</v>
      </c>
      <c r="I114" s="448" t="s">
        <v>5053</v>
      </c>
      <c r="J114" s="439"/>
      <c r="K114" s="441"/>
      <c r="L114" s="440"/>
      <c r="M114" s="440"/>
      <c r="N114" s="440"/>
      <c r="O114" s="440"/>
    </row>
    <row r="115" spans="1:15">
      <c r="A115" s="445" t="s">
        <v>669</v>
      </c>
      <c r="B115" s="446" t="s">
        <v>670</v>
      </c>
      <c r="C115" s="445" t="s">
        <v>1661</v>
      </c>
      <c r="D115" s="445"/>
      <c r="E115" s="445"/>
      <c r="F115" s="445"/>
      <c r="G115" s="445" t="str">
        <f>IF(AND(ISNUMBER(MATCH(D115,{"F","E","D","D+","C","C+","B","B+","A","A+","S"},0)),ISNUMBER(MATCH(E115,{"F","E","D","D+","C","C+","B","B+","A","A+","S"},0)),ISNUMBER(MATCH(F115,{"F","E","D","D+","C","C+","B","B+","A","A+","S"},0))),LOOKUP(AVERAGE(_xlfn.SWITCH(D115,"F",0,"E",10,"D",20,"D+",30,"C",40,"C+",50,"B",60,"B+",70,"A",80,"A+",90,"S",100),_xlfn.SWITCH(E115,"F",0,"E",10,"D",20,"D+",30,"C",40,"C+",50,"B",60,"B+",70,"A",80,"A+",90,"S",100),_xlfn.SWITCH(F115,"F",0,"E",10,"D",20,"D+",30,"C",40,"C+",50,"B",60,"B+",70,"A",80,"A+",90,"S",100)),{0,15,25,35,45,55,65,75,85,95},{"D","D","D+","C","C+","B","B+","A","A+","S"}),"?")</f>
        <v>?</v>
      </c>
      <c r="H115" s="447" t="str">
        <f>IF(AND(ISNUMBER(MATCH(C115,{"F","E","D","D+","C","C+","B","B+","A","A+","S"},0)),ISNUMBER(MATCH(D115,{"F","E","D","D+","C","C+","B","B+","A","A+","S"},0)),ISNUMBER(MATCH(E115,{"F","E","D","D+","C","C+","B","B+","A","A+","S"},0)),ISNUMBER(MATCH(F115,{"F","E","D","D+","C","C+","B","B+","A","A+","S"},0))),_xlfn.SWITCH(C115,"F",0,"E",1,"D",2,"D+",3,"C",4,"C+",5,"B",6,"B+",7,"A",8,"A+",9,"S",10)*0.1+_xlfn.SWITCH(D115,"F",0,"E",1,"D",2,"D+",3,"C",4,"C+",5,"B",6,"B+",7,"A",8,"A+",9,"S",10)*0.4+_xlfn.SWITCH(E115,"F",0,"E",1,"D",2,"D+",3,"C",4,"C+",5,"B",6,"B+",7,"A",8,"A+",9,"S",10)*0.3+_xlfn.SWITCH(F115,"F",0,"E",1,"D",2,"D+",3,"C",4,"C+",5,"B",6,"B+",7,"A",8,"A+",9,"S",10)*0.2,"")</f>
        <v/>
      </c>
      <c r="I115" s="448" t="s">
        <v>5054</v>
      </c>
      <c r="J115" s="439"/>
      <c r="K115" s="441"/>
      <c r="L115" s="440"/>
      <c r="M115" s="440"/>
      <c r="N115" s="440"/>
      <c r="O115" s="440"/>
    </row>
    <row r="116" spans="1:15">
      <c r="A116" s="445" t="s">
        <v>676</v>
      </c>
      <c r="B116" s="446" t="s">
        <v>677</v>
      </c>
      <c r="C116" s="445" t="s">
        <v>1562</v>
      </c>
      <c r="D116" s="445"/>
      <c r="E116" s="445"/>
      <c r="F116" s="445"/>
      <c r="G116" s="445" t="str">
        <f>IF(AND(ISNUMBER(MATCH(D116,{"F","E","D","D+","C","C+","B","B+","A","A+","S"},0)),ISNUMBER(MATCH(E116,{"F","E","D","D+","C","C+","B","B+","A","A+","S"},0)),ISNUMBER(MATCH(F116,{"F","E","D","D+","C","C+","B","B+","A","A+","S"},0))),LOOKUP(AVERAGE(_xlfn.SWITCH(D116,"F",0,"E",10,"D",20,"D+",30,"C",40,"C+",50,"B",60,"B+",70,"A",80,"A+",90,"S",100),_xlfn.SWITCH(E116,"F",0,"E",10,"D",20,"D+",30,"C",40,"C+",50,"B",60,"B+",70,"A",80,"A+",90,"S",100),_xlfn.SWITCH(F116,"F",0,"E",10,"D",20,"D+",30,"C",40,"C+",50,"B",60,"B+",70,"A",80,"A+",90,"S",100)),{0,15,25,35,45,55,65,75,85,95},{"D","D","D+","C","C+","B","B+","A","A+","S"}),"?")</f>
        <v>?</v>
      </c>
      <c r="H116" s="447" t="str">
        <f>IF(AND(ISNUMBER(MATCH(C116,{"F","E","D","D+","C","C+","B","B+","A","A+","S"},0)),ISNUMBER(MATCH(D116,{"F","E","D","D+","C","C+","B","B+","A","A+","S"},0)),ISNUMBER(MATCH(E116,{"F","E","D","D+","C","C+","B","B+","A","A+","S"},0)),ISNUMBER(MATCH(F116,{"F","E","D","D+","C","C+","B","B+","A","A+","S"},0))),_xlfn.SWITCH(C116,"F",0,"E",1,"D",2,"D+",3,"C",4,"C+",5,"B",6,"B+",7,"A",8,"A+",9,"S",10)*0.1+_xlfn.SWITCH(D116,"F",0,"E",1,"D",2,"D+",3,"C",4,"C+",5,"B",6,"B+",7,"A",8,"A+",9,"S",10)*0.4+_xlfn.SWITCH(E116,"F",0,"E",1,"D",2,"D+",3,"C",4,"C+",5,"B",6,"B+",7,"A",8,"A+",9,"S",10)*0.3+_xlfn.SWITCH(F116,"F",0,"E",1,"D",2,"D+",3,"C",4,"C+",5,"B",6,"B+",7,"A",8,"A+",9,"S",10)*0.2,"")</f>
        <v/>
      </c>
      <c r="I116" s="448" t="s">
        <v>5055</v>
      </c>
      <c r="J116" s="439"/>
      <c r="K116" s="441"/>
      <c r="L116" s="440"/>
      <c r="M116" s="440"/>
      <c r="N116" s="440"/>
      <c r="O116" s="440"/>
    </row>
    <row r="117" spans="1:15">
      <c r="A117" s="445" t="s">
        <v>682</v>
      </c>
      <c r="B117" s="446" t="s">
        <v>683</v>
      </c>
      <c r="C117" s="445" t="s">
        <v>18</v>
      </c>
      <c r="D117" s="445"/>
      <c r="E117" s="445"/>
      <c r="F117" s="445"/>
      <c r="G117" s="445" t="str">
        <f>IF(AND(ISNUMBER(MATCH(D117,{"F","E","D","D+","C","C+","B","B+","A","A+","S"},0)),ISNUMBER(MATCH(E117,{"F","E","D","D+","C","C+","B","B+","A","A+","S"},0)),ISNUMBER(MATCH(F117,{"F","E","D","D+","C","C+","B","B+","A","A+","S"},0))),LOOKUP(AVERAGE(_xlfn.SWITCH(D117,"F",0,"E",10,"D",20,"D+",30,"C",40,"C+",50,"B",60,"B+",70,"A",80,"A+",90,"S",100),_xlfn.SWITCH(E117,"F",0,"E",10,"D",20,"D+",30,"C",40,"C+",50,"B",60,"B+",70,"A",80,"A+",90,"S",100),_xlfn.SWITCH(F117,"F",0,"E",10,"D",20,"D+",30,"C",40,"C+",50,"B",60,"B+",70,"A",80,"A+",90,"S",100)),{0,15,25,35,45,55,65,75,85,95},{"D","D","D+","C","C+","B","B+","A","A+","S"}),"?")</f>
        <v>?</v>
      </c>
      <c r="H117" s="447" t="str">
        <f>IF(AND(ISNUMBER(MATCH(C117,{"F","E","D","D+","C","C+","B","B+","A","A+","S"},0)),ISNUMBER(MATCH(D117,{"F","E","D","D+","C","C+","B","B+","A","A+","S"},0)),ISNUMBER(MATCH(E117,{"F","E","D","D+","C","C+","B","B+","A","A+","S"},0)),ISNUMBER(MATCH(F117,{"F","E","D","D+","C","C+","B","B+","A","A+","S"},0))),_xlfn.SWITCH(C117,"F",0,"E",1,"D",2,"D+",3,"C",4,"C+",5,"B",6,"B+",7,"A",8,"A+",9,"S",10)*0.1+_xlfn.SWITCH(D117,"F",0,"E",1,"D",2,"D+",3,"C",4,"C+",5,"B",6,"B+",7,"A",8,"A+",9,"S",10)*0.4+_xlfn.SWITCH(E117,"F",0,"E",1,"D",2,"D+",3,"C",4,"C+",5,"B",6,"B+",7,"A",8,"A+",9,"S",10)*0.3+_xlfn.SWITCH(F117,"F",0,"E",1,"D",2,"D+",3,"C",4,"C+",5,"B",6,"B+",7,"A",8,"A+",9,"S",10)*0.2,"")</f>
        <v/>
      </c>
      <c r="I117" s="448" t="s">
        <v>5056</v>
      </c>
      <c r="J117" s="439"/>
      <c r="K117" s="441"/>
      <c r="L117" s="440"/>
      <c r="M117" s="440"/>
      <c r="N117" s="440"/>
      <c r="O117" s="440"/>
    </row>
    <row r="118" spans="1:15">
      <c r="A118" s="445" t="s">
        <v>689</v>
      </c>
      <c r="B118" s="446" t="s">
        <v>690</v>
      </c>
      <c r="C118" s="445" t="s">
        <v>18</v>
      </c>
      <c r="D118" s="445" t="s">
        <v>1574</v>
      </c>
      <c r="E118" s="445" t="s">
        <v>1562</v>
      </c>
      <c r="F118" s="445" t="s">
        <v>1574</v>
      </c>
      <c r="G118" s="445" t="str">
        <f>IF(AND(ISNUMBER(MATCH(D118,{"F","E","D","D+","C","C+","B","B+","A","A+","S"},0)),ISNUMBER(MATCH(E118,{"F","E","D","D+","C","C+","B","B+","A","A+","S"},0)),ISNUMBER(MATCH(F118,{"F","E","D","D+","C","C+","B","B+","A","A+","S"},0))),LOOKUP(AVERAGE(_xlfn.SWITCH(D118,"F",0,"E",10,"D",20,"D+",30,"C",40,"C+",50,"B",60,"B+",70,"A",80,"A+",90,"S",100),_xlfn.SWITCH(E118,"F",0,"E",10,"D",20,"D+",30,"C",40,"C+",50,"B",60,"B+",70,"A",80,"A+",90,"S",100),_xlfn.SWITCH(F118,"F",0,"E",10,"D",20,"D+",30,"C",40,"C+",50,"B",60,"B+",70,"A",80,"A+",90,"S",100)),{0,15,25,35,45,55,65,75,85,95},{"D","D","D+","C","C+","B","B+","A","A+","S"}),"?")</f>
        <v>C</v>
      </c>
      <c r="H118" s="447">
        <f>IF(AND(ISNUMBER(MATCH(C118,{"F","E","D","D+","C","C+","B","B+","A","A+","S"},0)),ISNUMBER(MATCH(D118,{"F","E","D","D+","C","C+","B","B+","A","A+","S"},0)),ISNUMBER(MATCH(E118,{"F","E","D","D+","C","C+","B","B+","A","A+","S"},0)),ISNUMBER(MATCH(F118,{"F","E","D","D+","C","C+","B","B+","A","A+","S"},0))),_xlfn.SWITCH(C118,"F",0,"E",1,"D",2,"D+",3,"C",4,"C+",5,"B",6,"B+",7,"A",8,"A+",9,"S",10)*0.1+_xlfn.SWITCH(D118,"F",0,"E",1,"D",2,"D+",3,"C",4,"C+",5,"B",6,"B+",7,"A",8,"A+",9,"S",10)*0.4+_xlfn.SWITCH(E118,"F",0,"E",1,"D",2,"D+",3,"C",4,"C+",5,"B",6,"B+",7,"A",8,"A+",9,"S",10)*0.3+_xlfn.SWITCH(F118,"F",0,"E",1,"D",2,"D+",3,"C",4,"C+",5,"B",6,"B+",7,"A",8,"A+",9,"S",10)*0.2,"")</f>
        <v>4.5</v>
      </c>
      <c r="I118" s="448" t="s">
        <v>5057</v>
      </c>
      <c r="J118" s="439"/>
      <c r="K118" s="441"/>
      <c r="L118" s="440"/>
      <c r="M118" s="440"/>
      <c r="N118" s="440"/>
      <c r="O118" s="440"/>
    </row>
    <row r="119" spans="1:15">
      <c r="A119" s="445" t="s">
        <v>696</v>
      </c>
      <c r="B119" s="446" t="s">
        <v>697</v>
      </c>
      <c r="C119" s="445" t="s">
        <v>1574</v>
      </c>
      <c r="D119" s="445"/>
      <c r="E119" s="445"/>
      <c r="F119" s="445"/>
      <c r="G119" s="445" t="str">
        <f>IF(AND(ISNUMBER(MATCH(D119,{"F","E","D","D+","C","C+","B","B+","A","A+","S"},0)),ISNUMBER(MATCH(E119,{"F","E","D","D+","C","C+","B","B+","A","A+","S"},0)),ISNUMBER(MATCH(F119,{"F","E","D","D+","C","C+","B","B+","A","A+","S"},0))),LOOKUP(AVERAGE(_xlfn.SWITCH(D119,"F",0,"E",10,"D",20,"D+",30,"C",40,"C+",50,"B",60,"B+",70,"A",80,"A+",90,"S",100),_xlfn.SWITCH(E119,"F",0,"E",10,"D",20,"D+",30,"C",40,"C+",50,"B",60,"B+",70,"A",80,"A+",90,"S",100),_xlfn.SWITCH(F119,"F",0,"E",10,"D",20,"D+",30,"C",40,"C+",50,"B",60,"B+",70,"A",80,"A+",90,"S",100)),{0,15,25,35,45,55,65,75,85,95},{"D","D","D+","C","C+","B","B+","A","A+","S"}),"?")</f>
        <v>?</v>
      </c>
      <c r="H119" s="447" t="str">
        <f>IF(AND(ISNUMBER(MATCH(C119,{"F","E","D","D+","C","C+","B","B+","A","A+","S"},0)),ISNUMBER(MATCH(D119,{"F","E","D","D+","C","C+","B","B+","A","A+","S"},0)),ISNUMBER(MATCH(E119,{"F","E","D","D+","C","C+","B","B+","A","A+","S"},0)),ISNUMBER(MATCH(F119,{"F","E","D","D+","C","C+","B","B+","A","A+","S"},0))),_xlfn.SWITCH(C119,"F",0,"E",1,"D",2,"D+",3,"C",4,"C+",5,"B",6,"B+",7,"A",8,"A+",9,"S",10)*0.1+_xlfn.SWITCH(D119,"F",0,"E",1,"D",2,"D+",3,"C",4,"C+",5,"B",6,"B+",7,"A",8,"A+",9,"S",10)*0.4+_xlfn.SWITCH(E119,"F",0,"E",1,"D",2,"D+",3,"C",4,"C+",5,"B",6,"B+",7,"A",8,"A+",9,"S",10)*0.3+_xlfn.SWITCH(F119,"F",0,"E",1,"D",2,"D+",3,"C",4,"C+",5,"B",6,"B+",7,"A",8,"A+",9,"S",10)*0.2,"")</f>
        <v/>
      </c>
      <c r="I119" s="448"/>
      <c r="J119" s="439"/>
      <c r="K119" s="441"/>
      <c r="L119" s="440"/>
      <c r="M119" s="440"/>
      <c r="N119" s="440"/>
      <c r="O119" s="440"/>
    </row>
    <row r="120" spans="1:15">
      <c r="A120" s="445" t="s">
        <v>703</v>
      </c>
      <c r="B120" s="446" t="s">
        <v>704</v>
      </c>
      <c r="C120" s="445" t="s">
        <v>1661</v>
      </c>
      <c r="D120" s="445"/>
      <c r="E120" s="445"/>
      <c r="F120" s="445"/>
      <c r="G120" s="445" t="str">
        <f>IF(AND(ISNUMBER(MATCH(D120,{"F","E","D","D+","C","C+","B","B+","A","A+","S"},0)),ISNUMBER(MATCH(E120,{"F","E","D","D+","C","C+","B","B+","A","A+","S"},0)),ISNUMBER(MATCH(F120,{"F","E","D","D+","C","C+","B","B+","A","A+","S"},0))),LOOKUP(AVERAGE(_xlfn.SWITCH(D120,"F",0,"E",10,"D",20,"D+",30,"C",40,"C+",50,"B",60,"B+",70,"A",80,"A+",90,"S",100),_xlfn.SWITCH(E120,"F",0,"E",10,"D",20,"D+",30,"C",40,"C+",50,"B",60,"B+",70,"A",80,"A+",90,"S",100),_xlfn.SWITCH(F120,"F",0,"E",10,"D",20,"D+",30,"C",40,"C+",50,"B",60,"B+",70,"A",80,"A+",90,"S",100)),{0,15,25,35,45,55,65,75,85,95},{"D","D","D+","C","C+","B","B+","A","A+","S"}),"?")</f>
        <v>?</v>
      </c>
      <c r="H120" s="447" t="str">
        <f>IF(AND(ISNUMBER(MATCH(C120,{"F","E","D","D+","C","C+","B","B+","A","A+","S"},0)),ISNUMBER(MATCH(D120,{"F","E","D","D+","C","C+","B","B+","A","A+","S"},0)),ISNUMBER(MATCH(E120,{"F","E","D","D+","C","C+","B","B+","A","A+","S"},0)),ISNUMBER(MATCH(F120,{"F","E","D","D+","C","C+","B","B+","A","A+","S"},0))),_xlfn.SWITCH(C120,"F",0,"E",1,"D",2,"D+",3,"C",4,"C+",5,"B",6,"B+",7,"A",8,"A+",9,"S",10)*0.1+_xlfn.SWITCH(D120,"F",0,"E",1,"D",2,"D+",3,"C",4,"C+",5,"B",6,"B+",7,"A",8,"A+",9,"S",10)*0.4+_xlfn.SWITCH(E120,"F",0,"E",1,"D",2,"D+",3,"C",4,"C+",5,"B",6,"B+",7,"A",8,"A+",9,"S",10)*0.3+_xlfn.SWITCH(F120,"F",0,"E",1,"D",2,"D+",3,"C",4,"C+",5,"B",6,"B+",7,"A",8,"A+",9,"S",10)*0.2,"")</f>
        <v/>
      </c>
      <c r="I120" s="448" t="s">
        <v>5058</v>
      </c>
      <c r="J120" s="439"/>
      <c r="K120" s="441"/>
      <c r="L120" s="440"/>
      <c r="M120" s="440"/>
      <c r="N120" s="440"/>
      <c r="O120" s="440"/>
    </row>
    <row r="121" spans="1:15">
      <c r="A121" s="445" t="s">
        <v>710</v>
      </c>
      <c r="B121" s="446" t="s">
        <v>711</v>
      </c>
      <c r="C121" s="445" t="s">
        <v>18</v>
      </c>
      <c r="D121" s="445" t="s">
        <v>18</v>
      </c>
      <c r="E121" s="445" t="s">
        <v>18</v>
      </c>
      <c r="F121" s="445" t="s">
        <v>1562</v>
      </c>
      <c r="G121" s="445" t="str">
        <f>IF(AND(ISNUMBER(MATCH(D121,{"F","E","D","D+","C","C+","B","B+","A","A+","S"},0)),ISNUMBER(MATCH(E121,{"F","E","D","D+","C","C+","B","B+","A","A+","S"},0)),ISNUMBER(MATCH(F121,{"F","E","D","D+","C","C+","B","B+","A","A+","S"},0))),LOOKUP(AVERAGE(_xlfn.SWITCH(D121,"F",0,"E",10,"D",20,"D+",30,"C",40,"C+",50,"B",60,"B+",70,"A",80,"A+",90,"S",100),_xlfn.SWITCH(E121,"F",0,"E",10,"D",20,"D+",30,"C",40,"C+",50,"B",60,"B+",70,"A",80,"A+",90,"S",100),_xlfn.SWITCH(F121,"F",0,"E",10,"D",20,"D+",30,"C",40,"C+",50,"B",60,"B+",70,"A",80,"A+",90,"S",100)),{0,15,25,35,45,55,65,75,85,95},{"D","D","D+","C","C+","B","B+","A","A+","S"}),"?")</f>
        <v>B</v>
      </c>
      <c r="H121" s="447">
        <f>IF(AND(ISNUMBER(MATCH(C121,{"F","E","D","D+","C","C+","B","B+","A","A+","S"},0)),ISNUMBER(MATCH(D121,{"F","E","D","D+","C","C+","B","B+","A","A+","S"},0)),ISNUMBER(MATCH(E121,{"F","E","D","D+","C","C+","B","B+","A","A+","S"},0)),ISNUMBER(MATCH(F121,{"F","E","D","D+","C","C+","B","B+","A","A+","S"},0))),_xlfn.SWITCH(C121,"F",0,"E",1,"D",2,"D+",3,"C",4,"C+",5,"B",6,"B+",7,"A",8,"A+",9,"S",10)*0.1+_xlfn.SWITCH(D121,"F",0,"E",1,"D",2,"D+",3,"C",4,"C+",5,"B",6,"B+",7,"A",8,"A+",9,"S",10)*0.4+_xlfn.SWITCH(E121,"F",0,"E",1,"D",2,"D+",3,"C",4,"C+",5,"B",6,"B+",7,"A",8,"A+",9,"S",10)*0.3+_xlfn.SWITCH(F121,"F",0,"E",1,"D",2,"D+",3,"C",4,"C+",5,"B",6,"B+",7,"A",8,"A+",9,"S",10)*0.2,"")</f>
        <v>5.8000000000000007</v>
      </c>
      <c r="I121" s="448" t="s">
        <v>5059</v>
      </c>
      <c r="J121" s="439"/>
      <c r="K121" s="441"/>
      <c r="L121" s="440"/>
      <c r="M121" s="440"/>
      <c r="N121" s="440"/>
      <c r="O121" s="440"/>
    </row>
    <row r="122" spans="1:15">
      <c r="A122" s="445" t="s">
        <v>717</v>
      </c>
      <c r="B122" s="446" t="s">
        <v>718</v>
      </c>
      <c r="C122" s="445" t="s">
        <v>1562</v>
      </c>
      <c r="D122" s="445"/>
      <c r="E122" s="445"/>
      <c r="F122" s="445"/>
      <c r="G122" s="445" t="str">
        <f>IF(AND(ISNUMBER(MATCH(D122,{"F","E","D","D+","C","C+","B","B+","A","A+","S"},0)),ISNUMBER(MATCH(E122,{"F","E","D","D+","C","C+","B","B+","A","A+","S"},0)),ISNUMBER(MATCH(F122,{"F","E","D","D+","C","C+","B","B+","A","A+","S"},0))),LOOKUP(AVERAGE(_xlfn.SWITCH(D122,"F",0,"E",10,"D",20,"D+",30,"C",40,"C+",50,"B",60,"B+",70,"A",80,"A+",90,"S",100),_xlfn.SWITCH(E122,"F",0,"E",10,"D",20,"D+",30,"C",40,"C+",50,"B",60,"B+",70,"A",80,"A+",90,"S",100),_xlfn.SWITCH(F122,"F",0,"E",10,"D",20,"D+",30,"C",40,"C+",50,"B",60,"B+",70,"A",80,"A+",90,"S",100)),{0,15,25,35,45,55,65,75,85,95},{"D","D","D+","C","C+","B","B+","A","A+","S"}),"?")</f>
        <v>?</v>
      </c>
      <c r="H122" s="447" t="str">
        <f>IF(AND(ISNUMBER(MATCH(C122,{"F","E","D","D+","C","C+","B","B+","A","A+","S"},0)),ISNUMBER(MATCH(D122,{"F","E","D","D+","C","C+","B","B+","A","A+","S"},0)),ISNUMBER(MATCH(E122,{"F","E","D","D+","C","C+","B","B+","A","A+","S"},0)),ISNUMBER(MATCH(F122,{"F","E","D","D+","C","C+","B","B+","A","A+","S"},0))),_xlfn.SWITCH(C122,"F",0,"E",1,"D",2,"D+",3,"C",4,"C+",5,"B",6,"B+",7,"A",8,"A+",9,"S",10)*0.1+_xlfn.SWITCH(D122,"F",0,"E",1,"D",2,"D+",3,"C",4,"C+",5,"B",6,"B+",7,"A",8,"A+",9,"S",10)*0.4+_xlfn.SWITCH(E122,"F",0,"E",1,"D",2,"D+",3,"C",4,"C+",5,"B",6,"B+",7,"A",8,"A+",9,"S",10)*0.3+_xlfn.SWITCH(F122,"F",0,"E",1,"D",2,"D+",3,"C",4,"C+",5,"B",6,"B+",7,"A",8,"A+",9,"S",10)*0.2,"")</f>
        <v/>
      </c>
      <c r="I122" s="448"/>
      <c r="J122" s="439"/>
      <c r="K122" s="441"/>
      <c r="L122" s="440"/>
      <c r="M122" s="440"/>
      <c r="N122" s="440"/>
      <c r="O122" s="440"/>
    </row>
    <row r="123" spans="1:15">
      <c r="A123" s="445" t="s">
        <v>134</v>
      </c>
      <c r="B123" s="450" t="s">
        <v>135</v>
      </c>
      <c r="C123" s="445" t="s">
        <v>1567</v>
      </c>
      <c r="D123" s="445" t="s">
        <v>1567</v>
      </c>
      <c r="E123" s="445" t="s">
        <v>18</v>
      </c>
      <c r="F123" s="445" t="s">
        <v>18</v>
      </c>
      <c r="G123" s="445" t="str">
        <f>IF(AND(ISNUMBER(MATCH(D123,{"F","E","D","D+","C","C+","B","B+","A","A+","S"},0)),ISNUMBER(MATCH(E123,{"F","E","D","D+","C","C+","B","B+","A","A+","S"},0)),ISNUMBER(MATCH(F123,{"F","E","D","D+","C","C+","B","B+","A","A+","S"},0))),LOOKUP(AVERAGE(_xlfn.SWITCH(D123,"F",0,"E",10,"D",20,"D+",30,"C",40,"C+",50,"B",60,"B+",70,"A",80,"A+",90,"S",100),_xlfn.SWITCH(E123,"F",0,"E",10,"D",20,"D+",30,"C",40,"C+",50,"B",60,"B+",70,"A",80,"A+",90,"S",100),_xlfn.SWITCH(F123,"F",0,"E",10,"D",20,"D+",30,"C",40,"C+",50,"B",60,"B+",70,"A",80,"A+",90,"S",100)),{0,15,25,35,45,55,65,75,85,95},{"D","D","D+","C","C+","B","B+","A","A+","S"}),"?")</f>
        <v>B</v>
      </c>
      <c r="H123" s="447">
        <f>IF(AND(ISNUMBER(MATCH(C123,{"F","E","D","D+","C","C+","B","B+","A","A+","S"},0)),ISNUMBER(MATCH(D123,{"F","E","D","D+","C","C+","B","B+","A","A+","S"},0)),ISNUMBER(MATCH(E123,{"F","E","D","D+","C","C+","B","B+","A","A+","S"},0)),ISNUMBER(MATCH(F123,{"F","E","D","D+","C","C+","B","B+","A","A+","S"},0))),_xlfn.SWITCH(C123,"F",0,"E",1,"D",2,"D+",3,"C",4,"C+",5,"B",6,"B+",7,"A",8,"A+",9,"S",10)*0.1+_xlfn.SWITCH(D123,"F",0,"E",1,"D",2,"D+",3,"C",4,"C+",5,"B",6,"B+",7,"A",8,"A+",9,"S",10)*0.4+_xlfn.SWITCH(E123,"F",0,"E",1,"D",2,"D+",3,"C",4,"C+",5,"B",6,"B+",7,"A",8,"A+",9,"S",10)*0.3+_xlfn.SWITCH(F123,"F",0,"E",1,"D",2,"D+",3,"C",4,"C+",5,"B",6,"B+",7,"A",8,"A+",9,"S",10)*0.2,"")</f>
        <v>6.5000000000000009</v>
      </c>
      <c r="I123" s="448" t="s">
        <v>5060</v>
      </c>
      <c r="J123" s="439"/>
      <c r="K123" s="441"/>
      <c r="L123" s="440"/>
      <c r="M123" s="440"/>
      <c r="N123" s="440"/>
      <c r="O123" s="440"/>
    </row>
    <row r="124" spans="1:15">
      <c r="A124" s="445" t="s">
        <v>728</v>
      </c>
      <c r="B124" s="446" t="s">
        <v>729</v>
      </c>
      <c r="C124" s="445" t="s">
        <v>1574</v>
      </c>
      <c r="D124" s="445"/>
      <c r="E124" s="445"/>
      <c r="F124" s="445"/>
      <c r="G124" s="445" t="str">
        <f>IF(AND(ISNUMBER(MATCH(D124,{"F","E","D","D+","C","C+","B","B+","A","A+","S"},0)),ISNUMBER(MATCH(E124,{"F","E","D","D+","C","C+","B","B+","A","A+","S"},0)),ISNUMBER(MATCH(F124,{"F","E","D","D+","C","C+","B","B+","A","A+","S"},0))),LOOKUP(AVERAGE(_xlfn.SWITCH(D124,"F",0,"E",10,"D",20,"D+",30,"C",40,"C+",50,"B",60,"B+",70,"A",80,"A+",90,"S",100),_xlfn.SWITCH(E124,"F",0,"E",10,"D",20,"D+",30,"C",40,"C+",50,"B",60,"B+",70,"A",80,"A+",90,"S",100),_xlfn.SWITCH(F124,"F",0,"E",10,"D",20,"D+",30,"C",40,"C+",50,"B",60,"B+",70,"A",80,"A+",90,"S",100)),{0,15,25,35,45,55,65,75,85,95},{"D","D","D+","C","C+","B","B+","A","A+","S"}),"?")</f>
        <v>?</v>
      </c>
      <c r="H124" s="447" t="str">
        <f>IF(AND(ISNUMBER(MATCH(C124,{"F","E","D","D+","C","C+","B","B+","A","A+","S"},0)),ISNUMBER(MATCH(D124,{"F","E","D","D+","C","C+","B","B+","A","A+","S"},0)),ISNUMBER(MATCH(E124,{"F","E","D","D+","C","C+","B","B+","A","A+","S"},0)),ISNUMBER(MATCH(F124,{"F","E","D","D+","C","C+","B","B+","A","A+","S"},0))),_xlfn.SWITCH(C124,"F",0,"E",1,"D",2,"D+",3,"C",4,"C+",5,"B",6,"B+",7,"A",8,"A+",9,"S",10)*0.1+_xlfn.SWITCH(D124,"F",0,"E",1,"D",2,"D+",3,"C",4,"C+",5,"B",6,"B+",7,"A",8,"A+",9,"S",10)*0.4+_xlfn.SWITCH(E124,"F",0,"E",1,"D",2,"D+",3,"C",4,"C+",5,"B",6,"B+",7,"A",8,"A+",9,"S",10)*0.3+_xlfn.SWITCH(F124,"F",0,"E",1,"D",2,"D+",3,"C",4,"C+",5,"B",6,"B+",7,"A",8,"A+",9,"S",10)*0.2,"")</f>
        <v/>
      </c>
      <c r="I124" s="448"/>
      <c r="J124" s="439"/>
      <c r="K124" s="441"/>
      <c r="L124" s="440"/>
      <c r="M124" s="440"/>
      <c r="N124" s="440"/>
      <c r="O124" s="440"/>
    </row>
    <row r="125" spans="1:15">
      <c r="A125" s="445" t="s">
        <v>290</v>
      </c>
      <c r="B125" s="450" t="s">
        <v>291</v>
      </c>
      <c r="C125" s="445" t="s">
        <v>18</v>
      </c>
      <c r="D125" s="445" t="s">
        <v>21</v>
      </c>
      <c r="E125" s="445" t="s">
        <v>1567</v>
      </c>
      <c r="F125" s="445" t="s">
        <v>18</v>
      </c>
      <c r="G125" s="445" t="str">
        <f>IF(AND(ISNUMBER(MATCH(D125,{"F","E","D","D+","C","C+","B","B+","A","A+","S"},0)),ISNUMBER(MATCH(E125,{"F","E","D","D+","C","C+","B","B+","A","A+","S"},0)),ISNUMBER(MATCH(F125,{"F","E","D","D+","C","C+","B","B+","A","A+","S"},0))),LOOKUP(AVERAGE(_xlfn.SWITCH(D125,"F",0,"E",10,"D",20,"D+",30,"C",40,"C+",50,"B",60,"B+",70,"A",80,"A+",90,"S",100),_xlfn.SWITCH(E125,"F",0,"E",10,"D",20,"D+",30,"C",40,"C+",50,"B",60,"B+",70,"A",80,"A+",90,"S",100),_xlfn.SWITCH(F125,"F",0,"E",10,"D",20,"D+",30,"C",40,"C+",50,"B",60,"B+",70,"A",80,"A+",90,"S",100)),{0,15,25,35,45,55,65,75,85,95},{"D","D","D+","C","C+","B","B+","A","A+","S"}),"?")</f>
        <v>B+</v>
      </c>
      <c r="H125" s="447">
        <f>IF(AND(ISNUMBER(MATCH(C125,{"F","E","D","D+","C","C+","B","B+","A","A+","S"},0)),ISNUMBER(MATCH(D125,{"F","E","D","D+","C","C+","B","B+","A","A+","S"},0)),ISNUMBER(MATCH(E125,{"F","E","D","D+","C","C+","B","B+","A","A+","S"},0)),ISNUMBER(MATCH(F125,{"F","E","D","D+","C","C+","B","B+","A","A+","S"},0))),_xlfn.SWITCH(C125,"F",0,"E",1,"D",2,"D+",3,"C",4,"C+",5,"B",6,"B+",7,"A",8,"A+",9,"S",10)*0.1+_xlfn.SWITCH(D125,"F",0,"E",1,"D",2,"D+",3,"C",4,"C+",5,"B",6,"B+",7,"A",8,"A+",9,"S",10)*0.4+_xlfn.SWITCH(E125,"F",0,"E",1,"D",2,"D+",3,"C",4,"C+",5,"B",6,"B+",7,"A",8,"A+",9,"S",10)*0.3+_xlfn.SWITCH(F125,"F",0,"E",1,"D",2,"D+",3,"C",4,"C+",5,"B",6,"B+",7,"A",8,"A+",9,"S",10)*0.2,"")</f>
        <v>7.1000000000000005</v>
      </c>
      <c r="I125" s="448" t="s">
        <v>5061</v>
      </c>
      <c r="J125" s="439"/>
      <c r="K125" s="441"/>
      <c r="L125" s="440"/>
      <c r="M125" s="440"/>
      <c r="N125" s="440"/>
      <c r="O125" s="440"/>
    </row>
    <row r="126" spans="1:15">
      <c r="A126" s="445" t="s">
        <v>254</v>
      </c>
      <c r="B126" s="450" t="s">
        <v>255</v>
      </c>
      <c r="C126" s="445" t="s">
        <v>21</v>
      </c>
      <c r="D126" s="445" t="s">
        <v>21</v>
      </c>
      <c r="E126" s="445" t="s">
        <v>21</v>
      </c>
      <c r="F126" s="445" t="s">
        <v>18</v>
      </c>
      <c r="G126" s="445" t="str">
        <f>IF(AND(ISNUMBER(MATCH(D126,{"F","E","D","D+","C","C+","B","B+","A","A+","S"},0)),ISNUMBER(MATCH(E126,{"F","E","D","D+","C","C+","B","B+","A","A+","S"},0)),ISNUMBER(MATCH(F126,{"F","E","D","D+","C","C+","B","B+","A","A+","S"},0))),LOOKUP(AVERAGE(_xlfn.SWITCH(D126,"F",0,"E",10,"D",20,"D+",30,"C",40,"C+",50,"B",60,"B+",70,"A",80,"A+",90,"S",100),_xlfn.SWITCH(E126,"F",0,"E",10,"D",20,"D+",30,"C",40,"C+",50,"B",60,"B+",70,"A",80,"A+",90,"S",100),_xlfn.SWITCH(F126,"F",0,"E",10,"D",20,"D+",30,"C",40,"C+",50,"B",60,"B+",70,"A",80,"A+",90,"S",100)),{0,15,25,35,45,55,65,75,85,95},{"D","D","D+","C","C+","B","B+","A","A+","S"}),"?")</f>
        <v>B+</v>
      </c>
      <c r="H126" s="447">
        <f>IF(AND(ISNUMBER(MATCH(C126,{"F","E","D","D+","C","C+","B","B+","A","A+","S"},0)),ISNUMBER(MATCH(D126,{"F","E","D","D+","C","C+","B","B+","A","A+","S"},0)),ISNUMBER(MATCH(E126,{"F","E","D","D+","C","C+","B","B+","A","A+","S"},0)),ISNUMBER(MATCH(F126,{"F","E","D","D+","C","C+","B","B+","A","A+","S"},0))),_xlfn.SWITCH(C126,"F",0,"E",1,"D",2,"D+",3,"C",4,"C+",5,"B",6,"B+",7,"A",8,"A+",9,"S",10)*0.1+_xlfn.SWITCH(D126,"F",0,"E",1,"D",2,"D+",3,"C",4,"C+",5,"B",6,"B+",7,"A",8,"A+",9,"S",10)*0.4+_xlfn.SWITCH(E126,"F",0,"E",1,"D",2,"D+",3,"C",4,"C+",5,"B",6,"B+",7,"A",8,"A+",9,"S",10)*0.3+_xlfn.SWITCH(F126,"F",0,"E",1,"D",2,"D+",3,"C",4,"C+",5,"B",6,"B+",7,"A",8,"A+",9,"S",10)*0.2,"")</f>
        <v>7.6000000000000005</v>
      </c>
      <c r="I126" s="448" t="s">
        <v>5062</v>
      </c>
      <c r="J126" s="439"/>
      <c r="K126" s="441"/>
      <c r="L126" s="440"/>
      <c r="M126" s="440"/>
      <c r="N126" s="440"/>
      <c r="O126" s="440"/>
    </row>
    <row r="127" spans="1:15">
      <c r="A127" s="445" t="s">
        <v>407</v>
      </c>
      <c r="B127" s="460" t="s">
        <v>408</v>
      </c>
      <c r="C127" s="445" t="s">
        <v>18</v>
      </c>
      <c r="D127" s="445" t="s">
        <v>18</v>
      </c>
      <c r="E127" s="445" t="s">
        <v>1567</v>
      </c>
      <c r="F127" s="445" t="s">
        <v>1562</v>
      </c>
      <c r="G127" s="445" t="str">
        <f>IF(AND(ISNUMBER(MATCH(D127,{"F","E","D","D+","C","C+","B","B+","A","A+","S"},0)),ISNUMBER(MATCH(E127,{"F","E","D","D+","C","C+","B","B+","A","A+","S"},0)),ISNUMBER(MATCH(F127,{"F","E","D","D+","C","C+","B","B+","A","A+","S"},0))),LOOKUP(AVERAGE(_xlfn.SWITCH(D127,"F",0,"E",10,"D",20,"D+",30,"C",40,"C+",50,"B",60,"B+",70,"A",80,"A+",90,"S",100),_xlfn.SWITCH(E127,"F",0,"E",10,"D",20,"D+",30,"C",40,"C+",50,"B",60,"B+",70,"A",80,"A+",90,"S",100),_xlfn.SWITCH(F127,"F",0,"E",10,"D",20,"D+",30,"C",40,"C+",50,"B",60,"B+",70,"A",80,"A+",90,"S",100)),{0,15,25,35,45,55,65,75,85,95},{"D","D","D+","C","C+","B","B+","A","A+","S"}),"?")</f>
        <v>B</v>
      </c>
      <c r="H127" s="447">
        <f>IF(AND(ISNUMBER(MATCH(C127,{"F","E","D","D+","C","C+","B","B+","A","A+","S"},0)),ISNUMBER(MATCH(D127,{"F","E","D","D+","C","C+","B","B+","A","A+","S"},0)),ISNUMBER(MATCH(E127,{"F","E","D","D+","C","C+","B","B+","A","A+","S"},0)),ISNUMBER(MATCH(F127,{"F","E","D","D+","C","C+","B","B+","A","A+","S"},0))),_xlfn.SWITCH(C127,"F",0,"E",1,"D",2,"D+",3,"C",4,"C+",5,"B",6,"B+",7,"A",8,"A+",9,"S",10)*0.1+_xlfn.SWITCH(D127,"F",0,"E",1,"D",2,"D+",3,"C",4,"C+",5,"B",6,"B+",7,"A",8,"A+",9,"S",10)*0.4+_xlfn.SWITCH(E127,"F",0,"E",1,"D",2,"D+",3,"C",4,"C+",5,"B",6,"B+",7,"A",8,"A+",9,"S",10)*0.3+_xlfn.SWITCH(F127,"F",0,"E",1,"D",2,"D+",3,"C",4,"C+",5,"B",6,"B+",7,"A",8,"A+",9,"S",10)*0.2,"")</f>
        <v>6.1000000000000005</v>
      </c>
      <c r="I127" s="448" t="s">
        <v>5063</v>
      </c>
    </row>
    <row r="128" spans="1:15">
      <c r="A128" s="445" t="s">
        <v>747</v>
      </c>
      <c r="B128" s="461" t="s">
        <v>748</v>
      </c>
      <c r="C128" s="445" t="s">
        <v>1562</v>
      </c>
      <c r="D128" s="445"/>
      <c r="E128" s="445"/>
      <c r="F128" s="445"/>
      <c r="G128" s="445" t="str">
        <f>IF(AND(ISNUMBER(MATCH(D128,{"F","E","D","D+","C","C+","B","B+","A","A+","S"},0)),ISNUMBER(MATCH(E128,{"F","E","D","D+","C","C+","B","B+","A","A+","S"},0)),ISNUMBER(MATCH(F128,{"F","E","D","D+","C","C+","B","B+","A","A+","S"},0))),LOOKUP(AVERAGE(_xlfn.SWITCH(D128,"F",0,"E",10,"D",20,"D+",30,"C",40,"C+",50,"B",60,"B+",70,"A",80,"A+",90,"S",100),_xlfn.SWITCH(E128,"F",0,"E",10,"D",20,"D+",30,"C",40,"C+",50,"B",60,"B+",70,"A",80,"A+",90,"S",100),_xlfn.SWITCH(F128,"F",0,"E",10,"D",20,"D+",30,"C",40,"C+",50,"B",60,"B+",70,"A",80,"A+",90,"S",100)),{0,15,25,35,45,55,65,75,85,95},{"D","D","D+","C","C+","B","B+","A","A+","S"}),"?")</f>
        <v>?</v>
      </c>
      <c r="H128" s="447" t="str">
        <f>IF(AND(ISNUMBER(MATCH(C128,{"F","E","D","D+","C","C+","B","B+","A","A+","S"},0)),ISNUMBER(MATCH(D128,{"F","E","D","D+","C","C+","B","B+","A","A+","S"},0)),ISNUMBER(MATCH(E128,{"F","E","D","D+","C","C+","B","B+","A","A+","S"},0)),ISNUMBER(MATCH(F128,{"F","E","D","D+","C","C+","B","B+","A","A+","S"},0))),_xlfn.SWITCH(C128,"F",0,"E",1,"D",2,"D+",3,"C",4,"C+",5,"B",6,"B+",7,"A",8,"A+",9,"S",10)*0.1+_xlfn.SWITCH(D128,"F",0,"E",1,"D",2,"D+",3,"C",4,"C+",5,"B",6,"B+",7,"A",8,"A+",9,"S",10)*0.4+_xlfn.SWITCH(E128,"F",0,"E",1,"D",2,"D+",3,"C",4,"C+",5,"B",6,"B+",7,"A",8,"A+",9,"S",10)*0.3+_xlfn.SWITCH(F128,"F",0,"E",1,"D",2,"D+",3,"C",4,"C+",5,"B",6,"B+",7,"A",8,"A+",9,"S",10)*0.2,"")</f>
        <v/>
      </c>
      <c r="I128" s="448" t="s">
        <v>5064</v>
      </c>
    </row>
    <row r="129" spans="1:15">
      <c r="A129" s="445" t="s">
        <v>411</v>
      </c>
      <c r="B129" s="460" t="s">
        <v>412</v>
      </c>
      <c r="C129" s="445" t="s">
        <v>1567</v>
      </c>
      <c r="D129" s="445" t="s">
        <v>18</v>
      </c>
      <c r="E129" s="445" t="s">
        <v>1567</v>
      </c>
      <c r="F129" s="445" t="s">
        <v>18</v>
      </c>
      <c r="G129" s="445" t="str">
        <f>IF(AND(ISNUMBER(MATCH(D129,{"F","E","D","D+","C","C+","B","B+","A","A+","S"},0)),ISNUMBER(MATCH(E129,{"F","E","D","D+","C","C+","B","B+","A","A+","S"},0)),ISNUMBER(MATCH(F129,{"F","E","D","D+","C","C+","B","B+","A","A+","S"},0))),LOOKUP(AVERAGE(_xlfn.SWITCH(D129,"F",0,"E",10,"D",20,"D+",30,"C",40,"C+",50,"B",60,"B+",70,"A",80,"A+",90,"S",100),_xlfn.SWITCH(E129,"F",0,"E",10,"D",20,"D+",30,"C",40,"C+",50,"B",60,"B+",70,"A",80,"A+",90,"S",100),_xlfn.SWITCH(F129,"F",0,"E",10,"D",20,"D+",30,"C",40,"C+",50,"B",60,"B+",70,"A",80,"A+",90,"S",100)),{0,15,25,35,45,55,65,75,85,95},{"D","D","D+","C","C+","B","B+","A","A+","S"}),"?")</f>
        <v>B</v>
      </c>
      <c r="H129" s="447">
        <f>IF(AND(ISNUMBER(MATCH(C129,{"F","E","D","D+","C","C+","B","B+","A","A+","S"},0)),ISNUMBER(MATCH(D129,{"F","E","D","D+","C","C+","B","B+","A","A+","S"},0)),ISNUMBER(MATCH(E129,{"F","E","D","D+","C","C+","B","B+","A","A+","S"},0)),ISNUMBER(MATCH(F129,{"F","E","D","D+","C","C+","B","B+","A","A+","S"},0))),_xlfn.SWITCH(C129,"F",0,"E",1,"D",2,"D+",3,"C",4,"C+",5,"B",6,"B+",7,"A",8,"A+",9,"S",10)*0.1+_xlfn.SWITCH(D129,"F",0,"E",1,"D",2,"D+",3,"C",4,"C+",5,"B",6,"B+",7,"A",8,"A+",9,"S",10)*0.4+_xlfn.SWITCH(E129,"F",0,"E",1,"D",2,"D+",3,"C",4,"C+",5,"B",6,"B+",7,"A",8,"A+",9,"S",10)*0.3+_xlfn.SWITCH(F129,"F",0,"E",1,"D",2,"D+",3,"C",4,"C+",5,"B",6,"B+",7,"A",8,"A+",9,"S",10)*0.2,"")</f>
        <v>6.4000000000000012</v>
      </c>
      <c r="I129" s="448" t="s">
        <v>5065</v>
      </c>
    </row>
    <row r="130" spans="1:15">
      <c r="A130" s="445" t="s">
        <v>32</v>
      </c>
      <c r="B130" s="460" t="s">
        <v>33</v>
      </c>
      <c r="C130" s="445" t="s">
        <v>21</v>
      </c>
      <c r="D130" s="445" t="s">
        <v>21</v>
      </c>
      <c r="E130" s="445" t="s">
        <v>21</v>
      </c>
      <c r="F130" s="445" t="s">
        <v>1567</v>
      </c>
      <c r="G130" s="445" t="str">
        <f>IF(AND(ISNUMBER(MATCH(D130,{"F","E","D","D+","C","C+","B","B+","A","A+","S"},0)),ISNUMBER(MATCH(E130,{"F","E","D","D+","C","C+","B","B+","A","A+","S"},0)),ISNUMBER(MATCH(F130,{"F","E","D","D+","C","C+","B","B+","A","A+","S"},0))),LOOKUP(AVERAGE(_xlfn.SWITCH(D130,"F",0,"E",10,"D",20,"D+",30,"C",40,"C+",50,"B",60,"B+",70,"A",80,"A+",90,"S",100),_xlfn.SWITCH(E130,"F",0,"E",10,"D",20,"D+",30,"C",40,"C+",50,"B",60,"B+",70,"A",80,"A+",90,"S",100),_xlfn.SWITCH(F130,"F",0,"E",10,"D",20,"D+",30,"C",40,"C+",50,"B",60,"B+",70,"A",80,"A+",90,"S",100)),{0,15,25,35,45,55,65,75,85,95},{"D","D","D+","C","C+","B","B+","A","A+","S"}),"?")</f>
        <v>A</v>
      </c>
      <c r="H130" s="447">
        <f>IF(AND(ISNUMBER(MATCH(C130,{"F","E","D","D+","C","C+","B","B+","A","A+","S"},0)),ISNUMBER(MATCH(D130,{"F","E","D","D+","C","C+","B","B+","A","A+","S"},0)),ISNUMBER(MATCH(E130,{"F","E","D","D+","C","C+","B","B+","A","A+","S"},0)),ISNUMBER(MATCH(F130,{"F","E","D","D+","C","C+","B","B+","A","A+","S"},0))),_xlfn.SWITCH(C130,"F",0,"E",1,"D",2,"D+",3,"C",4,"C+",5,"B",6,"B+",7,"A",8,"A+",9,"S",10)*0.1+_xlfn.SWITCH(D130,"F",0,"E",1,"D",2,"D+",3,"C",4,"C+",5,"B",6,"B+",7,"A",8,"A+",9,"S",10)*0.4+_xlfn.SWITCH(E130,"F",0,"E",1,"D",2,"D+",3,"C",4,"C+",5,"B",6,"B+",7,"A",8,"A+",9,"S",10)*0.3+_xlfn.SWITCH(F130,"F",0,"E",1,"D",2,"D+",3,"C",4,"C+",5,"B",6,"B+",7,"A",8,"A+",9,"S",10)*0.2,"")</f>
        <v>7.8000000000000007</v>
      </c>
      <c r="I130" s="448" t="s">
        <v>5066</v>
      </c>
    </row>
    <row r="131" spans="1:15">
      <c r="A131" s="445" t="s">
        <v>301</v>
      </c>
      <c r="B131" s="461" t="s">
        <v>280</v>
      </c>
      <c r="C131" s="445" t="s">
        <v>18</v>
      </c>
      <c r="D131" s="445" t="s">
        <v>18</v>
      </c>
      <c r="E131" s="445" t="s">
        <v>18</v>
      </c>
      <c r="F131" s="445" t="s">
        <v>18</v>
      </c>
      <c r="G131" s="445" t="str">
        <f>IF(AND(ISNUMBER(MATCH(D131,{"F","E","D","D+","C","C+","B","B+","A","A+","S"},0)),ISNUMBER(MATCH(E131,{"F","E","D","D+","C","C+","B","B+","A","A+","S"},0)),ISNUMBER(MATCH(F131,{"F","E","D","D+","C","C+","B","B+","A","A+","S"},0))),LOOKUP(AVERAGE(_xlfn.SWITCH(D131,"F",0,"E",10,"D",20,"D+",30,"C",40,"C+",50,"B",60,"B+",70,"A",80,"A+",90,"S",100),_xlfn.SWITCH(E131,"F",0,"E",10,"D",20,"D+",30,"C",40,"C+",50,"B",60,"B+",70,"A",80,"A+",90,"S",100),_xlfn.SWITCH(F131,"F",0,"E",10,"D",20,"D+",30,"C",40,"C+",50,"B",60,"B+",70,"A",80,"A+",90,"S",100)),{0,15,25,35,45,55,65,75,85,95},{"D","D","D+","C","C+","B","B+","A","A+","S"}),"?")</f>
        <v>B</v>
      </c>
      <c r="H131" s="447">
        <f>IF(AND(ISNUMBER(MATCH(C131,{"F","E","D","D+","C","C+","B","B+","A","A+","S"},0)),ISNUMBER(MATCH(D131,{"F","E","D","D+","C","C+","B","B+","A","A+","S"},0)),ISNUMBER(MATCH(E131,{"F","E","D","D+","C","C+","B","B+","A","A+","S"},0)),ISNUMBER(MATCH(F131,{"F","E","D","D+","C","C+","B","B+","A","A+","S"},0))),_xlfn.SWITCH(C131,"F",0,"E",1,"D",2,"D+",3,"C",4,"C+",5,"B",6,"B+",7,"A",8,"A+",9,"S",10)*0.1+_xlfn.SWITCH(D131,"F",0,"E",1,"D",2,"D+",3,"C",4,"C+",5,"B",6,"B+",7,"A",8,"A+",9,"S",10)*0.4+_xlfn.SWITCH(E131,"F",0,"E",1,"D",2,"D+",3,"C",4,"C+",5,"B",6,"B+",7,"A",8,"A+",9,"S",10)*0.3+_xlfn.SWITCH(F131,"F",0,"E",1,"D",2,"D+",3,"C",4,"C+",5,"B",6,"B+",7,"A",8,"A+",9,"S",10)*0.2,"")</f>
        <v>6.0000000000000009</v>
      </c>
      <c r="I131" s="448" t="s">
        <v>5067</v>
      </c>
    </row>
    <row r="132" spans="1:15">
      <c r="A132" s="445" t="s">
        <v>344</v>
      </c>
      <c r="B132" s="461" t="s">
        <v>345</v>
      </c>
      <c r="C132" s="445" t="s">
        <v>4976</v>
      </c>
      <c r="D132" s="445"/>
      <c r="E132" s="445"/>
      <c r="F132" s="445"/>
      <c r="G132" s="445" t="str">
        <f>IF(AND(ISNUMBER(MATCH(D132,{"F","E","D","D+","C","C+","B","B+","A","A+","S"},0)),ISNUMBER(MATCH(E132,{"F","E","D","D+","C","C+","B","B+","A","A+","S"},0)),ISNUMBER(MATCH(F132,{"F","E","D","D+","C","C+","B","B+","A","A+","S"},0))),LOOKUP(AVERAGE(_xlfn.SWITCH(D132,"F",0,"E",10,"D",20,"D+",30,"C",40,"C+",50,"B",60,"B+",70,"A",80,"A+",90,"S",100),_xlfn.SWITCH(E132,"F",0,"E",10,"D",20,"D+",30,"C",40,"C+",50,"B",60,"B+",70,"A",80,"A+",90,"S",100),_xlfn.SWITCH(F132,"F",0,"E",10,"D",20,"D+",30,"C",40,"C+",50,"B",60,"B+",70,"A",80,"A+",90,"S",100)),{0,15,25,35,45,55,65,75,85,95},{"D","D","D+","C","C+","B","B+","A","A+","S"}),"?")</f>
        <v>?</v>
      </c>
      <c r="H132" s="447" t="str">
        <f>IF(AND(ISNUMBER(MATCH(C132,{"F","E","D","D+","C","C+","B","B+","A","A+","S"},0)),ISNUMBER(MATCH(D132,{"F","E","D","D+","C","C+","B","B+","A","A+","S"},0)),ISNUMBER(MATCH(E132,{"F","E","D","D+","C","C+","B","B+","A","A+","S"},0)),ISNUMBER(MATCH(F132,{"F","E","D","D+","C","C+","B","B+","A","A+","S"},0))),_xlfn.SWITCH(C132,"F",0,"E",1,"D",2,"D+",3,"C",4,"C+",5,"B",6,"B+",7,"A",8,"A+",9,"S",10)*0.1+_xlfn.SWITCH(D132,"F",0,"E",1,"D",2,"D+",3,"C",4,"C+",5,"B",6,"B+",7,"A",8,"A+",9,"S",10)*0.4+_xlfn.SWITCH(E132,"F",0,"E",1,"D",2,"D+",3,"C",4,"C+",5,"B",6,"B+",7,"A",8,"A+",9,"S",10)*0.3+_xlfn.SWITCH(F132,"F",0,"E",1,"D",2,"D+",3,"C",4,"C+",5,"B",6,"B+",7,"A",8,"A+",9,"S",10)*0.2,"")</f>
        <v/>
      </c>
      <c r="I132" s="448"/>
    </row>
    <row r="133" spans="1:15">
      <c r="A133" s="462" t="s">
        <v>774</v>
      </c>
      <c r="B133" s="463" t="s">
        <v>775</v>
      </c>
      <c r="C133" s="462" t="s">
        <v>1562</v>
      </c>
      <c r="D133" s="462"/>
      <c r="E133" s="462"/>
      <c r="F133" s="462"/>
      <c r="G133" s="445" t="str">
        <f>IF(AND(ISNUMBER(MATCH(D133,{"F","E","D","D+","C","C+","B","B+","A","A+","S"},0)),ISNUMBER(MATCH(E133,{"F","E","D","D+","C","C+","B","B+","A","A+","S"},0)),ISNUMBER(MATCH(F133,{"F","E","D","D+","C","C+","B","B+","A","A+","S"},0))),LOOKUP(AVERAGE(_xlfn.SWITCH(D133,"F",0,"E",10,"D",20,"D+",30,"C",40,"C+",50,"B",60,"B+",70,"A",80,"A+",90,"S",100),_xlfn.SWITCH(E133,"F",0,"E",10,"D",20,"D+",30,"C",40,"C+",50,"B",60,"B+",70,"A",80,"A+",90,"S",100),_xlfn.SWITCH(F133,"F",0,"E",10,"D",20,"D+",30,"C",40,"C+",50,"B",60,"B+",70,"A",80,"A+",90,"S",100)),{0,15,25,35,45,55,65,75,85,95},{"D","D","D+","C","C+","B","B+","A","A+","S"}),"?")</f>
        <v>?</v>
      </c>
      <c r="H133" s="447" t="str">
        <f>IF(AND(ISNUMBER(MATCH(C133,{"F","E","D","D+","C","C+","B","B+","A","A+","S"},0)),ISNUMBER(MATCH(D133,{"F","E","D","D+","C","C+","B","B+","A","A+","S"},0)),ISNUMBER(MATCH(E133,{"F","E","D","D+","C","C+","B","B+","A","A+","S"},0)),ISNUMBER(MATCH(F133,{"F","E","D","D+","C","C+","B","B+","A","A+","S"},0))),_xlfn.SWITCH(C133,"F",0,"E",1,"D",2,"D+",3,"C",4,"C+",5,"B",6,"B+",7,"A",8,"A+",9,"S",10)*0.1+_xlfn.SWITCH(D133,"F",0,"E",1,"D",2,"D+",3,"C",4,"C+",5,"B",6,"B+",7,"A",8,"A+",9,"S",10)*0.4+_xlfn.SWITCH(E133,"F",0,"E",1,"D",2,"D+",3,"C",4,"C+",5,"B",6,"B+",7,"A",8,"A+",9,"S",10)*0.3+_xlfn.SWITCH(F133,"F",0,"E",1,"D",2,"D+",3,"C",4,"C+",5,"B",6,"B+",7,"A",8,"A+",9,"S",10)*0.2,"")</f>
        <v/>
      </c>
      <c r="I133" s="464"/>
    </row>
    <row r="134" spans="1:15">
      <c r="A134" s="445" t="s">
        <v>781</v>
      </c>
      <c r="B134" s="461" t="s">
        <v>544</v>
      </c>
      <c r="C134" s="445" t="s">
        <v>18</v>
      </c>
      <c r="D134" s="445" t="s">
        <v>1562</v>
      </c>
      <c r="E134" s="445" t="s">
        <v>1562</v>
      </c>
      <c r="F134" s="445" t="s">
        <v>1562</v>
      </c>
      <c r="G134" s="445" t="str">
        <f>IF(AND(ISNUMBER(MATCH(D134,{"F","E","D","D+","C","C+","B","B+","A","A+","S"},0)),ISNUMBER(MATCH(E134,{"F","E","D","D+","C","C+","B","B+","A","A+","S"},0)),ISNUMBER(MATCH(F134,{"F","E","D","D+","C","C+","B","B+","A","A+","S"},0))),LOOKUP(AVERAGE(_xlfn.SWITCH(D134,"F",0,"E",10,"D",20,"D+",30,"C",40,"C+",50,"B",60,"B+",70,"A",80,"A+",90,"S",100),_xlfn.SWITCH(E134,"F",0,"E",10,"D",20,"D+",30,"C",40,"C+",50,"B",60,"B+",70,"A",80,"A+",90,"S",100),_xlfn.SWITCH(F134,"F",0,"E",10,"D",20,"D+",30,"C",40,"C+",50,"B",60,"B+",70,"A",80,"A+",90,"S",100)),{0,15,25,35,45,55,65,75,85,95},{"D","D","D+","C","C+","B","B+","A","A+","S"}),"?")</f>
        <v>C+</v>
      </c>
      <c r="H134" s="447">
        <f>IF(AND(ISNUMBER(MATCH(C134,{"F","E","D","D+","C","C+","B","B+","A","A+","S"},0)),ISNUMBER(MATCH(D134,{"F","E","D","D+","C","C+","B","B+","A","A+","S"},0)),ISNUMBER(MATCH(E134,{"F","E","D","D+","C","C+","B","B+","A","A+","S"},0)),ISNUMBER(MATCH(F134,{"F","E","D","D+","C","C+","B","B+","A","A+","S"},0))),_xlfn.SWITCH(C134,"F",0,"E",1,"D",2,"D+",3,"C",4,"C+",5,"B",6,"B+",7,"A",8,"A+",9,"S",10)*0.1+_xlfn.SWITCH(D134,"F",0,"E",1,"D",2,"D+",3,"C",4,"C+",5,"B",6,"B+",7,"A",8,"A+",9,"S",10)*0.4+_xlfn.SWITCH(E134,"F",0,"E",1,"D",2,"D+",3,"C",4,"C+",5,"B",6,"B+",7,"A",8,"A+",9,"S",10)*0.3+_xlfn.SWITCH(F134,"F",0,"E",1,"D",2,"D+",3,"C",4,"C+",5,"B",6,"B+",7,"A",8,"A+",9,"S",10)*0.2,"")</f>
        <v>5.0999999999999996</v>
      </c>
      <c r="I134" s="448" t="s">
        <v>5068</v>
      </c>
    </row>
    <row r="135" spans="1:15" ht="18" customHeight="1">
      <c r="A135" s="465"/>
      <c r="B135" s="466"/>
      <c r="C135" s="467"/>
      <c r="D135" s="467"/>
      <c r="E135" s="467"/>
      <c r="F135" s="467"/>
      <c r="G135" s="467"/>
      <c r="H135" s="468"/>
      <c r="I135" s="469"/>
      <c r="J135" s="470"/>
      <c r="K135" s="471"/>
      <c r="L135" s="471"/>
      <c r="M135" s="471"/>
      <c r="N135" s="471"/>
      <c r="O135" s="471"/>
    </row>
    <row r="136" spans="1:15">
      <c r="A136" s="636" t="s">
        <v>787</v>
      </c>
      <c r="B136" s="627"/>
      <c r="C136" s="627"/>
      <c r="D136" s="627"/>
      <c r="E136" s="627"/>
      <c r="F136" s="627"/>
      <c r="G136" s="627"/>
      <c r="H136" s="628"/>
      <c r="I136" s="627"/>
    </row>
    <row r="137" spans="1:15">
      <c r="A137" s="442" t="s">
        <v>4</v>
      </c>
      <c r="B137" s="443" t="s">
        <v>5</v>
      </c>
      <c r="C137" s="442" t="s">
        <v>3519</v>
      </c>
      <c r="D137" s="442" t="s">
        <v>4958</v>
      </c>
      <c r="E137" s="442" t="s">
        <v>4959</v>
      </c>
      <c r="F137" s="442" t="s">
        <v>4960</v>
      </c>
      <c r="G137" s="442" t="s">
        <v>10</v>
      </c>
      <c r="H137" s="442" t="s">
        <v>4961</v>
      </c>
      <c r="I137" s="442" t="s">
        <v>11</v>
      </c>
      <c r="L137" s="444" t="s">
        <v>4962</v>
      </c>
      <c r="M137" s="444" t="s">
        <v>3519</v>
      </c>
      <c r="N137" s="444" t="s">
        <v>10</v>
      </c>
    </row>
    <row r="138" spans="1:15">
      <c r="A138" s="445" t="s">
        <v>802</v>
      </c>
      <c r="B138" s="472" t="s">
        <v>803</v>
      </c>
      <c r="C138" s="445" t="s">
        <v>18</v>
      </c>
      <c r="D138" s="445" t="s">
        <v>18</v>
      </c>
      <c r="E138" s="445" t="s">
        <v>1562</v>
      </c>
      <c r="F138" s="445" t="s">
        <v>1567</v>
      </c>
      <c r="G138" s="445" t="str">
        <f>IF(AND(ISNUMBER(MATCH(D138,{"F","E","D","D+","C","C+","B","B+","A","A+","S"},0)),ISNUMBER(MATCH(E138,{"F","E","D","D+","C","C+","B","B+","A","A+","S"},0)),ISNUMBER(MATCH(F138,{"F","E","D","D+","C","C+","B","B+","A","A+","S"},0))),LOOKUP(AVERAGE(_xlfn.SWITCH(D138,"F",0,"E",10,"D",20,"D+",30,"C",40,"C+",50,"B",60,"B+",70,"A",80,"A+",90,"S",100),_xlfn.SWITCH(E138,"F",0,"E",10,"D",20,"D+",30,"C",40,"C+",50,"B",60,"B+",70,"A",80,"A+",90,"S",100),_xlfn.SWITCH(F138,"F",0,"E",10,"D",20,"D+",30,"C",40,"C+",50,"B",60,"B+",70,"A",80,"A+",90,"S",100)),{0,15,25,35,45,55,65,75,85,95},{"D","D","D+","C","C+","B","B+","A","A+","S"}),"?")</f>
        <v>B</v>
      </c>
      <c r="H138" s="447">
        <f>IF(AND(ISNUMBER(MATCH(C138,{"F","E","D","D+","C","C+","B","B+","A","A+","S"},0)),ISNUMBER(MATCH(D138,{"F","E","D","D+","C","C+","B","B+","A","A+","S"},0)),ISNUMBER(MATCH(E138,{"F","E","D","D+","C","C+","B","B+","A","A+","S"},0)),ISNUMBER(MATCH(F138,{"F","E","D","D+","C","C+","B","B+","A","A+","S"},0))),_xlfn.SWITCH(C138,"F",0,"E",1,"D",2,"D+",3,"C",4,"C+",5,"B",6,"B+",7,"A",8,"A+",9,"S",10)*0.1+_xlfn.SWITCH(D138,"F",0,"E",1,"D",2,"D+",3,"C",4,"C+",5,"B",6,"B+",7,"A",8,"A+",9,"S",10)*0.4+_xlfn.SWITCH(E138,"F",0,"E",1,"D",2,"D+",3,"C",4,"C+",5,"B",6,"B+",7,"A",8,"A+",9,"S",10)*0.3+_xlfn.SWITCH(F138,"F",0,"E",1,"D",2,"D+",3,"C",4,"C+",5,"B",6,"B+",7,"A",8,"A+",9,"S",10)*0.2,"")</f>
        <v>5.9</v>
      </c>
      <c r="I138" s="473" t="s">
        <v>5069</v>
      </c>
      <c r="L138" s="449" t="s">
        <v>17</v>
      </c>
      <c r="M138" s="449">
        <f>COUNTIF(C$138:C$227,$L138)</f>
        <v>4</v>
      </c>
      <c r="N138" s="449">
        <f>COUNTIF(G$138:G$227,$L138)</f>
        <v>4</v>
      </c>
    </row>
    <row r="139" spans="1:15" ht="34">
      <c r="A139" s="445" t="s">
        <v>809</v>
      </c>
      <c r="B139" s="474" t="s">
        <v>810</v>
      </c>
      <c r="C139" s="445" t="s">
        <v>18</v>
      </c>
      <c r="D139" s="445" t="s">
        <v>1562</v>
      </c>
      <c r="E139" s="445" t="s">
        <v>1562</v>
      </c>
      <c r="F139" s="445" t="s">
        <v>1562</v>
      </c>
      <c r="G139" s="445" t="str">
        <f>IF(AND(ISNUMBER(MATCH(D139,{"F","E","D","D+","C","C+","B","B+","A","A+","S"},0)),ISNUMBER(MATCH(E139,{"F","E","D","D+","C","C+","B","B+","A","A+","S"},0)),ISNUMBER(MATCH(F139,{"F","E","D","D+","C","C+","B","B+","A","A+","S"},0))),LOOKUP(AVERAGE(_xlfn.SWITCH(D139,"F",0,"E",10,"D",20,"D+",30,"C",40,"C+",50,"B",60,"B+",70,"A",80,"A+",90,"S",100),_xlfn.SWITCH(E139,"F",0,"E",10,"D",20,"D+",30,"C",40,"C+",50,"B",60,"B+",70,"A",80,"A+",90,"S",100),_xlfn.SWITCH(F139,"F",0,"E",10,"D",20,"D+",30,"C",40,"C+",50,"B",60,"B+",70,"A",80,"A+",90,"S",100)),{0,15,25,35,45,55,65,75,85,95},{"D","D","D+","C","C+","B","B+","A","A+","S"}),"?")</f>
        <v>C+</v>
      </c>
      <c r="H139" s="447">
        <f>IF(AND(ISNUMBER(MATCH(C139,{"F","E","D","D+","C","C+","B","B+","A","A+","S"},0)),ISNUMBER(MATCH(D139,{"F","E","D","D+","C","C+","B","B+","A","A+","S"},0)),ISNUMBER(MATCH(E139,{"F","E","D","D+","C","C+","B","B+","A","A+","S"},0)),ISNUMBER(MATCH(F139,{"F","E","D","D+","C","C+","B","B+","A","A+","S"},0))),_xlfn.SWITCH(C139,"F",0,"E",1,"D",2,"D+",3,"C",4,"C+",5,"B",6,"B+",7,"A",8,"A+",9,"S",10)*0.1+_xlfn.SWITCH(D139,"F",0,"E",1,"D",2,"D+",3,"C",4,"C+",5,"B",6,"B+",7,"A",8,"A+",9,"S",10)*0.4+_xlfn.SWITCH(E139,"F",0,"E",1,"D",2,"D+",3,"C",4,"C+",5,"B",6,"B+",7,"A",8,"A+",9,"S",10)*0.3+_xlfn.SWITCH(F139,"F",0,"E",1,"D",2,"D+",3,"C",4,"C+",5,"B",6,"B+",7,"A",8,"A+",9,"S",10)*0.2,"")</f>
        <v>5.0999999999999996</v>
      </c>
      <c r="I139" s="475" t="s">
        <v>5070</v>
      </c>
      <c r="L139" s="444" t="s">
        <v>28</v>
      </c>
      <c r="M139" s="476">
        <f>COUNTIF(C$138:C$227,$L139)</f>
        <v>5</v>
      </c>
      <c r="N139" s="476">
        <f>COUNTIF(G$138:G$227,$L139)</f>
        <v>3</v>
      </c>
    </row>
    <row r="140" spans="1:15">
      <c r="A140" s="445" t="s">
        <v>755</v>
      </c>
      <c r="B140" s="477" t="s">
        <v>756</v>
      </c>
      <c r="C140" s="445" t="s">
        <v>21</v>
      </c>
      <c r="D140" s="445" t="s">
        <v>21</v>
      </c>
      <c r="E140" s="445" t="s">
        <v>1567</v>
      </c>
      <c r="F140" s="445" t="s">
        <v>28</v>
      </c>
      <c r="G140" s="445" t="str">
        <f>IF(AND(ISNUMBER(MATCH(D140,{"F","E","D","D+","C","C+","B","B+","A","A+","S"},0)),ISNUMBER(MATCH(E140,{"F","E","D","D+","C","C+","B","B+","A","A+","S"},0)),ISNUMBER(MATCH(F140,{"F","E","D","D+","C","C+","B","B+","A","A+","S"},0))),LOOKUP(AVERAGE(_xlfn.SWITCH(D140,"F",0,"E",10,"D",20,"D+",30,"C",40,"C+",50,"B",60,"B+",70,"A",80,"A+",90,"S",100),_xlfn.SWITCH(E140,"F",0,"E",10,"D",20,"D+",30,"C",40,"C+",50,"B",60,"B+",70,"A",80,"A+",90,"S",100),_xlfn.SWITCH(F140,"F",0,"E",10,"D",20,"D+",30,"C",40,"C+",50,"B",60,"B+",70,"A",80,"A+",90,"S",100)),{0,15,25,35,45,55,65,75,85,95},{"D","D","D+","C","C+","B","B+","A","A+","S"}),"?")</f>
        <v>A</v>
      </c>
      <c r="H140" s="447">
        <f>IF(AND(ISNUMBER(MATCH(C140,{"F","E","D","D+","C","C+","B","B+","A","A+","S"},0)),ISNUMBER(MATCH(D140,{"F","E","D","D+","C","C+","B","B+","A","A+","S"},0)),ISNUMBER(MATCH(E140,{"F","E","D","D+","C","C+","B","B+","A","A+","S"},0)),ISNUMBER(MATCH(F140,{"F","E","D","D+","C","C+","B","B+","A","A+","S"},0))),_xlfn.SWITCH(C140,"F",0,"E",1,"D",2,"D+",3,"C",4,"C+",5,"B",6,"B+",7,"A",8,"A+",9,"S",10)*0.1+_xlfn.SWITCH(D140,"F",0,"E",1,"D",2,"D+",3,"C",4,"C+",5,"B",6,"B+",7,"A",8,"A+",9,"S",10)*0.4+_xlfn.SWITCH(E140,"F",0,"E",1,"D",2,"D+",3,"C",4,"C+",5,"B",6,"B+",7,"A",8,"A+",9,"S",10)*0.3+_xlfn.SWITCH(F140,"F",0,"E",1,"D",2,"D+",3,"C",4,"C+",5,"B",6,"B+",7,"A",8,"A+",9,"S",10)*0.2,"")</f>
        <v>7.8999999999999995</v>
      </c>
      <c r="I140" s="473" t="s">
        <v>5071</v>
      </c>
      <c r="L140" s="444" t="s">
        <v>21</v>
      </c>
      <c r="M140" s="476">
        <f>COUNTIF(C$138:C$227,$L140)</f>
        <v>8</v>
      </c>
      <c r="N140" s="476">
        <f>COUNTIF(G$138:G$227,$L140)</f>
        <v>11</v>
      </c>
    </row>
    <row r="141" spans="1:15">
      <c r="A141" s="445" t="s">
        <v>820</v>
      </c>
      <c r="B141" s="474" t="s">
        <v>821</v>
      </c>
      <c r="C141" s="445" t="s">
        <v>18</v>
      </c>
      <c r="D141" s="445" t="s">
        <v>18</v>
      </c>
      <c r="E141" s="445" t="s">
        <v>1562</v>
      </c>
      <c r="F141" s="445" t="s">
        <v>18</v>
      </c>
      <c r="G141" s="445" t="str">
        <f>IF(AND(ISNUMBER(MATCH(D141,{"F","E","D","D+","C","C+","B","B+","A","A+","S"},0)),ISNUMBER(MATCH(E141,{"F","E","D","D+","C","C+","B","B+","A","A+","S"},0)),ISNUMBER(MATCH(F141,{"F","E","D","D+","C","C+","B","B+","A","A+","S"},0))),LOOKUP(AVERAGE(_xlfn.SWITCH(D141,"F",0,"E",10,"D",20,"D+",30,"C",40,"C+",50,"B",60,"B+",70,"A",80,"A+",90,"S",100),_xlfn.SWITCH(E141,"F",0,"E",10,"D",20,"D+",30,"C",40,"C+",50,"B",60,"B+",70,"A",80,"A+",90,"S",100),_xlfn.SWITCH(F141,"F",0,"E",10,"D",20,"D+",30,"C",40,"C+",50,"B",60,"B+",70,"A",80,"A+",90,"S",100)),{0,15,25,35,45,55,65,75,85,95},{"D","D","D+","C","C+","B","B+","A","A+","S"}),"?")</f>
        <v>B</v>
      </c>
      <c r="H141" s="447">
        <f>IF(AND(ISNUMBER(MATCH(C141,{"F","E","D","D+","C","C+","B","B+","A","A+","S"},0)),ISNUMBER(MATCH(D141,{"F","E","D","D+","C","C+","B","B+","A","A+","S"},0)),ISNUMBER(MATCH(E141,{"F","E","D","D+","C","C+","B","B+","A","A+","S"},0)),ISNUMBER(MATCH(F141,{"F","E","D","D+","C","C+","B","B+","A","A+","S"},0))),_xlfn.SWITCH(C141,"F",0,"E",1,"D",2,"D+",3,"C",4,"C+",5,"B",6,"B+",7,"A",8,"A+",9,"S",10)*0.1+_xlfn.SWITCH(D141,"F",0,"E",1,"D",2,"D+",3,"C",4,"C+",5,"B",6,"B+",7,"A",8,"A+",9,"S",10)*0.4+_xlfn.SWITCH(E141,"F",0,"E",1,"D",2,"D+",3,"C",4,"C+",5,"B",6,"B+",7,"A",8,"A+",9,"S",10)*0.3+_xlfn.SWITCH(F141,"F",0,"E",1,"D",2,"D+",3,"C",4,"C+",5,"B",6,"B+",7,"A",8,"A+",9,"S",10)*0.2,"")</f>
        <v>5.7</v>
      </c>
      <c r="I141" s="473" t="s">
        <v>5072</v>
      </c>
      <c r="L141" s="444" t="s">
        <v>1567</v>
      </c>
      <c r="M141" s="476">
        <f>COUNTIF(C$138:C$227,$L141)</f>
        <v>8</v>
      </c>
      <c r="N141" s="476">
        <f>COUNTIF(G$138:G$227,$L141)</f>
        <v>12</v>
      </c>
    </row>
    <row r="142" spans="1:15">
      <c r="A142" s="445" t="s">
        <v>827</v>
      </c>
      <c r="B142" s="474" t="s">
        <v>828</v>
      </c>
      <c r="C142" s="445" t="s">
        <v>18</v>
      </c>
      <c r="D142" s="445" t="s">
        <v>18</v>
      </c>
      <c r="E142" s="445" t="s">
        <v>1562</v>
      </c>
      <c r="F142" s="445" t="s">
        <v>18</v>
      </c>
      <c r="G142" s="445" t="str">
        <f>IF(AND(ISNUMBER(MATCH(D142,{"F","E","D","D+","C","C+","B","B+","A","A+","S"},0)),ISNUMBER(MATCH(E142,{"F","E","D","D+","C","C+","B","B+","A","A+","S"},0)),ISNUMBER(MATCH(F142,{"F","E","D","D+","C","C+","B","B+","A","A+","S"},0))),LOOKUP(AVERAGE(_xlfn.SWITCH(D142,"F",0,"E",10,"D",20,"D+",30,"C",40,"C+",50,"B",60,"B+",70,"A",80,"A+",90,"S",100),_xlfn.SWITCH(E142,"F",0,"E",10,"D",20,"D+",30,"C",40,"C+",50,"B",60,"B+",70,"A",80,"A+",90,"S",100),_xlfn.SWITCH(F142,"F",0,"E",10,"D",20,"D+",30,"C",40,"C+",50,"B",60,"B+",70,"A",80,"A+",90,"S",100)),{0,15,25,35,45,55,65,75,85,95},{"D","D","D+","C","C+","B","B+","A","A+","S"}),"?")</f>
        <v>B</v>
      </c>
      <c r="H142" s="447">
        <f>IF(AND(ISNUMBER(MATCH(C142,{"F","E","D","D+","C","C+","B","B+","A","A+","S"},0)),ISNUMBER(MATCH(D142,{"F","E","D","D+","C","C+","B","B+","A","A+","S"},0)),ISNUMBER(MATCH(E142,{"F","E","D","D+","C","C+","B","B+","A","A+","S"},0)),ISNUMBER(MATCH(F142,{"F","E","D","D+","C","C+","B","B+","A","A+","S"},0))),_xlfn.SWITCH(C142,"F",0,"E",1,"D",2,"D+",3,"C",4,"C+",5,"B",6,"B+",7,"A",8,"A+",9,"S",10)*0.1+_xlfn.SWITCH(D142,"F",0,"E",1,"D",2,"D+",3,"C",4,"C+",5,"B",6,"B+",7,"A",8,"A+",9,"S",10)*0.4+_xlfn.SWITCH(E142,"F",0,"E",1,"D",2,"D+",3,"C",4,"C+",5,"B",6,"B+",7,"A",8,"A+",9,"S",10)*0.3+_xlfn.SWITCH(F142,"F",0,"E",1,"D",2,"D+",3,"C",4,"C+",5,"B",6,"B+",7,"A",8,"A+",9,"S",10)*0.2,"")</f>
        <v>5.7</v>
      </c>
      <c r="I142" s="473" t="s">
        <v>5073</v>
      </c>
      <c r="L142" s="444" t="s">
        <v>18</v>
      </c>
      <c r="M142" s="476">
        <f>COUNTIF(C$138:C$227,$L142)</f>
        <v>32</v>
      </c>
      <c r="N142" s="476">
        <f>COUNTIF(G$138:G$227,$L142)</f>
        <v>20</v>
      </c>
    </row>
    <row r="143" spans="1:15">
      <c r="A143" s="445" t="s">
        <v>812</v>
      </c>
      <c r="B143" s="478" t="s">
        <v>813</v>
      </c>
      <c r="C143" s="445" t="s">
        <v>18</v>
      </c>
      <c r="D143" s="445" t="s">
        <v>1567</v>
      </c>
      <c r="E143" s="445" t="s">
        <v>1567</v>
      </c>
      <c r="F143" s="445" t="s">
        <v>18</v>
      </c>
      <c r="G143" s="445" t="str">
        <f>IF(AND(ISNUMBER(MATCH(D143,{"F","E","D","D+","C","C+","B","B+","A","A+","S"},0)),ISNUMBER(MATCH(E143,{"F","E","D","D+","C","C+","B","B+","A","A+","S"},0)),ISNUMBER(MATCH(F143,{"F","E","D","D+","C","C+","B","B+","A","A+","S"},0))),LOOKUP(AVERAGE(_xlfn.SWITCH(D143,"F",0,"E",10,"D",20,"D+",30,"C",40,"C+",50,"B",60,"B+",70,"A",80,"A+",90,"S",100),_xlfn.SWITCH(E143,"F",0,"E",10,"D",20,"D+",30,"C",40,"C+",50,"B",60,"B+",70,"A",80,"A+",90,"S",100),_xlfn.SWITCH(F143,"F",0,"E",10,"D",20,"D+",30,"C",40,"C+",50,"B",60,"B+",70,"A",80,"A+",90,"S",100)),{0,15,25,35,45,55,65,75,85,95},{"D","D","D+","C","C+","B","B+","A","A+","S"}),"?")</f>
        <v>B+</v>
      </c>
      <c r="H143" s="447">
        <f>IF(AND(ISNUMBER(MATCH(C143,{"F","E","D","D+","C","C+","B","B+","A","A+","S"},0)),ISNUMBER(MATCH(D143,{"F","E","D","D+","C","C+","B","B+","A","A+","S"},0)),ISNUMBER(MATCH(E143,{"F","E","D","D+","C","C+","B","B+","A","A+","S"},0)),ISNUMBER(MATCH(F143,{"F","E","D","D+","C","C+","B","B+","A","A+","S"},0))),_xlfn.SWITCH(C143,"F",0,"E",1,"D",2,"D+",3,"C",4,"C+",5,"B",6,"B+",7,"A",8,"A+",9,"S",10)*0.1+_xlfn.SWITCH(D143,"F",0,"E",1,"D",2,"D+",3,"C",4,"C+",5,"B",6,"B+",7,"A",8,"A+",9,"S",10)*0.4+_xlfn.SWITCH(E143,"F",0,"E",1,"D",2,"D+",3,"C",4,"C+",5,"B",6,"B+",7,"A",8,"A+",9,"S",10)*0.3+_xlfn.SWITCH(F143,"F",0,"E",1,"D",2,"D+",3,"C",4,"C+",5,"B",6,"B+",7,"A",8,"A+",9,"S",10)*0.2,"")</f>
        <v>6.7</v>
      </c>
      <c r="I143" s="473" t="s">
        <v>5074</v>
      </c>
      <c r="L143" s="440"/>
      <c r="M143" s="440"/>
      <c r="N143" s="456"/>
    </row>
    <row r="144" spans="1:15" ht="34">
      <c r="A144" s="445" t="s">
        <v>839</v>
      </c>
      <c r="B144" s="474" t="s">
        <v>840</v>
      </c>
      <c r="C144" s="445" t="s">
        <v>18</v>
      </c>
      <c r="D144" s="445" t="s">
        <v>18</v>
      </c>
      <c r="E144" s="445" t="s">
        <v>18</v>
      </c>
      <c r="F144" s="445" t="s">
        <v>18</v>
      </c>
      <c r="G144" s="445" t="str">
        <f>IF(AND(ISNUMBER(MATCH(D144,{"F","E","D","D+","C","C+","B","B+","A","A+","S"},0)),ISNUMBER(MATCH(E144,{"F","E","D","D+","C","C+","B","B+","A","A+","S"},0)),ISNUMBER(MATCH(F144,{"F","E","D","D+","C","C+","B","B+","A","A+","S"},0))),LOOKUP(AVERAGE(_xlfn.SWITCH(D144,"F",0,"E",10,"D",20,"D+",30,"C",40,"C+",50,"B",60,"B+",70,"A",80,"A+",90,"S",100),_xlfn.SWITCH(E144,"F",0,"E",10,"D",20,"D+",30,"C",40,"C+",50,"B",60,"B+",70,"A",80,"A+",90,"S",100),_xlfn.SWITCH(F144,"F",0,"E",10,"D",20,"D+",30,"C",40,"C+",50,"B",60,"B+",70,"A",80,"A+",90,"S",100)),{0,15,25,35,45,55,65,75,85,95},{"D","D","D+","C","C+","B","B+","A","A+","S"}),"?")</f>
        <v>B</v>
      </c>
      <c r="H144" s="447">
        <f>IF(AND(ISNUMBER(MATCH(C144,{"F","E","D","D+","C","C+","B","B+","A","A+","S"},0)),ISNUMBER(MATCH(D144,{"F","E","D","D+","C","C+","B","B+","A","A+","S"},0)),ISNUMBER(MATCH(E144,{"F","E","D","D+","C","C+","B","B+","A","A+","S"},0)),ISNUMBER(MATCH(F144,{"F","E","D","D+","C","C+","B","B+","A","A+","S"},0))),_xlfn.SWITCH(C144,"F",0,"E",1,"D",2,"D+",3,"C",4,"C+",5,"B",6,"B+",7,"A",8,"A+",9,"S",10)*0.1+_xlfn.SWITCH(D144,"F",0,"E",1,"D",2,"D+",3,"C",4,"C+",5,"B",6,"B+",7,"A",8,"A+",9,"S",10)*0.4+_xlfn.SWITCH(E144,"F",0,"E",1,"D",2,"D+",3,"C",4,"C+",5,"B",6,"B+",7,"A",8,"A+",9,"S",10)*0.3+_xlfn.SWITCH(F144,"F",0,"E",1,"D",2,"D+",3,"C",4,"C+",5,"B",6,"B+",7,"A",8,"A+",9,"S",10)*0.2,"")</f>
        <v>6.0000000000000009</v>
      </c>
      <c r="I144" s="475" t="s">
        <v>5075</v>
      </c>
      <c r="L144" s="479" t="s">
        <v>1559</v>
      </c>
      <c r="M144" s="455">
        <v>5</v>
      </c>
      <c r="N144" s="440"/>
    </row>
    <row r="145" spans="1:14">
      <c r="A145" s="445" t="s">
        <v>845</v>
      </c>
      <c r="B145" s="474" t="s">
        <v>846</v>
      </c>
      <c r="C145" s="445" t="s">
        <v>18</v>
      </c>
      <c r="D145" s="445" t="s">
        <v>18</v>
      </c>
      <c r="E145" s="445" t="s">
        <v>1562</v>
      </c>
      <c r="F145" s="445" t="s">
        <v>1562</v>
      </c>
      <c r="G145" s="445" t="str">
        <f>IF(AND(ISNUMBER(MATCH(D145,{"F","E","D","D+","C","C+","B","B+","A","A+","S"},0)),ISNUMBER(MATCH(E145,{"F","E","D","D+","C","C+","B","B+","A","A+","S"},0)),ISNUMBER(MATCH(F145,{"F","E","D","D+","C","C+","B","B+","A","A+","S"},0))),LOOKUP(AVERAGE(_xlfn.SWITCH(D145,"F",0,"E",10,"D",20,"D+",30,"C",40,"C+",50,"B",60,"B+",70,"A",80,"A+",90,"S",100),_xlfn.SWITCH(E145,"F",0,"E",10,"D",20,"D+",30,"C",40,"C+",50,"B",60,"B+",70,"A",80,"A+",90,"S",100),_xlfn.SWITCH(F145,"F",0,"E",10,"D",20,"D+",30,"C",40,"C+",50,"B",60,"B+",70,"A",80,"A+",90,"S",100)),{0,15,25,35,45,55,65,75,85,95},{"D","D","D+","C","C+","B","B+","A","A+","S"}),"?")</f>
        <v>C+</v>
      </c>
      <c r="H145" s="447">
        <f>IF(AND(ISNUMBER(MATCH(C145,{"F","E","D","D+","C","C+","B","B+","A","A+","S"},0)),ISNUMBER(MATCH(D145,{"F","E","D","D+","C","C+","B","B+","A","A+","S"},0)),ISNUMBER(MATCH(E145,{"F","E","D","D+","C","C+","B","B+","A","A+","S"},0)),ISNUMBER(MATCH(F145,{"F","E","D","D+","C","C+","B","B+","A","A+","S"},0))),_xlfn.SWITCH(C145,"F",0,"E",1,"D",2,"D+",3,"C",4,"C+",5,"B",6,"B+",7,"A",8,"A+",9,"S",10)*0.1+_xlfn.SWITCH(D145,"F",0,"E",1,"D",2,"D+",3,"C",4,"C+",5,"B",6,"B+",7,"A",8,"A+",9,"S",10)*0.4+_xlfn.SWITCH(E145,"F",0,"E",1,"D",2,"D+",3,"C",4,"C+",5,"B",6,"B+",7,"A",8,"A+",9,"S",10)*0.3+_xlfn.SWITCH(F145,"F",0,"E",1,"D",2,"D+",3,"C",4,"C+",5,"B",6,"B+",7,"A",8,"A+",9,"S",10)*0.2,"")</f>
        <v>5.5</v>
      </c>
      <c r="I145" s="473" t="s">
        <v>5076</v>
      </c>
      <c r="L145" s="480" t="s">
        <v>1558</v>
      </c>
      <c r="M145" s="455">
        <v>27</v>
      </c>
      <c r="N145" s="440"/>
    </row>
    <row r="146" spans="1:14">
      <c r="A146" s="445" t="s">
        <v>617</v>
      </c>
      <c r="B146" s="478" t="s">
        <v>618</v>
      </c>
      <c r="C146" s="445" t="s">
        <v>18</v>
      </c>
      <c r="D146" s="445" t="s">
        <v>21</v>
      </c>
      <c r="E146" s="445" t="s">
        <v>21</v>
      </c>
      <c r="F146" s="445" t="s">
        <v>1567</v>
      </c>
      <c r="G146" s="445" t="str">
        <f>IF(AND(ISNUMBER(MATCH(D146,{"F","E","D","D+","C","C+","B","B+","A","A+","S"},0)),ISNUMBER(MATCH(E146,{"F","E","D","D+","C","C+","B","B+","A","A+","S"},0)),ISNUMBER(MATCH(F146,{"F","E","D","D+","C","C+","B","B+","A","A+","S"},0))),LOOKUP(AVERAGE(_xlfn.SWITCH(D146,"F",0,"E",10,"D",20,"D+",30,"C",40,"C+",50,"B",60,"B+",70,"A",80,"A+",90,"S",100),_xlfn.SWITCH(E146,"F",0,"E",10,"D",20,"D+",30,"C",40,"C+",50,"B",60,"B+",70,"A",80,"A+",90,"S",100),_xlfn.SWITCH(F146,"F",0,"E",10,"D",20,"D+",30,"C",40,"C+",50,"B",60,"B+",70,"A",80,"A+",90,"S",100)),{0,15,25,35,45,55,65,75,85,95},{"D","D","D+","C","C+","B","B+","A","A+","S"}),"?")</f>
        <v>A</v>
      </c>
      <c r="H146" s="447">
        <f>IF(AND(ISNUMBER(MATCH(C146,{"F","E","D","D+","C","C+","B","B+","A","A+","S"},0)),ISNUMBER(MATCH(D146,{"F","E","D","D+","C","C+","B","B+","A","A+","S"},0)),ISNUMBER(MATCH(E146,{"F","E","D","D+","C","C+","B","B+","A","A+","S"},0)),ISNUMBER(MATCH(F146,{"F","E","D","D+","C","C+","B","B+","A","A+","S"},0))),_xlfn.SWITCH(C146,"F",0,"E",1,"D",2,"D+",3,"C",4,"C+",5,"B",6,"B+",7,"A",8,"A+",9,"S",10)*0.1+_xlfn.SWITCH(D146,"F",0,"E",1,"D",2,"D+",3,"C",4,"C+",5,"B",6,"B+",7,"A",8,"A+",9,"S",10)*0.4+_xlfn.SWITCH(E146,"F",0,"E",1,"D",2,"D+",3,"C",4,"C+",5,"B",6,"B+",7,"A",8,"A+",9,"S",10)*0.3+_xlfn.SWITCH(F146,"F",0,"E",1,"D",2,"D+",3,"C",4,"C+",5,"B",6,"B+",7,"A",8,"A+",9,"S",10)*0.2,"")</f>
        <v>7.6000000000000005</v>
      </c>
      <c r="I146" s="473" t="s">
        <v>5077</v>
      </c>
    </row>
    <row r="147" spans="1:14">
      <c r="A147" s="445" t="s">
        <v>856</v>
      </c>
      <c r="B147" s="474" t="s">
        <v>857</v>
      </c>
      <c r="C147" s="445" t="s">
        <v>1574</v>
      </c>
      <c r="D147" s="445"/>
      <c r="E147" s="445"/>
      <c r="F147" s="445"/>
      <c r="G147" s="445" t="str">
        <f>IF(AND(ISNUMBER(MATCH(D147,{"F","E","D","D+","C","C+","B","B+","A","A+","S"},0)),ISNUMBER(MATCH(E147,{"F","E","D","D+","C","C+","B","B+","A","A+","S"},0)),ISNUMBER(MATCH(F147,{"F","E","D","D+","C","C+","B","B+","A","A+","S"},0))),LOOKUP(AVERAGE(_xlfn.SWITCH(D147,"F",0,"E",10,"D",20,"D+",30,"C",40,"C+",50,"B",60,"B+",70,"A",80,"A+",90,"S",100),_xlfn.SWITCH(E147,"F",0,"E",10,"D",20,"D+",30,"C",40,"C+",50,"B",60,"B+",70,"A",80,"A+",90,"S",100),_xlfn.SWITCH(F147,"F",0,"E",10,"D",20,"D+",30,"C",40,"C+",50,"B",60,"B+",70,"A",80,"A+",90,"S",100)),{0,15,25,35,45,55,65,75,85,95},{"D","D","D+","C","C+","B","B+","A","A+","S"}),"?")</f>
        <v>?</v>
      </c>
      <c r="H147" s="447" t="str">
        <f>IF(AND(ISNUMBER(MATCH(C147,{"F","E","D","D+","C","C+","B","B+","A","A+","S"},0)),ISNUMBER(MATCH(D147,{"F","E","D","D+","C","C+","B","B+","A","A+","S"},0)),ISNUMBER(MATCH(E147,{"F","E","D","D+","C","C+","B","B+","A","A+","S"},0)),ISNUMBER(MATCH(F147,{"F","E","D","D+","C","C+","B","B+","A","A+","S"},0))),_xlfn.SWITCH(C147,"F",0,"E",1,"D",2,"D+",3,"C",4,"C+",5,"B",6,"B+",7,"A",8,"A+",9,"S",10)*0.1+_xlfn.SWITCH(D147,"F",0,"E",1,"D",2,"D+",3,"C",4,"C+",5,"B",6,"B+",7,"A",8,"A+",9,"S",10)*0.4+_xlfn.SWITCH(E147,"F",0,"E",1,"D",2,"D+",3,"C",4,"C+",5,"B",6,"B+",7,"A",8,"A+",9,"S",10)*0.3+_xlfn.SWITCH(F147,"F",0,"E",1,"D",2,"D+",3,"C",4,"C+",5,"B",6,"B+",7,"A",8,"A+",9,"S",10)*0.2,"")</f>
        <v/>
      </c>
      <c r="I147" s="473"/>
    </row>
    <row r="148" spans="1:14">
      <c r="A148" s="445" t="s">
        <v>783</v>
      </c>
      <c r="B148" s="478" t="s">
        <v>784</v>
      </c>
      <c r="C148" s="445" t="s">
        <v>28</v>
      </c>
      <c r="D148" s="445" t="s">
        <v>21</v>
      </c>
      <c r="E148" s="445" t="s">
        <v>28</v>
      </c>
      <c r="F148" s="445" t="s">
        <v>21</v>
      </c>
      <c r="G148" s="445" t="str">
        <f>IF(AND(ISNUMBER(MATCH(D148,{"F","E","D","D+","C","C+","B","B+","A","A+","S"},0)),ISNUMBER(MATCH(E148,{"F","E","D","D+","C","C+","B","B+","A","A+","S"},0)),ISNUMBER(MATCH(F148,{"F","E","D","D+","C","C+","B","B+","A","A+","S"},0))),LOOKUP(AVERAGE(_xlfn.SWITCH(D148,"F",0,"E",10,"D",20,"D+",30,"C",40,"C+",50,"B",60,"B+",70,"A",80,"A+",90,"S",100),_xlfn.SWITCH(E148,"F",0,"E",10,"D",20,"D+",30,"C",40,"C+",50,"B",60,"B+",70,"A",80,"A+",90,"S",100),_xlfn.SWITCH(F148,"F",0,"E",10,"D",20,"D+",30,"C",40,"C+",50,"B",60,"B+",70,"A",80,"A+",90,"S",100)),{0,15,25,35,45,55,65,75,85,95},{"D","D","D+","C","C+","B","B+","A","A+","S"}),"?")</f>
        <v>A</v>
      </c>
      <c r="H148" s="447">
        <f>IF(AND(ISNUMBER(MATCH(C148,{"F","E","D","D+","C","C+","B","B+","A","A+","S"},0)),ISNUMBER(MATCH(D148,{"F","E","D","D+","C","C+","B","B+","A","A+","S"},0)),ISNUMBER(MATCH(E148,{"F","E","D","D+","C","C+","B","B+","A","A+","S"},0)),ISNUMBER(MATCH(F148,{"F","E","D","D+","C","C+","B","B+","A","A+","S"},0))),_xlfn.SWITCH(C148,"F",0,"E",1,"D",2,"D+",3,"C",4,"C+",5,"B",6,"B+",7,"A",8,"A+",9,"S",10)*0.1+_xlfn.SWITCH(D148,"F",0,"E",1,"D",2,"D+",3,"C",4,"C+",5,"B",6,"B+",7,"A",8,"A+",9,"S",10)*0.4+_xlfn.SWITCH(E148,"F",0,"E",1,"D",2,"D+",3,"C",4,"C+",5,"B",6,"B+",7,"A",8,"A+",9,"S",10)*0.3+_xlfn.SWITCH(F148,"F",0,"E",1,"D",2,"D+",3,"C",4,"C+",5,"B",6,"B+",7,"A",8,"A+",9,"S",10)*0.2,"")</f>
        <v>8.4</v>
      </c>
      <c r="I148" s="473" t="s">
        <v>5078</v>
      </c>
    </row>
    <row r="149" spans="1:14">
      <c r="A149" s="445" t="s">
        <v>863</v>
      </c>
      <c r="B149" s="474" t="s">
        <v>864</v>
      </c>
      <c r="C149" s="445" t="s">
        <v>1562</v>
      </c>
      <c r="D149" s="445"/>
      <c r="E149" s="445"/>
      <c r="F149" s="445"/>
      <c r="G149" s="445" t="str">
        <f>IF(AND(ISNUMBER(MATCH(D149,{"F","E","D","D+","C","C+","B","B+","A","A+","S"},0)),ISNUMBER(MATCH(E149,{"F","E","D","D+","C","C+","B","B+","A","A+","S"},0)),ISNUMBER(MATCH(F149,{"F","E","D","D+","C","C+","B","B+","A","A+","S"},0))),LOOKUP(AVERAGE(_xlfn.SWITCH(D149,"F",0,"E",10,"D",20,"D+",30,"C",40,"C+",50,"B",60,"B+",70,"A",80,"A+",90,"S",100),_xlfn.SWITCH(E149,"F",0,"E",10,"D",20,"D+",30,"C",40,"C+",50,"B",60,"B+",70,"A",80,"A+",90,"S",100),_xlfn.SWITCH(F149,"F",0,"E",10,"D",20,"D+",30,"C",40,"C+",50,"B",60,"B+",70,"A",80,"A+",90,"S",100)),{0,15,25,35,45,55,65,75,85,95},{"D","D","D+","C","C+","B","B+","A","A+","S"}),"?")</f>
        <v>?</v>
      </c>
      <c r="H149" s="447" t="str">
        <f>IF(AND(ISNUMBER(MATCH(C149,{"F","E","D","D+","C","C+","B","B+","A","A+","S"},0)),ISNUMBER(MATCH(D149,{"F","E","D","D+","C","C+","B","B+","A","A+","S"},0)),ISNUMBER(MATCH(E149,{"F","E","D","D+","C","C+","B","B+","A","A+","S"},0)),ISNUMBER(MATCH(F149,{"F","E","D","D+","C","C+","B","B+","A","A+","S"},0))),_xlfn.SWITCH(C149,"F",0,"E",1,"D",2,"D+",3,"C",4,"C+",5,"B",6,"B+",7,"A",8,"A+",9,"S",10)*0.1+_xlfn.SWITCH(D149,"F",0,"E",1,"D",2,"D+",3,"C",4,"C+",5,"B",6,"B+",7,"A",8,"A+",9,"S",10)*0.4+_xlfn.SWITCH(E149,"F",0,"E",1,"D",2,"D+",3,"C",4,"C+",5,"B",6,"B+",7,"A",8,"A+",9,"S",10)*0.3+_xlfn.SWITCH(F149,"F",0,"E",1,"D",2,"D+",3,"C",4,"C+",5,"B",6,"B+",7,"A",8,"A+",9,"S",10)*0.2,"")</f>
        <v/>
      </c>
      <c r="I149" s="473"/>
    </row>
    <row r="150" spans="1:14">
      <c r="A150" s="445" t="s">
        <v>551</v>
      </c>
      <c r="B150" s="477" t="s">
        <v>552</v>
      </c>
      <c r="C150" s="445" t="s">
        <v>17</v>
      </c>
      <c r="D150" s="445" t="s">
        <v>17</v>
      </c>
      <c r="E150" s="445" t="s">
        <v>17</v>
      </c>
      <c r="F150" s="445" t="s">
        <v>17</v>
      </c>
      <c r="G150" s="445" t="str">
        <f>IF(AND(ISNUMBER(MATCH(D150,{"F","E","D","D+","C","C+","B","B+","A","A+","S"},0)),ISNUMBER(MATCH(E150,{"F","E","D","D+","C","C+","B","B+","A","A+","S"},0)),ISNUMBER(MATCH(F150,{"F","E","D","D+","C","C+","B","B+","A","A+","S"},0))),LOOKUP(AVERAGE(_xlfn.SWITCH(D150,"F",0,"E",10,"D",20,"D+",30,"C",40,"C+",50,"B",60,"B+",70,"A",80,"A+",90,"S",100),_xlfn.SWITCH(E150,"F",0,"E",10,"D",20,"D+",30,"C",40,"C+",50,"B",60,"B+",70,"A",80,"A+",90,"S",100),_xlfn.SWITCH(F150,"F",0,"E",10,"D",20,"D+",30,"C",40,"C+",50,"B",60,"B+",70,"A",80,"A+",90,"S",100)),{0,15,25,35,45,55,65,75,85,95},{"D","D","D+","C","C+","B","B+","A","A+","S"}),"?")</f>
        <v>S</v>
      </c>
      <c r="H150" s="447">
        <f>IF(AND(ISNUMBER(MATCH(C150,{"F","E","D","D+","C","C+","B","B+","A","A+","S"},0)),ISNUMBER(MATCH(D150,{"F","E","D","D+","C","C+","B","B+","A","A+","S"},0)),ISNUMBER(MATCH(E150,{"F","E","D","D+","C","C+","B","B+","A","A+","S"},0)),ISNUMBER(MATCH(F150,{"F","E","D","D+","C","C+","B","B+","A","A+","S"},0))),_xlfn.SWITCH(C150,"F",0,"E",1,"D",2,"D+",3,"C",4,"C+",5,"B",6,"B+",7,"A",8,"A+",9,"S",10)*0.1+_xlfn.SWITCH(D150,"F",0,"E",1,"D",2,"D+",3,"C",4,"C+",5,"B",6,"B+",7,"A",8,"A+",9,"S",10)*0.4+_xlfn.SWITCH(E150,"F",0,"E",1,"D",2,"D+",3,"C",4,"C+",5,"B",6,"B+",7,"A",8,"A+",9,"S",10)*0.3+_xlfn.SWITCH(F150,"F",0,"E",1,"D",2,"D+",3,"C",4,"C+",5,"B",6,"B+",7,"A",8,"A+",9,"S",10)*0.2,"")</f>
        <v>10</v>
      </c>
      <c r="I150" s="473" t="s">
        <v>5079</v>
      </c>
    </row>
    <row r="151" spans="1:14">
      <c r="A151" s="445" t="s">
        <v>871</v>
      </c>
      <c r="B151" s="474" t="s">
        <v>872</v>
      </c>
      <c r="C151" s="445" t="s">
        <v>1562</v>
      </c>
      <c r="D151" s="445"/>
      <c r="E151" s="445"/>
      <c r="F151" s="445"/>
      <c r="G151" s="445" t="str">
        <f>IF(AND(ISNUMBER(MATCH(D151,{"F","E","D","D+","C","C+","B","B+","A","A+","S"},0)),ISNUMBER(MATCH(E151,{"F","E","D","D+","C","C+","B","B+","A","A+","S"},0)),ISNUMBER(MATCH(F151,{"F","E","D","D+","C","C+","B","B+","A","A+","S"},0))),LOOKUP(AVERAGE(_xlfn.SWITCH(D151,"F",0,"E",10,"D",20,"D+",30,"C",40,"C+",50,"B",60,"B+",70,"A",80,"A+",90,"S",100),_xlfn.SWITCH(E151,"F",0,"E",10,"D",20,"D+",30,"C",40,"C+",50,"B",60,"B+",70,"A",80,"A+",90,"S",100),_xlfn.SWITCH(F151,"F",0,"E",10,"D",20,"D+",30,"C",40,"C+",50,"B",60,"B+",70,"A",80,"A+",90,"S",100)),{0,15,25,35,45,55,65,75,85,95},{"D","D","D+","C","C+","B","B+","A","A+","S"}),"?")</f>
        <v>?</v>
      </c>
      <c r="H151" s="447" t="str">
        <f>IF(AND(ISNUMBER(MATCH(C151,{"F","E","D","D+","C","C+","B","B+","A","A+","S"},0)),ISNUMBER(MATCH(D151,{"F","E","D","D+","C","C+","B","B+","A","A+","S"},0)),ISNUMBER(MATCH(E151,{"F","E","D","D+","C","C+","B","B+","A","A+","S"},0)),ISNUMBER(MATCH(F151,{"F","E","D","D+","C","C+","B","B+","A","A+","S"},0))),_xlfn.SWITCH(C151,"F",0,"E",1,"D",2,"D+",3,"C",4,"C+",5,"B",6,"B+",7,"A",8,"A+",9,"S",10)*0.1+_xlfn.SWITCH(D151,"F",0,"E",1,"D",2,"D+",3,"C",4,"C+",5,"B",6,"B+",7,"A",8,"A+",9,"S",10)*0.4+_xlfn.SWITCH(E151,"F",0,"E",1,"D",2,"D+",3,"C",4,"C+",5,"B",6,"B+",7,"A",8,"A+",9,"S",10)*0.3+_xlfn.SWITCH(F151,"F",0,"E",1,"D",2,"D+",3,"C",4,"C+",5,"B",6,"B+",7,"A",8,"A+",9,"S",10)*0.2,"")</f>
        <v/>
      </c>
      <c r="I151" s="473"/>
    </row>
    <row r="152" spans="1:14">
      <c r="A152" s="445" t="s">
        <v>760</v>
      </c>
      <c r="B152" s="474" t="s">
        <v>761</v>
      </c>
      <c r="C152" s="445" t="s">
        <v>1562</v>
      </c>
      <c r="D152" s="445"/>
      <c r="E152" s="445"/>
      <c r="F152" s="445"/>
      <c r="G152" s="445" t="str">
        <f>IF(AND(ISNUMBER(MATCH(D152,{"F","E","D","D+","C","C+","B","B+","A","A+","S"},0)),ISNUMBER(MATCH(E152,{"F","E","D","D+","C","C+","B","B+","A","A+","S"},0)),ISNUMBER(MATCH(F152,{"F","E","D","D+","C","C+","B","B+","A","A+","S"},0))),LOOKUP(AVERAGE(_xlfn.SWITCH(D152,"F",0,"E",10,"D",20,"D+",30,"C",40,"C+",50,"B",60,"B+",70,"A",80,"A+",90,"S",100),_xlfn.SWITCH(E152,"F",0,"E",10,"D",20,"D+",30,"C",40,"C+",50,"B",60,"B+",70,"A",80,"A+",90,"S",100),_xlfn.SWITCH(F152,"F",0,"E",10,"D",20,"D+",30,"C",40,"C+",50,"B",60,"B+",70,"A",80,"A+",90,"S",100)),{0,15,25,35,45,55,65,75,85,95},{"D","D","D+","C","C+","B","B+","A","A+","S"}),"?")</f>
        <v>?</v>
      </c>
      <c r="H152" s="447" t="str">
        <f>IF(AND(ISNUMBER(MATCH(C152,{"F","E","D","D+","C","C+","B","B+","A","A+","S"},0)),ISNUMBER(MATCH(D152,{"F","E","D","D+","C","C+","B","B+","A","A+","S"},0)),ISNUMBER(MATCH(E152,{"F","E","D","D+","C","C+","B","B+","A","A+","S"},0)),ISNUMBER(MATCH(F152,{"F","E","D","D+","C","C+","B","B+","A","A+","S"},0))),_xlfn.SWITCH(C152,"F",0,"E",1,"D",2,"D+",3,"C",4,"C+",5,"B",6,"B+",7,"A",8,"A+",9,"S",10)*0.1+_xlfn.SWITCH(D152,"F",0,"E",1,"D",2,"D+",3,"C",4,"C+",5,"B",6,"B+",7,"A",8,"A+",9,"S",10)*0.4+_xlfn.SWITCH(E152,"F",0,"E",1,"D",2,"D+",3,"C",4,"C+",5,"B",6,"B+",7,"A",8,"A+",9,"S",10)*0.3+_xlfn.SWITCH(F152,"F",0,"E",1,"D",2,"D+",3,"C",4,"C+",5,"B",6,"B+",7,"A",8,"A+",9,"S",10)*0.2,"")</f>
        <v/>
      </c>
      <c r="I152" s="473"/>
    </row>
    <row r="153" spans="1:14">
      <c r="A153" s="445" t="s">
        <v>883</v>
      </c>
      <c r="B153" s="474" t="s">
        <v>884</v>
      </c>
      <c r="C153" s="445" t="s">
        <v>1574</v>
      </c>
      <c r="D153" s="445"/>
      <c r="E153" s="445"/>
      <c r="F153" s="445"/>
      <c r="G153" s="445" t="str">
        <f>IF(AND(ISNUMBER(MATCH(D153,{"F","E","D","D+","C","C+","B","B+","A","A+","S"},0)),ISNUMBER(MATCH(E153,{"F","E","D","D+","C","C+","B","B+","A","A+","S"},0)),ISNUMBER(MATCH(F153,{"F","E","D","D+","C","C+","B","B+","A","A+","S"},0))),LOOKUP(AVERAGE(_xlfn.SWITCH(D153,"F",0,"E",10,"D",20,"D+",30,"C",40,"C+",50,"B",60,"B+",70,"A",80,"A+",90,"S",100),_xlfn.SWITCH(E153,"F",0,"E",10,"D",20,"D+",30,"C",40,"C+",50,"B",60,"B+",70,"A",80,"A+",90,"S",100),_xlfn.SWITCH(F153,"F",0,"E",10,"D",20,"D+",30,"C",40,"C+",50,"B",60,"B+",70,"A",80,"A+",90,"S",100)),{0,15,25,35,45,55,65,75,85,95},{"D","D","D+","C","C+","B","B+","A","A+","S"}),"?")</f>
        <v>?</v>
      </c>
      <c r="H153" s="447" t="str">
        <f>IF(AND(ISNUMBER(MATCH(C153,{"F","E","D","D+","C","C+","B","B+","A","A+","S"},0)),ISNUMBER(MATCH(D153,{"F","E","D","D+","C","C+","B","B+","A","A+","S"},0)),ISNUMBER(MATCH(E153,{"F","E","D","D+","C","C+","B","B+","A","A+","S"},0)),ISNUMBER(MATCH(F153,{"F","E","D","D+","C","C+","B","B+","A","A+","S"},0))),_xlfn.SWITCH(C153,"F",0,"E",1,"D",2,"D+",3,"C",4,"C+",5,"B",6,"B+",7,"A",8,"A+",9,"S",10)*0.1+_xlfn.SWITCH(D153,"F",0,"E",1,"D",2,"D+",3,"C",4,"C+",5,"B",6,"B+",7,"A",8,"A+",9,"S",10)*0.4+_xlfn.SWITCH(E153,"F",0,"E",1,"D",2,"D+",3,"C",4,"C+",5,"B",6,"B+",7,"A",8,"A+",9,"S",10)*0.3+_xlfn.SWITCH(F153,"F",0,"E",1,"D",2,"D+",3,"C",4,"C+",5,"B",6,"B+",7,"A",8,"A+",9,"S",10)*0.2,"")</f>
        <v/>
      </c>
      <c r="I153" s="473"/>
    </row>
    <row r="154" spans="1:14">
      <c r="A154" s="445" t="s">
        <v>890</v>
      </c>
      <c r="B154" s="474" t="s">
        <v>891</v>
      </c>
      <c r="C154" s="445" t="s">
        <v>1574</v>
      </c>
      <c r="D154" s="445"/>
      <c r="E154" s="445"/>
      <c r="F154" s="445"/>
      <c r="G154" s="445" t="str">
        <f>IF(AND(ISNUMBER(MATCH(D154,{"F","E","D","D+","C","C+","B","B+","A","A+","S"},0)),ISNUMBER(MATCH(E154,{"F","E","D","D+","C","C+","B","B+","A","A+","S"},0)),ISNUMBER(MATCH(F154,{"F","E","D","D+","C","C+","B","B+","A","A+","S"},0))),LOOKUP(AVERAGE(_xlfn.SWITCH(D154,"F",0,"E",10,"D",20,"D+",30,"C",40,"C+",50,"B",60,"B+",70,"A",80,"A+",90,"S",100),_xlfn.SWITCH(E154,"F",0,"E",10,"D",20,"D+",30,"C",40,"C+",50,"B",60,"B+",70,"A",80,"A+",90,"S",100),_xlfn.SWITCH(F154,"F",0,"E",10,"D",20,"D+",30,"C",40,"C+",50,"B",60,"B+",70,"A",80,"A+",90,"S",100)),{0,15,25,35,45,55,65,75,85,95},{"D","D","D+","C","C+","B","B+","A","A+","S"}),"?")</f>
        <v>?</v>
      </c>
      <c r="H154" s="447" t="str">
        <f>IF(AND(ISNUMBER(MATCH(C154,{"F","E","D","D+","C","C+","B","B+","A","A+","S"},0)),ISNUMBER(MATCH(D154,{"F","E","D","D+","C","C+","B","B+","A","A+","S"},0)),ISNUMBER(MATCH(E154,{"F","E","D","D+","C","C+","B","B+","A","A+","S"},0)),ISNUMBER(MATCH(F154,{"F","E","D","D+","C","C+","B","B+","A","A+","S"},0))),_xlfn.SWITCH(C154,"F",0,"E",1,"D",2,"D+",3,"C",4,"C+",5,"B",6,"B+",7,"A",8,"A+",9,"S",10)*0.1+_xlfn.SWITCH(D154,"F",0,"E",1,"D",2,"D+",3,"C",4,"C+",5,"B",6,"B+",7,"A",8,"A+",9,"S",10)*0.4+_xlfn.SWITCH(E154,"F",0,"E",1,"D",2,"D+",3,"C",4,"C+",5,"B",6,"B+",7,"A",8,"A+",9,"S",10)*0.3+_xlfn.SWITCH(F154,"F",0,"E",1,"D",2,"D+",3,"C",4,"C+",5,"B",6,"B+",7,"A",8,"A+",9,"S",10)*0.2,"")</f>
        <v/>
      </c>
      <c r="I154" s="473" t="s">
        <v>5080</v>
      </c>
    </row>
    <row r="155" spans="1:14">
      <c r="A155" s="445" t="s">
        <v>750</v>
      </c>
      <c r="B155" s="478" t="s">
        <v>751</v>
      </c>
      <c r="C155" s="445" t="s">
        <v>1567</v>
      </c>
      <c r="D155" s="445" t="s">
        <v>1567</v>
      </c>
      <c r="E155" s="445" t="s">
        <v>21</v>
      </c>
      <c r="F155" s="445" t="s">
        <v>1567</v>
      </c>
      <c r="G155" s="445" t="str">
        <f>IF(AND(ISNUMBER(MATCH(D155,{"F","E","D","D+","C","C+","B","B+","A","A+","S"},0)),ISNUMBER(MATCH(E155,{"F","E","D","D+","C","C+","B","B+","A","A+","S"},0)),ISNUMBER(MATCH(F155,{"F","E","D","D+","C","C+","B","B+","A","A+","S"},0))),LOOKUP(AVERAGE(_xlfn.SWITCH(D155,"F",0,"E",10,"D",20,"D+",30,"C",40,"C+",50,"B",60,"B+",70,"A",80,"A+",90,"S",100),_xlfn.SWITCH(E155,"F",0,"E",10,"D",20,"D+",30,"C",40,"C+",50,"B",60,"B+",70,"A",80,"A+",90,"S",100),_xlfn.SWITCH(F155,"F",0,"E",10,"D",20,"D+",30,"C",40,"C+",50,"B",60,"B+",70,"A",80,"A+",90,"S",100)),{0,15,25,35,45,55,65,75,85,95},{"D","D","D+","C","C+","B","B+","A","A+","S"}),"?")</f>
        <v>B+</v>
      </c>
      <c r="H155" s="447">
        <f>IF(AND(ISNUMBER(MATCH(C155,{"F","E","D","D+","C","C+","B","B+","A","A+","S"},0)),ISNUMBER(MATCH(D155,{"F","E","D","D+","C","C+","B","B+","A","A+","S"},0)),ISNUMBER(MATCH(E155,{"F","E","D","D+","C","C+","B","B+","A","A+","S"},0)),ISNUMBER(MATCH(F155,{"F","E","D","D+","C","C+","B","B+","A","A+","S"},0))),_xlfn.SWITCH(C155,"F",0,"E",1,"D",2,"D+",3,"C",4,"C+",5,"B",6,"B+",7,"A",8,"A+",9,"S",10)*0.1+_xlfn.SWITCH(D155,"F",0,"E",1,"D",2,"D+",3,"C",4,"C+",5,"B",6,"B+",7,"A",8,"A+",9,"S",10)*0.4+_xlfn.SWITCH(E155,"F",0,"E",1,"D",2,"D+",3,"C",4,"C+",5,"B",6,"B+",7,"A",8,"A+",9,"S",10)*0.3+_xlfn.SWITCH(F155,"F",0,"E",1,"D",2,"D+",3,"C",4,"C+",5,"B",6,"B+",7,"A",8,"A+",9,"S",10)*0.2,"")</f>
        <v>7.3000000000000007</v>
      </c>
      <c r="I155" s="473" t="s">
        <v>5081</v>
      </c>
    </row>
    <row r="156" spans="1:14">
      <c r="A156" s="445" t="s">
        <v>900</v>
      </c>
      <c r="B156" s="474" t="s">
        <v>901</v>
      </c>
      <c r="C156" s="445" t="s">
        <v>18</v>
      </c>
      <c r="D156" s="445" t="s">
        <v>1567</v>
      </c>
      <c r="E156" s="445" t="s">
        <v>18</v>
      </c>
      <c r="F156" s="445" t="s">
        <v>18</v>
      </c>
      <c r="G156" s="445" t="str">
        <f>IF(AND(ISNUMBER(MATCH(D156,{"F","E","D","D+","C","C+","B","B+","A","A+","S"},0)),ISNUMBER(MATCH(E156,{"F","E","D","D+","C","C+","B","B+","A","A+","S"},0)),ISNUMBER(MATCH(F156,{"F","E","D","D+","C","C+","B","B+","A","A+","S"},0))),LOOKUP(AVERAGE(_xlfn.SWITCH(D156,"F",0,"E",10,"D",20,"D+",30,"C",40,"C+",50,"B",60,"B+",70,"A",80,"A+",90,"S",100),_xlfn.SWITCH(E156,"F",0,"E",10,"D",20,"D+",30,"C",40,"C+",50,"B",60,"B+",70,"A",80,"A+",90,"S",100),_xlfn.SWITCH(F156,"F",0,"E",10,"D",20,"D+",30,"C",40,"C+",50,"B",60,"B+",70,"A",80,"A+",90,"S",100)),{0,15,25,35,45,55,65,75,85,95},{"D","D","D+","C","C+","B","B+","A","A+","S"}),"?")</f>
        <v>B</v>
      </c>
      <c r="H156" s="447">
        <f>IF(AND(ISNUMBER(MATCH(C156,{"F","E","D","D+","C","C+","B","B+","A","A+","S"},0)),ISNUMBER(MATCH(D156,{"F","E","D","D+","C","C+","B","B+","A","A+","S"},0)),ISNUMBER(MATCH(E156,{"F","E","D","D+","C","C+","B","B+","A","A+","S"},0)),ISNUMBER(MATCH(F156,{"F","E","D","D+","C","C+","B","B+","A","A+","S"},0))),_xlfn.SWITCH(C156,"F",0,"E",1,"D",2,"D+",3,"C",4,"C+",5,"B",6,"B+",7,"A",8,"A+",9,"S",10)*0.1+_xlfn.SWITCH(D156,"F",0,"E",1,"D",2,"D+",3,"C",4,"C+",5,"B",6,"B+",7,"A",8,"A+",9,"S",10)*0.4+_xlfn.SWITCH(E156,"F",0,"E",1,"D",2,"D+",3,"C",4,"C+",5,"B",6,"B+",7,"A",8,"A+",9,"S",10)*0.3+_xlfn.SWITCH(F156,"F",0,"E",1,"D",2,"D+",3,"C",4,"C+",5,"B",6,"B+",7,"A",8,"A+",9,"S",10)*0.2,"")</f>
        <v>6.4</v>
      </c>
      <c r="I156" s="473" t="s">
        <v>5082</v>
      </c>
    </row>
    <row r="157" spans="1:14">
      <c r="A157" s="445" t="s">
        <v>907</v>
      </c>
      <c r="B157" s="474" t="s">
        <v>908</v>
      </c>
      <c r="C157" s="445" t="s">
        <v>1562</v>
      </c>
      <c r="D157" s="445"/>
      <c r="E157" s="445"/>
      <c r="F157" s="445"/>
      <c r="G157" s="445" t="str">
        <f>IF(AND(ISNUMBER(MATCH(D157,{"F","E","D","D+","C","C+","B","B+","A","A+","S"},0)),ISNUMBER(MATCH(E157,{"F","E","D","D+","C","C+","B","B+","A","A+","S"},0)),ISNUMBER(MATCH(F157,{"F","E","D","D+","C","C+","B","B+","A","A+","S"},0))),LOOKUP(AVERAGE(_xlfn.SWITCH(D157,"F",0,"E",10,"D",20,"D+",30,"C",40,"C+",50,"B",60,"B+",70,"A",80,"A+",90,"S",100),_xlfn.SWITCH(E157,"F",0,"E",10,"D",20,"D+",30,"C",40,"C+",50,"B",60,"B+",70,"A",80,"A+",90,"S",100),_xlfn.SWITCH(F157,"F",0,"E",10,"D",20,"D+",30,"C",40,"C+",50,"B",60,"B+",70,"A",80,"A+",90,"S",100)),{0,15,25,35,45,55,65,75,85,95},{"D","D","D+","C","C+","B","B+","A","A+","S"}),"?")</f>
        <v>?</v>
      </c>
      <c r="H157" s="447" t="str">
        <f>IF(AND(ISNUMBER(MATCH(C157,{"F","E","D","D+","C","C+","B","B+","A","A+","S"},0)),ISNUMBER(MATCH(D157,{"F","E","D","D+","C","C+","B","B+","A","A+","S"},0)),ISNUMBER(MATCH(E157,{"F","E","D","D+","C","C+","B","B+","A","A+","S"},0)),ISNUMBER(MATCH(F157,{"F","E","D","D+","C","C+","B","B+","A","A+","S"},0))),_xlfn.SWITCH(C157,"F",0,"E",1,"D",2,"D+",3,"C",4,"C+",5,"B",6,"B+",7,"A",8,"A+",9,"S",10)*0.1+_xlfn.SWITCH(D157,"F",0,"E",1,"D",2,"D+",3,"C",4,"C+",5,"B",6,"B+",7,"A",8,"A+",9,"S",10)*0.4+_xlfn.SWITCH(E157,"F",0,"E",1,"D",2,"D+",3,"C",4,"C+",5,"B",6,"B+",7,"A",8,"A+",9,"S",10)*0.3+_xlfn.SWITCH(F157,"F",0,"E",1,"D",2,"D+",3,"C",4,"C+",5,"B",6,"B+",7,"A",8,"A+",9,"S",10)*0.2,"")</f>
        <v/>
      </c>
      <c r="I157" s="473" t="s">
        <v>4969</v>
      </c>
    </row>
    <row r="158" spans="1:14">
      <c r="A158" s="445" t="s">
        <v>914</v>
      </c>
      <c r="B158" s="474" t="s">
        <v>915</v>
      </c>
      <c r="C158" s="445" t="s">
        <v>1562</v>
      </c>
      <c r="D158" s="445"/>
      <c r="E158" s="445"/>
      <c r="F158" s="445"/>
      <c r="G158" s="445" t="str">
        <f>IF(AND(ISNUMBER(MATCH(D158,{"F","E","D","D+","C","C+","B","B+","A","A+","S"},0)),ISNUMBER(MATCH(E158,{"F","E","D","D+","C","C+","B","B+","A","A+","S"},0)),ISNUMBER(MATCH(F158,{"F","E","D","D+","C","C+","B","B+","A","A+","S"},0))),LOOKUP(AVERAGE(_xlfn.SWITCH(D158,"F",0,"E",10,"D",20,"D+",30,"C",40,"C+",50,"B",60,"B+",70,"A",80,"A+",90,"S",100),_xlfn.SWITCH(E158,"F",0,"E",10,"D",20,"D+",30,"C",40,"C+",50,"B",60,"B+",70,"A",80,"A+",90,"S",100),_xlfn.SWITCH(F158,"F",0,"E",10,"D",20,"D+",30,"C",40,"C+",50,"B",60,"B+",70,"A",80,"A+",90,"S",100)),{0,15,25,35,45,55,65,75,85,95},{"D","D","D+","C","C+","B","B+","A","A+","S"}),"?")</f>
        <v>?</v>
      </c>
      <c r="H158" s="447" t="str">
        <f>IF(AND(ISNUMBER(MATCH(C158,{"F","E","D","D+","C","C+","B","B+","A","A+","S"},0)),ISNUMBER(MATCH(D158,{"F","E","D","D+","C","C+","B","B+","A","A+","S"},0)),ISNUMBER(MATCH(E158,{"F","E","D","D+","C","C+","B","B+","A","A+","S"},0)),ISNUMBER(MATCH(F158,{"F","E","D","D+","C","C+","B","B+","A","A+","S"},0))),_xlfn.SWITCH(C158,"F",0,"E",1,"D",2,"D+",3,"C",4,"C+",5,"B",6,"B+",7,"A",8,"A+",9,"S",10)*0.1+_xlfn.SWITCH(D158,"F",0,"E",1,"D",2,"D+",3,"C",4,"C+",5,"B",6,"B+",7,"A",8,"A+",9,"S",10)*0.4+_xlfn.SWITCH(E158,"F",0,"E",1,"D",2,"D+",3,"C",4,"C+",5,"B",6,"B+",7,"A",8,"A+",9,"S",10)*0.3+_xlfn.SWITCH(F158,"F",0,"E",1,"D",2,"D+",3,"C",4,"C+",5,"B",6,"B+",7,"A",8,"A+",9,"S",10)*0.2,"")</f>
        <v/>
      </c>
      <c r="I158" s="473"/>
    </row>
    <row r="159" spans="1:14">
      <c r="A159" s="445" t="s">
        <v>515</v>
      </c>
      <c r="B159" s="478" t="s">
        <v>516</v>
      </c>
      <c r="C159" s="445" t="s">
        <v>28</v>
      </c>
      <c r="D159" s="445" t="s">
        <v>28</v>
      </c>
      <c r="E159" s="445" t="s">
        <v>17</v>
      </c>
      <c r="F159" s="445" t="s">
        <v>18</v>
      </c>
      <c r="G159" s="445" t="str">
        <f>IF(AND(ISNUMBER(MATCH(D159,{"F","E","D","D+","C","C+","B","B+","A","A+","S"},0)),ISNUMBER(MATCH(E159,{"F","E","D","D+","C","C+","B","B+","A","A+","S"},0)),ISNUMBER(MATCH(F159,{"F","E","D","D+","C","C+","B","B+","A","A+","S"},0))),LOOKUP(AVERAGE(_xlfn.SWITCH(D159,"F",0,"E",10,"D",20,"D+",30,"C",40,"C+",50,"B",60,"B+",70,"A",80,"A+",90,"S",100),_xlfn.SWITCH(E159,"F",0,"E",10,"D",20,"D+",30,"C",40,"C+",50,"B",60,"B+",70,"A",80,"A+",90,"S",100),_xlfn.SWITCH(F159,"F",0,"E",10,"D",20,"D+",30,"C",40,"C+",50,"B",60,"B+",70,"A",80,"A+",90,"S",100)),{0,15,25,35,45,55,65,75,85,95},{"D","D","D+","C","C+","B","B+","A","A+","S"}),"?")</f>
        <v>A</v>
      </c>
      <c r="H159" s="447">
        <f>IF(AND(ISNUMBER(MATCH(C159,{"F","E","D","D+","C","C+","B","B+","A","A+","S"},0)),ISNUMBER(MATCH(D159,{"F","E","D","D+","C","C+","B","B+","A","A+","S"},0)),ISNUMBER(MATCH(E159,{"F","E","D","D+","C","C+","B","B+","A","A+","S"},0)),ISNUMBER(MATCH(F159,{"F","E","D","D+","C","C+","B","B+","A","A+","S"},0))),_xlfn.SWITCH(C159,"F",0,"E",1,"D",2,"D+",3,"C",4,"C+",5,"B",6,"B+",7,"A",8,"A+",9,"S",10)*0.1+_xlfn.SWITCH(D159,"F",0,"E",1,"D",2,"D+",3,"C",4,"C+",5,"B",6,"B+",7,"A",8,"A+",9,"S",10)*0.4+_xlfn.SWITCH(E159,"F",0,"E",1,"D",2,"D+",3,"C",4,"C+",5,"B",6,"B+",7,"A",8,"A+",9,"S",10)*0.3+_xlfn.SWITCH(F159,"F",0,"E",1,"D",2,"D+",3,"C",4,"C+",5,"B",6,"B+",7,"A",8,"A+",9,"S",10)*0.2,"")</f>
        <v>8.6999999999999993</v>
      </c>
      <c r="I159" s="473" t="s">
        <v>5083</v>
      </c>
    </row>
    <row r="160" spans="1:14">
      <c r="A160" s="445" t="s">
        <v>679</v>
      </c>
      <c r="B160" s="478" t="s">
        <v>680</v>
      </c>
      <c r="C160" s="445" t="s">
        <v>1567</v>
      </c>
      <c r="D160" s="445" t="s">
        <v>21</v>
      </c>
      <c r="E160" s="445" t="s">
        <v>21</v>
      </c>
      <c r="F160" s="445" t="s">
        <v>1567</v>
      </c>
      <c r="G160" s="445" t="str">
        <f>IF(AND(ISNUMBER(MATCH(D160,{"F","E","D","D+","C","C+","B","B+","A","A+","S"},0)),ISNUMBER(MATCH(E160,{"F","E","D","D+","C","C+","B","B+","A","A+","S"},0)),ISNUMBER(MATCH(F160,{"F","E","D","D+","C","C+","B","B+","A","A+","S"},0))),LOOKUP(AVERAGE(_xlfn.SWITCH(D160,"F",0,"E",10,"D",20,"D+",30,"C",40,"C+",50,"B",60,"B+",70,"A",80,"A+",90,"S",100),_xlfn.SWITCH(E160,"F",0,"E",10,"D",20,"D+",30,"C",40,"C+",50,"B",60,"B+",70,"A",80,"A+",90,"S",100),_xlfn.SWITCH(F160,"F",0,"E",10,"D",20,"D+",30,"C",40,"C+",50,"B",60,"B+",70,"A",80,"A+",90,"S",100)),{0,15,25,35,45,55,65,75,85,95},{"D","D","D+","C","C+","B","B+","A","A+","S"}),"?")</f>
        <v>A</v>
      </c>
      <c r="H160" s="447">
        <f>IF(AND(ISNUMBER(MATCH(C160,{"F","E","D","D+","C","C+","B","B+","A","A+","S"},0)),ISNUMBER(MATCH(D160,{"F","E","D","D+","C","C+","B","B+","A","A+","S"},0)),ISNUMBER(MATCH(E160,{"F","E","D","D+","C","C+","B","B+","A","A+","S"},0)),ISNUMBER(MATCH(F160,{"F","E","D","D+","C","C+","B","B+","A","A+","S"},0))),_xlfn.SWITCH(C160,"F",0,"E",1,"D",2,"D+",3,"C",4,"C+",5,"B",6,"B+",7,"A",8,"A+",9,"S",10)*0.1+_xlfn.SWITCH(D160,"F",0,"E",1,"D",2,"D+",3,"C",4,"C+",5,"B",6,"B+",7,"A",8,"A+",9,"S",10)*0.4+_xlfn.SWITCH(E160,"F",0,"E",1,"D",2,"D+",3,"C",4,"C+",5,"B",6,"B+",7,"A",8,"A+",9,"S",10)*0.3+_xlfn.SWITCH(F160,"F",0,"E",1,"D",2,"D+",3,"C",4,"C+",5,"B",6,"B+",7,"A",8,"A+",9,"S",10)*0.2,"")</f>
        <v>7.7000000000000011</v>
      </c>
      <c r="I160" s="473" t="s">
        <v>5084</v>
      </c>
    </row>
    <row r="161" spans="1:9">
      <c r="A161" s="445" t="s">
        <v>611</v>
      </c>
      <c r="B161" s="474" t="s">
        <v>612</v>
      </c>
      <c r="C161" s="445" t="s">
        <v>1562</v>
      </c>
      <c r="D161" s="445"/>
      <c r="E161" s="445"/>
      <c r="F161" s="445"/>
      <c r="G161" s="445" t="str">
        <f>IF(AND(ISNUMBER(MATCH(D161,{"F","E","D","D+","C","C+","B","B+","A","A+","S"},0)),ISNUMBER(MATCH(E161,{"F","E","D","D+","C","C+","B","B+","A","A+","S"},0)),ISNUMBER(MATCH(F161,{"F","E","D","D+","C","C+","B","B+","A","A+","S"},0))),LOOKUP(AVERAGE(_xlfn.SWITCH(D161,"F",0,"E",10,"D",20,"D+",30,"C",40,"C+",50,"B",60,"B+",70,"A",80,"A+",90,"S",100),_xlfn.SWITCH(E161,"F",0,"E",10,"D",20,"D+",30,"C",40,"C+",50,"B",60,"B+",70,"A",80,"A+",90,"S",100),_xlfn.SWITCH(F161,"F",0,"E",10,"D",20,"D+",30,"C",40,"C+",50,"B",60,"B+",70,"A",80,"A+",90,"S",100)),{0,15,25,35,45,55,65,75,85,95},{"D","D","D+","C","C+","B","B+","A","A+","S"}),"?")</f>
        <v>?</v>
      </c>
      <c r="H161" s="447" t="str">
        <f>IF(AND(ISNUMBER(MATCH(C161,{"F","E","D","D+","C","C+","B","B+","A","A+","S"},0)),ISNUMBER(MATCH(D161,{"F","E","D","D+","C","C+","B","B+","A","A+","S"},0)),ISNUMBER(MATCH(E161,{"F","E","D","D+","C","C+","B","B+","A","A+","S"},0)),ISNUMBER(MATCH(F161,{"F","E","D","D+","C","C+","B","B+","A","A+","S"},0))),_xlfn.SWITCH(C161,"F",0,"E",1,"D",2,"D+",3,"C",4,"C+",5,"B",6,"B+",7,"A",8,"A+",9,"S",10)*0.1+_xlfn.SWITCH(D161,"F",0,"E",1,"D",2,"D+",3,"C",4,"C+",5,"B",6,"B+",7,"A",8,"A+",9,"S",10)*0.4+_xlfn.SWITCH(E161,"F",0,"E",1,"D",2,"D+",3,"C",4,"C+",5,"B",6,"B+",7,"A",8,"A+",9,"S",10)*0.3+_xlfn.SWITCH(F161,"F",0,"E",1,"D",2,"D+",3,"C",4,"C+",5,"B",6,"B+",7,"A",8,"A+",9,"S",10)*0.2,"")</f>
        <v/>
      </c>
      <c r="I161" s="473"/>
    </row>
    <row r="162" spans="1:9">
      <c r="A162" s="445" t="s">
        <v>713</v>
      </c>
      <c r="B162" s="478" t="s">
        <v>714</v>
      </c>
      <c r="C162" s="445" t="s">
        <v>1567</v>
      </c>
      <c r="D162" s="445" t="s">
        <v>1567</v>
      </c>
      <c r="E162" s="445" t="s">
        <v>18</v>
      </c>
      <c r="F162" s="445" t="s">
        <v>1567</v>
      </c>
      <c r="G162" s="445" t="str">
        <f>IF(AND(ISNUMBER(MATCH(D162,{"F","E","D","D+","C","C+","B","B+","A","A+","S"},0)),ISNUMBER(MATCH(E162,{"F","E","D","D+","C","C+","B","B+","A","A+","S"},0)),ISNUMBER(MATCH(F162,{"F","E","D","D+","C","C+","B","B+","A","A+","S"},0))),LOOKUP(AVERAGE(_xlfn.SWITCH(D162,"F",0,"E",10,"D",20,"D+",30,"C",40,"C+",50,"B",60,"B+",70,"A",80,"A+",90,"S",100),_xlfn.SWITCH(E162,"F",0,"E",10,"D",20,"D+",30,"C",40,"C+",50,"B",60,"B+",70,"A",80,"A+",90,"S",100),_xlfn.SWITCH(F162,"F",0,"E",10,"D",20,"D+",30,"C",40,"C+",50,"B",60,"B+",70,"A",80,"A+",90,"S",100)),{0,15,25,35,45,55,65,75,85,95},{"D","D","D+","C","C+","B","B+","A","A+","S"}),"?")</f>
        <v>B+</v>
      </c>
      <c r="H162" s="447">
        <f>IF(AND(ISNUMBER(MATCH(C162,{"F","E","D","D+","C","C+","B","B+","A","A+","S"},0)),ISNUMBER(MATCH(D162,{"F","E","D","D+","C","C+","B","B+","A","A+","S"},0)),ISNUMBER(MATCH(E162,{"F","E","D","D+","C","C+","B","B+","A","A+","S"},0)),ISNUMBER(MATCH(F162,{"F","E","D","D+","C","C+","B","B+","A","A+","S"},0))),_xlfn.SWITCH(C162,"F",0,"E",1,"D",2,"D+",3,"C",4,"C+",5,"B",6,"B+",7,"A",8,"A+",9,"S",10)*0.1+_xlfn.SWITCH(D162,"F",0,"E",1,"D",2,"D+",3,"C",4,"C+",5,"B",6,"B+",7,"A",8,"A+",9,"S",10)*0.4+_xlfn.SWITCH(E162,"F",0,"E",1,"D",2,"D+",3,"C",4,"C+",5,"B",6,"B+",7,"A",8,"A+",9,"S",10)*0.3+_xlfn.SWITCH(F162,"F",0,"E",1,"D",2,"D+",3,"C",4,"C+",5,"B",6,"B+",7,"A",8,"A+",9,"S",10)*0.2,"")</f>
        <v>6.7000000000000011</v>
      </c>
      <c r="I162" s="473" t="s">
        <v>5085</v>
      </c>
    </row>
    <row r="163" spans="1:9">
      <c r="A163" s="445" t="s">
        <v>938</v>
      </c>
      <c r="B163" s="474" t="s">
        <v>939</v>
      </c>
      <c r="C163" s="445" t="s">
        <v>1562</v>
      </c>
      <c r="D163" s="445"/>
      <c r="E163" s="445"/>
      <c r="F163" s="445"/>
      <c r="G163" s="445" t="str">
        <f>IF(AND(ISNUMBER(MATCH(D163,{"F","E","D","D+","C","C+","B","B+","A","A+","S"},0)),ISNUMBER(MATCH(E163,{"F","E","D","D+","C","C+","B","B+","A","A+","S"},0)),ISNUMBER(MATCH(F163,{"F","E","D","D+","C","C+","B","B+","A","A+","S"},0))),LOOKUP(AVERAGE(_xlfn.SWITCH(D163,"F",0,"E",10,"D",20,"D+",30,"C",40,"C+",50,"B",60,"B+",70,"A",80,"A+",90,"S",100),_xlfn.SWITCH(E163,"F",0,"E",10,"D",20,"D+",30,"C",40,"C+",50,"B",60,"B+",70,"A",80,"A+",90,"S",100),_xlfn.SWITCH(F163,"F",0,"E",10,"D",20,"D+",30,"C",40,"C+",50,"B",60,"B+",70,"A",80,"A+",90,"S",100)),{0,15,25,35,45,55,65,75,85,95},{"D","D","D+","C","C+","B","B+","A","A+","S"}),"?")</f>
        <v>?</v>
      </c>
      <c r="H163" s="447" t="str">
        <f>IF(AND(ISNUMBER(MATCH(C163,{"F","E","D","D+","C","C+","B","B+","A","A+","S"},0)),ISNUMBER(MATCH(D163,{"F","E","D","D+","C","C+","B","B+","A","A+","S"},0)),ISNUMBER(MATCH(E163,{"F","E","D","D+","C","C+","B","B+","A","A+","S"},0)),ISNUMBER(MATCH(F163,{"F","E","D","D+","C","C+","B","B+","A","A+","S"},0))),_xlfn.SWITCH(C163,"F",0,"E",1,"D",2,"D+",3,"C",4,"C+",5,"B",6,"B+",7,"A",8,"A+",9,"S",10)*0.1+_xlfn.SWITCH(D163,"F",0,"E",1,"D",2,"D+",3,"C",4,"C+",5,"B",6,"B+",7,"A",8,"A+",9,"S",10)*0.4+_xlfn.SWITCH(E163,"F",0,"E",1,"D",2,"D+",3,"C",4,"C+",5,"B",6,"B+",7,"A",8,"A+",9,"S",10)*0.3+_xlfn.SWITCH(F163,"F",0,"E",1,"D",2,"D+",3,"C",4,"C+",5,"B",6,"B+",7,"A",8,"A+",9,"S",10)*0.2,"")</f>
        <v/>
      </c>
      <c r="I163" s="473"/>
    </row>
    <row r="164" spans="1:9">
      <c r="A164" s="445" t="s">
        <v>945</v>
      </c>
      <c r="B164" s="474" t="s">
        <v>946</v>
      </c>
      <c r="C164" s="445" t="s">
        <v>1562</v>
      </c>
      <c r="D164" s="445"/>
      <c r="E164" s="445"/>
      <c r="F164" s="445"/>
      <c r="G164" s="445" t="str">
        <f>IF(AND(ISNUMBER(MATCH(D164,{"F","E","D","D+","C","C+","B","B+","A","A+","S"},0)),ISNUMBER(MATCH(E164,{"F","E","D","D+","C","C+","B","B+","A","A+","S"},0)),ISNUMBER(MATCH(F164,{"F","E","D","D+","C","C+","B","B+","A","A+","S"},0))),LOOKUP(AVERAGE(_xlfn.SWITCH(D164,"F",0,"E",10,"D",20,"D+",30,"C",40,"C+",50,"B",60,"B+",70,"A",80,"A+",90,"S",100),_xlfn.SWITCH(E164,"F",0,"E",10,"D",20,"D+",30,"C",40,"C+",50,"B",60,"B+",70,"A",80,"A+",90,"S",100),_xlfn.SWITCH(F164,"F",0,"E",10,"D",20,"D+",30,"C",40,"C+",50,"B",60,"B+",70,"A",80,"A+",90,"S",100)),{0,15,25,35,45,55,65,75,85,95},{"D","D","D+","C","C+","B","B+","A","A+","S"}),"?")</f>
        <v>?</v>
      </c>
      <c r="H164" s="447" t="str">
        <f>IF(AND(ISNUMBER(MATCH(C164,{"F","E","D","D+","C","C+","B","B+","A","A+","S"},0)),ISNUMBER(MATCH(D164,{"F","E","D","D+","C","C+","B","B+","A","A+","S"},0)),ISNUMBER(MATCH(E164,{"F","E","D","D+","C","C+","B","B+","A","A+","S"},0)),ISNUMBER(MATCH(F164,{"F","E","D","D+","C","C+","B","B+","A","A+","S"},0))),_xlfn.SWITCH(C164,"F",0,"E",1,"D",2,"D+",3,"C",4,"C+",5,"B",6,"B+",7,"A",8,"A+",9,"S",10)*0.1+_xlfn.SWITCH(D164,"F",0,"E",1,"D",2,"D+",3,"C",4,"C+",5,"B",6,"B+",7,"A",8,"A+",9,"S",10)*0.4+_xlfn.SWITCH(E164,"F",0,"E",1,"D",2,"D+",3,"C",4,"C+",5,"B",6,"B+",7,"A",8,"A+",9,"S",10)*0.3+_xlfn.SWITCH(F164,"F",0,"E",1,"D",2,"D+",3,"C",4,"C+",5,"B",6,"B+",7,"A",8,"A+",9,"S",10)*0.2,"")</f>
        <v/>
      </c>
      <c r="I164" s="473" t="s">
        <v>5086</v>
      </c>
    </row>
    <row r="165" spans="1:9">
      <c r="A165" s="445" t="s">
        <v>952</v>
      </c>
      <c r="B165" s="474" t="s">
        <v>953</v>
      </c>
      <c r="C165" s="445" t="s">
        <v>1562</v>
      </c>
      <c r="D165" s="445"/>
      <c r="E165" s="445"/>
      <c r="F165" s="445"/>
      <c r="G165" s="445" t="str">
        <f>IF(AND(ISNUMBER(MATCH(D165,{"F","E","D","D+","C","C+","B","B+","A","A+","S"},0)),ISNUMBER(MATCH(E165,{"F","E","D","D+","C","C+","B","B+","A","A+","S"},0)),ISNUMBER(MATCH(F165,{"F","E","D","D+","C","C+","B","B+","A","A+","S"},0))),LOOKUP(AVERAGE(_xlfn.SWITCH(D165,"F",0,"E",10,"D",20,"D+",30,"C",40,"C+",50,"B",60,"B+",70,"A",80,"A+",90,"S",100),_xlfn.SWITCH(E165,"F",0,"E",10,"D",20,"D+",30,"C",40,"C+",50,"B",60,"B+",70,"A",80,"A+",90,"S",100),_xlfn.SWITCH(F165,"F",0,"E",10,"D",20,"D+",30,"C",40,"C+",50,"B",60,"B+",70,"A",80,"A+",90,"S",100)),{0,15,25,35,45,55,65,75,85,95},{"D","D","D+","C","C+","B","B+","A","A+","S"}),"?")</f>
        <v>?</v>
      </c>
      <c r="H165" s="447" t="str">
        <f>IF(AND(ISNUMBER(MATCH(C165,{"F","E","D","D+","C","C+","B","B+","A","A+","S"},0)),ISNUMBER(MATCH(D165,{"F","E","D","D+","C","C+","B","B+","A","A+","S"},0)),ISNUMBER(MATCH(E165,{"F","E","D","D+","C","C+","B","B+","A","A+","S"},0)),ISNUMBER(MATCH(F165,{"F","E","D","D+","C","C+","B","B+","A","A+","S"},0))),_xlfn.SWITCH(C165,"F",0,"E",1,"D",2,"D+",3,"C",4,"C+",5,"B",6,"B+",7,"A",8,"A+",9,"S",10)*0.1+_xlfn.SWITCH(D165,"F",0,"E",1,"D",2,"D+",3,"C",4,"C+",5,"B",6,"B+",7,"A",8,"A+",9,"S",10)*0.4+_xlfn.SWITCH(E165,"F",0,"E",1,"D",2,"D+",3,"C",4,"C+",5,"B",6,"B+",7,"A",8,"A+",9,"S",10)*0.3+_xlfn.SWITCH(F165,"F",0,"E",1,"D",2,"D+",3,"C",4,"C+",5,"B",6,"B+",7,"A",8,"A+",9,"S",10)*0.2,"")</f>
        <v/>
      </c>
      <c r="I165" s="473"/>
    </row>
    <row r="166" spans="1:9">
      <c r="A166" s="445" t="s">
        <v>959</v>
      </c>
      <c r="B166" s="474" t="s">
        <v>960</v>
      </c>
      <c r="C166" s="445" t="s">
        <v>18</v>
      </c>
      <c r="D166" s="445" t="s">
        <v>18</v>
      </c>
      <c r="E166" s="445" t="s">
        <v>1562</v>
      </c>
      <c r="F166" s="445" t="s">
        <v>18</v>
      </c>
      <c r="G166" s="445" t="str">
        <f>IF(AND(ISNUMBER(MATCH(D166,{"F","E","D","D+","C","C+","B","B+","A","A+","S"},0)),ISNUMBER(MATCH(E166,{"F","E","D","D+","C","C+","B","B+","A","A+","S"},0)),ISNUMBER(MATCH(F166,{"F","E","D","D+","C","C+","B","B+","A","A+","S"},0))),LOOKUP(AVERAGE(_xlfn.SWITCH(D166,"F",0,"E",10,"D",20,"D+",30,"C",40,"C+",50,"B",60,"B+",70,"A",80,"A+",90,"S",100),_xlfn.SWITCH(E166,"F",0,"E",10,"D",20,"D+",30,"C",40,"C+",50,"B",60,"B+",70,"A",80,"A+",90,"S",100),_xlfn.SWITCH(F166,"F",0,"E",10,"D",20,"D+",30,"C",40,"C+",50,"B",60,"B+",70,"A",80,"A+",90,"S",100)),{0,15,25,35,45,55,65,75,85,95},{"D","D","D+","C","C+","B","B+","A","A+","S"}),"?")</f>
        <v>B</v>
      </c>
      <c r="H166" s="447">
        <f>IF(AND(ISNUMBER(MATCH(C166,{"F","E","D","D+","C","C+","B","B+","A","A+","S"},0)),ISNUMBER(MATCH(D166,{"F","E","D","D+","C","C+","B","B+","A","A+","S"},0)),ISNUMBER(MATCH(E166,{"F","E","D","D+","C","C+","B","B+","A","A+","S"},0)),ISNUMBER(MATCH(F166,{"F","E","D","D+","C","C+","B","B+","A","A+","S"},0))),_xlfn.SWITCH(C166,"F",0,"E",1,"D",2,"D+",3,"C",4,"C+",5,"B",6,"B+",7,"A",8,"A+",9,"S",10)*0.1+_xlfn.SWITCH(D166,"F",0,"E",1,"D",2,"D+",3,"C",4,"C+",5,"B",6,"B+",7,"A",8,"A+",9,"S",10)*0.4+_xlfn.SWITCH(E166,"F",0,"E",1,"D",2,"D+",3,"C",4,"C+",5,"B",6,"B+",7,"A",8,"A+",9,"S",10)*0.3+_xlfn.SWITCH(F166,"F",0,"E",1,"D",2,"D+",3,"C",4,"C+",5,"B",6,"B+",7,"A",8,"A+",9,"S",10)*0.2,"")</f>
        <v>5.7</v>
      </c>
      <c r="I166" s="473" t="s">
        <v>5087</v>
      </c>
    </row>
    <row r="167" spans="1:9">
      <c r="A167" s="445" t="s">
        <v>966</v>
      </c>
      <c r="B167" s="474" t="s">
        <v>967</v>
      </c>
      <c r="C167" s="445" t="s">
        <v>1562</v>
      </c>
      <c r="D167" s="445"/>
      <c r="E167" s="445"/>
      <c r="F167" s="445"/>
      <c r="G167" s="445" t="str">
        <f>IF(AND(ISNUMBER(MATCH(D167,{"F","E","D","D+","C","C+","B","B+","A","A+","S"},0)),ISNUMBER(MATCH(E167,{"F","E","D","D+","C","C+","B","B+","A","A+","S"},0)),ISNUMBER(MATCH(F167,{"F","E","D","D+","C","C+","B","B+","A","A+","S"},0))),LOOKUP(AVERAGE(_xlfn.SWITCH(D167,"F",0,"E",10,"D",20,"D+",30,"C",40,"C+",50,"B",60,"B+",70,"A",80,"A+",90,"S",100),_xlfn.SWITCH(E167,"F",0,"E",10,"D",20,"D+",30,"C",40,"C+",50,"B",60,"B+",70,"A",80,"A+",90,"S",100),_xlfn.SWITCH(F167,"F",0,"E",10,"D",20,"D+",30,"C",40,"C+",50,"B",60,"B+",70,"A",80,"A+",90,"S",100)),{0,15,25,35,45,55,65,75,85,95},{"D","D","D+","C","C+","B","B+","A","A+","S"}),"?")</f>
        <v>?</v>
      </c>
      <c r="H167" s="447" t="str">
        <f>IF(AND(ISNUMBER(MATCH(C167,{"F","E","D","D+","C","C+","B","B+","A","A+","S"},0)),ISNUMBER(MATCH(D167,{"F","E","D","D+","C","C+","B","B+","A","A+","S"},0)),ISNUMBER(MATCH(E167,{"F","E","D","D+","C","C+","B","B+","A","A+","S"},0)),ISNUMBER(MATCH(F167,{"F","E","D","D+","C","C+","B","B+","A","A+","S"},0))),_xlfn.SWITCH(C167,"F",0,"E",1,"D",2,"D+",3,"C",4,"C+",5,"B",6,"B+",7,"A",8,"A+",9,"S",10)*0.1+_xlfn.SWITCH(D167,"F",0,"E",1,"D",2,"D+",3,"C",4,"C+",5,"B",6,"B+",7,"A",8,"A+",9,"S",10)*0.4+_xlfn.SWITCH(E167,"F",0,"E",1,"D",2,"D+",3,"C",4,"C+",5,"B",6,"B+",7,"A",8,"A+",9,"S",10)*0.3+_xlfn.SWITCH(F167,"F",0,"E",1,"D",2,"D+",3,"C",4,"C+",5,"B",6,"B+",7,"A",8,"A+",9,"S",10)*0.2,"")</f>
        <v/>
      </c>
      <c r="I167" s="473" t="s">
        <v>5088</v>
      </c>
    </row>
    <row r="168" spans="1:9" ht="34">
      <c r="A168" s="445" t="s">
        <v>649</v>
      </c>
      <c r="B168" s="474" t="s">
        <v>650</v>
      </c>
      <c r="C168" s="445" t="s">
        <v>18</v>
      </c>
      <c r="D168" s="445" t="s">
        <v>18</v>
      </c>
      <c r="E168" s="445" t="s">
        <v>1562</v>
      </c>
      <c r="F168" s="445" t="s">
        <v>1562</v>
      </c>
      <c r="G168" s="445" t="str">
        <f>IF(AND(ISNUMBER(MATCH(D168,{"F","E","D","D+","C","C+","B","B+","A","A+","S"},0)),ISNUMBER(MATCH(E168,{"F","E","D","D+","C","C+","B","B+","A","A+","S"},0)),ISNUMBER(MATCH(F168,{"F","E","D","D+","C","C+","B","B+","A","A+","S"},0))),LOOKUP(AVERAGE(_xlfn.SWITCH(D168,"F",0,"E",10,"D",20,"D+",30,"C",40,"C+",50,"B",60,"B+",70,"A",80,"A+",90,"S",100),_xlfn.SWITCH(E168,"F",0,"E",10,"D",20,"D+",30,"C",40,"C+",50,"B",60,"B+",70,"A",80,"A+",90,"S",100),_xlfn.SWITCH(F168,"F",0,"E",10,"D",20,"D+",30,"C",40,"C+",50,"B",60,"B+",70,"A",80,"A+",90,"S",100)),{0,15,25,35,45,55,65,75,85,95},{"D","D","D+","C","C+","B","B+","A","A+","S"}),"?")</f>
        <v>C+</v>
      </c>
      <c r="H168" s="447">
        <f>IF(AND(ISNUMBER(MATCH(C168,{"F","E","D","D+","C","C+","B","B+","A","A+","S"},0)),ISNUMBER(MATCH(D168,{"F","E","D","D+","C","C+","B","B+","A","A+","S"},0)),ISNUMBER(MATCH(E168,{"F","E","D","D+","C","C+","B","B+","A","A+","S"},0)),ISNUMBER(MATCH(F168,{"F","E","D","D+","C","C+","B","B+","A","A+","S"},0))),_xlfn.SWITCH(C168,"F",0,"E",1,"D",2,"D+",3,"C",4,"C+",5,"B",6,"B+",7,"A",8,"A+",9,"S",10)*0.1+_xlfn.SWITCH(D168,"F",0,"E",1,"D",2,"D+",3,"C",4,"C+",5,"B",6,"B+",7,"A",8,"A+",9,"S",10)*0.4+_xlfn.SWITCH(E168,"F",0,"E",1,"D",2,"D+",3,"C",4,"C+",5,"B",6,"B+",7,"A",8,"A+",9,"S",10)*0.3+_xlfn.SWITCH(F168,"F",0,"E",1,"D",2,"D+",3,"C",4,"C+",5,"B",6,"B+",7,"A",8,"A+",9,"S",10)*0.2,"")</f>
        <v>5.5</v>
      </c>
      <c r="I168" s="475" t="s">
        <v>5089</v>
      </c>
    </row>
    <row r="169" spans="1:9">
      <c r="A169" s="445" t="s">
        <v>631</v>
      </c>
      <c r="B169" s="478" t="s">
        <v>632</v>
      </c>
      <c r="C169" s="445" t="s">
        <v>21</v>
      </c>
      <c r="D169" s="445" t="s">
        <v>18</v>
      </c>
      <c r="E169" s="445" t="s">
        <v>21</v>
      </c>
      <c r="F169" s="445" t="s">
        <v>21</v>
      </c>
      <c r="G169" s="445" t="str">
        <f>IF(AND(ISNUMBER(MATCH(D169,{"F","E","D","D+","C","C+","B","B+","A","A+","S"},0)),ISNUMBER(MATCH(E169,{"F","E","D","D+","C","C+","B","B+","A","A+","S"},0)),ISNUMBER(MATCH(F169,{"F","E","D","D+","C","C+","B","B+","A","A+","S"},0))),LOOKUP(AVERAGE(_xlfn.SWITCH(D169,"F",0,"E",10,"D",20,"D+",30,"C",40,"C+",50,"B",60,"B+",70,"A",80,"A+",90,"S",100),_xlfn.SWITCH(E169,"F",0,"E",10,"D",20,"D+",30,"C",40,"C+",50,"B",60,"B+",70,"A",80,"A+",90,"S",100),_xlfn.SWITCH(F169,"F",0,"E",10,"D",20,"D+",30,"C",40,"C+",50,"B",60,"B+",70,"A",80,"A+",90,"S",100)),{0,15,25,35,45,55,65,75,85,95},{"D","D","D+","C","C+","B","B+","A","A+","S"}),"?")</f>
        <v>B+</v>
      </c>
      <c r="H169" s="447">
        <f>IF(AND(ISNUMBER(MATCH(C169,{"F","E","D","D+","C","C+","B","B+","A","A+","S"},0)),ISNUMBER(MATCH(D169,{"F","E","D","D+","C","C+","B","B+","A","A+","S"},0)),ISNUMBER(MATCH(E169,{"F","E","D","D+","C","C+","B","B+","A","A+","S"},0)),ISNUMBER(MATCH(F169,{"F","E","D","D+","C","C+","B","B+","A","A+","S"},0))),_xlfn.SWITCH(C169,"F",0,"E",1,"D",2,"D+",3,"C",4,"C+",5,"B",6,"B+",7,"A",8,"A+",9,"S",10)*0.1+_xlfn.SWITCH(D169,"F",0,"E",1,"D",2,"D+",3,"C",4,"C+",5,"B",6,"B+",7,"A",8,"A+",9,"S",10)*0.4+_xlfn.SWITCH(E169,"F",0,"E",1,"D",2,"D+",3,"C",4,"C+",5,"B",6,"B+",7,"A",8,"A+",9,"S",10)*0.3+_xlfn.SWITCH(F169,"F",0,"E",1,"D",2,"D+",3,"C",4,"C+",5,"B",6,"B+",7,"A",8,"A+",9,"S",10)*0.2,"")</f>
        <v>7.1999999999999993</v>
      </c>
      <c r="I169" s="473" t="s">
        <v>5090</v>
      </c>
    </row>
    <row r="170" spans="1:9">
      <c r="A170" s="445" t="s">
        <v>982</v>
      </c>
      <c r="B170" s="474" t="s">
        <v>983</v>
      </c>
      <c r="C170" s="445" t="s">
        <v>18</v>
      </c>
      <c r="D170" s="445" t="s">
        <v>18</v>
      </c>
      <c r="E170" s="445" t="s">
        <v>18</v>
      </c>
      <c r="F170" s="445" t="s">
        <v>1567</v>
      </c>
      <c r="G170" s="445" t="str">
        <f>IF(AND(ISNUMBER(MATCH(D170,{"F","E","D","D+","C","C+","B","B+","A","A+","S"},0)),ISNUMBER(MATCH(E170,{"F","E","D","D+","C","C+","B","B+","A","A+","S"},0)),ISNUMBER(MATCH(F170,{"F","E","D","D+","C","C+","B","B+","A","A+","S"},0))),LOOKUP(AVERAGE(_xlfn.SWITCH(D170,"F",0,"E",10,"D",20,"D+",30,"C",40,"C+",50,"B",60,"B+",70,"A",80,"A+",90,"S",100),_xlfn.SWITCH(E170,"F",0,"E",10,"D",20,"D+",30,"C",40,"C+",50,"B",60,"B+",70,"A",80,"A+",90,"S",100),_xlfn.SWITCH(F170,"F",0,"E",10,"D",20,"D+",30,"C",40,"C+",50,"B",60,"B+",70,"A",80,"A+",90,"S",100)),{0,15,25,35,45,55,65,75,85,95},{"D","D","D+","C","C+","B","B+","A","A+","S"}),"?")</f>
        <v>B</v>
      </c>
      <c r="H170" s="447">
        <f>IF(AND(ISNUMBER(MATCH(C170,{"F","E","D","D+","C","C+","B","B+","A","A+","S"},0)),ISNUMBER(MATCH(D170,{"F","E","D","D+","C","C+","B","B+","A","A+","S"},0)),ISNUMBER(MATCH(E170,{"F","E","D","D+","C","C+","B","B+","A","A+","S"},0)),ISNUMBER(MATCH(F170,{"F","E","D","D+","C","C+","B","B+","A","A+","S"},0))),_xlfn.SWITCH(C170,"F",0,"E",1,"D",2,"D+",3,"C",4,"C+",5,"B",6,"B+",7,"A",8,"A+",9,"S",10)*0.1+_xlfn.SWITCH(D170,"F",0,"E",1,"D",2,"D+",3,"C",4,"C+",5,"B",6,"B+",7,"A",8,"A+",9,"S",10)*0.4+_xlfn.SWITCH(E170,"F",0,"E",1,"D",2,"D+",3,"C",4,"C+",5,"B",6,"B+",7,"A",8,"A+",9,"S",10)*0.3+_xlfn.SWITCH(F170,"F",0,"E",1,"D",2,"D+",3,"C",4,"C+",5,"B",6,"B+",7,"A",8,"A+",9,"S",10)*0.2,"")</f>
        <v>6.2000000000000011</v>
      </c>
      <c r="I170" s="473" t="s">
        <v>5091</v>
      </c>
    </row>
    <row r="171" spans="1:9" ht="34">
      <c r="A171" s="445" t="s">
        <v>765</v>
      </c>
      <c r="B171" s="478" t="s">
        <v>766</v>
      </c>
      <c r="C171" s="445" t="s">
        <v>28</v>
      </c>
      <c r="D171" s="445" t="s">
        <v>28</v>
      </c>
      <c r="E171" s="445" t="s">
        <v>17</v>
      </c>
      <c r="F171" s="445" t="s">
        <v>1567</v>
      </c>
      <c r="G171" s="445" t="str">
        <f>IF(AND(ISNUMBER(MATCH(D171,{"F","E","D","D+","C","C+","B","B+","A","A+","S"},0)),ISNUMBER(MATCH(E171,{"F","E","D","D+","C","C+","B","B+","A","A+","S"},0)),ISNUMBER(MATCH(F171,{"F","E","D","D+","C","C+","B","B+","A","A+","S"},0))),LOOKUP(AVERAGE(_xlfn.SWITCH(D171,"F",0,"E",10,"D",20,"D+",30,"C",40,"C+",50,"B",60,"B+",70,"A",80,"A+",90,"S",100),_xlfn.SWITCH(E171,"F",0,"E",10,"D",20,"D+",30,"C",40,"C+",50,"B",60,"B+",70,"A",80,"A+",90,"S",100),_xlfn.SWITCH(F171,"F",0,"E",10,"D",20,"D+",30,"C",40,"C+",50,"B",60,"B+",70,"A",80,"A+",90,"S",100)),{0,15,25,35,45,55,65,75,85,95},{"D","D","D+","C","C+","B","B+","A","A+","S"}),"?")</f>
        <v>A+</v>
      </c>
      <c r="H171" s="447">
        <f>IF(AND(ISNUMBER(MATCH(C171,{"F","E","D","D+","C","C+","B","B+","A","A+","S"},0)),ISNUMBER(MATCH(D171,{"F","E","D","D+","C","C+","B","B+","A","A+","S"},0)),ISNUMBER(MATCH(E171,{"F","E","D","D+","C","C+","B","B+","A","A+","S"},0)),ISNUMBER(MATCH(F171,{"F","E","D","D+","C","C+","B","B+","A","A+","S"},0))),_xlfn.SWITCH(C171,"F",0,"E",1,"D",2,"D+",3,"C",4,"C+",5,"B",6,"B+",7,"A",8,"A+",9,"S",10)*0.1+_xlfn.SWITCH(D171,"F",0,"E",1,"D",2,"D+",3,"C",4,"C+",5,"B",6,"B+",7,"A",8,"A+",9,"S",10)*0.4+_xlfn.SWITCH(E171,"F",0,"E",1,"D",2,"D+",3,"C",4,"C+",5,"B",6,"B+",7,"A",8,"A+",9,"S",10)*0.3+_xlfn.SWITCH(F171,"F",0,"E",1,"D",2,"D+",3,"C",4,"C+",5,"B",6,"B+",7,"A",8,"A+",9,"S",10)*0.2,"")</f>
        <v>8.9</v>
      </c>
      <c r="I171" s="475" t="s">
        <v>5092</v>
      </c>
    </row>
    <row r="172" spans="1:9">
      <c r="A172" s="445" t="s">
        <v>991</v>
      </c>
      <c r="B172" s="474" t="s">
        <v>992</v>
      </c>
      <c r="C172" s="445" t="s">
        <v>1574</v>
      </c>
      <c r="D172" s="445"/>
      <c r="E172" s="445"/>
      <c r="F172" s="445"/>
      <c r="G172" s="445" t="str">
        <f>IF(AND(ISNUMBER(MATCH(D172,{"F","E","D","D+","C","C+","B","B+","A","A+","S"},0)),ISNUMBER(MATCH(E172,{"F","E","D","D+","C","C+","B","B+","A","A+","S"},0)),ISNUMBER(MATCH(F172,{"F","E","D","D+","C","C+","B","B+","A","A+","S"},0))),LOOKUP(AVERAGE(_xlfn.SWITCH(D172,"F",0,"E",10,"D",20,"D+",30,"C",40,"C+",50,"B",60,"B+",70,"A",80,"A+",90,"S",100),_xlfn.SWITCH(E172,"F",0,"E",10,"D",20,"D+",30,"C",40,"C+",50,"B",60,"B+",70,"A",80,"A+",90,"S",100),_xlfn.SWITCH(F172,"F",0,"E",10,"D",20,"D+",30,"C",40,"C+",50,"B",60,"B+",70,"A",80,"A+",90,"S",100)),{0,15,25,35,45,55,65,75,85,95},{"D","D","D+","C","C+","B","B+","A","A+","S"}),"?")</f>
        <v>?</v>
      </c>
      <c r="H172" s="447" t="str">
        <f>IF(AND(ISNUMBER(MATCH(C172,{"F","E","D","D+","C","C+","B","B+","A","A+","S"},0)),ISNUMBER(MATCH(D172,{"F","E","D","D+","C","C+","B","B+","A","A+","S"},0)),ISNUMBER(MATCH(E172,{"F","E","D","D+","C","C+","B","B+","A","A+","S"},0)),ISNUMBER(MATCH(F172,{"F","E","D","D+","C","C+","B","B+","A","A+","S"},0))),_xlfn.SWITCH(C172,"F",0,"E",1,"D",2,"D+",3,"C",4,"C+",5,"B",6,"B+",7,"A",8,"A+",9,"S",10)*0.1+_xlfn.SWITCH(D172,"F",0,"E",1,"D",2,"D+",3,"C",4,"C+",5,"B",6,"B+",7,"A",8,"A+",9,"S",10)*0.4+_xlfn.SWITCH(E172,"F",0,"E",1,"D",2,"D+",3,"C",4,"C+",5,"B",6,"B+",7,"A",8,"A+",9,"S",10)*0.3+_xlfn.SWITCH(F172,"F",0,"E",1,"D",2,"D+",3,"C",4,"C+",5,"B",6,"B+",7,"A",8,"A+",9,"S",10)*0.2,"")</f>
        <v/>
      </c>
      <c r="I172" s="473"/>
    </row>
    <row r="173" spans="1:9">
      <c r="A173" s="445" t="s">
        <v>997</v>
      </c>
      <c r="B173" s="474" t="s">
        <v>998</v>
      </c>
      <c r="C173" s="445" t="s">
        <v>1562</v>
      </c>
      <c r="D173" s="445"/>
      <c r="E173" s="445"/>
      <c r="F173" s="445"/>
      <c r="G173" s="445" t="str">
        <f>IF(AND(ISNUMBER(MATCH(D173,{"F","E","D","D+","C","C+","B","B+","A","A+","S"},0)),ISNUMBER(MATCH(E173,{"F","E","D","D+","C","C+","B","B+","A","A+","S"},0)),ISNUMBER(MATCH(F173,{"F","E","D","D+","C","C+","B","B+","A","A+","S"},0))),LOOKUP(AVERAGE(_xlfn.SWITCH(D173,"F",0,"E",10,"D",20,"D+",30,"C",40,"C+",50,"B",60,"B+",70,"A",80,"A+",90,"S",100),_xlfn.SWITCH(E173,"F",0,"E",10,"D",20,"D+",30,"C",40,"C+",50,"B",60,"B+",70,"A",80,"A+",90,"S",100),_xlfn.SWITCH(F173,"F",0,"E",10,"D",20,"D+",30,"C",40,"C+",50,"B",60,"B+",70,"A",80,"A+",90,"S",100)),{0,15,25,35,45,55,65,75,85,95},{"D","D","D+","C","C+","B","B+","A","A+","S"}),"?")</f>
        <v>?</v>
      </c>
      <c r="H173" s="447" t="str">
        <f>IF(AND(ISNUMBER(MATCH(C173,{"F","E","D","D+","C","C+","B","B+","A","A+","S"},0)),ISNUMBER(MATCH(D173,{"F","E","D","D+","C","C+","B","B+","A","A+","S"},0)),ISNUMBER(MATCH(E173,{"F","E","D","D+","C","C+","B","B+","A","A+","S"},0)),ISNUMBER(MATCH(F173,{"F","E","D","D+","C","C+","B","B+","A","A+","S"},0))),_xlfn.SWITCH(C173,"F",0,"E",1,"D",2,"D+",3,"C",4,"C+",5,"B",6,"B+",7,"A",8,"A+",9,"S",10)*0.1+_xlfn.SWITCH(D173,"F",0,"E",1,"D",2,"D+",3,"C",4,"C+",5,"B",6,"B+",7,"A",8,"A+",9,"S",10)*0.4+_xlfn.SWITCH(E173,"F",0,"E",1,"D",2,"D+",3,"C",4,"C+",5,"B",6,"B+",7,"A",8,"A+",9,"S",10)*0.3+_xlfn.SWITCH(F173,"F",0,"E",1,"D",2,"D+",3,"C",4,"C+",5,"B",6,"B+",7,"A",8,"A+",9,"S",10)*0.2,"")</f>
        <v/>
      </c>
      <c r="I173" s="473"/>
    </row>
    <row r="174" spans="1:9">
      <c r="A174" s="445" t="s">
        <v>1004</v>
      </c>
      <c r="B174" s="474" t="s">
        <v>1005</v>
      </c>
      <c r="C174" s="445" t="s">
        <v>1562</v>
      </c>
      <c r="D174" s="445"/>
      <c r="E174" s="445"/>
      <c r="F174" s="445"/>
      <c r="G174" s="445" t="str">
        <f>IF(AND(ISNUMBER(MATCH(D174,{"F","E","D","D+","C","C+","B","B+","A","A+","S"},0)),ISNUMBER(MATCH(E174,{"F","E","D","D+","C","C+","B","B+","A","A+","S"},0)),ISNUMBER(MATCH(F174,{"F","E","D","D+","C","C+","B","B+","A","A+","S"},0))),LOOKUP(AVERAGE(_xlfn.SWITCH(D174,"F",0,"E",10,"D",20,"D+",30,"C",40,"C+",50,"B",60,"B+",70,"A",80,"A+",90,"S",100),_xlfn.SWITCH(E174,"F",0,"E",10,"D",20,"D+",30,"C",40,"C+",50,"B",60,"B+",70,"A",80,"A+",90,"S",100),_xlfn.SWITCH(F174,"F",0,"E",10,"D",20,"D+",30,"C",40,"C+",50,"B",60,"B+",70,"A",80,"A+",90,"S",100)),{0,15,25,35,45,55,65,75,85,95},{"D","D","D+","C","C+","B","B+","A","A+","S"}),"?")</f>
        <v>?</v>
      </c>
      <c r="H174" s="447" t="str">
        <f>IF(AND(ISNUMBER(MATCH(C174,{"F","E","D","D+","C","C+","B","B+","A","A+","S"},0)),ISNUMBER(MATCH(D174,{"F","E","D","D+","C","C+","B","B+","A","A+","S"},0)),ISNUMBER(MATCH(E174,{"F","E","D","D+","C","C+","B","B+","A","A+","S"},0)),ISNUMBER(MATCH(F174,{"F","E","D","D+","C","C+","B","B+","A","A+","S"},0))),_xlfn.SWITCH(C174,"F",0,"E",1,"D",2,"D+",3,"C",4,"C+",5,"B",6,"B+",7,"A",8,"A+",9,"S",10)*0.1+_xlfn.SWITCH(D174,"F",0,"E",1,"D",2,"D+",3,"C",4,"C+",5,"B",6,"B+",7,"A",8,"A+",9,"S",10)*0.4+_xlfn.SWITCH(E174,"F",0,"E",1,"D",2,"D+",3,"C",4,"C+",5,"B",6,"B+",7,"A",8,"A+",9,"S",10)*0.3+_xlfn.SWITCH(F174,"F",0,"E",1,"D",2,"D+",3,"C",4,"C+",5,"B",6,"B+",7,"A",8,"A+",9,"S",10)*0.2,"")</f>
        <v/>
      </c>
      <c r="I174" s="473"/>
    </row>
    <row r="175" spans="1:9">
      <c r="A175" s="445" t="s">
        <v>830</v>
      </c>
      <c r="B175" s="477" t="s">
        <v>831</v>
      </c>
      <c r="C175" s="445" t="s">
        <v>17</v>
      </c>
      <c r="D175" s="445" t="s">
        <v>17</v>
      </c>
      <c r="E175" s="445" t="s">
        <v>17</v>
      </c>
      <c r="F175" s="445" t="s">
        <v>28</v>
      </c>
      <c r="G175" s="445" t="str">
        <f>IF(AND(ISNUMBER(MATCH(D175,{"F","E","D","D+","C","C+","B","B+","A","A+","S"},0)),ISNUMBER(MATCH(E175,{"F","E","D","D+","C","C+","B","B+","A","A+","S"},0)),ISNUMBER(MATCH(F175,{"F","E","D","D+","C","C+","B","B+","A","A+","S"},0))),LOOKUP(AVERAGE(_xlfn.SWITCH(D175,"F",0,"E",10,"D",20,"D+",30,"C",40,"C+",50,"B",60,"B+",70,"A",80,"A+",90,"S",100),_xlfn.SWITCH(E175,"F",0,"E",10,"D",20,"D+",30,"C",40,"C+",50,"B",60,"B+",70,"A",80,"A+",90,"S",100),_xlfn.SWITCH(F175,"F",0,"E",10,"D",20,"D+",30,"C",40,"C+",50,"B",60,"B+",70,"A",80,"A+",90,"S",100)),{0,15,25,35,45,55,65,75,85,95},{"D","D","D+","C","C+","B","B+","A","A+","S"}),"?")</f>
        <v>S</v>
      </c>
      <c r="H175" s="447">
        <f>IF(AND(ISNUMBER(MATCH(C175,{"F","E","D","D+","C","C+","B","B+","A","A+","S"},0)),ISNUMBER(MATCH(D175,{"F","E","D","D+","C","C+","B","B+","A","A+","S"},0)),ISNUMBER(MATCH(E175,{"F","E","D","D+","C","C+","B","B+","A","A+","S"},0)),ISNUMBER(MATCH(F175,{"F","E","D","D+","C","C+","B","B+","A","A+","S"},0))),_xlfn.SWITCH(C175,"F",0,"E",1,"D",2,"D+",3,"C",4,"C+",5,"B",6,"B+",7,"A",8,"A+",9,"S",10)*0.1+_xlfn.SWITCH(D175,"F",0,"E",1,"D",2,"D+",3,"C",4,"C+",5,"B",6,"B+",7,"A",8,"A+",9,"S",10)*0.4+_xlfn.SWITCH(E175,"F",0,"E",1,"D",2,"D+",3,"C",4,"C+",5,"B",6,"B+",7,"A",8,"A+",9,"S",10)*0.3+_xlfn.SWITCH(F175,"F",0,"E",1,"D",2,"D+",3,"C",4,"C+",5,"B",6,"B+",7,"A",8,"A+",9,"S",10)*0.2,"")</f>
        <v>9.8000000000000007</v>
      </c>
      <c r="I175" s="473" t="s">
        <v>5093</v>
      </c>
    </row>
    <row r="176" spans="1:9">
      <c r="A176" s="445" t="s">
        <v>789</v>
      </c>
      <c r="B176" s="478" t="s">
        <v>790</v>
      </c>
      <c r="C176" s="445" t="s">
        <v>21</v>
      </c>
      <c r="D176" s="445" t="s">
        <v>21</v>
      </c>
      <c r="E176" s="445" t="s">
        <v>21</v>
      </c>
      <c r="F176" s="445" t="s">
        <v>21</v>
      </c>
      <c r="G176" s="445" t="str">
        <f>IF(AND(ISNUMBER(MATCH(D176,{"F","E","D","D+","C","C+","B","B+","A","A+","S"},0)),ISNUMBER(MATCH(E176,{"F","E","D","D+","C","C+","B","B+","A","A+","S"},0)),ISNUMBER(MATCH(F176,{"F","E","D","D+","C","C+","B","B+","A","A+","S"},0))),LOOKUP(AVERAGE(_xlfn.SWITCH(D176,"F",0,"E",10,"D",20,"D+",30,"C",40,"C+",50,"B",60,"B+",70,"A",80,"A+",90,"S",100),_xlfn.SWITCH(E176,"F",0,"E",10,"D",20,"D+",30,"C",40,"C+",50,"B",60,"B+",70,"A",80,"A+",90,"S",100),_xlfn.SWITCH(F176,"F",0,"E",10,"D",20,"D+",30,"C",40,"C+",50,"B",60,"B+",70,"A",80,"A+",90,"S",100)),{0,15,25,35,45,55,65,75,85,95},{"D","D","D+","C","C+","B","B+","A","A+","S"}),"?")</f>
        <v>A</v>
      </c>
      <c r="H176" s="447">
        <f>IF(AND(ISNUMBER(MATCH(C176,{"F","E","D","D+","C","C+","B","B+","A","A+","S"},0)),ISNUMBER(MATCH(D176,{"F","E","D","D+","C","C+","B","B+","A","A+","S"},0)),ISNUMBER(MATCH(E176,{"F","E","D","D+","C","C+","B","B+","A","A+","S"},0)),ISNUMBER(MATCH(F176,{"F","E","D","D+","C","C+","B","B+","A","A+","S"},0))),_xlfn.SWITCH(C176,"F",0,"E",1,"D",2,"D+",3,"C",4,"C+",5,"B",6,"B+",7,"A",8,"A+",9,"S",10)*0.1+_xlfn.SWITCH(D176,"F",0,"E",1,"D",2,"D+",3,"C",4,"C+",5,"B",6,"B+",7,"A",8,"A+",9,"S",10)*0.4+_xlfn.SWITCH(E176,"F",0,"E",1,"D",2,"D+",3,"C",4,"C+",5,"B",6,"B+",7,"A",8,"A+",9,"S",10)*0.3+_xlfn.SWITCH(F176,"F",0,"E",1,"D",2,"D+",3,"C",4,"C+",5,"B",6,"B+",7,"A",8,"A+",9,"S",10)*0.2,"")</f>
        <v>8</v>
      </c>
      <c r="I176" s="473" t="s">
        <v>5094</v>
      </c>
    </row>
    <row r="177" spans="1:9" ht="34">
      <c r="A177" s="445" t="s">
        <v>527</v>
      </c>
      <c r="B177" s="478" t="s">
        <v>528</v>
      </c>
      <c r="C177" s="445" t="s">
        <v>21</v>
      </c>
      <c r="D177" s="445" t="s">
        <v>1567</v>
      </c>
      <c r="E177" s="445" t="s">
        <v>21</v>
      </c>
      <c r="F177" s="445" t="s">
        <v>1562</v>
      </c>
      <c r="G177" s="445" t="str">
        <f>IF(AND(ISNUMBER(MATCH(D177,{"F","E","D","D+","C","C+","B","B+","A","A+","S"},0)),ISNUMBER(MATCH(E177,{"F","E","D","D+","C","C+","B","B+","A","A+","S"},0)),ISNUMBER(MATCH(F177,{"F","E","D","D+","C","C+","B","B+","A","A+","S"},0))),LOOKUP(AVERAGE(_xlfn.SWITCH(D177,"F",0,"E",10,"D",20,"D+",30,"C",40,"C+",50,"B",60,"B+",70,"A",80,"A+",90,"S",100),_xlfn.SWITCH(E177,"F",0,"E",10,"D",20,"D+",30,"C",40,"C+",50,"B",60,"B+",70,"A",80,"A+",90,"S",100),_xlfn.SWITCH(F177,"F",0,"E",10,"D",20,"D+",30,"C",40,"C+",50,"B",60,"B+",70,"A",80,"A+",90,"S",100)),{0,15,25,35,45,55,65,75,85,95},{"D","D","D+","C","C+","B","B+","A","A+","S"}),"?")</f>
        <v>B+</v>
      </c>
      <c r="H177" s="447">
        <f>IF(AND(ISNUMBER(MATCH(C177,{"F","E","D","D+","C","C+","B","B+","A","A+","S"},0)),ISNUMBER(MATCH(D177,{"F","E","D","D+","C","C+","B","B+","A","A+","S"},0)),ISNUMBER(MATCH(E177,{"F","E","D","D+","C","C+","B","B+","A","A+","S"},0)),ISNUMBER(MATCH(F177,{"F","E","D","D+","C","C+","B","B+","A","A+","S"},0))),_xlfn.SWITCH(C177,"F",0,"E",1,"D",2,"D+",3,"C",4,"C+",5,"B",6,"B+",7,"A",8,"A+",9,"S",10)*0.1+_xlfn.SWITCH(D177,"F",0,"E",1,"D",2,"D+",3,"C",4,"C+",5,"B",6,"B+",7,"A",8,"A+",9,"S",10)*0.4+_xlfn.SWITCH(E177,"F",0,"E",1,"D",2,"D+",3,"C",4,"C+",5,"B",6,"B+",7,"A",8,"A+",9,"S",10)*0.3+_xlfn.SWITCH(F177,"F",0,"E",1,"D",2,"D+",3,"C",4,"C+",5,"B",6,"B+",7,"A",8,"A+",9,"S",10)*0.2,"")</f>
        <v>7</v>
      </c>
      <c r="I177" s="475" t="s">
        <v>5095</v>
      </c>
    </row>
    <row r="178" spans="1:9">
      <c r="A178" s="445" t="s">
        <v>1024</v>
      </c>
      <c r="B178" s="474" t="s">
        <v>1025</v>
      </c>
      <c r="C178" s="445" t="s">
        <v>1562</v>
      </c>
      <c r="D178" s="445"/>
      <c r="E178" s="445"/>
      <c r="F178" s="445"/>
      <c r="G178" s="445" t="str">
        <f>IF(AND(ISNUMBER(MATCH(D178,{"F","E","D","D+","C","C+","B","B+","A","A+","S"},0)),ISNUMBER(MATCH(E178,{"F","E","D","D+","C","C+","B","B+","A","A+","S"},0)),ISNUMBER(MATCH(F178,{"F","E","D","D+","C","C+","B","B+","A","A+","S"},0))),LOOKUP(AVERAGE(_xlfn.SWITCH(D178,"F",0,"E",10,"D",20,"D+",30,"C",40,"C+",50,"B",60,"B+",70,"A",80,"A+",90,"S",100),_xlfn.SWITCH(E178,"F",0,"E",10,"D",20,"D+",30,"C",40,"C+",50,"B",60,"B+",70,"A",80,"A+",90,"S",100),_xlfn.SWITCH(F178,"F",0,"E",10,"D",20,"D+",30,"C",40,"C+",50,"B",60,"B+",70,"A",80,"A+",90,"S",100)),{0,15,25,35,45,55,65,75,85,95},{"D","D","D+","C","C+","B","B+","A","A+","S"}),"?")</f>
        <v>?</v>
      </c>
      <c r="H178" s="447" t="str">
        <f>IF(AND(ISNUMBER(MATCH(C178,{"F","E","D","D+","C","C+","B","B+","A","A+","S"},0)),ISNUMBER(MATCH(D178,{"F","E","D","D+","C","C+","B","B+","A","A+","S"},0)),ISNUMBER(MATCH(E178,{"F","E","D","D+","C","C+","B","B+","A","A+","S"},0)),ISNUMBER(MATCH(F178,{"F","E","D","D+","C","C+","B","B+","A","A+","S"},0))),_xlfn.SWITCH(C178,"F",0,"E",1,"D",2,"D+",3,"C",4,"C+",5,"B",6,"B+",7,"A",8,"A+",9,"S",10)*0.1+_xlfn.SWITCH(D178,"F",0,"E",1,"D",2,"D+",3,"C",4,"C+",5,"B",6,"B+",7,"A",8,"A+",9,"S",10)*0.4+_xlfn.SWITCH(E178,"F",0,"E",1,"D",2,"D+",3,"C",4,"C+",5,"B",6,"B+",7,"A",8,"A+",9,"S",10)*0.3+_xlfn.SWITCH(F178,"F",0,"E",1,"D",2,"D+",3,"C",4,"C+",5,"B",6,"B+",7,"A",8,"A+",9,"S",10)*0.2,"")</f>
        <v/>
      </c>
      <c r="I178" s="473"/>
    </row>
    <row r="179" spans="1:9" ht="34">
      <c r="A179" s="445" t="s">
        <v>1031</v>
      </c>
      <c r="B179" s="474" t="s">
        <v>1032</v>
      </c>
      <c r="C179" s="445" t="s">
        <v>18</v>
      </c>
      <c r="D179" s="445" t="s">
        <v>18</v>
      </c>
      <c r="E179" s="445" t="s">
        <v>1562</v>
      </c>
      <c r="F179" s="445" t="s">
        <v>18</v>
      </c>
      <c r="G179" s="445" t="str">
        <f>IF(AND(ISNUMBER(MATCH(D179,{"F","E","D","D+","C","C+","B","B+","A","A+","S"},0)),ISNUMBER(MATCH(E179,{"F","E","D","D+","C","C+","B","B+","A","A+","S"},0)),ISNUMBER(MATCH(F179,{"F","E","D","D+","C","C+","B","B+","A","A+","S"},0))),LOOKUP(AVERAGE(_xlfn.SWITCH(D179,"F",0,"E",10,"D",20,"D+",30,"C",40,"C+",50,"B",60,"B+",70,"A",80,"A+",90,"S",100),_xlfn.SWITCH(E179,"F",0,"E",10,"D",20,"D+",30,"C",40,"C+",50,"B",60,"B+",70,"A",80,"A+",90,"S",100),_xlfn.SWITCH(F179,"F",0,"E",10,"D",20,"D+",30,"C",40,"C+",50,"B",60,"B+",70,"A",80,"A+",90,"S",100)),{0,15,25,35,45,55,65,75,85,95},{"D","D","D+","C","C+","B","B+","A","A+","S"}),"?")</f>
        <v>B</v>
      </c>
      <c r="H179" s="447">
        <f>IF(AND(ISNUMBER(MATCH(C179,{"F","E","D","D+","C","C+","B","B+","A","A+","S"},0)),ISNUMBER(MATCH(D179,{"F","E","D","D+","C","C+","B","B+","A","A+","S"},0)),ISNUMBER(MATCH(E179,{"F","E","D","D+","C","C+","B","B+","A","A+","S"},0)),ISNUMBER(MATCH(F179,{"F","E","D","D+","C","C+","B","B+","A","A+","S"},0))),_xlfn.SWITCH(C179,"F",0,"E",1,"D",2,"D+",3,"C",4,"C+",5,"B",6,"B+",7,"A",8,"A+",9,"S",10)*0.1+_xlfn.SWITCH(D179,"F",0,"E",1,"D",2,"D+",3,"C",4,"C+",5,"B",6,"B+",7,"A",8,"A+",9,"S",10)*0.4+_xlfn.SWITCH(E179,"F",0,"E",1,"D",2,"D+",3,"C",4,"C+",5,"B",6,"B+",7,"A",8,"A+",9,"S",10)*0.3+_xlfn.SWITCH(F179,"F",0,"E",1,"D",2,"D+",3,"C",4,"C+",5,"B",6,"B+",7,"A",8,"A+",9,"S",10)*0.2,"")</f>
        <v>5.7</v>
      </c>
      <c r="I179" s="475" t="s">
        <v>5096</v>
      </c>
    </row>
    <row r="180" spans="1:9" ht="18" customHeight="1">
      <c r="A180" s="445" t="s">
        <v>816</v>
      </c>
      <c r="B180" s="474" t="s">
        <v>817</v>
      </c>
      <c r="C180" s="445" t="s">
        <v>18</v>
      </c>
      <c r="D180" s="445" t="s">
        <v>18</v>
      </c>
      <c r="E180" s="445" t="s">
        <v>1562</v>
      </c>
      <c r="F180" s="445" t="s">
        <v>1562</v>
      </c>
      <c r="G180" s="445" t="str">
        <f>IF(AND(ISNUMBER(MATCH(D180,{"F","E","D","D+","C","C+","B","B+","A","A+","S"},0)),ISNUMBER(MATCH(E180,{"F","E","D","D+","C","C+","B","B+","A","A+","S"},0)),ISNUMBER(MATCH(F180,{"F","E","D","D+","C","C+","B","B+","A","A+","S"},0))),LOOKUP(AVERAGE(_xlfn.SWITCH(D180,"F",0,"E",10,"D",20,"D+",30,"C",40,"C+",50,"B",60,"B+",70,"A",80,"A+",90,"S",100),_xlfn.SWITCH(E180,"F",0,"E",10,"D",20,"D+",30,"C",40,"C+",50,"B",60,"B+",70,"A",80,"A+",90,"S",100),_xlfn.SWITCH(F180,"F",0,"E",10,"D",20,"D+",30,"C",40,"C+",50,"B",60,"B+",70,"A",80,"A+",90,"S",100)),{0,15,25,35,45,55,65,75,85,95},{"D","D","D+","C","C+","B","B+","A","A+","S"}),"?")</f>
        <v>C+</v>
      </c>
      <c r="H180" s="447">
        <f>IF(AND(ISNUMBER(MATCH(C180,{"F","E","D","D+","C","C+","B","B+","A","A+","S"},0)),ISNUMBER(MATCH(D180,{"F","E","D","D+","C","C+","B","B+","A","A+","S"},0)),ISNUMBER(MATCH(E180,{"F","E","D","D+","C","C+","B","B+","A","A+","S"},0)),ISNUMBER(MATCH(F180,{"F","E","D","D+","C","C+","B","B+","A","A+","S"},0))),_xlfn.SWITCH(C180,"F",0,"E",1,"D",2,"D+",3,"C",4,"C+",5,"B",6,"B+",7,"A",8,"A+",9,"S",10)*0.1+_xlfn.SWITCH(D180,"F",0,"E",1,"D",2,"D+",3,"C",4,"C+",5,"B",6,"B+",7,"A",8,"A+",9,"S",10)*0.4+_xlfn.SWITCH(E180,"F",0,"E",1,"D",2,"D+",3,"C",4,"C+",5,"B",6,"B+",7,"A",8,"A+",9,"S",10)*0.3+_xlfn.SWITCH(F180,"F",0,"E",1,"D",2,"D+",3,"C",4,"C+",5,"B",6,"B+",7,"A",8,"A+",9,"S",10)*0.2,"")</f>
        <v>5.5</v>
      </c>
      <c r="I180" s="473" t="s">
        <v>5097</v>
      </c>
    </row>
    <row r="181" spans="1:9">
      <c r="A181" s="445" t="s">
        <v>1035</v>
      </c>
      <c r="B181" s="474" t="s">
        <v>1036</v>
      </c>
      <c r="C181" s="445" t="s">
        <v>18</v>
      </c>
      <c r="D181" s="445" t="s">
        <v>18</v>
      </c>
      <c r="E181" s="445" t="s">
        <v>1562</v>
      </c>
      <c r="F181" s="445" t="s">
        <v>18</v>
      </c>
      <c r="G181" s="445" t="str">
        <f>IF(AND(ISNUMBER(MATCH(D181,{"F","E","D","D+","C","C+","B","B+","A","A+","S"},0)),ISNUMBER(MATCH(E181,{"F","E","D","D+","C","C+","B","B+","A","A+","S"},0)),ISNUMBER(MATCH(F181,{"F","E","D","D+","C","C+","B","B+","A","A+","S"},0))),LOOKUP(AVERAGE(_xlfn.SWITCH(D181,"F",0,"E",10,"D",20,"D+",30,"C",40,"C+",50,"B",60,"B+",70,"A",80,"A+",90,"S",100),_xlfn.SWITCH(E181,"F",0,"E",10,"D",20,"D+",30,"C",40,"C+",50,"B",60,"B+",70,"A",80,"A+",90,"S",100),_xlfn.SWITCH(F181,"F",0,"E",10,"D",20,"D+",30,"C",40,"C+",50,"B",60,"B+",70,"A",80,"A+",90,"S",100)),{0,15,25,35,45,55,65,75,85,95},{"D","D","D+","C","C+","B","B+","A","A+","S"}),"?")</f>
        <v>B</v>
      </c>
      <c r="H181" s="447">
        <f>IF(AND(ISNUMBER(MATCH(C181,{"F","E","D","D+","C","C+","B","B+","A","A+","S"},0)),ISNUMBER(MATCH(D181,{"F","E","D","D+","C","C+","B","B+","A","A+","S"},0)),ISNUMBER(MATCH(E181,{"F","E","D","D+","C","C+","B","B+","A","A+","S"},0)),ISNUMBER(MATCH(F181,{"F","E","D","D+","C","C+","B","B+","A","A+","S"},0))),_xlfn.SWITCH(C181,"F",0,"E",1,"D",2,"D+",3,"C",4,"C+",5,"B",6,"B+",7,"A",8,"A+",9,"S",10)*0.1+_xlfn.SWITCH(D181,"F",0,"E",1,"D",2,"D+",3,"C",4,"C+",5,"B",6,"B+",7,"A",8,"A+",9,"S",10)*0.4+_xlfn.SWITCH(E181,"F",0,"E",1,"D",2,"D+",3,"C",4,"C+",5,"B",6,"B+",7,"A",8,"A+",9,"S",10)*0.3+_xlfn.SWITCH(F181,"F",0,"E",1,"D",2,"D+",3,"C",4,"C+",5,"B",6,"B+",7,"A",8,"A+",9,"S",10)*0.2,"")</f>
        <v>5.7</v>
      </c>
      <c r="I181" s="473" t="s">
        <v>5098</v>
      </c>
    </row>
    <row r="182" spans="1:9">
      <c r="A182" s="445" t="s">
        <v>672</v>
      </c>
      <c r="B182" s="478" t="s">
        <v>673</v>
      </c>
      <c r="C182" s="445" t="s">
        <v>1567</v>
      </c>
      <c r="D182" s="445" t="s">
        <v>1567</v>
      </c>
      <c r="E182" s="445" t="s">
        <v>21</v>
      </c>
      <c r="F182" s="445" t="s">
        <v>18</v>
      </c>
      <c r="G182" s="445" t="str">
        <f>IF(AND(ISNUMBER(MATCH(D182,{"F","E","D","D+","C","C+","B","B+","A","A+","S"},0)),ISNUMBER(MATCH(E182,{"F","E","D","D+","C","C+","B","B+","A","A+","S"},0)),ISNUMBER(MATCH(F182,{"F","E","D","D+","C","C+","B","B+","A","A+","S"},0))),LOOKUP(AVERAGE(_xlfn.SWITCH(D182,"F",0,"E",10,"D",20,"D+",30,"C",40,"C+",50,"B",60,"B+",70,"A",80,"A+",90,"S",100),_xlfn.SWITCH(E182,"F",0,"E",10,"D",20,"D+",30,"C",40,"C+",50,"B",60,"B+",70,"A",80,"A+",90,"S",100),_xlfn.SWITCH(F182,"F",0,"E",10,"D",20,"D+",30,"C",40,"C+",50,"B",60,"B+",70,"A",80,"A+",90,"S",100)),{0,15,25,35,45,55,65,75,85,95},{"D","D","D+","C","C+","B","B+","A","A+","S"}),"?")</f>
        <v>B+</v>
      </c>
      <c r="H182" s="447">
        <f>IF(AND(ISNUMBER(MATCH(C182,{"F","E","D","D+","C","C+","B","B+","A","A+","S"},0)),ISNUMBER(MATCH(D182,{"F","E","D","D+","C","C+","B","B+","A","A+","S"},0)),ISNUMBER(MATCH(E182,{"F","E","D","D+","C","C+","B","B+","A","A+","S"},0)),ISNUMBER(MATCH(F182,{"F","E","D","D+","C","C+","B","B+","A","A+","S"},0))),_xlfn.SWITCH(C182,"F",0,"E",1,"D",2,"D+",3,"C",4,"C+",5,"B",6,"B+",7,"A",8,"A+",9,"S",10)*0.1+_xlfn.SWITCH(D182,"F",0,"E",1,"D",2,"D+",3,"C",4,"C+",5,"B",6,"B+",7,"A",8,"A+",9,"S",10)*0.4+_xlfn.SWITCH(E182,"F",0,"E",1,"D",2,"D+",3,"C",4,"C+",5,"B",6,"B+",7,"A",8,"A+",9,"S",10)*0.3+_xlfn.SWITCH(F182,"F",0,"E",1,"D",2,"D+",3,"C",4,"C+",5,"B",6,"B+",7,"A",8,"A+",9,"S",10)*0.2,"")</f>
        <v>7.1000000000000005</v>
      </c>
      <c r="I182" s="473" t="s">
        <v>5099</v>
      </c>
    </row>
    <row r="183" spans="1:9">
      <c r="A183" s="445" t="s">
        <v>706</v>
      </c>
      <c r="B183" s="478" t="s">
        <v>707</v>
      </c>
      <c r="C183" s="445" t="s">
        <v>1567</v>
      </c>
      <c r="D183" s="445" t="s">
        <v>1567</v>
      </c>
      <c r="E183" s="445" t="s">
        <v>1567</v>
      </c>
      <c r="F183" s="445" t="s">
        <v>18</v>
      </c>
      <c r="G183" s="445" t="str">
        <f>IF(AND(ISNUMBER(MATCH(D183,{"F","E","D","D+","C","C+","B","B+","A","A+","S"},0)),ISNUMBER(MATCH(E183,{"F","E","D","D+","C","C+","B","B+","A","A+","S"},0)),ISNUMBER(MATCH(F183,{"F","E","D","D+","C","C+","B","B+","A","A+","S"},0))),LOOKUP(AVERAGE(_xlfn.SWITCH(D183,"F",0,"E",10,"D",20,"D+",30,"C",40,"C+",50,"B",60,"B+",70,"A",80,"A+",90,"S",100),_xlfn.SWITCH(E183,"F",0,"E",10,"D",20,"D+",30,"C",40,"C+",50,"B",60,"B+",70,"A",80,"A+",90,"S",100),_xlfn.SWITCH(F183,"F",0,"E",10,"D",20,"D+",30,"C",40,"C+",50,"B",60,"B+",70,"A",80,"A+",90,"S",100)),{0,15,25,35,45,55,65,75,85,95},{"D","D","D+","C","C+","B","B+","A","A+","S"}),"?")</f>
        <v>B+</v>
      </c>
      <c r="H183" s="447">
        <f>IF(AND(ISNUMBER(MATCH(C183,{"F","E","D","D+","C","C+","B","B+","A","A+","S"},0)),ISNUMBER(MATCH(D183,{"F","E","D","D+","C","C+","B","B+","A","A+","S"},0)),ISNUMBER(MATCH(E183,{"F","E","D","D+","C","C+","B","B+","A","A+","S"},0)),ISNUMBER(MATCH(F183,{"F","E","D","D+","C","C+","B","B+","A","A+","S"},0))),_xlfn.SWITCH(C183,"F",0,"E",1,"D",2,"D+",3,"C",4,"C+",5,"B",6,"B+",7,"A",8,"A+",9,"S",10)*0.1+_xlfn.SWITCH(D183,"F",0,"E",1,"D",2,"D+",3,"C",4,"C+",5,"B",6,"B+",7,"A",8,"A+",9,"S",10)*0.4+_xlfn.SWITCH(E183,"F",0,"E",1,"D",2,"D+",3,"C",4,"C+",5,"B",6,"B+",7,"A",8,"A+",9,"S",10)*0.3+_xlfn.SWITCH(F183,"F",0,"E",1,"D",2,"D+",3,"C",4,"C+",5,"B",6,"B+",7,"A",8,"A+",9,"S",10)*0.2,"")</f>
        <v>6.8000000000000007</v>
      </c>
      <c r="I183" s="473" t="s">
        <v>5100</v>
      </c>
    </row>
    <row r="184" spans="1:9">
      <c r="A184" s="445" t="s">
        <v>1048</v>
      </c>
      <c r="B184" s="474" t="s">
        <v>1049</v>
      </c>
      <c r="C184" s="445" t="s">
        <v>1562</v>
      </c>
      <c r="D184" s="445"/>
      <c r="E184" s="445"/>
      <c r="F184" s="445"/>
      <c r="G184" s="445" t="str">
        <f>IF(AND(ISNUMBER(MATCH(D184,{"F","E","D","D+","C","C+","B","B+","A","A+","S"},0)),ISNUMBER(MATCH(E184,{"F","E","D","D+","C","C+","B","B+","A","A+","S"},0)),ISNUMBER(MATCH(F184,{"F","E","D","D+","C","C+","B","B+","A","A+","S"},0))),LOOKUP(AVERAGE(_xlfn.SWITCH(D184,"F",0,"E",10,"D",20,"D+",30,"C",40,"C+",50,"B",60,"B+",70,"A",80,"A+",90,"S",100),_xlfn.SWITCH(E184,"F",0,"E",10,"D",20,"D+",30,"C",40,"C+",50,"B",60,"B+",70,"A",80,"A+",90,"S",100),_xlfn.SWITCH(F184,"F",0,"E",10,"D",20,"D+",30,"C",40,"C+",50,"B",60,"B+",70,"A",80,"A+",90,"S",100)),{0,15,25,35,45,55,65,75,85,95},{"D","D","D+","C","C+","B","B+","A","A+","S"}),"?")</f>
        <v>?</v>
      </c>
      <c r="H184" s="447" t="str">
        <f>IF(AND(ISNUMBER(MATCH(C184,{"F","E","D","D+","C","C+","B","B+","A","A+","S"},0)),ISNUMBER(MATCH(D184,{"F","E","D","D+","C","C+","B","B+","A","A+","S"},0)),ISNUMBER(MATCH(E184,{"F","E","D","D+","C","C+","B","B+","A","A+","S"},0)),ISNUMBER(MATCH(F184,{"F","E","D","D+","C","C+","B","B+","A","A+","S"},0))),_xlfn.SWITCH(C184,"F",0,"E",1,"D",2,"D+",3,"C",4,"C+",5,"B",6,"B+",7,"A",8,"A+",9,"S",10)*0.1+_xlfn.SWITCH(D184,"F",0,"E",1,"D",2,"D+",3,"C",4,"C+",5,"B",6,"B+",7,"A",8,"A+",9,"S",10)*0.4+_xlfn.SWITCH(E184,"F",0,"E",1,"D",2,"D+",3,"C",4,"C+",5,"B",6,"B+",7,"A",8,"A+",9,"S",10)*0.3+_xlfn.SWITCH(F184,"F",0,"E",1,"D",2,"D+",3,"C",4,"C+",5,"B",6,"B+",7,"A",8,"A+",9,"S",10)*0.2,"")</f>
        <v/>
      </c>
      <c r="I184" s="473"/>
    </row>
    <row r="185" spans="1:9">
      <c r="A185" s="445" t="s">
        <v>1054</v>
      </c>
      <c r="B185" s="474" t="s">
        <v>1055</v>
      </c>
      <c r="C185" s="445" t="s">
        <v>18</v>
      </c>
      <c r="D185" s="445" t="s">
        <v>18</v>
      </c>
      <c r="E185" s="445" t="s">
        <v>18</v>
      </c>
      <c r="F185" s="445" t="s">
        <v>18</v>
      </c>
      <c r="G185" s="445" t="str">
        <f>IF(AND(ISNUMBER(MATCH(D185,{"F","E","D","D+","C","C+","B","B+","A","A+","S"},0)),ISNUMBER(MATCH(E185,{"F","E","D","D+","C","C+","B","B+","A","A+","S"},0)),ISNUMBER(MATCH(F185,{"F","E","D","D+","C","C+","B","B+","A","A+","S"},0))),LOOKUP(AVERAGE(_xlfn.SWITCH(D185,"F",0,"E",10,"D",20,"D+",30,"C",40,"C+",50,"B",60,"B+",70,"A",80,"A+",90,"S",100),_xlfn.SWITCH(E185,"F",0,"E",10,"D",20,"D+",30,"C",40,"C+",50,"B",60,"B+",70,"A",80,"A+",90,"S",100),_xlfn.SWITCH(F185,"F",0,"E",10,"D",20,"D+",30,"C",40,"C+",50,"B",60,"B+",70,"A",80,"A+",90,"S",100)),{0,15,25,35,45,55,65,75,85,95},{"D","D","D+","C","C+","B","B+","A","A+","S"}),"?")</f>
        <v>B</v>
      </c>
      <c r="H185" s="447">
        <f>IF(AND(ISNUMBER(MATCH(C185,{"F","E","D","D+","C","C+","B","B+","A","A+","S"},0)),ISNUMBER(MATCH(D185,{"F","E","D","D+","C","C+","B","B+","A","A+","S"},0)),ISNUMBER(MATCH(E185,{"F","E","D","D+","C","C+","B","B+","A","A+","S"},0)),ISNUMBER(MATCH(F185,{"F","E","D","D+","C","C+","B","B+","A","A+","S"},0))),_xlfn.SWITCH(C185,"F",0,"E",1,"D",2,"D+",3,"C",4,"C+",5,"B",6,"B+",7,"A",8,"A+",9,"S",10)*0.1+_xlfn.SWITCH(D185,"F",0,"E",1,"D",2,"D+",3,"C",4,"C+",5,"B",6,"B+",7,"A",8,"A+",9,"S",10)*0.4+_xlfn.SWITCH(E185,"F",0,"E",1,"D",2,"D+",3,"C",4,"C+",5,"B",6,"B+",7,"A",8,"A+",9,"S",10)*0.3+_xlfn.SWITCH(F185,"F",0,"E",1,"D",2,"D+",3,"C",4,"C+",5,"B",6,"B+",7,"A",8,"A+",9,"S",10)*0.2,"")</f>
        <v>6.0000000000000009</v>
      </c>
      <c r="I185" s="473" t="s">
        <v>5101</v>
      </c>
    </row>
    <row r="186" spans="1:9">
      <c r="A186" s="445" t="s">
        <v>569</v>
      </c>
      <c r="B186" s="478" t="s">
        <v>570</v>
      </c>
      <c r="C186" s="445" t="s">
        <v>18</v>
      </c>
      <c r="D186" s="445" t="s">
        <v>1567</v>
      </c>
      <c r="E186" s="445" t="s">
        <v>1567</v>
      </c>
      <c r="F186" s="445" t="s">
        <v>1562</v>
      </c>
      <c r="G186" s="445" t="str">
        <f>IF(AND(ISNUMBER(MATCH(D186,{"F","E","D","D+","C","C+","B","B+","A","A+","S"},0)),ISNUMBER(MATCH(E186,{"F","E","D","D+","C","C+","B","B+","A","A+","S"},0)),ISNUMBER(MATCH(F186,{"F","E","D","D+","C","C+","B","B+","A","A+","S"},0))),LOOKUP(AVERAGE(_xlfn.SWITCH(D186,"F",0,"E",10,"D",20,"D+",30,"C",40,"C+",50,"B",60,"B+",70,"A",80,"A+",90,"S",100),_xlfn.SWITCH(E186,"F",0,"E",10,"D",20,"D+",30,"C",40,"C+",50,"B",60,"B+",70,"A",80,"A+",90,"S",100),_xlfn.SWITCH(F186,"F",0,"E",10,"D",20,"D+",30,"C",40,"C+",50,"B",60,"B+",70,"A",80,"A+",90,"S",100)),{0,15,25,35,45,55,65,75,85,95},{"D","D","D+","C","C+","B","B+","A","A+","S"}),"?")</f>
        <v>B</v>
      </c>
      <c r="H186" s="447">
        <f>IF(AND(ISNUMBER(MATCH(C186,{"F","E","D","D+","C","C+","B","B+","A","A+","S"},0)),ISNUMBER(MATCH(D186,{"F","E","D","D+","C","C+","B","B+","A","A+","S"},0)),ISNUMBER(MATCH(E186,{"F","E","D","D+","C","C+","B","B+","A","A+","S"},0)),ISNUMBER(MATCH(F186,{"F","E","D","D+","C","C+","B","B+","A","A+","S"},0))),_xlfn.SWITCH(C186,"F",0,"E",1,"D",2,"D+",3,"C",4,"C+",5,"B",6,"B+",7,"A",8,"A+",9,"S",10)*0.1+_xlfn.SWITCH(D186,"F",0,"E",1,"D",2,"D+",3,"C",4,"C+",5,"B",6,"B+",7,"A",8,"A+",9,"S",10)*0.4+_xlfn.SWITCH(E186,"F",0,"E",1,"D",2,"D+",3,"C",4,"C+",5,"B",6,"B+",7,"A",8,"A+",9,"S",10)*0.3+_xlfn.SWITCH(F186,"F",0,"E",1,"D",2,"D+",3,"C",4,"C+",5,"B",6,"B+",7,"A",8,"A+",9,"S",10)*0.2,"")</f>
        <v>6.5</v>
      </c>
      <c r="I186" s="473" t="s">
        <v>5102</v>
      </c>
    </row>
    <row r="187" spans="1:9">
      <c r="A187" s="445" t="s">
        <v>1065</v>
      </c>
      <c r="B187" s="474" t="s">
        <v>1066</v>
      </c>
      <c r="C187" s="445" t="s">
        <v>18</v>
      </c>
      <c r="D187" s="445" t="s">
        <v>18</v>
      </c>
      <c r="E187" s="445" t="s">
        <v>1562</v>
      </c>
      <c r="F187" s="445" t="s">
        <v>18</v>
      </c>
      <c r="G187" s="445" t="str">
        <f>IF(AND(ISNUMBER(MATCH(D187,{"F","E","D","D+","C","C+","B","B+","A","A+","S"},0)),ISNUMBER(MATCH(E187,{"F","E","D","D+","C","C+","B","B+","A","A+","S"},0)),ISNUMBER(MATCH(F187,{"F","E","D","D+","C","C+","B","B+","A","A+","S"},0))),LOOKUP(AVERAGE(_xlfn.SWITCH(D187,"F",0,"E",10,"D",20,"D+",30,"C",40,"C+",50,"B",60,"B+",70,"A",80,"A+",90,"S",100),_xlfn.SWITCH(E187,"F",0,"E",10,"D",20,"D+",30,"C",40,"C+",50,"B",60,"B+",70,"A",80,"A+",90,"S",100),_xlfn.SWITCH(F187,"F",0,"E",10,"D",20,"D+",30,"C",40,"C+",50,"B",60,"B+",70,"A",80,"A+",90,"S",100)),{0,15,25,35,45,55,65,75,85,95},{"D","D","D+","C","C+","B","B+","A","A+","S"}),"?")</f>
        <v>B</v>
      </c>
      <c r="H187" s="447">
        <f>IF(AND(ISNUMBER(MATCH(C187,{"F","E","D","D+","C","C+","B","B+","A","A+","S"},0)),ISNUMBER(MATCH(D187,{"F","E","D","D+","C","C+","B","B+","A","A+","S"},0)),ISNUMBER(MATCH(E187,{"F","E","D","D+","C","C+","B","B+","A","A+","S"},0)),ISNUMBER(MATCH(F187,{"F","E","D","D+","C","C+","B","B+","A","A+","S"},0))),_xlfn.SWITCH(C187,"F",0,"E",1,"D",2,"D+",3,"C",4,"C+",5,"B",6,"B+",7,"A",8,"A+",9,"S",10)*0.1+_xlfn.SWITCH(D187,"F",0,"E",1,"D",2,"D+",3,"C",4,"C+",5,"B",6,"B+",7,"A",8,"A+",9,"S",10)*0.4+_xlfn.SWITCH(E187,"F",0,"E",1,"D",2,"D+",3,"C",4,"C+",5,"B",6,"B+",7,"A",8,"A+",9,"S",10)*0.3+_xlfn.SWITCH(F187,"F",0,"E",1,"D",2,"D+",3,"C",4,"C+",5,"B",6,"B+",7,"A",8,"A+",9,"S",10)*0.2,"")</f>
        <v>5.7</v>
      </c>
      <c r="I187" s="473" t="s">
        <v>5103</v>
      </c>
    </row>
    <row r="188" spans="1:9">
      <c r="A188" s="445" t="s">
        <v>1070</v>
      </c>
      <c r="B188" s="474" t="s">
        <v>1071</v>
      </c>
      <c r="C188" s="445" t="s">
        <v>1562</v>
      </c>
      <c r="D188" s="445"/>
      <c r="E188" s="445"/>
      <c r="F188" s="445"/>
      <c r="G188" s="445" t="str">
        <f>IF(AND(ISNUMBER(MATCH(D188,{"F","E","D","D+","C","C+","B","B+","A","A+","S"},0)),ISNUMBER(MATCH(E188,{"F","E","D","D+","C","C+","B","B+","A","A+","S"},0)),ISNUMBER(MATCH(F188,{"F","E","D","D+","C","C+","B","B+","A","A+","S"},0))),LOOKUP(AVERAGE(_xlfn.SWITCH(D188,"F",0,"E",10,"D",20,"D+",30,"C",40,"C+",50,"B",60,"B+",70,"A",80,"A+",90,"S",100),_xlfn.SWITCH(E188,"F",0,"E",10,"D",20,"D+",30,"C",40,"C+",50,"B",60,"B+",70,"A",80,"A+",90,"S",100),_xlfn.SWITCH(F188,"F",0,"E",10,"D",20,"D+",30,"C",40,"C+",50,"B",60,"B+",70,"A",80,"A+",90,"S",100)),{0,15,25,35,45,55,65,75,85,95},{"D","D","D+","C","C+","B","B+","A","A+","S"}),"?")</f>
        <v>?</v>
      </c>
      <c r="H188" s="447" t="str">
        <f>IF(AND(ISNUMBER(MATCH(C188,{"F","E","D","D+","C","C+","B","B+","A","A+","S"},0)),ISNUMBER(MATCH(D188,{"F","E","D","D+","C","C+","B","B+","A","A+","S"},0)),ISNUMBER(MATCH(E188,{"F","E","D","D+","C","C+","B","B+","A","A+","S"},0)),ISNUMBER(MATCH(F188,{"F","E","D","D+","C","C+","B","B+","A","A+","S"},0))),_xlfn.SWITCH(C188,"F",0,"E",1,"D",2,"D+",3,"C",4,"C+",5,"B",6,"B+",7,"A",8,"A+",9,"S",10)*0.1+_xlfn.SWITCH(D188,"F",0,"E",1,"D",2,"D+",3,"C",4,"C+",5,"B",6,"B+",7,"A",8,"A+",9,"S",10)*0.4+_xlfn.SWITCH(E188,"F",0,"E",1,"D",2,"D+",3,"C",4,"C+",5,"B",6,"B+",7,"A",8,"A+",9,"S",10)*0.3+_xlfn.SWITCH(F188,"F",0,"E",1,"D",2,"D+",3,"C",4,"C+",5,"B",6,"B+",7,"A",8,"A+",9,"S",10)*0.2,"")</f>
        <v/>
      </c>
      <c r="I188" s="473"/>
    </row>
    <row r="189" spans="1:9">
      <c r="A189" s="445" t="s">
        <v>605</v>
      </c>
      <c r="B189" s="478" t="s">
        <v>606</v>
      </c>
      <c r="C189" s="445" t="s">
        <v>18</v>
      </c>
      <c r="D189" s="445" t="s">
        <v>1567</v>
      </c>
      <c r="E189" s="445" t="s">
        <v>1567</v>
      </c>
      <c r="F189" s="445" t="s">
        <v>17</v>
      </c>
      <c r="G189" s="445" t="str">
        <f>IF(AND(ISNUMBER(MATCH(D189,{"F","E","D","D+","C","C+","B","B+","A","A+","S"},0)),ISNUMBER(MATCH(E189,{"F","E","D","D+","C","C+","B","B+","A","A+","S"},0)),ISNUMBER(MATCH(F189,{"F","E","D","D+","C","C+","B","B+","A","A+","S"},0))),LOOKUP(AVERAGE(_xlfn.SWITCH(D189,"F",0,"E",10,"D",20,"D+",30,"C",40,"C+",50,"B",60,"B+",70,"A",80,"A+",90,"S",100),_xlfn.SWITCH(E189,"F",0,"E",10,"D",20,"D+",30,"C",40,"C+",50,"B",60,"B+",70,"A",80,"A+",90,"S",100),_xlfn.SWITCH(F189,"F",0,"E",10,"D",20,"D+",30,"C",40,"C+",50,"B",60,"B+",70,"A",80,"A+",90,"S",100)),{0,15,25,35,45,55,65,75,85,95},{"D","D","D+","C","C+","B","B+","A","A+","S"}),"?")</f>
        <v>A</v>
      </c>
      <c r="H189" s="447">
        <f>IF(AND(ISNUMBER(MATCH(C189,{"F","E","D","D+","C","C+","B","B+","A","A+","S"},0)),ISNUMBER(MATCH(D189,{"F","E","D","D+","C","C+","B","B+","A","A+","S"},0)),ISNUMBER(MATCH(E189,{"F","E","D","D+","C","C+","B","B+","A","A+","S"},0)),ISNUMBER(MATCH(F189,{"F","E","D","D+","C","C+","B","B+","A","A+","S"},0))),_xlfn.SWITCH(C189,"F",0,"E",1,"D",2,"D+",3,"C",4,"C+",5,"B",6,"B+",7,"A",8,"A+",9,"S",10)*0.1+_xlfn.SWITCH(D189,"F",0,"E",1,"D",2,"D+",3,"C",4,"C+",5,"B",6,"B+",7,"A",8,"A+",9,"S",10)*0.4+_xlfn.SWITCH(E189,"F",0,"E",1,"D",2,"D+",3,"C",4,"C+",5,"B",6,"B+",7,"A",8,"A+",9,"S",10)*0.3+_xlfn.SWITCH(F189,"F",0,"E",1,"D",2,"D+",3,"C",4,"C+",5,"B",6,"B+",7,"A",8,"A+",9,"S",10)*0.2,"")</f>
        <v>7.5</v>
      </c>
      <c r="I189" s="473" t="s">
        <v>5104</v>
      </c>
    </row>
    <row r="190" spans="1:9">
      <c r="A190" s="445" t="s">
        <v>1081</v>
      </c>
      <c r="B190" s="474" t="s">
        <v>1082</v>
      </c>
      <c r="C190" s="445" t="s">
        <v>1574</v>
      </c>
      <c r="D190" s="445"/>
      <c r="E190" s="445"/>
      <c r="F190" s="445"/>
      <c r="G190" s="445" t="str">
        <f>IF(AND(ISNUMBER(MATCH(D190,{"F","E","D","D+","C","C+","B","B+","A","A+","S"},0)),ISNUMBER(MATCH(E190,{"F","E","D","D+","C","C+","B","B+","A","A+","S"},0)),ISNUMBER(MATCH(F190,{"F","E","D","D+","C","C+","B","B+","A","A+","S"},0))),LOOKUP(AVERAGE(_xlfn.SWITCH(D190,"F",0,"E",10,"D",20,"D+",30,"C",40,"C+",50,"B",60,"B+",70,"A",80,"A+",90,"S",100),_xlfn.SWITCH(E190,"F",0,"E",10,"D",20,"D+",30,"C",40,"C+",50,"B",60,"B+",70,"A",80,"A+",90,"S",100),_xlfn.SWITCH(F190,"F",0,"E",10,"D",20,"D+",30,"C",40,"C+",50,"B",60,"B+",70,"A",80,"A+",90,"S",100)),{0,15,25,35,45,55,65,75,85,95},{"D","D","D+","C","C+","B","B+","A","A+","S"}),"?")</f>
        <v>?</v>
      </c>
      <c r="H190" s="447" t="str">
        <f>IF(AND(ISNUMBER(MATCH(C190,{"F","E","D","D+","C","C+","B","B+","A","A+","S"},0)),ISNUMBER(MATCH(D190,{"F","E","D","D+","C","C+","B","B+","A","A+","S"},0)),ISNUMBER(MATCH(E190,{"F","E","D","D+","C","C+","B","B+","A","A+","S"},0)),ISNUMBER(MATCH(F190,{"F","E","D","D+","C","C+","B","B+","A","A+","S"},0))),_xlfn.SWITCH(C190,"F",0,"E",1,"D",2,"D+",3,"C",4,"C+",5,"B",6,"B+",7,"A",8,"A+",9,"S",10)*0.1+_xlfn.SWITCH(D190,"F",0,"E",1,"D",2,"D+",3,"C",4,"C+",5,"B",6,"B+",7,"A",8,"A+",9,"S",10)*0.4+_xlfn.SWITCH(E190,"F",0,"E",1,"D",2,"D+",3,"C",4,"C+",5,"B",6,"B+",7,"A",8,"A+",9,"S",10)*0.3+_xlfn.SWITCH(F190,"F",0,"E",1,"D",2,"D+",3,"C",4,"C+",5,"B",6,"B+",7,"A",8,"A+",9,"S",10)*0.2,"")</f>
        <v/>
      </c>
      <c r="I190" s="473" t="s">
        <v>5105</v>
      </c>
    </row>
    <row r="191" spans="1:9">
      <c r="A191" s="445" t="s">
        <v>1087</v>
      </c>
      <c r="B191" s="474" t="s">
        <v>1088</v>
      </c>
      <c r="C191" s="445" t="s">
        <v>18</v>
      </c>
      <c r="D191" s="445" t="s">
        <v>18</v>
      </c>
      <c r="E191" s="445" t="s">
        <v>1562</v>
      </c>
      <c r="F191" s="445" t="s">
        <v>18</v>
      </c>
      <c r="G191" s="445" t="str">
        <f>IF(AND(ISNUMBER(MATCH(D191,{"F","E","D","D+","C","C+","B","B+","A","A+","S"},0)),ISNUMBER(MATCH(E191,{"F","E","D","D+","C","C+","B","B+","A","A+","S"},0)),ISNUMBER(MATCH(F191,{"F","E","D","D+","C","C+","B","B+","A","A+","S"},0))),LOOKUP(AVERAGE(_xlfn.SWITCH(D191,"F",0,"E",10,"D",20,"D+",30,"C",40,"C+",50,"B",60,"B+",70,"A",80,"A+",90,"S",100),_xlfn.SWITCH(E191,"F",0,"E",10,"D",20,"D+",30,"C",40,"C+",50,"B",60,"B+",70,"A",80,"A+",90,"S",100),_xlfn.SWITCH(F191,"F",0,"E",10,"D",20,"D+",30,"C",40,"C+",50,"B",60,"B+",70,"A",80,"A+",90,"S",100)),{0,15,25,35,45,55,65,75,85,95},{"D","D","D+","C","C+","B","B+","A","A+","S"}),"?")</f>
        <v>B</v>
      </c>
      <c r="H191" s="447">
        <f>IF(AND(ISNUMBER(MATCH(C191,{"F","E","D","D+","C","C+","B","B+","A","A+","S"},0)),ISNUMBER(MATCH(D191,{"F","E","D","D+","C","C+","B","B+","A","A+","S"},0)),ISNUMBER(MATCH(E191,{"F","E","D","D+","C","C+","B","B+","A","A+","S"},0)),ISNUMBER(MATCH(F191,{"F","E","D","D+","C","C+","B","B+","A","A+","S"},0))),_xlfn.SWITCH(C191,"F",0,"E",1,"D",2,"D+",3,"C",4,"C+",5,"B",6,"B+",7,"A",8,"A+",9,"S",10)*0.1+_xlfn.SWITCH(D191,"F",0,"E",1,"D",2,"D+",3,"C",4,"C+",5,"B",6,"B+",7,"A",8,"A+",9,"S",10)*0.4+_xlfn.SWITCH(E191,"F",0,"E",1,"D",2,"D+",3,"C",4,"C+",5,"B",6,"B+",7,"A",8,"A+",9,"S",10)*0.3+_xlfn.SWITCH(F191,"F",0,"E",1,"D",2,"D+",3,"C",4,"C+",5,"B",6,"B+",7,"A",8,"A+",9,"S",10)*0.2,"")</f>
        <v>5.7</v>
      </c>
      <c r="I191" s="473" t="s">
        <v>5106</v>
      </c>
    </row>
    <row r="192" spans="1:9">
      <c r="A192" s="445" t="s">
        <v>1093</v>
      </c>
      <c r="B192" s="474" t="s">
        <v>1094</v>
      </c>
      <c r="C192" s="445" t="s">
        <v>1562</v>
      </c>
      <c r="D192" s="445"/>
      <c r="E192" s="445"/>
      <c r="F192" s="445"/>
      <c r="G192" s="445" t="str">
        <f>IF(AND(ISNUMBER(MATCH(D192,{"F","E","D","D+","C","C+","B","B+","A","A+","S"},0)),ISNUMBER(MATCH(E192,{"F","E","D","D+","C","C+","B","B+","A","A+","S"},0)),ISNUMBER(MATCH(F192,{"F","E","D","D+","C","C+","B","B+","A","A+","S"},0))),LOOKUP(AVERAGE(_xlfn.SWITCH(D192,"F",0,"E",10,"D",20,"D+",30,"C",40,"C+",50,"B",60,"B+",70,"A",80,"A+",90,"S",100),_xlfn.SWITCH(E192,"F",0,"E",10,"D",20,"D+",30,"C",40,"C+",50,"B",60,"B+",70,"A",80,"A+",90,"S",100),_xlfn.SWITCH(F192,"F",0,"E",10,"D",20,"D+",30,"C",40,"C+",50,"B",60,"B+",70,"A",80,"A+",90,"S",100)),{0,15,25,35,45,55,65,75,85,95},{"D","D","D+","C","C+","B","B+","A","A+","S"}),"?")</f>
        <v>?</v>
      </c>
      <c r="H192" s="447" t="str">
        <f>IF(AND(ISNUMBER(MATCH(C192,{"F","E","D","D+","C","C+","B","B+","A","A+","S"},0)),ISNUMBER(MATCH(D192,{"F","E","D","D+","C","C+","B","B+","A","A+","S"},0)),ISNUMBER(MATCH(E192,{"F","E","D","D+","C","C+","B","B+","A","A+","S"},0)),ISNUMBER(MATCH(F192,{"F","E","D","D+","C","C+","B","B+","A","A+","S"},0))),_xlfn.SWITCH(C192,"F",0,"E",1,"D",2,"D+",3,"C",4,"C+",5,"B",6,"B+",7,"A",8,"A+",9,"S",10)*0.1+_xlfn.SWITCH(D192,"F",0,"E",1,"D",2,"D+",3,"C",4,"C+",5,"B",6,"B+",7,"A",8,"A+",9,"S",10)*0.4+_xlfn.SWITCH(E192,"F",0,"E",1,"D",2,"D+",3,"C",4,"C+",5,"B",6,"B+",7,"A",8,"A+",9,"S",10)*0.3+_xlfn.SWITCH(F192,"F",0,"E",1,"D",2,"D+",3,"C",4,"C+",5,"B",6,"B+",7,"A",8,"A+",9,"S",10)*0.2,"")</f>
        <v/>
      </c>
      <c r="I192" s="473"/>
    </row>
    <row r="193" spans="1:9">
      <c r="A193" s="445" t="s">
        <v>853</v>
      </c>
      <c r="B193" s="478" t="s">
        <v>854</v>
      </c>
      <c r="C193" s="445" t="s">
        <v>1567</v>
      </c>
      <c r="D193" s="445" t="s">
        <v>28</v>
      </c>
      <c r="E193" s="445" t="s">
        <v>28</v>
      </c>
      <c r="F193" s="445" t="s">
        <v>1567</v>
      </c>
      <c r="G193" s="445" t="str">
        <f>IF(AND(ISNUMBER(MATCH(D193,{"F","E","D","D+","C","C+","B","B+","A","A+","S"},0)),ISNUMBER(MATCH(E193,{"F","E","D","D+","C","C+","B","B+","A","A+","S"},0)),ISNUMBER(MATCH(F193,{"F","E","D","D+","C","C+","B","B+","A","A+","S"},0))),LOOKUP(AVERAGE(_xlfn.SWITCH(D193,"F",0,"E",10,"D",20,"D+",30,"C",40,"C+",50,"B",60,"B+",70,"A",80,"A+",90,"S",100),_xlfn.SWITCH(E193,"F",0,"E",10,"D",20,"D+",30,"C",40,"C+",50,"B",60,"B+",70,"A",80,"A+",90,"S",100),_xlfn.SWITCH(F193,"F",0,"E",10,"D",20,"D+",30,"C",40,"C+",50,"B",60,"B+",70,"A",80,"A+",90,"S",100)),{0,15,25,35,45,55,65,75,85,95},{"D","D","D+","C","C+","B","B+","A","A+","S"}),"?")</f>
        <v>A</v>
      </c>
      <c r="H193" s="447">
        <f>IF(AND(ISNUMBER(MATCH(C193,{"F","E","D","D+","C","C+","B","B+","A","A+","S"},0)),ISNUMBER(MATCH(D193,{"F","E","D","D+","C","C+","B","B+","A","A+","S"},0)),ISNUMBER(MATCH(E193,{"F","E","D","D+","C","C+","B","B+","A","A+","S"},0)),ISNUMBER(MATCH(F193,{"F","E","D","D+","C","C+","B","B+","A","A+","S"},0))),_xlfn.SWITCH(C193,"F",0,"E",1,"D",2,"D+",3,"C",4,"C+",5,"B",6,"B+",7,"A",8,"A+",9,"S",10)*0.1+_xlfn.SWITCH(D193,"F",0,"E",1,"D",2,"D+",3,"C",4,"C+",5,"B",6,"B+",7,"A",8,"A+",9,"S",10)*0.4+_xlfn.SWITCH(E193,"F",0,"E",1,"D",2,"D+",3,"C",4,"C+",5,"B",6,"B+",7,"A",8,"A+",9,"S",10)*0.3+_xlfn.SWITCH(F193,"F",0,"E",1,"D",2,"D+",3,"C",4,"C+",5,"B",6,"B+",7,"A",8,"A+",9,"S",10)*0.2,"")</f>
        <v>8.4</v>
      </c>
      <c r="I193" s="473" t="s">
        <v>5107</v>
      </c>
    </row>
    <row r="194" spans="1:9" ht="34">
      <c r="A194" s="445" t="s">
        <v>725</v>
      </c>
      <c r="B194" s="478" t="s">
        <v>726</v>
      </c>
      <c r="C194" s="445" t="s">
        <v>18</v>
      </c>
      <c r="D194" s="445" t="s">
        <v>1567</v>
      </c>
      <c r="E194" s="445" t="s">
        <v>21</v>
      </c>
      <c r="F194" s="445" t="s">
        <v>1567</v>
      </c>
      <c r="G194" s="445" t="str">
        <f>IF(AND(ISNUMBER(MATCH(D194,{"F","E","D","D+","C","C+","B","B+","A","A+","S"},0)),ISNUMBER(MATCH(E194,{"F","E","D","D+","C","C+","B","B+","A","A+","S"},0)),ISNUMBER(MATCH(F194,{"F","E","D","D+","C","C+","B","B+","A","A+","S"},0))),LOOKUP(AVERAGE(_xlfn.SWITCH(D194,"F",0,"E",10,"D",20,"D+",30,"C",40,"C+",50,"B",60,"B+",70,"A",80,"A+",90,"S",100),_xlfn.SWITCH(E194,"F",0,"E",10,"D",20,"D+",30,"C",40,"C+",50,"B",60,"B+",70,"A",80,"A+",90,"S",100),_xlfn.SWITCH(F194,"F",0,"E",10,"D",20,"D+",30,"C",40,"C+",50,"B",60,"B+",70,"A",80,"A+",90,"S",100)),{0,15,25,35,45,55,65,75,85,95},{"D","D","D+","C","C+","B","B+","A","A+","S"}),"?")</f>
        <v>B+</v>
      </c>
      <c r="H194" s="447">
        <f>IF(AND(ISNUMBER(MATCH(C194,{"F","E","D","D+","C","C+","B","B+","A","A+","S"},0)),ISNUMBER(MATCH(D194,{"F","E","D","D+","C","C+","B","B+","A","A+","S"},0)),ISNUMBER(MATCH(E194,{"F","E","D","D+","C","C+","B","B+","A","A+","S"},0)),ISNUMBER(MATCH(F194,{"F","E","D","D+","C","C+","B","B+","A","A+","S"},0))),_xlfn.SWITCH(C194,"F",0,"E",1,"D",2,"D+",3,"C",4,"C+",5,"B",6,"B+",7,"A",8,"A+",9,"S",10)*0.1+_xlfn.SWITCH(D194,"F",0,"E",1,"D",2,"D+",3,"C",4,"C+",5,"B",6,"B+",7,"A",8,"A+",9,"S",10)*0.4+_xlfn.SWITCH(E194,"F",0,"E",1,"D",2,"D+",3,"C",4,"C+",5,"B",6,"B+",7,"A",8,"A+",9,"S",10)*0.3+_xlfn.SWITCH(F194,"F",0,"E",1,"D",2,"D+",3,"C",4,"C+",5,"B",6,"B+",7,"A",8,"A+",9,"S",10)*0.2,"")</f>
        <v>7.2000000000000011</v>
      </c>
      <c r="I194" s="475" t="s">
        <v>5108</v>
      </c>
    </row>
    <row r="195" spans="1:9">
      <c r="A195" s="445" t="s">
        <v>731</v>
      </c>
      <c r="B195" s="477" t="s">
        <v>732</v>
      </c>
      <c r="C195" s="445" t="s">
        <v>17</v>
      </c>
      <c r="D195" s="445" t="s">
        <v>17</v>
      </c>
      <c r="E195" s="445" t="s">
        <v>17</v>
      </c>
      <c r="F195" s="445" t="s">
        <v>17</v>
      </c>
      <c r="G195" s="445" t="str">
        <f>IF(AND(ISNUMBER(MATCH(D195,{"F","E","D","D+","C","C+","B","B+","A","A+","S"},0)),ISNUMBER(MATCH(E195,{"F","E","D","D+","C","C+","B","B+","A","A+","S"},0)),ISNUMBER(MATCH(F195,{"F","E","D","D+","C","C+","B","B+","A","A+","S"},0))),LOOKUP(AVERAGE(_xlfn.SWITCH(D195,"F",0,"E",10,"D",20,"D+",30,"C",40,"C+",50,"B",60,"B+",70,"A",80,"A+",90,"S",100),_xlfn.SWITCH(E195,"F",0,"E",10,"D",20,"D+",30,"C",40,"C+",50,"B",60,"B+",70,"A",80,"A+",90,"S",100),_xlfn.SWITCH(F195,"F",0,"E",10,"D",20,"D+",30,"C",40,"C+",50,"B",60,"B+",70,"A",80,"A+",90,"S",100)),{0,15,25,35,45,55,65,75,85,95},{"D","D","D+","C","C+","B","B+","A","A+","S"}),"?")</f>
        <v>S</v>
      </c>
      <c r="H195" s="447">
        <f>IF(AND(ISNUMBER(MATCH(C195,{"F","E","D","D+","C","C+","B","B+","A","A+","S"},0)),ISNUMBER(MATCH(D195,{"F","E","D","D+","C","C+","B","B+","A","A+","S"},0)),ISNUMBER(MATCH(E195,{"F","E","D","D+","C","C+","B","B+","A","A+","S"},0)),ISNUMBER(MATCH(F195,{"F","E","D","D+","C","C+","B","B+","A","A+","S"},0))),_xlfn.SWITCH(C195,"F",0,"E",1,"D",2,"D+",3,"C",4,"C+",5,"B",6,"B+",7,"A",8,"A+",9,"S",10)*0.1+_xlfn.SWITCH(D195,"F",0,"E",1,"D",2,"D+",3,"C",4,"C+",5,"B",6,"B+",7,"A",8,"A+",9,"S",10)*0.4+_xlfn.SWITCH(E195,"F",0,"E",1,"D",2,"D+",3,"C",4,"C+",5,"B",6,"B+",7,"A",8,"A+",9,"S",10)*0.3+_xlfn.SWITCH(F195,"F",0,"E",1,"D",2,"D+",3,"C",4,"C+",5,"B",6,"B+",7,"A",8,"A+",9,"S",10)*0.2,"")</f>
        <v>10</v>
      </c>
      <c r="I195" s="473" t="s">
        <v>5109</v>
      </c>
    </row>
    <row r="196" spans="1:9">
      <c r="A196" s="445" t="s">
        <v>1113</v>
      </c>
      <c r="B196" s="474" t="s">
        <v>1114</v>
      </c>
      <c r="C196" s="445" t="s">
        <v>18</v>
      </c>
      <c r="D196" s="445" t="s">
        <v>18</v>
      </c>
      <c r="E196" s="445" t="s">
        <v>1562</v>
      </c>
      <c r="F196" s="445" t="s">
        <v>18</v>
      </c>
      <c r="G196" s="445" t="str">
        <f>IF(AND(ISNUMBER(MATCH(D196,{"F","E","D","D+","C","C+","B","B+","A","A+","S"},0)),ISNUMBER(MATCH(E196,{"F","E","D","D+","C","C+","B","B+","A","A+","S"},0)),ISNUMBER(MATCH(F196,{"F","E","D","D+","C","C+","B","B+","A","A+","S"},0))),LOOKUP(AVERAGE(_xlfn.SWITCH(D196,"F",0,"E",10,"D",20,"D+",30,"C",40,"C+",50,"B",60,"B+",70,"A",80,"A+",90,"S",100),_xlfn.SWITCH(E196,"F",0,"E",10,"D",20,"D+",30,"C",40,"C+",50,"B",60,"B+",70,"A",80,"A+",90,"S",100),_xlfn.SWITCH(F196,"F",0,"E",10,"D",20,"D+",30,"C",40,"C+",50,"B",60,"B+",70,"A",80,"A+",90,"S",100)),{0,15,25,35,45,55,65,75,85,95},{"D","D","D+","C","C+","B","B+","A","A+","S"}),"?")</f>
        <v>B</v>
      </c>
      <c r="H196" s="447">
        <f>IF(AND(ISNUMBER(MATCH(C196,{"F","E","D","D+","C","C+","B","B+","A","A+","S"},0)),ISNUMBER(MATCH(D196,{"F","E","D","D+","C","C+","B","B+","A","A+","S"},0)),ISNUMBER(MATCH(E196,{"F","E","D","D+","C","C+","B","B+","A","A+","S"},0)),ISNUMBER(MATCH(F196,{"F","E","D","D+","C","C+","B","B+","A","A+","S"},0))),_xlfn.SWITCH(C196,"F",0,"E",1,"D",2,"D+",3,"C",4,"C+",5,"B",6,"B+",7,"A",8,"A+",9,"S",10)*0.1+_xlfn.SWITCH(D196,"F",0,"E",1,"D",2,"D+",3,"C",4,"C+",5,"B",6,"B+",7,"A",8,"A+",9,"S",10)*0.4+_xlfn.SWITCH(E196,"F",0,"E",1,"D",2,"D+",3,"C",4,"C+",5,"B",6,"B+",7,"A",8,"A+",9,"S",10)*0.3+_xlfn.SWITCH(F196,"F",0,"E",1,"D",2,"D+",3,"C",4,"C+",5,"B",6,"B+",7,"A",8,"A+",9,"S",10)*0.2,"")</f>
        <v>5.7</v>
      </c>
      <c r="I196" s="473" t="s">
        <v>5110</v>
      </c>
    </row>
    <row r="197" spans="1:9" ht="34">
      <c r="A197" s="445" t="s">
        <v>642</v>
      </c>
      <c r="B197" s="478" t="s">
        <v>643</v>
      </c>
      <c r="C197" s="445" t="s">
        <v>21</v>
      </c>
      <c r="D197" s="445" t="s">
        <v>28</v>
      </c>
      <c r="E197" s="445" t="s">
        <v>28</v>
      </c>
      <c r="F197" s="445" t="s">
        <v>17</v>
      </c>
      <c r="G197" s="445" t="str">
        <f>IF(AND(ISNUMBER(MATCH(D197,{"F","E","D","D+","C","C+","B","B+","A","A+","S"},0)),ISNUMBER(MATCH(E197,{"F","E","D","D+","C","C+","B","B+","A","A+","S"},0)),ISNUMBER(MATCH(F197,{"F","E","D","D+","C","C+","B","B+","A","A+","S"},0))),LOOKUP(AVERAGE(_xlfn.SWITCH(D197,"F",0,"E",10,"D",20,"D+",30,"C",40,"C+",50,"B",60,"B+",70,"A",80,"A+",90,"S",100),_xlfn.SWITCH(E197,"F",0,"E",10,"D",20,"D+",30,"C",40,"C+",50,"B",60,"B+",70,"A",80,"A+",90,"S",100),_xlfn.SWITCH(F197,"F",0,"E",10,"D",20,"D+",30,"C",40,"C+",50,"B",60,"B+",70,"A",80,"A+",90,"S",100)),{0,15,25,35,45,55,65,75,85,95},{"D","D","D+","C","C+","B","B+","A","A+","S"}),"?")</f>
        <v>A+</v>
      </c>
      <c r="H197" s="447">
        <f>IF(AND(ISNUMBER(MATCH(C197,{"F","E","D","D+","C","C+","B","B+","A","A+","S"},0)),ISNUMBER(MATCH(D197,{"F","E","D","D+","C","C+","B","B+","A","A+","S"},0)),ISNUMBER(MATCH(E197,{"F","E","D","D+","C","C+","B","B+","A","A+","S"},0)),ISNUMBER(MATCH(F197,{"F","E","D","D+","C","C+","B","B+","A","A+","S"},0))),_xlfn.SWITCH(C197,"F",0,"E",1,"D",2,"D+",3,"C",4,"C+",5,"B",6,"B+",7,"A",8,"A+",9,"S",10)*0.1+_xlfn.SWITCH(D197,"F",0,"E",1,"D",2,"D+",3,"C",4,"C+",5,"B",6,"B+",7,"A",8,"A+",9,"S",10)*0.4+_xlfn.SWITCH(E197,"F",0,"E",1,"D",2,"D+",3,"C",4,"C+",5,"B",6,"B+",7,"A",8,"A+",9,"S",10)*0.3+_xlfn.SWITCH(F197,"F",0,"E",1,"D",2,"D+",3,"C",4,"C+",5,"B",6,"B+",7,"A",8,"A+",9,"S",10)*0.2,"")</f>
        <v>9.1</v>
      </c>
      <c r="I197" s="475" t="s">
        <v>5111</v>
      </c>
    </row>
    <row r="198" spans="1:9">
      <c r="A198" s="445" t="s">
        <v>1125</v>
      </c>
      <c r="B198" s="474" t="s">
        <v>1126</v>
      </c>
      <c r="C198" s="445" t="s">
        <v>1661</v>
      </c>
      <c r="D198" s="445"/>
      <c r="E198" s="445"/>
      <c r="F198" s="445"/>
      <c r="G198" s="445" t="str">
        <f>IF(AND(ISNUMBER(MATCH(D198,{"F","E","D","D+","C","C+","B","B+","A","A+","S"},0)),ISNUMBER(MATCH(E198,{"F","E","D","D+","C","C+","B","B+","A","A+","S"},0)),ISNUMBER(MATCH(F198,{"F","E","D","D+","C","C+","B","B+","A","A+","S"},0))),LOOKUP(AVERAGE(_xlfn.SWITCH(D198,"F",0,"E",10,"D",20,"D+",30,"C",40,"C+",50,"B",60,"B+",70,"A",80,"A+",90,"S",100),_xlfn.SWITCH(E198,"F",0,"E",10,"D",20,"D+",30,"C",40,"C+",50,"B",60,"B+",70,"A",80,"A+",90,"S",100),_xlfn.SWITCH(F198,"F",0,"E",10,"D",20,"D+",30,"C",40,"C+",50,"B",60,"B+",70,"A",80,"A+",90,"S",100)),{0,15,25,35,45,55,65,75,85,95},{"D","D","D+","C","C+","B","B+","A","A+","S"}),"?")</f>
        <v>?</v>
      </c>
      <c r="H198" s="447" t="str">
        <f>IF(AND(ISNUMBER(MATCH(C198,{"F","E","D","D+","C","C+","B","B+","A","A+","S"},0)),ISNUMBER(MATCH(D198,{"F","E","D","D+","C","C+","B","B+","A","A+","S"},0)),ISNUMBER(MATCH(E198,{"F","E","D","D+","C","C+","B","B+","A","A+","S"},0)),ISNUMBER(MATCH(F198,{"F","E","D","D+","C","C+","B","B+","A","A+","S"},0))),_xlfn.SWITCH(C198,"F",0,"E",1,"D",2,"D+",3,"C",4,"C+",5,"B",6,"B+",7,"A",8,"A+",9,"S",10)*0.1+_xlfn.SWITCH(D198,"F",0,"E",1,"D",2,"D+",3,"C",4,"C+",5,"B",6,"B+",7,"A",8,"A+",9,"S",10)*0.4+_xlfn.SWITCH(E198,"F",0,"E",1,"D",2,"D+",3,"C",4,"C+",5,"B",6,"B+",7,"A",8,"A+",9,"S",10)*0.3+_xlfn.SWITCH(F198,"F",0,"E",1,"D",2,"D+",3,"C",4,"C+",5,"B",6,"B+",7,"A",8,"A+",9,"S",10)*0.2,"")</f>
        <v/>
      </c>
      <c r="I198" s="473" t="s">
        <v>5112</v>
      </c>
    </row>
    <row r="199" spans="1:9" ht="34">
      <c r="A199" s="445" t="s">
        <v>1132</v>
      </c>
      <c r="B199" s="474" t="s">
        <v>1133</v>
      </c>
      <c r="C199" s="445" t="s">
        <v>18</v>
      </c>
      <c r="D199" s="445" t="s">
        <v>18</v>
      </c>
      <c r="E199" s="445" t="s">
        <v>18</v>
      </c>
      <c r="F199" s="445" t="s">
        <v>1567</v>
      </c>
      <c r="G199" s="445" t="str">
        <f>IF(AND(ISNUMBER(MATCH(D199,{"F","E","D","D+","C","C+","B","B+","A","A+","S"},0)),ISNUMBER(MATCH(E199,{"F","E","D","D+","C","C+","B","B+","A","A+","S"},0)),ISNUMBER(MATCH(F199,{"F","E","D","D+","C","C+","B","B+","A","A+","S"},0))),LOOKUP(AVERAGE(_xlfn.SWITCH(D199,"F",0,"E",10,"D",20,"D+",30,"C",40,"C+",50,"B",60,"B+",70,"A",80,"A+",90,"S",100),_xlfn.SWITCH(E199,"F",0,"E",10,"D",20,"D+",30,"C",40,"C+",50,"B",60,"B+",70,"A",80,"A+",90,"S",100),_xlfn.SWITCH(F199,"F",0,"E",10,"D",20,"D+",30,"C",40,"C+",50,"B",60,"B+",70,"A",80,"A+",90,"S",100)),{0,15,25,35,45,55,65,75,85,95},{"D","D","D+","C","C+","B","B+","A","A+","S"}),"?")</f>
        <v>B</v>
      </c>
      <c r="H199" s="447">
        <f>IF(AND(ISNUMBER(MATCH(C199,{"F","E","D","D+","C","C+","B","B+","A","A+","S"},0)),ISNUMBER(MATCH(D199,{"F","E","D","D+","C","C+","B","B+","A","A+","S"},0)),ISNUMBER(MATCH(E199,{"F","E","D","D+","C","C+","B","B+","A","A+","S"},0)),ISNUMBER(MATCH(F199,{"F","E","D","D+","C","C+","B","B+","A","A+","S"},0))),_xlfn.SWITCH(C199,"F",0,"E",1,"D",2,"D+",3,"C",4,"C+",5,"B",6,"B+",7,"A",8,"A+",9,"S",10)*0.1+_xlfn.SWITCH(D199,"F",0,"E",1,"D",2,"D+",3,"C",4,"C+",5,"B",6,"B+",7,"A",8,"A+",9,"S",10)*0.4+_xlfn.SWITCH(E199,"F",0,"E",1,"D",2,"D+",3,"C",4,"C+",5,"B",6,"B+",7,"A",8,"A+",9,"S",10)*0.3+_xlfn.SWITCH(F199,"F",0,"E",1,"D",2,"D+",3,"C",4,"C+",5,"B",6,"B+",7,"A",8,"A+",9,"S",10)*0.2,"")</f>
        <v>6.2000000000000011</v>
      </c>
      <c r="I199" s="475" t="s">
        <v>5113</v>
      </c>
    </row>
    <row r="200" spans="1:9">
      <c r="A200" s="445" t="s">
        <v>1139</v>
      </c>
      <c r="B200" s="474" t="s">
        <v>1140</v>
      </c>
      <c r="C200" s="445" t="s">
        <v>1562</v>
      </c>
      <c r="D200" s="445"/>
      <c r="E200" s="445"/>
      <c r="F200" s="445"/>
      <c r="G200" s="445" t="str">
        <f>IF(AND(ISNUMBER(MATCH(D200,{"F","E","D","D+","C","C+","B","B+","A","A+","S"},0)),ISNUMBER(MATCH(E200,{"F","E","D","D+","C","C+","B","B+","A","A+","S"},0)),ISNUMBER(MATCH(F200,{"F","E","D","D+","C","C+","B","B+","A","A+","S"},0))),LOOKUP(AVERAGE(_xlfn.SWITCH(D200,"F",0,"E",10,"D",20,"D+",30,"C",40,"C+",50,"B",60,"B+",70,"A",80,"A+",90,"S",100),_xlfn.SWITCH(E200,"F",0,"E",10,"D",20,"D+",30,"C",40,"C+",50,"B",60,"B+",70,"A",80,"A+",90,"S",100),_xlfn.SWITCH(F200,"F",0,"E",10,"D",20,"D+",30,"C",40,"C+",50,"B",60,"B+",70,"A",80,"A+",90,"S",100)),{0,15,25,35,45,55,65,75,85,95},{"D","D","D+","C","C+","B","B+","A","A+","S"}),"?")</f>
        <v>?</v>
      </c>
      <c r="H200" s="447" t="str">
        <f>IF(AND(ISNUMBER(MATCH(C200,{"F","E","D","D+","C","C+","B","B+","A","A+","S"},0)),ISNUMBER(MATCH(D200,{"F","E","D","D+","C","C+","B","B+","A","A+","S"},0)),ISNUMBER(MATCH(E200,{"F","E","D","D+","C","C+","B","B+","A","A+","S"},0)),ISNUMBER(MATCH(F200,{"F","E","D","D+","C","C+","B","B+","A","A+","S"},0))),_xlfn.SWITCH(C200,"F",0,"E",1,"D",2,"D+",3,"C",4,"C+",5,"B",6,"B+",7,"A",8,"A+",9,"S",10)*0.1+_xlfn.SWITCH(D200,"F",0,"E",1,"D",2,"D+",3,"C",4,"C+",5,"B",6,"B+",7,"A",8,"A+",9,"S",10)*0.4+_xlfn.SWITCH(E200,"F",0,"E",1,"D",2,"D+",3,"C",4,"C+",5,"B",6,"B+",7,"A",8,"A+",9,"S",10)*0.3+_xlfn.SWITCH(F200,"F",0,"E",1,"D",2,"D+",3,"C",4,"C+",5,"B",6,"B+",7,"A",8,"A+",9,"S",10)*0.2,"")</f>
        <v/>
      </c>
      <c r="I200" s="473"/>
    </row>
    <row r="201" spans="1:9">
      <c r="A201" s="445" t="s">
        <v>600</v>
      </c>
      <c r="B201" s="478" t="s">
        <v>601</v>
      </c>
      <c r="C201" s="445" t="s">
        <v>28</v>
      </c>
      <c r="D201" s="445" t="s">
        <v>28</v>
      </c>
      <c r="E201" s="445" t="s">
        <v>28</v>
      </c>
      <c r="F201" s="445" t="s">
        <v>18</v>
      </c>
      <c r="G201" s="445" t="str">
        <f>IF(AND(ISNUMBER(MATCH(D201,{"F","E","D","D+","C","C+","B","B+","A","A+","S"},0)),ISNUMBER(MATCH(E201,{"F","E","D","D+","C","C+","B","B+","A","A+","S"},0)),ISNUMBER(MATCH(F201,{"F","E","D","D+","C","C+","B","B+","A","A+","S"},0))),LOOKUP(AVERAGE(_xlfn.SWITCH(D201,"F",0,"E",10,"D",20,"D+",30,"C",40,"C+",50,"B",60,"B+",70,"A",80,"A+",90,"S",100),_xlfn.SWITCH(E201,"F",0,"E",10,"D",20,"D+",30,"C",40,"C+",50,"B",60,"B+",70,"A",80,"A+",90,"S",100),_xlfn.SWITCH(F201,"F",0,"E",10,"D",20,"D+",30,"C",40,"C+",50,"B",60,"B+",70,"A",80,"A+",90,"S",100)),{0,15,25,35,45,55,65,75,85,95},{"D","D","D+","C","C+","B","B+","A","A+","S"}),"?")</f>
        <v>A</v>
      </c>
      <c r="H201" s="447">
        <f>IF(AND(ISNUMBER(MATCH(C201,{"F","E","D","D+","C","C+","B","B+","A","A+","S"},0)),ISNUMBER(MATCH(D201,{"F","E","D","D+","C","C+","B","B+","A","A+","S"},0)),ISNUMBER(MATCH(E201,{"F","E","D","D+","C","C+","B","B+","A","A+","S"},0)),ISNUMBER(MATCH(F201,{"F","E","D","D+","C","C+","B","B+","A","A+","S"},0))),_xlfn.SWITCH(C201,"F",0,"E",1,"D",2,"D+",3,"C",4,"C+",5,"B",6,"B+",7,"A",8,"A+",9,"S",10)*0.1+_xlfn.SWITCH(D201,"F",0,"E",1,"D",2,"D+",3,"C",4,"C+",5,"B",6,"B+",7,"A",8,"A+",9,"S",10)*0.4+_xlfn.SWITCH(E201,"F",0,"E",1,"D",2,"D+",3,"C",4,"C+",5,"B",6,"B+",7,"A",8,"A+",9,"S",10)*0.3+_xlfn.SWITCH(F201,"F",0,"E",1,"D",2,"D+",3,"C",4,"C+",5,"B",6,"B+",7,"A",8,"A+",9,"S",10)*0.2,"")</f>
        <v>8.3999999999999986</v>
      </c>
      <c r="I201" s="473" t="s">
        <v>5114</v>
      </c>
    </row>
    <row r="202" spans="1:9">
      <c r="A202" s="445" t="s">
        <v>1150</v>
      </c>
      <c r="B202" s="474" t="s">
        <v>1151</v>
      </c>
      <c r="C202" s="445" t="s">
        <v>1562</v>
      </c>
      <c r="D202" s="445"/>
      <c r="E202" s="445"/>
      <c r="F202" s="445"/>
      <c r="G202" s="445" t="str">
        <f>IF(AND(ISNUMBER(MATCH(D202,{"F","E","D","D+","C","C+","B","B+","A","A+","S"},0)),ISNUMBER(MATCH(E202,{"F","E","D","D+","C","C+","B","B+","A","A+","S"},0)),ISNUMBER(MATCH(F202,{"F","E","D","D+","C","C+","B","B+","A","A+","S"},0))),LOOKUP(AVERAGE(_xlfn.SWITCH(D202,"F",0,"E",10,"D",20,"D+",30,"C",40,"C+",50,"B",60,"B+",70,"A",80,"A+",90,"S",100),_xlfn.SWITCH(E202,"F",0,"E",10,"D",20,"D+",30,"C",40,"C+",50,"B",60,"B+",70,"A",80,"A+",90,"S",100),_xlfn.SWITCH(F202,"F",0,"E",10,"D",20,"D+",30,"C",40,"C+",50,"B",60,"B+",70,"A",80,"A+",90,"S",100)),{0,15,25,35,45,55,65,75,85,95},{"D","D","D+","C","C+","B","B+","A","A+","S"}),"?")</f>
        <v>?</v>
      </c>
      <c r="H202" s="447" t="str">
        <f>IF(AND(ISNUMBER(MATCH(C202,{"F","E","D","D+","C","C+","B","B+","A","A+","S"},0)),ISNUMBER(MATCH(D202,{"F","E","D","D+","C","C+","B","B+","A","A+","S"},0)),ISNUMBER(MATCH(E202,{"F","E","D","D+","C","C+","B","B+","A","A+","S"},0)),ISNUMBER(MATCH(F202,{"F","E","D","D+","C","C+","B","B+","A","A+","S"},0))),_xlfn.SWITCH(C202,"F",0,"E",1,"D",2,"D+",3,"C",4,"C+",5,"B",6,"B+",7,"A",8,"A+",9,"S",10)*0.1+_xlfn.SWITCH(D202,"F",0,"E",1,"D",2,"D+",3,"C",4,"C+",5,"B",6,"B+",7,"A",8,"A+",9,"S",10)*0.4+_xlfn.SWITCH(E202,"F",0,"E",1,"D",2,"D+",3,"C",4,"C+",5,"B",6,"B+",7,"A",8,"A+",9,"S",10)*0.3+_xlfn.SWITCH(F202,"F",0,"E",1,"D",2,"D+",3,"C",4,"C+",5,"B",6,"B+",7,"A",8,"A+",9,"S",10)*0.2,"")</f>
        <v/>
      </c>
      <c r="I202" s="473"/>
    </row>
    <row r="203" spans="1:9">
      <c r="A203" s="445" t="s">
        <v>637</v>
      </c>
      <c r="B203" s="478" t="s">
        <v>638</v>
      </c>
      <c r="C203" s="445" t="s">
        <v>21</v>
      </c>
      <c r="D203" s="445" t="s">
        <v>1567</v>
      </c>
      <c r="E203" s="445" t="s">
        <v>21</v>
      </c>
      <c r="F203" s="445" t="s">
        <v>1562</v>
      </c>
      <c r="G203" s="445" t="str">
        <f>IF(AND(ISNUMBER(MATCH(D203,{"F","E","D","D+","C","C+","B","B+","A","A+","S"},0)),ISNUMBER(MATCH(E203,{"F","E","D","D+","C","C+","B","B+","A","A+","S"},0)),ISNUMBER(MATCH(F203,{"F","E","D","D+","C","C+","B","B+","A","A+","S"},0))),LOOKUP(AVERAGE(_xlfn.SWITCH(D203,"F",0,"E",10,"D",20,"D+",30,"C",40,"C+",50,"B",60,"B+",70,"A",80,"A+",90,"S",100),_xlfn.SWITCH(E203,"F",0,"E",10,"D",20,"D+",30,"C",40,"C+",50,"B",60,"B+",70,"A",80,"A+",90,"S",100),_xlfn.SWITCH(F203,"F",0,"E",10,"D",20,"D+",30,"C",40,"C+",50,"B",60,"B+",70,"A",80,"A+",90,"S",100)),{0,15,25,35,45,55,65,75,85,95},{"D","D","D+","C","C+","B","B+","A","A+","S"}),"?")</f>
        <v>B+</v>
      </c>
      <c r="H203" s="447">
        <f>IF(AND(ISNUMBER(MATCH(C203,{"F","E","D","D+","C","C+","B","B+","A","A+","S"},0)),ISNUMBER(MATCH(D203,{"F","E","D","D+","C","C+","B","B+","A","A+","S"},0)),ISNUMBER(MATCH(E203,{"F","E","D","D+","C","C+","B","B+","A","A+","S"},0)),ISNUMBER(MATCH(F203,{"F","E","D","D+","C","C+","B","B+","A","A+","S"},0))),_xlfn.SWITCH(C203,"F",0,"E",1,"D",2,"D+",3,"C",4,"C+",5,"B",6,"B+",7,"A",8,"A+",9,"S",10)*0.1+_xlfn.SWITCH(D203,"F",0,"E",1,"D",2,"D+",3,"C",4,"C+",5,"B",6,"B+",7,"A",8,"A+",9,"S",10)*0.4+_xlfn.SWITCH(E203,"F",0,"E",1,"D",2,"D+",3,"C",4,"C+",5,"B",6,"B+",7,"A",8,"A+",9,"S",10)*0.3+_xlfn.SWITCH(F203,"F",0,"E",1,"D",2,"D+",3,"C",4,"C+",5,"B",6,"B+",7,"A",8,"A+",9,"S",10)*0.2,"")</f>
        <v>7</v>
      </c>
      <c r="I203" s="473" t="s">
        <v>5115</v>
      </c>
    </row>
    <row r="204" spans="1:9">
      <c r="A204" s="445" t="s">
        <v>1160</v>
      </c>
      <c r="B204" s="474" t="s">
        <v>1161</v>
      </c>
      <c r="C204" s="445" t="s">
        <v>1562</v>
      </c>
      <c r="D204" s="445"/>
      <c r="E204" s="445"/>
      <c r="F204" s="445"/>
      <c r="G204" s="445" t="str">
        <f>IF(AND(ISNUMBER(MATCH(D204,{"F","E","D","D+","C","C+","B","B+","A","A+","S"},0)),ISNUMBER(MATCH(E204,{"F","E","D","D+","C","C+","B","B+","A","A+","S"},0)),ISNUMBER(MATCH(F204,{"F","E","D","D+","C","C+","B","B+","A","A+","S"},0))),LOOKUP(AVERAGE(_xlfn.SWITCH(D204,"F",0,"E",10,"D",20,"D+",30,"C",40,"C+",50,"B",60,"B+",70,"A",80,"A+",90,"S",100),_xlfn.SWITCH(E204,"F",0,"E",10,"D",20,"D+",30,"C",40,"C+",50,"B",60,"B+",70,"A",80,"A+",90,"S",100),_xlfn.SWITCH(F204,"F",0,"E",10,"D",20,"D+",30,"C",40,"C+",50,"B",60,"B+",70,"A",80,"A+",90,"S",100)),{0,15,25,35,45,55,65,75,85,95},{"D","D","D+","C","C+","B","B+","A","A+","S"}),"?")</f>
        <v>?</v>
      </c>
      <c r="H204" s="447" t="str">
        <f>IF(AND(ISNUMBER(MATCH(C204,{"F","E","D","D+","C","C+","B","B+","A","A+","S"},0)),ISNUMBER(MATCH(D204,{"F","E","D","D+","C","C+","B","B+","A","A+","S"},0)),ISNUMBER(MATCH(E204,{"F","E","D","D+","C","C+","B","B+","A","A+","S"},0)),ISNUMBER(MATCH(F204,{"F","E","D","D+","C","C+","B","B+","A","A+","S"},0))),_xlfn.SWITCH(C204,"F",0,"E",1,"D",2,"D+",3,"C",4,"C+",5,"B",6,"B+",7,"A",8,"A+",9,"S",10)*0.1+_xlfn.SWITCH(D204,"F",0,"E",1,"D",2,"D+",3,"C",4,"C+",5,"B",6,"B+",7,"A",8,"A+",9,"S",10)*0.4+_xlfn.SWITCH(E204,"F",0,"E",1,"D",2,"D+",3,"C",4,"C+",5,"B",6,"B+",7,"A",8,"A+",9,"S",10)*0.3+_xlfn.SWITCH(F204,"F",0,"E",1,"D",2,"D+",3,"C",4,"C+",5,"B",6,"B+",7,"A",8,"A+",9,"S",10)*0.2,"")</f>
        <v/>
      </c>
      <c r="I204" s="473"/>
    </row>
    <row r="205" spans="1:9">
      <c r="A205" s="445" t="s">
        <v>777</v>
      </c>
      <c r="B205" s="478" t="s">
        <v>778</v>
      </c>
      <c r="C205" s="445" t="s">
        <v>21</v>
      </c>
      <c r="D205" s="445" t="s">
        <v>18</v>
      </c>
      <c r="E205" s="445" t="s">
        <v>1567</v>
      </c>
      <c r="F205" s="445" t="s">
        <v>18</v>
      </c>
      <c r="G205" s="445" t="str">
        <f>IF(AND(ISNUMBER(MATCH(D205,{"F","E","D","D+","C","C+","B","B+","A","A+","S"},0)),ISNUMBER(MATCH(E205,{"F","E","D","D+","C","C+","B","B+","A","A+","S"},0)),ISNUMBER(MATCH(F205,{"F","E","D","D+","C","C+","B","B+","A","A+","S"},0))),LOOKUP(AVERAGE(_xlfn.SWITCH(D205,"F",0,"E",10,"D",20,"D+",30,"C",40,"C+",50,"B",60,"B+",70,"A",80,"A+",90,"S",100),_xlfn.SWITCH(E205,"F",0,"E",10,"D",20,"D+",30,"C",40,"C+",50,"B",60,"B+",70,"A",80,"A+",90,"S",100),_xlfn.SWITCH(F205,"F",0,"E",10,"D",20,"D+",30,"C",40,"C+",50,"B",60,"B+",70,"A",80,"A+",90,"S",100)),{0,15,25,35,45,55,65,75,85,95},{"D","D","D+","C","C+","B","B+","A","A+","S"}),"?")</f>
        <v>B</v>
      </c>
      <c r="H205" s="447">
        <f>IF(AND(ISNUMBER(MATCH(C205,{"F","E","D","D+","C","C+","B","B+","A","A+","S"},0)),ISNUMBER(MATCH(D205,{"F","E","D","D+","C","C+","B","B+","A","A+","S"},0)),ISNUMBER(MATCH(E205,{"F","E","D","D+","C","C+","B","B+","A","A+","S"},0)),ISNUMBER(MATCH(F205,{"F","E","D","D+","C","C+","B","B+","A","A+","S"},0))),_xlfn.SWITCH(C205,"F",0,"E",1,"D",2,"D+",3,"C",4,"C+",5,"B",6,"B+",7,"A",8,"A+",9,"S",10)*0.1+_xlfn.SWITCH(D205,"F",0,"E",1,"D",2,"D+",3,"C",4,"C+",5,"B",6,"B+",7,"A",8,"A+",9,"S",10)*0.4+_xlfn.SWITCH(E205,"F",0,"E",1,"D",2,"D+",3,"C",4,"C+",5,"B",6,"B+",7,"A",8,"A+",9,"S",10)*0.3+_xlfn.SWITCH(F205,"F",0,"E",1,"D",2,"D+",3,"C",4,"C+",5,"B",6,"B+",7,"A",8,"A+",9,"S",10)*0.2,"")</f>
        <v>6.5000000000000009</v>
      </c>
      <c r="I205" s="473" t="s">
        <v>5116</v>
      </c>
    </row>
    <row r="206" spans="1:9">
      <c r="A206" s="445" t="s">
        <v>1170</v>
      </c>
      <c r="B206" s="474" t="s">
        <v>1171</v>
      </c>
      <c r="C206" s="445" t="s">
        <v>1562</v>
      </c>
      <c r="D206" s="445"/>
      <c r="E206" s="445"/>
      <c r="F206" s="445"/>
      <c r="G206" s="445" t="str">
        <f>IF(AND(ISNUMBER(MATCH(D206,{"F","E","D","D+","C","C+","B","B+","A","A+","S"},0)),ISNUMBER(MATCH(E206,{"F","E","D","D+","C","C+","B","B+","A","A+","S"},0)),ISNUMBER(MATCH(F206,{"F","E","D","D+","C","C+","B","B+","A","A+","S"},0))),LOOKUP(AVERAGE(_xlfn.SWITCH(D206,"F",0,"E",10,"D",20,"D+",30,"C",40,"C+",50,"B",60,"B+",70,"A",80,"A+",90,"S",100),_xlfn.SWITCH(E206,"F",0,"E",10,"D",20,"D+",30,"C",40,"C+",50,"B",60,"B+",70,"A",80,"A+",90,"S",100),_xlfn.SWITCH(F206,"F",0,"E",10,"D",20,"D+",30,"C",40,"C+",50,"B",60,"B+",70,"A",80,"A+",90,"S",100)),{0,15,25,35,45,55,65,75,85,95},{"D","D","D+","C","C+","B","B+","A","A+","S"}),"?")</f>
        <v>?</v>
      </c>
      <c r="H206" s="447" t="str">
        <f>IF(AND(ISNUMBER(MATCH(C206,{"F","E","D","D+","C","C+","B","B+","A","A+","S"},0)),ISNUMBER(MATCH(D206,{"F","E","D","D+","C","C+","B","B+","A","A+","S"},0)),ISNUMBER(MATCH(E206,{"F","E","D","D+","C","C+","B","B+","A","A+","S"},0)),ISNUMBER(MATCH(F206,{"F","E","D","D+","C","C+","B","B+","A","A+","S"},0))),_xlfn.SWITCH(C206,"F",0,"E",1,"D",2,"D+",3,"C",4,"C+",5,"B",6,"B+",7,"A",8,"A+",9,"S",10)*0.1+_xlfn.SWITCH(D206,"F",0,"E",1,"D",2,"D+",3,"C",4,"C+",5,"B",6,"B+",7,"A",8,"A+",9,"S",10)*0.4+_xlfn.SWITCH(E206,"F",0,"E",1,"D",2,"D+",3,"C",4,"C+",5,"B",6,"B+",7,"A",8,"A+",9,"S",10)*0.3+_xlfn.SWITCH(F206,"F",0,"E",1,"D",2,"D+",3,"C",4,"C+",5,"B",6,"B+",7,"A",8,"A+",9,"S",10)*0.2,"")</f>
        <v/>
      </c>
      <c r="I206" s="473" t="s">
        <v>5117</v>
      </c>
    </row>
    <row r="207" spans="1:9">
      <c r="A207" s="445" t="s">
        <v>1176</v>
      </c>
      <c r="B207" s="474" t="s">
        <v>1177</v>
      </c>
      <c r="C207" s="445" t="s">
        <v>1562</v>
      </c>
      <c r="D207" s="445"/>
      <c r="E207" s="445"/>
      <c r="F207" s="445"/>
      <c r="G207" s="445" t="str">
        <f>IF(AND(ISNUMBER(MATCH(D207,{"F","E","D","D+","C","C+","B","B+","A","A+","S"},0)),ISNUMBER(MATCH(E207,{"F","E","D","D+","C","C+","B","B+","A","A+","S"},0)),ISNUMBER(MATCH(F207,{"F","E","D","D+","C","C+","B","B+","A","A+","S"},0))),LOOKUP(AVERAGE(_xlfn.SWITCH(D207,"F",0,"E",10,"D",20,"D+",30,"C",40,"C+",50,"B",60,"B+",70,"A",80,"A+",90,"S",100),_xlfn.SWITCH(E207,"F",0,"E",10,"D",20,"D+",30,"C",40,"C+",50,"B",60,"B+",70,"A",80,"A+",90,"S",100),_xlfn.SWITCH(F207,"F",0,"E",10,"D",20,"D+",30,"C",40,"C+",50,"B",60,"B+",70,"A",80,"A+",90,"S",100)),{0,15,25,35,45,55,65,75,85,95},{"D","D","D+","C","C+","B","B+","A","A+","S"}),"?")</f>
        <v>?</v>
      </c>
      <c r="H207" s="447" t="str">
        <f>IF(AND(ISNUMBER(MATCH(C207,{"F","E","D","D+","C","C+","B","B+","A","A+","S"},0)),ISNUMBER(MATCH(D207,{"F","E","D","D+","C","C+","B","B+","A","A+","S"},0)),ISNUMBER(MATCH(E207,{"F","E","D","D+","C","C+","B","B+","A","A+","S"},0)),ISNUMBER(MATCH(F207,{"F","E","D","D+","C","C+","B","B+","A","A+","S"},0))),_xlfn.SWITCH(C207,"F",0,"E",1,"D",2,"D+",3,"C",4,"C+",5,"B",6,"B+",7,"A",8,"A+",9,"S",10)*0.1+_xlfn.SWITCH(D207,"F",0,"E",1,"D",2,"D+",3,"C",4,"C+",5,"B",6,"B+",7,"A",8,"A+",9,"S",10)*0.4+_xlfn.SWITCH(E207,"F",0,"E",1,"D",2,"D+",3,"C",4,"C+",5,"B",6,"B+",7,"A",8,"A+",9,"S",10)*0.3+_xlfn.SWITCH(F207,"F",0,"E",1,"D",2,"D+",3,"C",4,"C+",5,"B",6,"B+",7,"A",8,"A+",9,"S",10)*0.2,"")</f>
        <v/>
      </c>
      <c r="I207" s="473" t="s">
        <v>5118</v>
      </c>
    </row>
    <row r="208" spans="1:9">
      <c r="A208" s="445" t="s">
        <v>1183</v>
      </c>
      <c r="B208" s="474" t="s">
        <v>1184</v>
      </c>
      <c r="C208" s="445" t="s">
        <v>1562</v>
      </c>
      <c r="D208" s="445"/>
      <c r="E208" s="445"/>
      <c r="F208" s="445"/>
      <c r="G208" s="445" t="str">
        <f>IF(AND(ISNUMBER(MATCH(D208,{"F","E","D","D+","C","C+","B","B+","A","A+","S"},0)),ISNUMBER(MATCH(E208,{"F","E","D","D+","C","C+","B","B+","A","A+","S"},0)),ISNUMBER(MATCH(F208,{"F","E","D","D+","C","C+","B","B+","A","A+","S"},0))),LOOKUP(AVERAGE(_xlfn.SWITCH(D208,"F",0,"E",10,"D",20,"D+",30,"C",40,"C+",50,"B",60,"B+",70,"A",80,"A+",90,"S",100),_xlfn.SWITCH(E208,"F",0,"E",10,"D",20,"D+",30,"C",40,"C+",50,"B",60,"B+",70,"A",80,"A+",90,"S",100),_xlfn.SWITCH(F208,"F",0,"E",10,"D",20,"D+",30,"C",40,"C+",50,"B",60,"B+",70,"A",80,"A+",90,"S",100)),{0,15,25,35,45,55,65,75,85,95},{"D","D","D+","C","C+","B","B+","A","A+","S"}),"?")</f>
        <v>?</v>
      </c>
      <c r="H208" s="447" t="str">
        <f>IF(AND(ISNUMBER(MATCH(C208,{"F","E","D","D+","C","C+","B","B+","A","A+","S"},0)),ISNUMBER(MATCH(D208,{"F","E","D","D+","C","C+","B","B+","A","A+","S"},0)),ISNUMBER(MATCH(E208,{"F","E","D","D+","C","C+","B","B+","A","A+","S"},0)),ISNUMBER(MATCH(F208,{"F","E","D","D+","C","C+","B","B+","A","A+","S"},0))),_xlfn.SWITCH(C208,"F",0,"E",1,"D",2,"D+",3,"C",4,"C+",5,"B",6,"B+",7,"A",8,"A+",9,"S",10)*0.1+_xlfn.SWITCH(D208,"F",0,"E",1,"D",2,"D+",3,"C",4,"C+",5,"B",6,"B+",7,"A",8,"A+",9,"S",10)*0.4+_xlfn.SWITCH(E208,"F",0,"E",1,"D",2,"D+",3,"C",4,"C+",5,"B",6,"B+",7,"A",8,"A+",9,"S",10)*0.3+_xlfn.SWITCH(F208,"F",0,"E",1,"D",2,"D+",3,"C",4,"C+",5,"B",6,"B+",7,"A",8,"A+",9,"S",10)*0.2,"")</f>
        <v/>
      </c>
      <c r="I208" s="473"/>
    </row>
    <row r="209" spans="1:9">
      <c r="A209" s="445" t="s">
        <v>739</v>
      </c>
      <c r="B209" s="478" t="s">
        <v>740</v>
      </c>
      <c r="C209" s="445" t="s">
        <v>1567</v>
      </c>
      <c r="D209" s="445" t="s">
        <v>1567</v>
      </c>
      <c r="E209" s="445" t="s">
        <v>21</v>
      </c>
      <c r="F209" s="445" t="s">
        <v>21</v>
      </c>
      <c r="G209" s="445" t="str">
        <f>IF(AND(ISNUMBER(MATCH(D209,{"F","E","D","D+","C","C+","B","B+","A","A+","S"},0)),ISNUMBER(MATCH(E209,{"F","E","D","D+","C","C+","B","B+","A","A+","S"},0)),ISNUMBER(MATCH(F209,{"F","E","D","D+","C","C+","B","B+","A","A+","S"},0))),LOOKUP(AVERAGE(_xlfn.SWITCH(D209,"F",0,"E",10,"D",20,"D+",30,"C",40,"C+",50,"B",60,"B+",70,"A",80,"A+",90,"S",100),_xlfn.SWITCH(E209,"F",0,"E",10,"D",20,"D+",30,"C",40,"C+",50,"B",60,"B+",70,"A",80,"A+",90,"S",100),_xlfn.SWITCH(F209,"F",0,"E",10,"D",20,"D+",30,"C",40,"C+",50,"B",60,"B+",70,"A",80,"A+",90,"S",100)),{0,15,25,35,45,55,65,75,85,95},{"D","D","D+","C","C+","B","B+","A","A+","S"}),"?")</f>
        <v>A</v>
      </c>
      <c r="H209" s="447">
        <f>IF(AND(ISNUMBER(MATCH(C209,{"F","E","D","D+","C","C+","B","B+","A","A+","S"},0)),ISNUMBER(MATCH(D209,{"F","E","D","D+","C","C+","B","B+","A","A+","S"},0)),ISNUMBER(MATCH(E209,{"F","E","D","D+","C","C+","B","B+","A","A+","S"},0)),ISNUMBER(MATCH(F209,{"F","E","D","D+","C","C+","B","B+","A","A+","S"},0))),_xlfn.SWITCH(C209,"F",0,"E",1,"D",2,"D+",3,"C",4,"C+",5,"B",6,"B+",7,"A",8,"A+",9,"S",10)*0.1+_xlfn.SWITCH(D209,"F",0,"E",1,"D",2,"D+",3,"C",4,"C+",5,"B",6,"B+",7,"A",8,"A+",9,"S",10)*0.4+_xlfn.SWITCH(E209,"F",0,"E",1,"D",2,"D+",3,"C",4,"C+",5,"B",6,"B+",7,"A",8,"A+",9,"S",10)*0.3+_xlfn.SWITCH(F209,"F",0,"E",1,"D",2,"D+",3,"C",4,"C+",5,"B",6,"B+",7,"A",8,"A+",9,"S",10)*0.2,"")</f>
        <v>7.5</v>
      </c>
      <c r="I209" s="473" t="s">
        <v>5119</v>
      </c>
    </row>
    <row r="210" spans="1:9">
      <c r="A210" s="445" t="s">
        <v>720</v>
      </c>
      <c r="B210" s="478" t="s">
        <v>721</v>
      </c>
      <c r="C210" s="445" t="s">
        <v>21</v>
      </c>
      <c r="D210" s="445" t="s">
        <v>28</v>
      </c>
      <c r="E210" s="445" t="s">
        <v>17</v>
      </c>
      <c r="F210" s="445" t="s">
        <v>28</v>
      </c>
      <c r="G210" s="445" t="str">
        <f>IF(AND(ISNUMBER(MATCH(D210,{"F","E","D","D+","C","C+","B","B+","A","A+","S"},0)),ISNUMBER(MATCH(E210,{"F","E","D","D+","C","C+","B","B+","A","A+","S"},0)),ISNUMBER(MATCH(F210,{"F","E","D","D+","C","C+","B","B+","A","A+","S"},0))),LOOKUP(AVERAGE(_xlfn.SWITCH(D210,"F",0,"E",10,"D",20,"D+",30,"C",40,"C+",50,"B",60,"B+",70,"A",80,"A+",90,"S",100),_xlfn.SWITCH(E210,"F",0,"E",10,"D",20,"D+",30,"C",40,"C+",50,"B",60,"B+",70,"A",80,"A+",90,"S",100),_xlfn.SWITCH(F210,"F",0,"E",10,"D",20,"D+",30,"C",40,"C+",50,"B",60,"B+",70,"A",80,"A+",90,"S",100)),{0,15,25,35,45,55,65,75,85,95},{"D","D","D+","C","C+","B","B+","A","A+","S"}),"?")</f>
        <v>A+</v>
      </c>
      <c r="H210" s="447">
        <f>IF(AND(ISNUMBER(MATCH(C210,{"F","E","D","D+","C","C+","B","B+","A","A+","S"},0)),ISNUMBER(MATCH(D210,{"F","E","D","D+","C","C+","B","B+","A","A+","S"},0)),ISNUMBER(MATCH(E210,{"F","E","D","D+","C","C+","B","B+","A","A+","S"},0)),ISNUMBER(MATCH(F210,{"F","E","D","D+","C","C+","B","B+","A","A+","S"},0))),_xlfn.SWITCH(C210,"F",0,"E",1,"D",2,"D+",3,"C",4,"C+",5,"B",6,"B+",7,"A",8,"A+",9,"S",10)*0.1+_xlfn.SWITCH(D210,"F",0,"E",1,"D",2,"D+",3,"C",4,"C+",5,"B",6,"B+",7,"A",8,"A+",9,"S",10)*0.4+_xlfn.SWITCH(E210,"F",0,"E",1,"D",2,"D+",3,"C",4,"C+",5,"B",6,"B+",7,"A",8,"A+",9,"S",10)*0.3+_xlfn.SWITCH(F210,"F",0,"E",1,"D",2,"D+",3,"C",4,"C+",5,"B",6,"B+",7,"A",8,"A+",9,"S",10)*0.2,"")</f>
        <v>9.2000000000000011</v>
      </c>
      <c r="I210" s="473" t="s">
        <v>5120</v>
      </c>
    </row>
    <row r="211" spans="1:9">
      <c r="A211" s="445" t="s">
        <v>563</v>
      </c>
      <c r="B211" s="478" t="s">
        <v>564</v>
      </c>
      <c r="C211" s="445" t="s">
        <v>18</v>
      </c>
      <c r="D211" s="445" t="s">
        <v>18</v>
      </c>
      <c r="E211" s="445" t="s">
        <v>1567</v>
      </c>
      <c r="F211" s="445" t="s">
        <v>21</v>
      </c>
      <c r="G211" s="445" t="str">
        <f>IF(AND(ISNUMBER(MATCH(D211,{"F","E","D","D+","C","C+","B","B+","A","A+","S"},0)),ISNUMBER(MATCH(E211,{"F","E","D","D+","C","C+","B","B+","A","A+","S"},0)),ISNUMBER(MATCH(F211,{"F","E","D","D+","C","C+","B","B+","A","A+","S"},0))),LOOKUP(AVERAGE(_xlfn.SWITCH(D211,"F",0,"E",10,"D",20,"D+",30,"C",40,"C+",50,"B",60,"B+",70,"A",80,"A+",90,"S",100),_xlfn.SWITCH(E211,"F",0,"E",10,"D",20,"D+",30,"C",40,"C+",50,"B",60,"B+",70,"A",80,"A+",90,"S",100),_xlfn.SWITCH(F211,"F",0,"E",10,"D",20,"D+",30,"C",40,"C+",50,"B",60,"B+",70,"A",80,"A+",90,"S",100)),{0,15,25,35,45,55,65,75,85,95},{"D","D","D+","C","C+","B","B+","A","A+","S"}),"?")</f>
        <v>B+</v>
      </c>
      <c r="H211" s="447">
        <f>IF(AND(ISNUMBER(MATCH(C211,{"F","E","D","D+","C","C+","B","B+","A","A+","S"},0)),ISNUMBER(MATCH(D211,{"F","E","D","D+","C","C+","B","B+","A","A+","S"},0)),ISNUMBER(MATCH(E211,{"F","E","D","D+","C","C+","B","B+","A","A+","S"},0)),ISNUMBER(MATCH(F211,{"F","E","D","D+","C","C+","B","B+","A","A+","S"},0))),_xlfn.SWITCH(C211,"F",0,"E",1,"D",2,"D+",3,"C",4,"C+",5,"B",6,"B+",7,"A",8,"A+",9,"S",10)*0.1+_xlfn.SWITCH(D211,"F",0,"E",1,"D",2,"D+",3,"C",4,"C+",5,"B",6,"B+",7,"A",8,"A+",9,"S",10)*0.4+_xlfn.SWITCH(E211,"F",0,"E",1,"D",2,"D+",3,"C",4,"C+",5,"B",6,"B+",7,"A",8,"A+",9,"S",10)*0.3+_xlfn.SWITCH(F211,"F",0,"E",1,"D",2,"D+",3,"C",4,"C+",5,"B",6,"B+",7,"A",8,"A+",9,"S",10)*0.2,"")</f>
        <v>6.7000000000000011</v>
      </c>
      <c r="I211" s="473" t="s">
        <v>5121</v>
      </c>
    </row>
    <row r="212" spans="1:9">
      <c r="A212" s="445" t="s">
        <v>1203</v>
      </c>
      <c r="B212" s="481" t="s">
        <v>1204</v>
      </c>
      <c r="C212" s="445" t="s">
        <v>1574</v>
      </c>
      <c r="D212" s="445"/>
      <c r="E212" s="445"/>
      <c r="F212" s="445"/>
      <c r="G212" s="445" t="str">
        <f>IF(AND(ISNUMBER(MATCH(D212,{"F","E","D","D+","C","C+","B","B+","A","A+","S"},0)),ISNUMBER(MATCH(E212,{"F","E","D","D+","C","C+","B","B+","A","A+","S"},0)),ISNUMBER(MATCH(F212,{"F","E","D","D+","C","C+","B","B+","A","A+","S"},0))),LOOKUP(AVERAGE(_xlfn.SWITCH(D212,"F",0,"E",10,"D",20,"D+",30,"C",40,"C+",50,"B",60,"B+",70,"A",80,"A+",90,"S",100),_xlfn.SWITCH(E212,"F",0,"E",10,"D",20,"D+",30,"C",40,"C+",50,"B",60,"B+",70,"A",80,"A+",90,"S",100),_xlfn.SWITCH(F212,"F",0,"E",10,"D",20,"D+",30,"C",40,"C+",50,"B",60,"B+",70,"A",80,"A+",90,"S",100)),{0,15,25,35,45,55,65,75,85,95},{"D","D","D+","C","C+","B","B+","A","A+","S"}),"?")</f>
        <v>?</v>
      </c>
      <c r="H212" s="447" t="str">
        <f>IF(AND(ISNUMBER(MATCH(C212,{"F","E","D","D+","C","C+","B","B+","A","A+","S"},0)),ISNUMBER(MATCH(D212,{"F","E","D","D+","C","C+","B","B+","A","A+","S"},0)),ISNUMBER(MATCH(E212,{"F","E","D","D+","C","C+","B","B+","A","A+","S"},0)),ISNUMBER(MATCH(F212,{"F","E","D","D+","C","C+","B","B+","A","A+","S"},0))),_xlfn.SWITCH(C212,"F",0,"E",1,"D",2,"D+",3,"C",4,"C+",5,"B",6,"B+",7,"A",8,"A+",9,"S",10)*0.1+_xlfn.SWITCH(D212,"F",0,"E",1,"D",2,"D+",3,"C",4,"C+",5,"B",6,"B+",7,"A",8,"A+",9,"S",10)*0.4+_xlfn.SWITCH(E212,"F",0,"E",1,"D",2,"D+",3,"C",4,"C+",5,"B",6,"B+",7,"A",8,"A+",9,"S",10)*0.3+_xlfn.SWITCH(F212,"F",0,"E",1,"D",2,"D+",3,"C",4,"C+",5,"B",6,"B+",7,"A",8,"A+",9,"S",10)*0.2,"")</f>
        <v/>
      </c>
      <c r="I212" s="473"/>
    </row>
    <row r="213" spans="1:9">
      <c r="A213" s="445" t="s">
        <v>1209</v>
      </c>
      <c r="B213" s="474" t="s">
        <v>1210</v>
      </c>
      <c r="C213" s="445" t="s">
        <v>18</v>
      </c>
      <c r="D213" s="445" t="s">
        <v>18</v>
      </c>
      <c r="E213" s="445" t="s">
        <v>18</v>
      </c>
      <c r="F213" s="445" t="s">
        <v>18</v>
      </c>
      <c r="G213" s="445" t="str">
        <f>IF(AND(ISNUMBER(MATCH(D213,{"F","E","D","D+","C","C+","B","B+","A","A+","S"},0)),ISNUMBER(MATCH(E213,{"F","E","D","D+","C","C+","B","B+","A","A+","S"},0)),ISNUMBER(MATCH(F213,{"F","E","D","D+","C","C+","B","B+","A","A+","S"},0))),LOOKUP(AVERAGE(_xlfn.SWITCH(D213,"F",0,"E",10,"D",20,"D+",30,"C",40,"C+",50,"B",60,"B+",70,"A",80,"A+",90,"S",100),_xlfn.SWITCH(E213,"F",0,"E",10,"D",20,"D+",30,"C",40,"C+",50,"B",60,"B+",70,"A",80,"A+",90,"S",100),_xlfn.SWITCH(F213,"F",0,"E",10,"D",20,"D+",30,"C",40,"C+",50,"B",60,"B+",70,"A",80,"A+",90,"S",100)),{0,15,25,35,45,55,65,75,85,95},{"D","D","D+","C","C+","B","B+","A","A+","S"}),"?")</f>
        <v>B</v>
      </c>
      <c r="H213" s="447">
        <f>IF(AND(ISNUMBER(MATCH(C213,{"F","E","D","D+","C","C+","B","B+","A","A+","S"},0)),ISNUMBER(MATCH(D213,{"F","E","D","D+","C","C+","B","B+","A","A+","S"},0)),ISNUMBER(MATCH(E213,{"F","E","D","D+","C","C+","B","B+","A","A+","S"},0)),ISNUMBER(MATCH(F213,{"F","E","D","D+","C","C+","B","B+","A","A+","S"},0))),_xlfn.SWITCH(C213,"F",0,"E",1,"D",2,"D+",3,"C",4,"C+",5,"B",6,"B+",7,"A",8,"A+",9,"S",10)*0.1+_xlfn.SWITCH(D213,"F",0,"E",1,"D",2,"D+",3,"C",4,"C+",5,"B",6,"B+",7,"A",8,"A+",9,"S",10)*0.4+_xlfn.SWITCH(E213,"F",0,"E",1,"D",2,"D+",3,"C",4,"C+",5,"B",6,"B+",7,"A",8,"A+",9,"S",10)*0.3+_xlfn.SWITCH(F213,"F",0,"E",1,"D",2,"D+",3,"C",4,"C+",5,"B",6,"B+",7,"A",8,"A+",9,"S",10)*0.2,"")</f>
        <v>6.0000000000000009</v>
      </c>
      <c r="I213" s="473" t="s">
        <v>5122</v>
      </c>
    </row>
    <row r="214" spans="1:9">
      <c r="A214" s="445" t="s">
        <v>532</v>
      </c>
      <c r="B214" s="477" t="s">
        <v>533</v>
      </c>
      <c r="C214" s="445" t="s">
        <v>17</v>
      </c>
      <c r="D214" s="445" t="s">
        <v>17</v>
      </c>
      <c r="E214" s="445" t="s">
        <v>17</v>
      </c>
      <c r="F214" s="445" t="s">
        <v>28</v>
      </c>
      <c r="G214" s="445" t="str">
        <f>IF(AND(ISNUMBER(MATCH(D214,{"F","E","D","D+","C","C+","B","B+","A","A+","S"},0)),ISNUMBER(MATCH(E214,{"F","E","D","D+","C","C+","B","B+","A","A+","S"},0)),ISNUMBER(MATCH(F214,{"F","E","D","D+","C","C+","B","B+","A","A+","S"},0))),LOOKUP(AVERAGE(_xlfn.SWITCH(D214,"F",0,"E",10,"D",20,"D+",30,"C",40,"C+",50,"B",60,"B+",70,"A",80,"A+",90,"S",100),_xlfn.SWITCH(E214,"F",0,"E",10,"D",20,"D+",30,"C",40,"C+",50,"B",60,"B+",70,"A",80,"A+",90,"S",100),_xlfn.SWITCH(F214,"F",0,"E",10,"D",20,"D+",30,"C",40,"C+",50,"B",60,"B+",70,"A",80,"A+",90,"S",100)),{0,15,25,35,45,55,65,75,85,95},{"D","D","D+","C","C+","B","B+","A","A+","S"}),"?")</f>
        <v>S</v>
      </c>
      <c r="H214" s="447">
        <f>IF(AND(ISNUMBER(MATCH(C214,{"F","E","D","D+","C","C+","B","B+","A","A+","S"},0)),ISNUMBER(MATCH(D214,{"F","E","D","D+","C","C+","B","B+","A","A+","S"},0)),ISNUMBER(MATCH(E214,{"F","E","D","D+","C","C+","B","B+","A","A+","S"},0)),ISNUMBER(MATCH(F214,{"F","E","D","D+","C","C+","B","B+","A","A+","S"},0))),_xlfn.SWITCH(C214,"F",0,"E",1,"D",2,"D+",3,"C",4,"C+",5,"B",6,"B+",7,"A",8,"A+",9,"S",10)*0.1+_xlfn.SWITCH(D214,"F",0,"E",1,"D",2,"D+",3,"C",4,"C+",5,"B",6,"B+",7,"A",8,"A+",9,"S",10)*0.4+_xlfn.SWITCH(E214,"F",0,"E",1,"D",2,"D+",3,"C",4,"C+",5,"B",6,"B+",7,"A",8,"A+",9,"S",10)*0.3+_xlfn.SWITCH(F214,"F",0,"E",1,"D",2,"D+",3,"C",4,"C+",5,"B",6,"B+",7,"A",8,"A+",9,"S",10)*0.2,"")</f>
        <v>9.8000000000000007</v>
      </c>
      <c r="I214" s="473" t="s">
        <v>5123</v>
      </c>
    </row>
    <row r="215" spans="1:9">
      <c r="A215" s="445" t="s">
        <v>770</v>
      </c>
      <c r="B215" s="478" t="s">
        <v>1219</v>
      </c>
      <c r="C215" s="445" t="s">
        <v>28</v>
      </c>
      <c r="D215" s="445" t="s">
        <v>28</v>
      </c>
      <c r="E215" s="445" t="s">
        <v>28</v>
      </c>
      <c r="F215" s="445" t="s">
        <v>1562</v>
      </c>
      <c r="G215" s="445" t="str">
        <f>IF(AND(ISNUMBER(MATCH(D215,{"F","E","D","D+","C","C+","B","B+","A","A+","S"},0)),ISNUMBER(MATCH(E215,{"F","E","D","D+","C","C+","B","B+","A","A+","S"},0)),ISNUMBER(MATCH(F215,{"F","E","D","D+","C","C+","B","B+","A","A+","S"},0))),LOOKUP(AVERAGE(_xlfn.SWITCH(D215,"F",0,"E",10,"D",20,"D+",30,"C",40,"C+",50,"B",60,"B+",70,"A",80,"A+",90,"S",100),_xlfn.SWITCH(E215,"F",0,"E",10,"D",20,"D+",30,"C",40,"C+",50,"B",60,"B+",70,"A",80,"A+",90,"S",100),_xlfn.SWITCH(F215,"F",0,"E",10,"D",20,"D+",30,"C",40,"C+",50,"B",60,"B+",70,"A",80,"A+",90,"S",100)),{0,15,25,35,45,55,65,75,85,95},{"D","D","D+","C","C+","B","B+","A","A+","S"}),"?")</f>
        <v>A</v>
      </c>
      <c r="H215" s="447">
        <f>IF(AND(ISNUMBER(MATCH(C215,{"F","E","D","D+","C","C+","B","B+","A","A+","S"},0)),ISNUMBER(MATCH(D215,{"F","E","D","D+","C","C+","B","B+","A","A+","S"},0)),ISNUMBER(MATCH(E215,{"F","E","D","D+","C","C+","B","B+","A","A+","S"},0)),ISNUMBER(MATCH(F215,{"F","E","D","D+","C","C+","B","B+","A","A+","S"},0))),_xlfn.SWITCH(C215,"F",0,"E",1,"D",2,"D+",3,"C",4,"C+",5,"B",6,"B+",7,"A",8,"A+",9,"S",10)*0.1+_xlfn.SWITCH(D215,"F",0,"E",1,"D",2,"D+",3,"C",4,"C+",5,"B",6,"B+",7,"A",8,"A+",9,"S",10)*0.4+_xlfn.SWITCH(E215,"F",0,"E",1,"D",2,"D+",3,"C",4,"C+",5,"B",6,"B+",7,"A",8,"A+",9,"S",10)*0.3+_xlfn.SWITCH(F215,"F",0,"E",1,"D",2,"D+",3,"C",4,"C+",5,"B",6,"B+",7,"A",8,"A+",9,"S",10)*0.2,"")</f>
        <v>8.1999999999999993</v>
      </c>
      <c r="I215" s="473" t="s">
        <v>5124</v>
      </c>
    </row>
    <row r="216" spans="1:9">
      <c r="A216" s="445" t="s">
        <v>1225</v>
      </c>
      <c r="B216" s="474" t="s">
        <v>1226</v>
      </c>
      <c r="C216" s="445" t="s">
        <v>1562</v>
      </c>
      <c r="D216" s="445"/>
      <c r="E216" s="445"/>
      <c r="F216" s="445"/>
      <c r="G216" s="445" t="str">
        <f>IF(AND(ISNUMBER(MATCH(D216,{"F","E","D","D+","C","C+","B","B+","A","A+","S"},0)),ISNUMBER(MATCH(E216,{"F","E","D","D+","C","C+","B","B+","A","A+","S"},0)),ISNUMBER(MATCH(F216,{"F","E","D","D+","C","C+","B","B+","A","A+","S"},0))),LOOKUP(AVERAGE(_xlfn.SWITCH(D216,"F",0,"E",10,"D",20,"D+",30,"C",40,"C+",50,"B",60,"B+",70,"A",80,"A+",90,"S",100),_xlfn.SWITCH(E216,"F",0,"E",10,"D",20,"D+",30,"C",40,"C+",50,"B",60,"B+",70,"A",80,"A+",90,"S",100),_xlfn.SWITCH(F216,"F",0,"E",10,"D",20,"D+",30,"C",40,"C+",50,"B",60,"B+",70,"A",80,"A+",90,"S",100)),{0,15,25,35,45,55,65,75,85,95},{"D","D","D+","C","C+","B","B+","A","A+","S"}),"?")</f>
        <v>?</v>
      </c>
      <c r="H216" s="447" t="str">
        <f>IF(AND(ISNUMBER(MATCH(C216,{"F","E","D","D+","C","C+","B","B+","A","A+","S"},0)),ISNUMBER(MATCH(D216,{"F","E","D","D+","C","C+","B","B+","A","A+","S"},0)),ISNUMBER(MATCH(E216,{"F","E","D","D+","C","C+","B","B+","A","A+","S"},0)),ISNUMBER(MATCH(F216,{"F","E","D","D+","C","C+","B","B+","A","A+","S"},0))),_xlfn.SWITCH(C216,"F",0,"E",1,"D",2,"D+",3,"C",4,"C+",5,"B",6,"B+",7,"A",8,"A+",9,"S",10)*0.1+_xlfn.SWITCH(D216,"F",0,"E",1,"D",2,"D+",3,"C",4,"C+",5,"B",6,"B+",7,"A",8,"A+",9,"S",10)*0.4+_xlfn.SWITCH(E216,"F",0,"E",1,"D",2,"D+",3,"C",4,"C+",5,"B",6,"B+",7,"A",8,"A+",9,"S",10)*0.3+_xlfn.SWITCH(F216,"F",0,"E",1,"D",2,"D+",3,"C",4,"C+",5,"B",6,"B+",7,"A",8,"A+",9,"S",10)*0.2,"")</f>
        <v/>
      </c>
      <c r="I216" s="473"/>
    </row>
    <row r="217" spans="1:9">
      <c r="A217" s="445" t="s">
        <v>1232</v>
      </c>
      <c r="B217" s="474" t="s">
        <v>1233</v>
      </c>
      <c r="C217" s="445" t="s">
        <v>18</v>
      </c>
      <c r="D217" s="445" t="s">
        <v>1562</v>
      </c>
      <c r="E217" s="445" t="s">
        <v>1562</v>
      </c>
      <c r="F217" s="445" t="s">
        <v>1562</v>
      </c>
      <c r="G217" s="445" t="str">
        <f>IF(AND(ISNUMBER(MATCH(D217,{"F","E","D","D+","C","C+","B","B+","A","A+","S"},0)),ISNUMBER(MATCH(E217,{"F","E","D","D+","C","C+","B","B+","A","A+","S"},0)),ISNUMBER(MATCH(F217,{"F","E","D","D+","C","C+","B","B+","A","A+","S"},0))),LOOKUP(AVERAGE(_xlfn.SWITCH(D217,"F",0,"E",10,"D",20,"D+",30,"C",40,"C+",50,"B",60,"B+",70,"A",80,"A+",90,"S",100),_xlfn.SWITCH(E217,"F",0,"E",10,"D",20,"D+",30,"C",40,"C+",50,"B",60,"B+",70,"A",80,"A+",90,"S",100),_xlfn.SWITCH(F217,"F",0,"E",10,"D",20,"D+",30,"C",40,"C+",50,"B",60,"B+",70,"A",80,"A+",90,"S",100)),{0,15,25,35,45,55,65,75,85,95},{"D","D","D+","C","C+","B","B+","A","A+","S"}),"?")</f>
        <v>C+</v>
      </c>
      <c r="H217" s="447">
        <f>IF(AND(ISNUMBER(MATCH(C217,{"F","E","D","D+","C","C+","B","B+","A","A+","S"},0)),ISNUMBER(MATCH(D217,{"F","E","D","D+","C","C+","B","B+","A","A+","S"},0)),ISNUMBER(MATCH(E217,{"F","E","D","D+","C","C+","B","B+","A","A+","S"},0)),ISNUMBER(MATCH(F217,{"F","E","D","D+","C","C+","B","B+","A","A+","S"},0))),_xlfn.SWITCH(C217,"F",0,"E",1,"D",2,"D+",3,"C",4,"C+",5,"B",6,"B+",7,"A",8,"A+",9,"S",10)*0.1+_xlfn.SWITCH(D217,"F",0,"E",1,"D",2,"D+",3,"C",4,"C+",5,"B",6,"B+",7,"A",8,"A+",9,"S",10)*0.4+_xlfn.SWITCH(E217,"F",0,"E",1,"D",2,"D+",3,"C",4,"C+",5,"B",6,"B+",7,"A",8,"A+",9,"S",10)*0.3+_xlfn.SWITCH(F217,"F",0,"E",1,"D",2,"D+",3,"C",4,"C+",5,"B",6,"B+",7,"A",8,"A+",9,"S",10)*0.2,"")</f>
        <v>5.0999999999999996</v>
      </c>
      <c r="I217" s="473" t="s">
        <v>5125</v>
      </c>
    </row>
    <row r="218" spans="1:9">
      <c r="A218" s="445" t="s">
        <v>1239</v>
      </c>
      <c r="B218" s="474" t="s">
        <v>1240</v>
      </c>
      <c r="C218" s="445" t="s">
        <v>18</v>
      </c>
      <c r="D218" s="445" t="s">
        <v>18</v>
      </c>
      <c r="E218" s="445" t="s">
        <v>1562</v>
      </c>
      <c r="F218" s="445" t="s">
        <v>18</v>
      </c>
      <c r="G218" s="445" t="str">
        <f>IF(AND(ISNUMBER(MATCH(D218,{"F","E","D","D+","C","C+","B","B+","A","A+","S"},0)),ISNUMBER(MATCH(E218,{"F","E","D","D+","C","C+","B","B+","A","A+","S"},0)),ISNUMBER(MATCH(F218,{"F","E","D","D+","C","C+","B","B+","A","A+","S"},0))),LOOKUP(AVERAGE(_xlfn.SWITCH(D218,"F",0,"E",10,"D",20,"D+",30,"C",40,"C+",50,"B",60,"B+",70,"A",80,"A+",90,"S",100),_xlfn.SWITCH(E218,"F",0,"E",10,"D",20,"D+",30,"C",40,"C+",50,"B",60,"B+",70,"A",80,"A+",90,"S",100),_xlfn.SWITCH(F218,"F",0,"E",10,"D",20,"D+",30,"C",40,"C+",50,"B",60,"B+",70,"A",80,"A+",90,"S",100)),{0,15,25,35,45,55,65,75,85,95},{"D","D","D+","C","C+","B","B+","A","A+","S"}),"?")</f>
        <v>B</v>
      </c>
      <c r="H218" s="447">
        <f>IF(AND(ISNUMBER(MATCH(C218,{"F","E","D","D+","C","C+","B","B+","A","A+","S"},0)),ISNUMBER(MATCH(D218,{"F","E","D","D+","C","C+","B","B+","A","A+","S"},0)),ISNUMBER(MATCH(E218,{"F","E","D","D+","C","C+","B","B+","A","A+","S"},0)),ISNUMBER(MATCH(F218,{"F","E","D","D+","C","C+","B","B+","A","A+","S"},0))),_xlfn.SWITCH(C218,"F",0,"E",1,"D",2,"D+",3,"C",4,"C+",5,"B",6,"B+",7,"A",8,"A+",9,"S",10)*0.1+_xlfn.SWITCH(D218,"F",0,"E",1,"D",2,"D+",3,"C",4,"C+",5,"B",6,"B+",7,"A",8,"A+",9,"S",10)*0.4+_xlfn.SWITCH(E218,"F",0,"E",1,"D",2,"D+",3,"C",4,"C+",5,"B",6,"B+",7,"A",8,"A+",9,"S",10)*0.3+_xlfn.SWITCH(F218,"F",0,"E",1,"D",2,"D+",3,"C",4,"C+",5,"B",6,"B+",7,"A",8,"A+",9,"S",10)*0.2,"")</f>
        <v>5.7</v>
      </c>
      <c r="I218" s="473" t="s">
        <v>5126</v>
      </c>
    </row>
    <row r="219" spans="1:9">
      <c r="A219" s="445" t="s">
        <v>1243</v>
      </c>
      <c r="B219" s="474" t="s">
        <v>1244</v>
      </c>
      <c r="C219" s="445" t="s">
        <v>18</v>
      </c>
      <c r="D219" s="445" t="s">
        <v>18</v>
      </c>
      <c r="E219" s="445" t="s">
        <v>1562</v>
      </c>
      <c r="F219" s="445" t="s">
        <v>1562</v>
      </c>
      <c r="G219" s="445" t="str">
        <f>IF(AND(ISNUMBER(MATCH(D219,{"F","E","D","D+","C","C+","B","B+","A","A+","S"},0)),ISNUMBER(MATCH(E219,{"F","E","D","D+","C","C+","B","B+","A","A+","S"},0)),ISNUMBER(MATCH(F219,{"F","E","D","D+","C","C+","B","B+","A","A+","S"},0))),LOOKUP(AVERAGE(_xlfn.SWITCH(D219,"F",0,"E",10,"D",20,"D+",30,"C",40,"C+",50,"B",60,"B+",70,"A",80,"A+",90,"S",100),_xlfn.SWITCH(E219,"F",0,"E",10,"D",20,"D+",30,"C",40,"C+",50,"B",60,"B+",70,"A",80,"A+",90,"S",100),_xlfn.SWITCH(F219,"F",0,"E",10,"D",20,"D+",30,"C",40,"C+",50,"B",60,"B+",70,"A",80,"A+",90,"S",100)),{0,15,25,35,45,55,65,75,85,95},{"D","D","D+","C","C+","B","B+","A","A+","S"}),"?")</f>
        <v>C+</v>
      </c>
      <c r="H219" s="447">
        <f>IF(AND(ISNUMBER(MATCH(C219,{"F","E","D","D+","C","C+","B","B+","A","A+","S"},0)),ISNUMBER(MATCH(D219,{"F","E","D","D+","C","C+","B","B+","A","A+","S"},0)),ISNUMBER(MATCH(E219,{"F","E","D","D+","C","C+","B","B+","A","A+","S"},0)),ISNUMBER(MATCH(F219,{"F","E","D","D+","C","C+","B","B+","A","A+","S"},0))),_xlfn.SWITCH(C219,"F",0,"E",1,"D",2,"D+",3,"C",4,"C+",5,"B",6,"B+",7,"A",8,"A+",9,"S",10)*0.1+_xlfn.SWITCH(D219,"F",0,"E",1,"D",2,"D+",3,"C",4,"C+",5,"B",6,"B+",7,"A",8,"A+",9,"S",10)*0.4+_xlfn.SWITCH(E219,"F",0,"E",1,"D",2,"D+",3,"C",4,"C+",5,"B",6,"B+",7,"A",8,"A+",9,"S",10)*0.3+_xlfn.SWITCH(F219,"F",0,"E",1,"D",2,"D+",3,"C",4,"C+",5,"B",6,"B+",7,"A",8,"A+",9,"S",10)*0.2,"")</f>
        <v>5.5</v>
      </c>
      <c r="I219" s="473" t="s">
        <v>5126</v>
      </c>
    </row>
    <row r="220" spans="1:9">
      <c r="A220" s="445" t="s">
        <v>1247</v>
      </c>
      <c r="B220" s="474" t="s">
        <v>1248</v>
      </c>
      <c r="C220" s="445" t="s">
        <v>22</v>
      </c>
      <c r="D220" s="445"/>
      <c r="E220" s="445"/>
      <c r="F220" s="445"/>
      <c r="G220" s="445" t="str">
        <f>IF(AND(ISNUMBER(MATCH(D220,{"F","E","D","D+","C","C+","B","B+","A","A+","S"},0)),ISNUMBER(MATCH(E220,{"F","E","D","D+","C","C+","B","B+","A","A+","S"},0)),ISNUMBER(MATCH(F220,{"F","E","D","D+","C","C+","B","B+","A","A+","S"},0))),LOOKUP(AVERAGE(_xlfn.SWITCH(D220,"F",0,"E",10,"D",20,"D+",30,"C",40,"C+",50,"B",60,"B+",70,"A",80,"A+",90,"S",100),_xlfn.SWITCH(E220,"F",0,"E",10,"D",20,"D+",30,"C",40,"C+",50,"B",60,"B+",70,"A",80,"A+",90,"S",100),_xlfn.SWITCH(F220,"F",0,"E",10,"D",20,"D+",30,"C",40,"C+",50,"B",60,"B+",70,"A",80,"A+",90,"S",100)),{0,15,25,35,45,55,65,75,85,95},{"D","D","D+","C","C+","B","B+","A","A+","S"}),"?")</f>
        <v>?</v>
      </c>
      <c r="H220" s="447" t="str">
        <f>IF(AND(ISNUMBER(MATCH(C220,{"F","E","D","D+","C","C+","B","B+","A","A+","S"},0)),ISNUMBER(MATCH(D220,{"F","E","D","D+","C","C+","B","B+","A","A+","S"},0)),ISNUMBER(MATCH(E220,{"F","E","D","D+","C","C+","B","B+","A","A+","S"},0)),ISNUMBER(MATCH(F220,{"F","E","D","D+","C","C+","B","B+","A","A+","S"},0))),_xlfn.SWITCH(C220,"F",0,"E",1,"D",2,"D+",3,"C",4,"C+",5,"B",6,"B+",7,"A",8,"A+",9,"S",10)*0.1+_xlfn.SWITCH(D220,"F",0,"E",1,"D",2,"D+",3,"C",4,"C+",5,"B",6,"B+",7,"A",8,"A+",9,"S",10)*0.4+_xlfn.SWITCH(E220,"F",0,"E",1,"D",2,"D+",3,"C",4,"C+",5,"B",6,"B+",7,"A",8,"A+",9,"S",10)*0.3+_xlfn.SWITCH(F220,"F",0,"E",1,"D",2,"D+",3,"C",4,"C+",5,"B",6,"B+",7,"A",8,"A+",9,"S",10)*0.2,"")</f>
        <v/>
      </c>
      <c r="I220" s="473" t="s">
        <v>5127</v>
      </c>
    </row>
    <row r="221" spans="1:9">
      <c r="A221" s="445" t="s">
        <v>1251</v>
      </c>
      <c r="B221" s="474" t="s">
        <v>1252</v>
      </c>
      <c r="C221" s="445" t="s">
        <v>1562</v>
      </c>
      <c r="D221" s="445"/>
      <c r="E221" s="445"/>
      <c r="F221" s="445"/>
      <c r="G221" s="445" t="str">
        <f>IF(AND(ISNUMBER(MATCH(D221,{"F","E","D","D+","C","C+","B","B+","A","A+","S"},0)),ISNUMBER(MATCH(E221,{"F","E","D","D+","C","C+","B","B+","A","A+","S"},0)),ISNUMBER(MATCH(F221,{"F","E","D","D+","C","C+","B","B+","A","A+","S"},0))),LOOKUP(AVERAGE(_xlfn.SWITCH(D221,"F",0,"E",10,"D",20,"D+",30,"C",40,"C+",50,"B",60,"B+",70,"A",80,"A+",90,"S",100),_xlfn.SWITCH(E221,"F",0,"E",10,"D",20,"D+",30,"C",40,"C+",50,"B",60,"B+",70,"A",80,"A+",90,"S",100),_xlfn.SWITCH(F221,"F",0,"E",10,"D",20,"D+",30,"C",40,"C+",50,"B",60,"B+",70,"A",80,"A+",90,"S",100)),{0,15,25,35,45,55,65,75,85,95},{"D","D","D+","C","C+","B","B+","A","A+","S"}),"?")</f>
        <v>?</v>
      </c>
      <c r="H221" s="447" t="str">
        <f>IF(AND(ISNUMBER(MATCH(C221,{"F","E","D","D+","C","C+","B","B+","A","A+","S"},0)),ISNUMBER(MATCH(D221,{"F","E","D","D+","C","C+","B","B+","A","A+","S"},0)),ISNUMBER(MATCH(E221,{"F","E","D","D+","C","C+","B","B+","A","A+","S"},0)),ISNUMBER(MATCH(F221,{"F","E","D","D+","C","C+","B","B+","A","A+","S"},0))),_xlfn.SWITCH(C221,"F",0,"E",1,"D",2,"D+",3,"C",4,"C+",5,"B",6,"B+",7,"A",8,"A+",9,"S",10)*0.1+_xlfn.SWITCH(D221,"F",0,"E",1,"D",2,"D+",3,"C",4,"C+",5,"B",6,"B+",7,"A",8,"A+",9,"S",10)*0.4+_xlfn.SWITCH(E221,"F",0,"E",1,"D",2,"D+",3,"C",4,"C+",5,"B",6,"B+",7,"A",8,"A+",9,"S",10)*0.3+_xlfn.SWITCH(F221,"F",0,"E",1,"D",2,"D+",3,"C",4,"C+",5,"B",6,"B+",7,"A",8,"A+",9,"S",10)*0.2,"")</f>
        <v/>
      </c>
      <c r="I221" s="473"/>
    </row>
    <row r="222" spans="1:9">
      <c r="A222" s="445" t="s">
        <v>1254</v>
      </c>
      <c r="B222" s="474" t="s">
        <v>659</v>
      </c>
      <c r="C222" s="445" t="s">
        <v>18</v>
      </c>
      <c r="D222" s="445" t="s">
        <v>18</v>
      </c>
      <c r="E222" s="445" t="s">
        <v>1562</v>
      </c>
      <c r="F222" s="445" t="s">
        <v>1562</v>
      </c>
      <c r="G222" s="445" t="str">
        <f>IF(AND(ISNUMBER(MATCH(D222,{"F","E","D","D+","C","C+","B","B+","A","A+","S"},0)),ISNUMBER(MATCH(E222,{"F","E","D","D+","C","C+","B","B+","A","A+","S"},0)),ISNUMBER(MATCH(F222,{"F","E","D","D+","C","C+","B","B+","A","A+","S"},0))),LOOKUP(AVERAGE(_xlfn.SWITCH(D222,"F",0,"E",10,"D",20,"D+",30,"C",40,"C+",50,"B",60,"B+",70,"A",80,"A+",90,"S",100),_xlfn.SWITCH(E222,"F",0,"E",10,"D",20,"D+",30,"C",40,"C+",50,"B",60,"B+",70,"A",80,"A+",90,"S",100),_xlfn.SWITCH(F222,"F",0,"E",10,"D",20,"D+",30,"C",40,"C+",50,"B",60,"B+",70,"A",80,"A+",90,"S",100)),{0,15,25,35,45,55,65,75,85,95},{"D","D","D+","C","C+","B","B+","A","A+","S"}),"?")</f>
        <v>C+</v>
      </c>
      <c r="H222" s="447">
        <f>IF(AND(ISNUMBER(MATCH(C222,{"F","E","D","D+","C","C+","B","B+","A","A+","S"},0)),ISNUMBER(MATCH(D222,{"F","E","D","D+","C","C+","B","B+","A","A+","S"},0)),ISNUMBER(MATCH(E222,{"F","E","D","D+","C","C+","B","B+","A","A+","S"},0)),ISNUMBER(MATCH(F222,{"F","E","D","D+","C","C+","B","B+","A","A+","S"},0))),_xlfn.SWITCH(C222,"F",0,"E",1,"D",2,"D+",3,"C",4,"C+",5,"B",6,"B+",7,"A",8,"A+",9,"S",10)*0.1+_xlfn.SWITCH(D222,"F",0,"E",1,"D",2,"D+",3,"C",4,"C+",5,"B",6,"B+",7,"A",8,"A+",9,"S",10)*0.4+_xlfn.SWITCH(E222,"F",0,"E",1,"D",2,"D+",3,"C",4,"C+",5,"B",6,"B+",7,"A",8,"A+",9,"S",10)*0.3+_xlfn.SWITCH(F222,"F",0,"E",1,"D",2,"D+",3,"C",4,"C+",5,"B",6,"B+",7,"A",8,"A+",9,"S",10)*0.2,"")</f>
        <v>5.5</v>
      </c>
      <c r="I222" s="473" t="s">
        <v>5126</v>
      </c>
    </row>
    <row r="223" spans="1:9">
      <c r="A223" s="445" t="s">
        <v>1255</v>
      </c>
      <c r="B223" s="474" t="s">
        <v>1256</v>
      </c>
      <c r="C223" s="445" t="s">
        <v>1567</v>
      </c>
      <c r="D223" s="445" t="s">
        <v>18</v>
      </c>
      <c r="E223" s="445" t="s">
        <v>1562</v>
      </c>
      <c r="F223" s="445" t="s">
        <v>18</v>
      </c>
      <c r="G223" s="445" t="str">
        <f>IF(AND(ISNUMBER(MATCH(D223,{"F","E","D","D+","C","C+","B","B+","A","A+","S"},0)),ISNUMBER(MATCH(E223,{"F","E","D","D+","C","C+","B","B+","A","A+","S"},0)),ISNUMBER(MATCH(F223,{"F","E","D","D+","C","C+","B","B+","A","A+","S"},0))),LOOKUP(AVERAGE(_xlfn.SWITCH(D223,"F",0,"E",10,"D",20,"D+",30,"C",40,"C+",50,"B",60,"B+",70,"A",80,"A+",90,"S",100),_xlfn.SWITCH(E223,"F",0,"E",10,"D",20,"D+",30,"C",40,"C+",50,"B",60,"B+",70,"A",80,"A+",90,"S",100),_xlfn.SWITCH(F223,"F",0,"E",10,"D",20,"D+",30,"C",40,"C+",50,"B",60,"B+",70,"A",80,"A+",90,"S",100)),{0,15,25,35,45,55,65,75,85,95},{"D","D","D+","C","C+","B","B+","A","A+","S"}),"?")</f>
        <v>B</v>
      </c>
      <c r="H223" s="447">
        <f>IF(AND(ISNUMBER(MATCH(C223,{"F","E","D","D+","C","C+","B","B+","A","A+","S"},0)),ISNUMBER(MATCH(D223,{"F","E","D","D+","C","C+","B","B+","A","A+","S"},0)),ISNUMBER(MATCH(E223,{"F","E","D","D+","C","C+","B","B+","A","A+","S"},0)),ISNUMBER(MATCH(F223,{"F","E","D","D+","C","C+","B","B+","A","A+","S"},0))),_xlfn.SWITCH(C223,"F",0,"E",1,"D",2,"D+",3,"C",4,"C+",5,"B",6,"B+",7,"A",8,"A+",9,"S",10)*0.1+_xlfn.SWITCH(D223,"F",0,"E",1,"D",2,"D+",3,"C",4,"C+",5,"B",6,"B+",7,"A",8,"A+",9,"S",10)*0.4+_xlfn.SWITCH(E223,"F",0,"E",1,"D",2,"D+",3,"C",4,"C+",5,"B",6,"B+",7,"A",8,"A+",9,"S",10)*0.3+_xlfn.SWITCH(F223,"F",0,"E",1,"D",2,"D+",3,"C",4,"C+",5,"B",6,"B+",7,"A",8,"A+",9,"S",10)*0.2,"")</f>
        <v>5.8000000000000007</v>
      </c>
      <c r="I223" s="473" t="s">
        <v>5128</v>
      </c>
    </row>
    <row r="224" spans="1:9">
      <c r="A224" s="445" t="s">
        <v>1257</v>
      </c>
      <c r="B224" s="478" t="s">
        <v>1258</v>
      </c>
      <c r="C224" s="445" t="s">
        <v>18</v>
      </c>
      <c r="D224" s="445" t="s">
        <v>1567</v>
      </c>
      <c r="E224" s="445" t="s">
        <v>1567</v>
      </c>
      <c r="F224" s="445" t="s">
        <v>18</v>
      </c>
      <c r="G224" s="445" t="str">
        <f>IF(AND(ISNUMBER(MATCH(D224,{"F","E","D","D+","C","C+","B","B+","A","A+","S"},0)),ISNUMBER(MATCH(E224,{"F","E","D","D+","C","C+","B","B+","A","A+","S"},0)),ISNUMBER(MATCH(F224,{"F","E","D","D+","C","C+","B","B+","A","A+","S"},0))),LOOKUP(AVERAGE(_xlfn.SWITCH(D224,"F",0,"E",10,"D",20,"D+",30,"C",40,"C+",50,"B",60,"B+",70,"A",80,"A+",90,"S",100),_xlfn.SWITCH(E224,"F",0,"E",10,"D",20,"D+",30,"C",40,"C+",50,"B",60,"B+",70,"A",80,"A+",90,"S",100),_xlfn.SWITCH(F224,"F",0,"E",10,"D",20,"D+",30,"C",40,"C+",50,"B",60,"B+",70,"A",80,"A+",90,"S",100)),{0,15,25,35,45,55,65,75,85,95},{"D","D","D+","C","C+","B","B+","A","A+","S"}),"?")</f>
        <v>B+</v>
      </c>
      <c r="H224" s="447">
        <f>IF(AND(ISNUMBER(MATCH(C224,{"F","E","D","D+","C","C+","B","B+","A","A+","S"},0)),ISNUMBER(MATCH(D224,{"F","E","D","D+","C","C+","B","B+","A","A+","S"},0)),ISNUMBER(MATCH(E224,{"F","E","D","D+","C","C+","B","B+","A","A+","S"},0)),ISNUMBER(MATCH(F224,{"F","E","D","D+","C","C+","B","B+","A","A+","S"},0))),_xlfn.SWITCH(C224,"F",0,"E",1,"D",2,"D+",3,"C",4,"C+",5,"B",6,"B+",7,"A",8,"A+",9,"S",10)*0.1+_xlfn.SWITCH(D224,"F",0,"E",1,"D",2,"D+",3,"C",4,"C+",5,"B",6,"B+",7,"A",8,"A+",9,"S",10)*0.4+_xlfn.SWITCH(E224,"F",0,"E",1,"D",2,"D+",3,"C",4,"C+",5,"B",6,"B+",7,"A",8,"A+",9,"S",10)*0.3+_xlfn.SWITCH(F224,"F",0,"E",1,"D",2,"D+",3,"C",4,"C+",5,"B",6,"B+",7,"A",8,"A+",9,"S",10)*0.2,"")</f>
        <v>6.7</v>
      </c>
      <c r="I224" s="473" t="s">
        <v>5129</v>
      </c>
    </row>
    <row r="225" spans="1:15" ht="34">
      <c r="A225" s="445" t="s">
        <v>1260</v>
      </c>
      <c r="B225" s="474" t="s">
        <v>1261</v>
      </c>
      <c r="C225" s="445" t="s">
        <v>18</v>
      </c>
      <c r="D225" s="445" t="s">
        <v>18</v>
      </c>
      <c r="E225" s="445" t="s">
        <v>1567</v>
      </c>
      <c r="F225" s="445" t="s">
        <v>18</v>
      </c>
      <c r="G225" s="445" t="str">
        <f>IF(AND(ISNUMBER(MATCH(D225,{"F","E","D","D+","C","C+","B","B+","A","A+","S"},0)),ISNUMBER(MATCH(E225,{"F","E","D","D+","C","C+","B","B+","A","A+","S"},0)),ISNUMBER(MATCH(F225,{"F","E","D","D+","C","C+","B","B+","A","A+","S"},0))),LOOKUP(AVERAGE(_xlfn.SWITCH(D225,"F",0,"E",10,"D",20,"D+",30,"C",40,"C+",50,"B",60,"B+",70,"A",80,"A+",90,"S",100),_xlfn.SWITCH(E225,"F",0,"E",10,"D",20,"D+",30,"C",40,"C+",50,"B",60,"B+",70,"A",80,"A+",90,"S",100),_xlfn.SWITCH(F225,"F",0,"E",10,"D",20,"D+",30,"C",40,"C+",50,"B",60,"B+",70,"A",80,"A+",90,"S",100)),{0,15,25,35,45,55,65,75,85,95},{"D","D","D+","C","C+","B","B+","A","A+","S"}),"?")</f>
        <v>B</v>
      </c>
      <c r="H225" s="447">
        <f>IF(AND(ISNUMBER(MATCH(C225,{"F","E","D","D+","C","C+","B","B+","A","A+","S"},0)),ISNUMBER(MATCH(D225,{"F","E","D","D+","C","C+","B","B+","A","A+","S"},0)),ISNUMBER(MATCH(E225,{"F","E","D","D+","C","C+","B","B+","A","A+","S"},0)),ISNUMBER(MATCH(F225,{"F","E","D","D+","C","C+","B","B+","A","A+","S"},0))),_xlfn.SWITCH(C225,"F",0,"E",1,"D",2,"D+",3,"C",4,"C+",5,"B",6,"B+",7,"A",8,"A+",9,"S",10)*0.1+_xlfn.SWITCH(D225,"F",0,"E",1,"D",2,"D+",3,"C",4,"C+",5,"B",6,"B+",7,"A",8,"A+",9,"S",10)*0.4+_xlfn.SWITCH(E225,"F",0,"E",1,"D",2,"D+",3,"C",4,"C+",5,"B",6,"B+",7,"A",8,"A+",9,"S",10)*0.3+_xlfn.SWITCH(F225,"F",0,"E",1,"D",2,"D+",3,"C",4,"C+",5,"B",6,"B+",7,"A",8,"A+",9,"S",10)*0.2,"")</f>
        <v>6.3000000000000007</v>
      </c>
      <c r="I225" s="475" t="s">
        <v>5130</v>
      </c>
    </row>
    <row r="226" spans="1:15">
      <c r="A226" s="445" t="s">
        <v>1264</v>
      </c>
      <c r="B226" s="474" t="s">
        <v>1265</v>
      </c>
      <c r="C226" s="445" t="s">
        <v>1562</v>
      </c>
      <c r="D226" s="445"/>
      <c r="E226" s="445"/>
      <c r="F226" s="445"/>
      <c r="G226" s="445" t="str">
        <f>IF(AND(ISNUMBER(MATCH(D226,{"F","E","D","D+","C","C+","B","B+","A","A+","S"},0)),ISNUMBER(MATCH(E226,{"F","E","D","D+","C","C+","B","B+","A","A+","S"},0)),ISNUMBER(MATCH(F226,{"F","E","D","D+","C","C+","B","B+","A","A+","S"},0))),LOOKUP(AVERAGE(_xlfn.SWITCH(D226,"F",0,"E",10,"D",20,"D+",30,"C",40,"C+",50,"B",60,"B+",70,"A",80,"A+",90,"S",100),_xlfn.SWITCH(E226,"F",0,"E",10,"D",20,"D+",30,"C",40,"C+",50,"B",60,"B+",70,"A",80,"A+",90,"S",100),_xlfn.SWITCH(F226,"F",0,"E",10,"D",20,"D+",30,"C",40,"C+",50,"B",60,"B+",70,"A",80,"A+",90,"S",100)),{0,15,25,35,45,55,65,75,85,95},{"D","D","D+","C","C+","B","B+","A","A+","S"}),"?")</f>
        <v>?</v>
      </c>
      <c r="H226" s="447" t="str">
        <f>IF(AND(ISNUMBER(MATCH(C226,{"F","E","D","D+","C","C+","B","B+","A","A+","S"},0)),ISNUMBER(MATCH(D226,{"F","E","D","D+","C","C+","B","B+","A","A+","S"},0)),ISNUMBER(MATCH(E226,{"F","E","D","D+","C","C+","B","B+","A","A+","S"},0)),ISNUMBER(MATCH(F226,{"F","E","D","D+","C","C+","B","B+","A","A+","S"},0))),_xlfn.SWITCH(C226,"F",0,"E",1,"D",2,"D+",3,"C",4,"C+",5,"B",6,"B+",7,"A",8,"A+",9,"S",10)*0.1+_xlfn.SWITCH(D226,"F",0,"E",1,"D",2,"D+",3,"C",4,"C+",5,"B",6,"B+",7,"A",8,"A+",9,"S",10)*0.4+_xlfn.SWITCH(E226,"F",0,"E",1,"D",2,"D+",3,"C",4,"C+",5,"B",6,"B+",7,"A",8,"A+",9,"S",10)*0.3+_xlfn.SWITCH(F226,"F",0,"E",1,"D",2,"D+",3,"C",4,"C+",5,"B",6,"B+",7,"A",8,"A+",9,"S",10)*0.2,"")</f>
        <v/>
      </c>
      <c r="I226" s="473"/>
    </row>
    <row r="227" spans="1:15">
      <c r="A227" s="445" t="s">
        <v>583</v>
      </c>
      <c r="B227" s="482" t="s">
        <v>584</v>
      </c>
      <c r="C227" s="445" t="s">
        <v>18</v>
      </c>
      <c r="D227" s="445" t="s">
        <v>1567</v>
      </c>
      <c r="E227" s="445" t="s">
        <v>1567</v>
      </c>
      <c r="F227" s="445" t="s">
        <v>1567</v>
      </c>
      <c r="G227" s="445" t="str">
        <f>IF(AND(ISNUMBER(MATCH(D227,{"F","E","D","D+","C","C+","B","B+","A","A+","S"},0)),ISNUMBER(MATCH(E227,{"F","E","D","D+","C","C+","B","B+","A","A+","S"},0)),ISNUMBER(MATCH(F227,{"F","E","D","D+","C","C+","B","B+","A","A+","S"},0))),LOOKUP(AVERAGE(_xlfn.SWITCH(D227,"F",0,"E",10,"D",20,"D+",30,"C",40,"C+",50,"B",60,"B+",70,"A",80,"A+",90,"S",100),_xlfn.SWITCH(E227,"F",0,"E",10,"D",20,"D+",30,"C",40,"C+",50,"B",60,"B+",70,"A",80,"A+",90,"S",100),_xlfn.SWITCH(F227,"F",0,"E",10,"D",20,"D+",30,"C",40,"C+",50,"B",60,"B+",70,"A",80,"A+",90,"S",100)),{0,15,25,35,45,55,65,75,85,95},{"D","D","D+","C","C+","B","B+","A","A+","S"}),"?")</f>
        <v>B+</v>
      </c>
      <c r="H227" s="447">
        <f>IF(AND(ISNUMBER(MATCH(C227,{"F","E","D","D+","C","C+","B","B+","A","A+","S"},0)),ISNUMBER(MATCH(D227,{"F","E","D","D+","C","C+","B","B+","A","A+","S"},0)),ISNUMBER(MATCH(E227,{"F","E","D","D+","C","C+","B","B+","A","A+","S"},0)),ISNUMBER(MATCH(F227,{"F","E","D","D+","C","C+","B","B+","A","A+","S"},0))),_xlfn.SWITCH(C227,"F",0,"E",1,"D",2,"D+",3,"C",4,"C+",5,"B",6,"B+",7,"A",8,"A+",9,"S",10)*0.1+_xlfn.SWITCH(D227,"F",0,"E",1,"D",2,"D+",3,"C",4,"C+",5,"B",6,"B+",7,"A",8,"A+",9,"S",10)*0.4+_xlfn.SWITCH(E227,"F",0,"E",1,"D",2,"D+",3,"C",4,"C+",5,"B",6,"B+",7,"A",8,"A+",9,"S",10)*0.3+_xlfn.SWITCH(F227,"F",0,"E",1,"D",2,"D+",3,"C",4,"C+",5,"B",6,"B+",7,"A",8,"A+",9,"S",10)*0.2,"")</f>
        <v>6.9</v>
      </c>
      <c r="I227" s="473" t="s">
        <v>5131</v>
      </c>
      <c r="K227" s="1"/>
    </row>
    <row r="228" spans="1:15" ht="18" customHeight="1">
      <c r="A228" s="484"/>
      <c r="B228" s="485"/>
      <c r="C228" s="484"/>
      <c r="D228" s="484"/>
      <c r="E228" s="484"/>
      <c r="F228" s="484"/>
      <c r="G228" s="484"/>
      <c r="H228" s="486"/>
      <c r="I228" s="486"/>
      <c r="K228" s="471"/>
      <c r="L228" s="471"/>
      <c r="M228" s="471"/>
      <c r="N228" s="471"/>
      <c r="O228" s="471"/>
    </row>
    <row r="229" spans="1:15">
      <c r="A229" s="626" t="s">
        <v>5132</v>
      </c>
      <c r="B229" s="629"/>
      <c r="C229" s="630"/>
      <c r="D229" s="630"/>
      <c r="E229" s="630"/>
      <c r="F229" s="630"/>
      <c r="G229" s="630" t="str">
        <f>IF(AND(ISNUMBER(MATCH(C229,{"F","E","D","D+","C","C+","B","B+","A","A+","S"},0)),ISNUMBER(MATCH(D230,{"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H229" s="628"/>
      <c r="I229" s="627"/>
      <c r="K229" s="1"/>
    </row>
    <row r="230" spans="1:15">
      <c r="A230" s="631"/>
      <c r="B230" s="632"/>
      <c r="C230" s="633"/>
      <c r="D230" s="633"/>
      <c r="E230" s="633"/>
      <c r="F230" s="633"/>
      <c r="G230" s="633" t="str">
        <f>IF(AND(ISNUMBER(MATCH(C230,{"F","E","D","D+","C","C+","B","B+","A","A+","S"},0)),ISNUMBER(MATCH(#REF!,{"F","E","D","D+","C","C+","B","B+","A","A+","S"},0)),ISNUMBER(MATCH(#REF!,{"F","E","D","D+","C","C+","B","B+","A","A+","S"},0)),ISNUMBER(MATCH(#REF!,{"F","E","D","D+","C","C+","B","B+","A","A+","S"},0))),LOOKUP(AVERAGE(_xlfn.SWITCH(#REF!,"F",0,"E",10,"D",20,"D+",30,"C",40,"C+",50,"B",60,"B+",70,"A",80,"A+",90,"S",100),_xlfn.SWITCH(#REF!,"F",0,"E",10,"D",20,"D+",30,"C",40,"C+",50,"B",60,"B+",70,"A",80,"A+",90,"S",100),_xlfn.SWITCH(#REF!,"F",0,"E",10,"D",20,"D+",30,"C",40,"C+",50,"B",60,"B+",70,"A",80,"A+",90,"S",100),_xlfn.SWITCH(#REF!,"F",0,"E",10,"D",20,"D+",30,"C",40,"C+",50,"B",60,"B+",70,"A",80,"A+",90,"S",100)),{0,15,25,35,45,55,65,75,85,95},{"D","D","D+","C","C+","B","B+","A","A+","S"}),"?")</f>
        <v>?</v>
      </c>
      <c r="H230" s="628"/>
      <c r="I230" s="627"/>
    </row>
    <row r="231" spans="1:15">
      <c r="A231" s="487"/>
      <c r="B231" s="488"/>
      <c r="C231" s="318"/>
      <c r="D231" s="318"/>
      <c r="E231" s="318"/>
      <c r="F231" s="318"/>
      <c r="G231" s="318"/>
    </row>
    <row r="232" spans="1:15">
      <c r="A232" s="626" t="s">
        <v>1394</v>
      </c>
      <c r="B232" s="632"/>
      <c r="C232" s="633"/>
      <c r="D232" s="633"/>
      <c r="E232" s="633"/>
      <c r="F232" s="633"/>
      <c r="G232" s="633" t="str">
        <f>IF(AND(ISNUMBER(MATCH(C232,{"F","E","D","D+","C","C+","B","B+","A","A+","S"},0)),ISNUMBER(MATCH(D233,{"F","E","D","D+","C","C+","B","B+","A","A+","S"},0)),ISNUMBER(MATCH(E235,{"F","E","D","D+","C","C+","B","B+","A","A+","S"},0)),ISNUMBER(MATCH(F236,{"F","E","D","D+","C","C+","B","B+","A","A+","S"},0))),LOOKUP(AVERAGE(_xlfn.SWITCH(C237,"F",0,"E",10,"D",20,"D+",30,"C",40,"C+",50,"B",60,"B+",70,"A",80,"A+",90,"S",100),_xlfn.SWITCH(D238,"F",0,"E",10,"D",20,"D+",30,"C",40,"C+",50,"B",60,"B+",70,"A",80,"A+",90,"S",100),_xlfn.SWITCH(E239,"F",0,"E",10,"D",20,"D+",30,"C",40,"C+",50,"B",60,"B+",70,"A",80,"A+",90,"S",100),_xlfn.SWITCH(F240,"F",0,"E",10,"D",20,"D+",30,"C",40,"C+",50,"B",60,"B+",70,"A",80,"A+",90,"S",100)),{0,15,25,35,45,55,65,75,85,95},{"D","D","D+","C","C+","B","B+","A","A+","S"}),"?")</f>
        <v>?</v>
      </c>
      <c r="H232" s="628"/>
      <c r="I232" s="627"/>
    </row>
    <row r="233" spans="1:15">
      <c r="A233" s="633"/>
      <c r="B233" s="632"/>
      <c r="C233" s="633"/>
      <c r="D233" s="633"/>
      <c r="E233" s="633"/>
      <c r="F233" s="633"/>
      <c r="G233" s="633" t="str">
        <f>IF(AND(ISNUMBER(MATCH(C233,{"F","E","D","D+","C","C+","B","B+","A","A+","S"},0)),ISNUMBER(MATCH(D235,{"F","E","D","D+","C","C+","B","B+","A","A+","S"},0)),ISNUMBER(MATCH(E236,{"F","E","D","D+","C","C+","B","B+","A","A+","S"},0)),ISNUMBER(MATCH(F237,{"F","E","D","D+","C","C+","B","B+","A","A+","S"},0))),LOOKUP(AVERAGE(_xlfn.SWITCH(C238,"F",0,"E",10,"D",20,"D+",30,"C",40,"C+",50,"B",60,"B+",70,"A",80,"A+",90,"S",100),_xlfn.SWITCH(D239,"F",0,"E",10,"D",20,"D+",30,"C",40,"C+",50,"B",60,"B+",70,"A",80,"A+",90,"S",100),_xlfn.SWITCH(E240,"F",0,"E",10,"D",20,"D+",30,"C",40,"C+",50,"B",60,"B+",70,"A",80,"A+",90,"S",100),_xlfn.SWITCH(F241,"F",0,"E",10,"D",20,"D+",30,"C",40,"C+",50,"B",60,"B+",70,"A",80,"A+",90,"S",100)),{0,15,25,35,45,55,65,75,85,95},{"D","D","D+","C","C+","B","B+","A","A+","S"}),"?")</f>
        <v>?</v>
      </c>
      <c r="H233" s="628"/>
      <c r="I233" s="627"/>
    </row>
    <row r="234" spans="1:15">
      <c r="A234" s="489" t="s">
        <v>4</v>
      </c>
      <c r="B234" s="490" t="s">
        <v>5</v>
      </c>
      <c r="C234" s="489" t="s">
        <v>3519</v>
      </c>
      <c r="D234" s="489" t="s">
        <v>4958</v>
      </c>
      <c r="E234" s="489" t="s">
        <v>4959</v>
      </c>
      <c r="F234" s="489" t="s">
        <v>4960</v>
      </c>
      <c r="G234" s="489" t="s">
        <v>10</v>
      </c>
      <c r="H234" s="489"/>
      <c r="I234" s="489" t="s">
        <v>11</v>
      </c>
      <c r="L234" s="444" t="s">
        <v>4962</v>
      </c>
      <c r="M234" s="444" t="s">
        <v>3519</v>
      </c>
      <c r="N234" s="444" t="s">
        <v>10</v>
      </c>
    </row>
    <row r="235" spans="1:15">
      <c r="A235" s="445" t="s">
        <v>1395</v>
      </c>
      <c r="B235" s="472" t="s">
        <v>1396</v>
      </c>
      <c r="C235" s="445" t="s">
        <v>1574</v>
      </c>
      <c r="D235" s="445"/>
      <c r="E235" s="445"/>
      <c r="F235" s="445"/>
      <c r="G235" s="445" t="str">
        <f>IF(AND(ISNUMBER(MATCH(D235,{"F","E","D","D+","C","C+","B","B+","A","A+","S"},0)),ISNUMBER(MATCH(E235,{"F","E","D","D+","C","C+","B","B+","A","A+","S"},0)),ISNUMBER(MATCH(F235,{"F","E","D","D+","C","C+","B","B+","A","A+","S"},0))),LOOKUP(AVERAGE(_xlfn.SWITCH(D235,"F",0,"E",10,"D",20,"D+",30,"C",40,"C+",50,"B",60,"B+",70,"A",80,"A+",90,"S",100),_xlfn.SWITCH(E235,"F",0,"E",10,"D",20,"D+",30,"C",40,"C+",50,"B",60,"B+",70,"A",80,"A+",90,"S",100),_xlfn.SWITCH(F235,"F",0,"E",10,"D",20,"D+",30,"C",40,"C+",50,"B",60,"B+",70,"A",80,"A+",90,"S",100)),{0,15,25,35,45,55,65,75,85,95},{"D","D","D+","C","C+","B","B+","A","A+","S"}),"?")</f>
        <v>?</v>
      </c>
      <c r="H235" s="447" t="str">
        <f>IF(AND(ISNUMBER(MATCH(C235,{"F","E","D","D+","C","C+","B","B+","A","A+","S"},0)),ISNUMBER(MATCH(D235,{"F","E","D","D+","C","C+","B","B+","A","A+","S"},0)),ISNUMBER(MATCH(E235,{"F","E","D","D+","C","C+","B","B+","A","A+","S"},0)),ISNUMBER(MATCH(F235,{"F","E","D","D+","C","C+","B","B+","A","A+","S"},0))),_xlfn.SWITCH(C235,"F",0,"E",1,"D",2,"D+",3,"C",4,"C+",5,"B",6,"B+",7,"A",8,"A+",9,"S",10)*0.1+_xlfn.SWITCH(D235,"F",0,"E",1,"D",2,"D+",3,"C",4,"C+",5,"B",6,"B+",7,"A",8,"A+",9,"S",10)*0.4+_xlfn.SWITCH(E235,"F",0,"E",1,"D",2,"D+",3,"C",4,"C+",5,"B",6,"B+",7,"A",8,"A+",9,"S",10)*0.3+_xlfn.SWITCH(F235,"F",0,"E",1,"D",2,"D+",3,"C",4,"C+",5,"B",6,"B+",7,"A",8,"A+",9,"S",10)*0.2,"")</f>
        <v/>
      </c>
      <c r="I235" s="473"/>
      <c r="L235" s="449" t="s">
        <v>17</v>
      </c>
      <c r="M235" s="449">
        <f>COUNTIF(C235:C278,$L235)</f>
        <v>1</v>
      </c>
      <c r="N235" s="449">
        <f>COUNTIF(G235:G278,$L235)</f>
        <v>1</v>
      </c>
    </row>
    <row r="236" spans="1:15">
      <c r="A236" s="445" t="s">
        <v>1221</v>
      </c>
      <c r="B236" s="474" t="s">
        <v>1222</v>
      </c>
      <c r="C236" s="445" t="s">
        <v>1574</v>
      </c>
      <c r="D236" s="445"/>
      <c r="E236" s="445"/>
      <c r="F236" s="445"/>
      <c r="G236" s="445" t="str">
        <f>IF(AND(ISNUMBER(MATCH(D236,{"F","E","D","D+","C","C+","B","B+","A","A+","S"},0)),ISNUMBER(MATCH(E236,{"F","E","D","D+","C","C+","B","B+","A","A+","S"},0)),ISNUMBER(MATCH(F236,{"F","E","D","D+","C","C+","B","B+","A","A+","S"},0))),LOOKUP(AVERAGE(_xlfn.SWITCH(D236,"F",0,"E",10,"D",20,"D+",30,"C",40,"C+",50,"B",60,"B+",70,"A",80,"A+",90,"S",100),_xlfn.SWITCH(E236,"F",0,"E",10,"D",20,"D+",30,"C",40,"C+",50,"B",60,"B+",70,"A",80,"A+",90,"S",100),_xlfn.SWITCH(F236,"F",0,"E",10,"D",20,"D+",30,"C",40,"C+",50,"B",60,"B+",70,"A",80,"A+",90,"S",100)),{0,15,25,35,45,55,65,75,85,95},{"D","D","D+","C","C+","B","B+","A","A+","S"}),"?")</f>
        <v>?</v>
      </c>
      <c r="H236" s="447" t="str">
        <f>IF(AND(ISNUMBER(MATCH(C236,{"F","E","D","D+","C","C+","B","B+","A","A+","S"},0)),ISNUMBER(MATCH(D236,{"F","E","D","D+","C","C+","B","B+","A","A+","S"},0)),ISNUMBER(MATCH(E236,{"F","E","D","D+","C","C+","B","B+","A","A+","S"},0)),ISNUMBER(MATCH(F236,{"F","E","D","D+","C","C+","B","B+","A","A+","S"},0))),_xlfn.SWITCH(C236,"F",0,"E",1,"D",2,"D+",3,"C",4,"C+",5,"B",6,"B+",7,"A",8,"A+",9,"S",10)*0.1+_xlfn.SWITCH(D236,"F",0,"E",1,"D",2,"D+",3,"C",4,"C+",5,"B",6,"B+",7,"A",8,"A+",9,"S",10)*0.4+_xlfn.SWITCH(E236,"F",0,"E",1,"D",2,"D+",3,"C",4,"C+",5,"B",6,"B+",7,"A",8,"A+",9,"S",10)*0.3+_xlfn.SWITCH(F236,"F",0,"E",1,"D",2,"D+",3,"C",4,"C+",5,"B",6,"B+",7,"A",8,"A+",9,"S",10)*0.2,"")</f>
        <v/>
      </c>
      <c r="I236" s="473"/>
      <c r="L236" s="444" t="s">
        <v>28</v>
      </c>
      <c r="M236" s="476">
        <f>COUNTIF(C236:C279,$L236)</f>
        <v>1</v>
      </c>
      <c r="N236" s="476">
        <f>COUNTIF(G236:G279,$L236)</f>
        <v>3</v>
      </c>
    </row>
    <row r="237" spans="1:15">
      <c r="A237" s="445" t="s">
        <v>1235</v>
      </c>
      <c r="B237" s="478" t="s">
        <v>1236</v>
      </c>
      <c r="C237" s="445" t="s">
        <v>1567</v>
      </c>
      <c r="D237" s="445" t="s">
        <v>1567</v>
      </c>
      <c r="E237" s="445" t="s">
        <v>1567</v>
      </c>
      <c r="F237" s="445" t="s">
        <v>1567</v>
      </c>
      <c r="G237" s="445" t="str">
        <f>IF(AND(ISNUMBER(MATCH(D237,{"F","E","D","D+","C","C+","B","B+","A","A+","S"},0)),ISNUMBER(MATCH(E237,{"F","E","D","D+","C","C+","B","B+","A","A+","S"},0)),ISNUMBER(MATCH(F237,{"F","E","D","D+","C","C+","B","B+","A","A+","S"},0))),LOOKUP(AVERAGE(_xlfn.SWITCH(D237,"F",0,"E",10,"D",20,"D+",30,"C",40,"C+",50,"B",60,"B+",70,"A",80,"A+",90,"S",100),_xlfn.SWITCH(E237,"F",0,"E",10,"D",20,"D+",30,"C",40,"C+",50,"B",60,"B+",70,"A",80,"A+",90,"S",100),_xlfn.SWITCH(F237,"F",0,"E",10,"D",20,"D+",30,"C",40,"C+",50,"B",60,"B+",70,"A",80,"A+",90,"S",100)),{0,15,25,35,45,55,65,75,85,95},{"D","D","D+","C","C+","B","B+","A","A+","S"}),"?")</f>
        <v>B+</v>
      </c>
      <c r="H237" s="447">
        <f>IF(AND(ISNUMBER(MATCH(C237,{"F","E","D","D+","C","C+","B","B+","A","A+","S"},0)),ISNUMBER(MATCH(D237,{"F","E","D","D+","C","C+","B","B+","A","A+","S"},0)),ISNUMBER(MATCH(E237,{"F","E","D","D+","C","C+","B","B+","A","A+","S"},0)),ISNUMBER(MATCH(F237,{"F","E","D","D+","C","C+","B","B+","A","A+","S"},0))),_xlfn.SWITCH(C237,"F",0,"E",1,"D",2,"D+",3,"C",4,"C+",5,"B",6,"B+",7,"A",8,"A+",9,"S",10)*0.1+_xlfn.SWITCH(D237,"F",0,"E",1,"D",2,"D+",3,"C",4,"C+",5,"B",6,"B+",7,"A",8,"A+",9,"S",10)*0.4+_xlfn.SWITCH(E237,"F",0,"E",1,"D",2,"D+",3,"C",4,"C+",5,"B",6,"B+",7,"A",8,"A+",9,"S",10)*0.3+_xlfn.SWITCH(F237,"F",0,"E",1,"D",2,"D+",3,"C",4,"C+",5,"B",6,"B+",7,"A",8,"A+",9,"S",10)*0.2,"")</f>
        <v>7.0000000000000009</v>
      </c>
      <c r="I237" s="473" t="s">
        <v>5133</v>
      </c>
      <c r="L237" s="444" t="s">
        <v>21</v>
      </c>
      <c r="M237" s="476">
        <f>COUNTIF(C237:C280,$L237)</f>
        <v>3</v>
      </c>
      <c r="N237" s="476">
        <f>COUNTIF(G237:G280,$L237)</f>
        <v>1</v>
      </c>
    </row>
    <row r="238" spans="1:15">
      <c r="A238" s="445" t="s">
        <v>1397</v>
      </c>
      <c r="B238" s="478" t="s">
        <v>1398</v>
      </c>
      <c r="C238" s="445" t="s">
        <v>18</v>
      </c>
      <c r="D238" s="445" t="s">
        <v>1567</v>
      </c>
      <c r="E238" s="445" t="s">
        <v>21</v>
      </c>
      <c r="F238" s="445" t="s">
        <v>18</v>
      </c>
      <c r="G238" s="445" t="str">
        <f>IF(AND(ISNUMBER(MATCH(D238,{"F","E","D","D+","C","C+","B","B+","A","A+","S"},0)),ISNUMBER(MATCH(E238,{"F","E","D","D+","C","C+","B","B+","A","A+","S"},0)),ISNUMBER(MATCH(F238,{"F","E","D","D+","C","C+","B","B+","A","A+","S"},0))),LOOKUP(AVERAGE(_xlfn.SWITCH(D238,"F",0,"E",10,"D",20,"D+",30,"C",40,"C+",50,"B",60,"B+",70,"A",80,"A+",90,"S",100),_xlfn.SWITCH(E238,"F",0,"E",10,"D",20,"D+",30,"C",40,"C+",50,"B",60,"B+",70,"A",80,"A+",90,"S",100),_xlfn.SWITCH(F238,"F",0,"E",10,"D",20,"D+",30,"C",40,"C+",50,"B",60,"B+",70,"A",80,"A+",90,"S",100)),{0,15,25,35,45,55,65,75,85,95},{"D","D","D+","C","C+","B","B+","A","A+","S"}),"?")</f>
        <v>B+</v>
      </c>
      <c r="H238" s="447">
        <f>IF(AND(ISNUMBER(MATCH(C238,{"F","E","D","D+","C","C+","B","B+","A","A+","S"},0)),ISNUMBER(MATCH(D238,{"F","E","D","D+","C","C+","B","B+","A","A+","S"},0)),ISNUMBER(MATCH(E238,{"F","E","D","D+","C","C+","B","B+","A","A+","S"},0)),ISNUMBER(MATCH(F238,{"F","E","D","D+","C","C+","B","B+","A","A+","S"},0))),_xlfn.SWITCH(C238,"F",0,"E",1,"D",2,"D+",3,"C",4,"C+",5,"B",6,"B+",7,"A",8,"A+",9,"S",10)*0.1+_xlfn.SWITCH(D238,"F",0,"E",1,"D",2,"D+",3,"C",4,"C+",5,"B",6,"B+",7,"A",8,"A+",9,"S",10)*0.4+_xlfn.SWITCH(E238,"F",0,"E",1,"D",2,"D+",3,"C",4,"C+",5,"B",6,"B+",7,"A",8,"A+",9,"S",10)*0.3+_xlfn.SWITCH(F238,"F",0,"E",1,"D",2,"D+",3,"C",4,"C+",5,"B",6,"B+",7,"A",8,"A+",9,"S",10)*0.2,"")</f>
        <v>7.0000000000000009</v>
      </c>
      <c r="I238" s="473" t="s">
        <v>5134</v>
      </c>
      <c r="L238" s="444" t="s">
        <v>1567</v>
      </c>
      <c r="M238" s="476">
        <f>COUNTIF(C238:C281,$L238)</f>
        <v>4</v>
      </c>
      <c r="N238" s="476">
        <f>COUNTIF(G238:G281,$L238)</f>
        <v>7</v>
      </c>
    </row>
    <row r="239" spans="1:15">
      <c r="A239" s="445" t="s">
        <v>1106</v>
      </c>
      <c r="B239" s="478" t="s">
        <v>1107</v>
      </c>
      <c r="C239" s="445" t="s">
        <v>1567</v>
      </c>
      <c r="D239" s="445" t="s">
        <v>21</v>
      </c>
      <c r="E239" s="445" t="s">
        <v>1567</v>
      </c>
      <c r="F239" s="445" t="s">
        <v>1567</v>
      </c>
      <c r="G239" s="445" t="str">
        <f>IF(AND(ISNUMBER(MATCH(D239,{"F","E","D","D+","C","C+","B","B+","A","A+","S"},0)),ISNUMBER(MATCH(E239,{"F","E","D","D+","C","C+","B","B+","A","A+","S"},0)),ISNUMBER(MATCH(F239,{"F","E","D","D+","C","C+","B","B+","A","A+","S"},0))),LOOKUP(AVERAGE(_xlfn.SWITCH(D239,"F",0,"E",10,"D",20,"D+",30,"C",40,"C+",50,"B",60,"B+",70,"A",80,"A+",90,"S",100),_xlfn.SWITCH(E239,"F",0,"E",10,"D",20,"D+",30,"C",40,"C+",50,"B",60,"B+",70,"A",80,"A+",90,"S",100),_xlfn.SWITCH(F239,"F",0,"E",10,"D",20,"D+",30,"C",40,"C+",50,"B",60,"B+",70,"A",80,"A+",90,"S",100)),{0,15,25,35,45,55,65,75,85,95},{"D","D","D+","C","C+","B","B+","A","A+","S"}),"?")</f>
        <v>B+</v>
      </c>
      <c r="H239" s="447">
        <f>IF(AND(ISNUMBER(MATCH(C239,{"F","E","D","D+","C","C+","B","B+","A","A+","S"},0)),ISNUMBER(MATCH(D239,{"F","E","D","D+","C","C+","B","B+","A","A+","S"},0)),ISNUMBER(MATCH(E239,{"F","E","D","D+","C","C+","B","B+","A","A+","S"},0)),ISNUMBER(MATCH(F239,{"F","E","D","D+","C","C+","B","B+","A","A+","S"},0))),_xlfn.SWITCH(C239,"F",0,"E",1,"D",2,"D+",3,"C",4,"C+",5,"B",6,"B+",7,"A",8,"A+",9,"S",10)*0.1+_xlfn.SWITCH(D239,"F",0,"E",1,"D",2,"D+",3,"C",4,"C+",5,"B",6,"B+",7,"A",8,"A+",9,"S",10)*0.4+_xlfn.SWITCH(E239,"F",0,"E",1,"D",2,"D+",3,"C",4,"C+",5,"B",6,"B+",7,"A",8,"A+",9,"S",10)*0.3+_xlfn.SWITCH(F239,"F",0,"E",1,"D",2,"D+",3,"C",4,"C+",5,"B",6,"B+",7,"A",8,"A+",9,"S",10)*0.2,"")</f>
        <v>7.4</v>
      </c>
      <c r="I239" s="473" t="s">
        <v>5135</v>
      </c>
      <c r="L239" s="444" t="s">
        <v>18</v>
      </c>
      <c r="M239" s="476">
        <f>COUNTIF(C239:C282,$L239)</f>
        <v>9</v>
      </c>
      <c r="N239" s="476">
        <f>COUNTIF(G239:G282,$L239)</f>
        <v>9</v>
      </c>
    </row>
    <row r="240" spans="1:15">
      <c r="A240" s="445" t="s">
        <v>1399</v>
      </c>
      <c r="B240" s="474" t="s">
        <v>1400</v>
      </c>
      <c r="C240" s="445" t="s">
        <v>1562</v>
      </c>
      <c r="D240" s="445" t="s">
        <v>1562</v>
      </c>
      <c r="E240" s="445" t="s">
        <v>1562</v>
      </c>
      <c r="F240" s="445" t="s">
        <v>1562</v>
      </c>
      <c r="G240" s="445" t="str">
        <f>IF(AND(ISNUMBER(MATCH(D240,{"F","E","D","D+","C","C+","B","B+","A","A+","S"},0)),ISNUMBER(MATCH(E240,{"F","E","D","D+","C","C+","B","B+","A","A+","S"},0)),ISNUMBER(MATCH(F240,{"F","E","D","D+","C","C+","B","B+","A","A+","S"},0))),LOOKUP(AVERAGE(_xlfn.SWITCH(D240,"F",0,"E",10,"D",20,"D+",30,"C",40,"C+",50,"B",60,"B+",70,"A",80,"A+",90,"S",100),_xlfn.SWITCH(E240,"F",0,"E",10,"D",20,"D+",30,"C",40,"C+",50,"B",60,"B+",70,"A",80,"A+",90,"S",100),_xlfn.SWITCH(F240,"F",0,"E",10,"D",20,"D+",30,"C",40,"C+",50,"B",60,"B+",70,"A",80,"A+",90,"S",100)),{0,15,25,35,45,55,65,75,85,95},{"D","D","D+","C","C+","B","B+","A","A+","S"}),"?")</f>
        <v>C+</v>
      </c>
      <c r="H240" s="447">
        <f>IF(AND(ISNUMBER(MATCH(C240,{"F","E","D","D+","C","C+","B","B+","A","A+","S"},0)),ISNUMBER(MATCH(D240,{"F","E","D","D+","C","C+","B","B+","A","A+","S"},0)),ISNUMBER(MATCH(E240,{"F","E","D","D+","C","C+","B","B+","A","A+","S"},0)),ISNUMBER(MATCH(F240,{"F","E","D","D+","C","C+","B","B+","A","A+","S"},0))),_xlfn.SWITCH(C240,"F",0,"E",1,"D",2,"D+",3,"C",4,"C+",5,"B",6,"B+",7,"A",8,"A+",9,"S",10)*0.1+_xlfn.SWITCH(D240,"F",0,"E",1,"D",2,"D+",3,"C",4,"C+",5,"B",6,"B+",7,"A",8,"A+",9,"S",10)*0.4+_xlfn.SWITCH(E240,"F",0,"E",1,"D",2,"D+",3,"C",4,"C+",5,"B",6,"B+",7,"A",8,"A+",9,"S",10)*0.3+_xlfn.SWITCH(F240,"F",0,"E",1,"D",2,"D+",3,"C",4,"C+",5,"B",6,"B+",7,"A",8,"A+",9,"S",10)*0.2,"")</f>
        <v>5</v>
      </c>
      <c r="I240" s="473"/>
      <c r="L240" s="440"/>
      <c r="M240" s="440"/>
      <c r="N240" s="456"/>
    </row>
    <row r="241" spans="1:14">
      <c r="A241" s="445" t="s">
        <v>1135</v>
      </c>
      <c r="B241" s="478" t="s">
        <v>1136</v>
      </c>
      <c r="C241" s="445" t="s">
        <v>18</v>
      </c>
      <c r="D241" s="445" t="s">
        <v>18</v>
      </c>
      <c r="E241" s="445" t="s">
        <v>21</v>
      </c>
      <c r="F241" s="445" t="s">
        <v>1567</v>
      </c>
      <c r="G241" s="445" t="str">
        <f>IF(AND(ISNUMBER(MATCH(D241,{"F","E","D","D+","C","C+","B","B+","A","A+","S"},0)),ISNUMBER(MATCH(E241,{"F","E","D","D+","C","C+","B","B+","A","A+","S"},0)),ISNUMBER(MATCH(F241,{"F","E","D","D+","C","C+","B","B+","A","A+","S"},0))),LOOKUP(AVERAGE(_xlfn.SWITCH(D241,"F",0,"E",10,"D",20,"D+",30,"C",40,"C+",50,"B",60,"B+",70,"A",80,"A+",90,"S",100),_xlfn.SWITCH(E241,"F",0,"E",10,"D",20,"D+",30,"C",40,"C+",50,"B",60,"B+",70,"A",80,"A+",90,"S",100),_xlfn.SWITCH(F241,"F",0,"E",10,"D",20,"D+",30,"C",40,"C+",50,"B",60,"B+",70,"A",80,"A+",90,"S",100)),{0,15,25,35,45,55,65,75,85,95},{"D","D","D+","C","C+","B","B+","A","A+","S"}),"?")</f>
        <v>B+</v>
      </c>
      <c r="H241" s="447">
        <f>IF(AND(ISNUMBER(MATCH(C241,{"F","E","D","D+","C","C+","B","B+","A","A+","S"},0)),ISNUMBER(MATCH(D241,{"F","E","D","D+","C","C+","B","B+","A","A+","S"},0)),ISNUMBER(MATCH(E241,{"F","E","D","D+","C","C+","B","B+","A","A+","S"},0)),ISNUMBER(MATCH(F241,{"F","E","D","D+","C","C+","B","B+","A","A+","S"},0))),_xlfn.SWITCH(C241,"F",0,"E",1,"D",2,"D+",3,"C",4,"C+",5,"B",6,"B+",7,"A",8,"A+",9,"S",10)*0.1+_xlfn.SWITCH(D241,"F",0,"E",1,"D",2,"D+",3,"C",4,"C+",5,"B",6,"B+",7,"A",8,"A+",9,"S",10)*0.4+_xlfn.SWITCH(E241,"F",0,"E",1,"D",2,"D+",3,"C",4,"C+",5,"B",6,"B+",7,"A",8,"A+",9,"S",10)*0.3+_xlfn.SWITCH(F241,"F",0,"E",1,"D",2,"D+",3,"C",4,"C+",5,"B",6,"B+",7,"A",8,"A+",9,"S",10)*0.2,"")</f>
        <v>6.8000000000000007</v>
      </c>
      <c r="I241" s="473" t="s">
        <v>5136</v>
      </c>
      <c r="L241" s="479" t="s">
        <v>1559</v>
      </c>
      <c r="M241" s="455">
        <v>3</v>
      </c>
      <c r="N241" s="440"/>
    </row>
    <row r="242" spans="1:14">
      <c r="A242" s="445" t="s">
        <v>1401</v>
      </c>
      <c r="B242" s="478" t="s">
        <v>1402</v>
      </c>
      <c r="C242" s="445" t="s">
        <v>1567</v>
      </c>
      <c r="D242" s="445" t="s">
        <v>1567</v>
      </c>
      <c r="E242" s="445" t="s">
        <v>18</v>
      </c>
      <c r="F242" s="445" t="s">
        <v>1562</v>
      </c>
      <c r="G242" s="445" t="str">
        <f>IF(AND(ISNUMBER(MATCH(D242,{"F","E","D","D+","C","C+","B","B+","A","A+","S"},0)),ISNUMBER(MATCH(E242,{"F","E","D","D+","C","C+","B","B+","A","A+","S"},0)),ISNUMBER(MATCH(F242,{"F","E","D","D+","C","C+","B","B+","A","A+","S"},0))),LOOKUP(AVERAGE(_xlfn.SWITCH(D242,"F",0,"E",10,"D",20,"D+",30,"C",40,"C+",50,"B",60,"B+",70,"A",80,"A+",90,"S",100),_xlfn.SWITCH(E242,"F",0,"E",10,"D",20,"D+",30,"C",40,"C+",50,"B",60,"B+",70,"A",80,"A+",90,"S",100),_xlfn.SWITCH(F242,"F",0,"E",10,"D",20,"D+",30,"C",40,"C+",50,"B",60,"B+",70,"A",80,"A+",90,"S",100)),{0,15,25,35,45,55,65,75,85,95},{"D","D","D+","C","C+","B","B+","A","A+","S"}),"?")</f>
        <v>B</v>
      </c>
      <c r="H242" s="447">
        <f>IF(AND(ISNUMBER(MATCH(C242,{"F","E","D","D+","C","C+","B","B+","A","A+","S"},0)),ISNUMBER(MATCH(D242,{"F","E","D","D+","C","C+","B","B+","A","A+","S"},0)),ISNUMBER(MATCH(E242,{"F","E","D","D+","C","C+","B","B+","A","A+","S"},0)),ISNUMBER(MATCH(F242,{"F","E","D","D+","C","C+","B","B+","A","A+","S"},0))),_xlfn.SWITCH(C242,"F",0,"E",1,"D",2,"D+",3,"C",4,"C+",5,"B",6,"B+",7,"A",8,"A+",9,"S",10)*0.1+_xlfn.SWITCH(D242,"F",0,"E",1,"D",2,"D+",3,"C",4,"C+",5,"B",6,"B+",7,"A",8,"A+",9,"S",10)*0.4+_xlfn.SWITCH(E242,"F",0,"E",1,"D",2,"D+",3,"C",4,"C+",5,"B",6,"B+",7,"A",8,"A+",9,"S",10)*0.3+_xlfn.SWITCH(F242,"F",0,"E",1,"D",2,"D+",3,"C",4,"C+",5,"B",6,"B+",7,"A",8,"A+",9,"S",10)*0.2,"")</f>
        <v>6.3000000000000007</v>
      </c>
      <c r="I242" s="473" t="s">
        <v>5137</v>
      </c>
      <c r="L242" s="480" t="s">
        <v>1558</v>
      </c>
      <c r="M242" s="455">
        <v>14</v>
      </c>
      <c r="N242" s="440"/>
    </row>
    <row r="243" spans="1:14">
      <c r="A243" s="445" t="s">
        <v>1403</v>
      </c>
      <c r="B243" s="474" t="s">
        <v>1404</v>
      </c>
      <c r="C243" s="445" t="s">
        <v>1562</v>
      </c>
      <c r="D243" s="445" t="s">
        <v>1574</v>
      </c>
      <c r="E243" s="445" t="s">
        <v>1562</v>
      </c>
      <c r="F243" s="445" t="s">
        <v>1574</v>
      </c>
      <c r="G243" s="445" t="str">
        <f>IF(AND(ISNUMBER(MATCH(D243,{"F","E","D","D+","C","C+","B","B+","A","A+","S"},0)),ISNUMBER(MATCH(E243,{"F","E","D","D+","C","C+","B","B+","A","A+","S"},0)),ISNUMBER(MATCH(F244,{"F","E","D","D+","C","C+","B","B+","A","A+","S"},0))),LOOKUP(AVERAGE(_xlfn.SWITCH(D243,"F",0,"E",10,"D",20,"D+",30,"C",40,"C+",50,"B",60,"B+",70,"A",80,"A+",90,"S",100),_xlfn.SWITCH(E243,"F",0,"E",10,"D",20,"D+",30,"C",40,"C+",50,"B",60,"B+",70,"A",80,"A+",90,"S",100),_xlfn.SWITCH(F244,"F",0,"E",10,"D",20,"D+",30,"C",40,"C+",50,"B",60,"B+",70,"A",80,"A+",90,"S",100)),{0,15,25,35,45,55,65,75,85,95},{"D","D","D+","C","C+","B","B+","A","A+","S"}),"?")</f>
        <v>C+</v>
      </c>
      <c r="H243" s="447">
        <f>IF(AND(ISNUMBER(MATCH(C243,{"F","E","D","D+","C","C+","B","B+","A","A+","S"},0)),ISNUMBER(MATCH(D243,{"F","E","D","D+","C","C+","B","B+","A","A+","S"},0)),ISNUMBER(MATCH(E243,{"F","E","D","D+","C","C+","B","B+","A","A+","S"},0)),ISNUMBER(MATCH(F244,{"F","E","D","D+","C","C+","B","B+","A","A+","S"},0))),_xlfn.SWITCH(C243,"F",0,"E",1,"D",2,"D+",3,"C",4,"C+",5,"B",6,"B+",7,"A",8,"A+",9,"S",10)*0.1+_xlfn.SWITCH(D243,"F",0,"E",1,"D",2,"D+",3,"C",4,"C+",5,"B",6,"B+",7,"A",8,"A+",9,"S",10)*0.4+_xlfn.SWITCH(E243,"F",0,"E",1,"D",2,"D+",3,"C",4,"C+",5,"B",6,"B+",7,"A",8,"A+",9,"S",10)*0.3+_xlfn.SWITCH(F244,"F",0,"E",1,"D",2,"D+",3,"C",4,"C+",5,"B",6,"B+",7,"A",8,"A+",9,"S",10)*0.2,"")</f>
        <v>4.5999999999999996</v>
      </c>
      <c r="I243" s="473"/>
    </row>
    <row r="244" spans="1:14" ht="34">
      <c r="A244" s="445" t="s">
        <v>1405</v>
      </c>
      <c r="B244" s="474" t="s">
        <v>1406</v>
      </c>
      <c r="C244" s="445" t="s">
        <v>18</v>
      </c>
      <c r="D244" s="445" t="s">
        <v>18</v>
      </c>
      <c r="E244" s="445" t="s">
        <v>1562</v>
      </c>
      <c r="F244" s="445" t="s">
        <v>1562</v>
      </c>
      <c r="G244" s="445" t="str">
        <f>IF(AND(ISNUMBER(MATCH(D244,{"F","E","D","D+","C","C+","B","B+","A","A+","S"},0)),ISNUMBER(MATCH(E244,{"F","E","D","D+","C","C+","B","B+","A","A+","S"},0)),ISNUMBER(MATCH(F244,{"F","E","D","D+","C","C+","B","B+","A","A+","S"},0))),LOOKUP(AVERAGE(_xlfn.SWITCH(D244,"F",0,"E",10,"D",20,"D+",30,"C",40,"C+",50,"B",60,"B+",70,"A",80,"A+",90,"S",100),_xlfn.SWITCH(E244,"F",0,"E",10,"D",20,"D+",30,"C",40,"C+",50,"B",60,"B+",70,"A",80,"A+",90,"S",100),_xlfn.SWITCH(F244,"F",0,"E",10,"D",20,"D+",30,"C",40,"C+",50,"B",60,"B+",70,"A",80,"A+",90,"S",100)),{0,15,25,35,45,55,65,75,85,95},{"D","D","D+","C","C+","B","B+","A","A+","S"}),"?")</f>
        <v>C+</v>
      </c>
      <c r="H244" s="447">
        <f>IF(AND(ISNUMBER(MATCH(C244,{"F","E","D","D+","C","C+","B","B+","A","A+","S"},0)),ISNUMBER(MATCH(D244,{"F","E","D","D+","C","C+","B","B+","A","A+","S"},0)),ISNUMBER(MATCH(E244,{"F","E","D","D+","C","C+","B","B+","A","A+","S"},0)),ISNUMBER(MATCH(F244,{"F","E","D","D+","C","C+","B","B+","A","A+","S"},0))),_xlfn.SWITCH(C244,"F",0,"E",1,"D",2,"D+",3,"C",4,"C+",5,"B",6,"B+",7,"A",8,"A+",9,"S",10)*0.1+_xlfn.SWITCH(D244,"F",0,"E",1,"D",2,"D+",3,"C",4,"C+",5,"B",6,"B+",7,"A",8,"A+",9,"S",10)*0.4+_xlfn.SWITCH(E244,"F",0,"E",1,"D",2,"D+",3,"C",4,"C+",5,"B",6,"B+",7,"A",8,"A+",9,"S",10)*0.3+_xlfn.SWITCH(F244,"F",0,"E",1,"D",2,"D+",3,"C",4,"C+",5,"B",6,"B+",7,"A",8,"A+",9,"S",10)*0.2,"")</f>
        <v>5.5</v>
      </c>
      <c r="I244" s="475" t="s">
        <v>5138</v>
      </c>
    </row>
    <row r="245" spans="1:14">
      <c r="A245" s="445" t="s">
        <v>1407</v>
      </c>
      <c r="B245" s="474" t="s">
        <v>1408</v>
      </c>
      <c r="C245" s="445" t="s">
        <v>1574</v>
      </c>
      <c r="D245" s="445"/>
      <c r="E245" s="445"/>
      <c r="F245" s="445"/>
      <c r="G245" s="445" t="str">
        <f>IF(AND(ISNUMBER(MATCH(D245,{"F","E","D","D+","C","C+","B","B+","A","A+","S"},0)),ISNUMBER(MATCH(E245,{"F","E","D","D+","C","C+","B","B+","A","A+","S"},0)),ISNUMBER(MATCH(F245,{"F","E","D","D+","C","C+","B","B+","A","A+","S"},0))),LOOKUP(AVERAGE(_xlfn.SWITCH(D245,"F",0,"E",10,"D",20,"D+",30,"C",40,"C+",50,"B",60,"B+",70,"A",80,"A+",90,"S",100),_xlfn.SWITCH(E245,"F",0,"E",10,"D",20,"D+",30,"C",40,"C+",50,"B",60,"B+",70,"A",80,"A+",90,"S",100),_xlfn.SWITCH(F245,"F",0,"E",10,"D",20,"D+",30,"C",40,"C+",50,"B",60,"B+",70,"A",80,"A+",90,"S",100)),{0,15,25,35,45,55,65,75,85,95},{"D","D","D+","C","C+","B","B+","A","A+","S"}),"?")</f>
        <v>?</v>
      </c>
      <c r="H245" s="447" t="str">
        <f>IF(AND(ISNUMBER(MATCH(C245,{"F","E","D","D+","C","C+","B","B+","A","A+","S"},0)),ISNUMBER(MATCH(D245,{"F","E","D","D+","C","C+","B","B+","A","A+","S"},0)),ISNUMBER(MATCH(E245,{"F","E","D","D+","C","C+","B","B+","A","A+","S"},0)),ISNUMBER(MATCH(F245,{"F","E","D","D+","C","C+","B","B+","A","A+","S"},0))),_xlfn.SWITCH(C245,"F",0,"E",1,"D",2,"D+",3,"C",4,"C+",5,"B",6,"B+",7,"A",8,"A+",9,"S",10)*0.1+_xlfn.SWITCH(D245,"F",0,"E",1,"D",2,"D+",3,"C",4,"C+",5,"B",6,"B+",7,"A",8,"A+",9,"S",10)*0.4+_xlfn.SWITCH(E245,"F",0,"E",1,"D",2,"D+",3,"C",4,"C+",5,"B",6,"B+",7,"A",8,"A+",9,"S",10)*0.3+_xlfn.SWITCH(F245,"F",0,"E",1,"D",2,"D+",3,"C",4,"C+",5,"B",6,"B+",7,"A",8,"A+",9,"S",10)*0.2,"")</f>
        <v/>
      </c>
      <c r="I245" s="473"/>
    </row>
    <row r="246" spans="1:14">
      <c r="A246" s="445" t="s">
        <v>1153</v>
      </c>
      <c r="B246" s="478" t="s">
        <v>1154</v>
      </c>
      <c r="C246" s="445" t="s">
        <v>18</v>
      </c>
      <c r="D246" s="445" t="s">
        <v>1567</v>
      </c>
      <c r="E246" s="445" t="s">
        <v>21</v>
      </c>
      <c r="F246" s="445" t="s">
        <v>1567</v>
      </c>
      <c r="G246" s="445" t="str">
        <f>IF(AND(ISNUMBER(MATCH(D246,{"F","E","D","D+","C","C+","B","B+","A","A+","S"},0)),ISNUMBER(MATCH(E246,{"F","E","D","D+","C","C+","B","B+","A","A+","S"},0)),ISNUMBER(MATCH(F246,{"F","E","D","D+","C","C+","B","B+","A","A+","S"},0))),LOOKUP(AVERAGE(_xlfn.SWITCH(D246,"F",0,"E",10,"D",20,"D+",30,"C",40,"C+",50,"B",60,"B+",70,"A",80,"A+",90,"S",100),_xlfn.SWITCH(E246,"F",0,"E",10,"D",20,"D+",30,"C",40,"C+",50,"B",60,"B+",70,"A",80,"A+",90,"S",100),_xlfn.SWITCH(F246,"F",0,"E",10,"D",20,"D+",30,"C",40,"C+",50,"B",60,"B+",70,"A",80,"A+",90,"S",100)),{0,15,25,35,45,55,65,75,85,95},{"D","D","D+","C","C+","B","B+","A","A+","S"}),"?")</f>
        <v>B+</v>
      </c>
      <c r="H246" s="447">
        <f>IF(AND(ISNUMBER(MATCH(C246,{"F","E","D","D+","C","C+","B","B+","A","A+","S"},0)),ISNUMBER(MATCH(D246,{"F","E","D","D+","C","C+","B","B+","A","A+","S"},0)),ISNUMBER(MATCH(E246,{"F","E","D","D+","C","C+","B","B+","A","A+","S"},0)),ISNUMBER(MATCH(F246,{"F","E","D","D+","C","C+","B","B+","A","A+","S"},0))),_xlfn.SWITCH(C246,"F",0,"E",1,"D",2,"D+",3,"C",4,"C+",5,"B",6,"B+",7,"A",8,"A+",9,"S",10)*0.1+_xlfn.SWITCH(D246,"F",0,"E",1,"D",2,"D+",3,"C",4,"C+",5,"B",6,"B+",7,"A",8,"A+",9,"S",10)*0.4+_xlfn.SWITCH(E246,"F",0,"E",1,"D",2,"D+",3,"C",4,"C+",5,"B",6,"B+",7,"A",8,"A+",9,"S",10)*0.3+_xlfn.SWITCH(F246,"F",0,"E",1,"D",2,"D+",3,"C",4,"C+",5,"B",6,"B+",7,"A",8,"A+",9,"S",10)*0.2,"")</f>
        <v>7.2000000000000011</v>
      </c>
      <c r="I246" s="473" t="s">
        <v>5139</v>
      </c>
    </row>
    <row r="247" spans="1:14">
      <c r="A247" s="445" t="s">
        <v>1409</v>
      </c>
      <c r="B247" s="474">
        <v>7</v>
      </c>
      <c r="C247" s="445" t="s">
        <v>18</v>
      </c>
      <c r="D247" s="445" t="s">
        <v>18</v>
      </c>
      <c r="E247" s="445" t="s">
        <v>18</v>
      </c>
      <c r="F247" s="445" t="s">
        <v>18</v>
      </c>
      <c r="G247" s="445" t="str">
        <f>IF(AND(ISNUMBER(MATCH(D247,{"F","E","D","D+","C","C+","B","B+","A","A+","S"},0)),ISNUMBER(MATCH(E247,{"F","E","D","D+","C","C+","B","B+","A","A+","S"},0)),ISNUMBER(MATCH(F247,{"F","E","D","D+","C","C+","B","B+","A","A+","S"},0))),LOOKUP(AVERAGE(_xlfn.SWITCH(D247,"F",0,"E",10,"D",20,"D+",30,"C",40,"C+",50,"B",60,"B+",70,"A",80,"A+",90,"S",100),_xlfn.SWITCH(E247,"F",0,"E",10,"D",20,"D+",30,"C",40,"C+",50,"B",60,"B+",70,"A",80,"A+",90,"S",100),_xlfn.SWITCH(F247,"F",0,"E",10,"D",20,"D+",30,"C",40,"C+",50,"B",60,"B+",70,"A",80,"A+",90,"S",100)),{0,15,25,35,45,55,65,75,85,95},{"D","D","D+","C","C+","B","B+","A","A+","S"}),"?")</f>
        <v>B</v>
      </c>
      <c r="H247" s="447">
        <f>IF(AND(ISNUMBER(MATCH(C247,{"F","E","D","D+","C","C+","B","B+","A","A+","S"},0)),ISNUMBER(MATCH(D247,{"F","E","D","D+","C","C+","B","B+","A","A+","S"},0)),ISNUMBER(MATCH(E247,{"F","E","D","D+","C","C+","B","B+","A","A+","S"},0)),ISNUMBER(MATCH(F247,{"F","E","D","D+","C","C+","B","B+","A","A+","S"},0))),_xlfn.SWITCH(C247,"F",0,"E",1,"D",2,"D+",3,"C",4,"C+",5,"B",6,"B+",7,"A",8,"A+",9,"S",10)*0.1+_xlfn.SWITCH(D247,"F",0,"E",1,"D",2,"D+",3,"C",4,"C+",5,"B",6,"B+",7,"A",8,"A+",9,"S",10)*0.4+_xlfn.SWITCH(E247,"F",0,"E",1,"D",2,"D+",3,"C",4,"C+",5,"B",6,"B+",7,"A",8,"A+",9,"S",10)*0.3+_xlfn.SWITCH(F247,"F",0,"E",1,"D",2,"D+",3,"C",4,"C+",5,"B",6,"B+",7,"A",8,"A+",9,"S",10)*0.2,"")</f>
        <v>6.0000000000000009</v>
      </c>
      <c r="I247" s="473" t="s">
        <v>5140</v>
      </c>
    </row>
    <row r="248" spans="1:14">
      <c r="A248" s="445" t="s">
        <v>1186</v>
      </c>
      <c r="B248" s="474" t="s">
        <v>1187</v>
      </c>
      <c r="C248" s="445" t="s">
        <v>18</v>
      </c>
      <c r="D248" s="445" t="s">
        <v>18</v>
      </c>
      <c r="E248" s="445" t="s">
        <v>18</v>
      </c>
      <c r="F248" s="445" t="s">
        <v>18</v>
      </c>
      <c r="G248" s="445" t="str">
        <f>IF(AND(ISNUMBER(MATCH(D248,{"F","E","D","D+","C","C+","B","B+","A","A+","S"},0)),ISNUMBER(MATCH(E248,{"F","E","D","D+","C","C+","B","B+","A","A+","S"},0)),ISNUMBER(MATCH(F248,{"F","E","D","D+","C","C+","B","B+","A","A+","S"},0))),LOOKUP(AVERAGE(_xlfn.SWITCH(D248,"F",0,"E",10,"D",20,"D+",30,"C",40,"C+",50,"B",60,"B+",70,"A",80,"A+",90,"S",100),_xlfn.SWITCH(E248,"F",0,"E",10,"D",20,"D+",30,"C",40,"C+",50,"B",60,"B+",70,"A",80,"A+",90,"S",100),_xlfn.SWITCH(F248,"F",0,"E",10,"D",20,"D+",30,"C",40,"C+",50,"B",60,"B+",70,"A",80,"A+",90,"S",100)),{0,15,25,35,45,55,65,75,85,95},{"D","D","D+","C","C+","B","B+","A","A+","S"}),"?")</f>
        <v>B</v>
      </c>
      <c r="H248" s="447">
        <f>IF(AND(ISNUMBER(MATCH(C248,{"F","E","D","D+","C","C+","B","B+","A","A+","S"},0)),ISNUMBER(MATCH(D248,{"F","E","D","D+","C","C+","B","B+","A","A+","S"},0)),ISNUMBER(MATCH(E248,{"F","E","D","D+","C","C+","B","B+","A","A+","S"},0)),ISNUMBER(MATCH(F248,{"F","E","D","D+","C","C+","B","B+","A","A+","S"},0))),_xlfn.SWITCH(C248,"F",0,"E",1,"D",2,"D+",3,"C",4,"C+",5,"B",6,"B+",7,"A",8,"A+",9,"S",10)*0.1+_xlfn.SWITCH(D248,"F",0,"E",1,"D",2,"D+",3,"C",4,"C+",5,"B",6,"B+",7,"A",8,"A+",9,"S",10)*0.4+_xlfn.SWITCH(E248,"F",0,"E",1,"D",2,"D+",3,"C",4,"C+",5,"B",6,"B+",7,"A",8,"A+",9,"S",10)*0.3+_xlfn.SWITCH(F248,"F",0,"E",1,"D",2,"D+",3,"C",4,"C+",5,"B",6,"B+",7,"A",8,"A+",9,"S",10)*0.2,"")</f>
        <v>6.0000000000000009</v>
      </c>
      <c r="I248" s="473" t="s">
        <v>5141</v>
      </c>
    </row>
    <row r="249" spans="1:14">
      <c r="A249" s="445" t="s">
        <v>1044</v>
      </c>
      <c r="B249" s="474" t="s">
        <v>1410</v>
      </c>
      <c r="C249" s="445" t="s">
        <v>1574</v>
      </c>
      <c r="D249" s="445"/>
      <c r="E249" s="445"/>
      <c r="F249" s="445"/>
      <c r="G249" s="445" t="str">
        <f>IF(AND(ISNUMBER(MATCH(D249,{"F","E","D","D+","C","C+","B","B+","A","A+","S"},0)),ISNUMBER(MATCH(E249,{"F","E","D","D+","C","C+","B","B+","A","A+","S"},0)),ISNUMBER(MATCH(F249,{"F","E","D","D+","C","C+","B","B+","A","A+","S"},0))),LOOKUP(AVERAGE(_xlfn.SWITCH(D249,"F",0,"E",10,"D",20,"D+",30,"C",40,"C+",50,"B",60,"B+",70,"A",80,"A+",90,"S",100),_xlfn.SWITCH(E249,"F",0,"E",10,"D",20,"D+",30,"C",40,"C+",50,"B",60,"B+",70,"A",80,"A+",90,"S",100),_xlfn.SWITCH(F249,"F",0,"E",10,"D",20,"D+",30,"C",40,"C+",50,"B",60,"B+",70,"A",80,"A+",90,"S",100)),{0,15,25,35,45,55,65,75,85,95},{"D","D","D+","C","C+","B","B+","A","A+","S"}),"?")</f>
        <v>?</v>
      </c>
      <c r="H249" s="447" t="str">
        <f>IF(AND(ISNUMBER(MATCH(C249,{"F","E","D","D+","C","C+","B","B+","A","A+","S"},0)),ISNUMBER(MATCH(D249,{"F","E","D","D+","C","C+","B","B+","A","A+","S"},0)),ISNUMBER(MATCH(E249,{"F","E","D","D+","C","C+","B","B+","A","A+","S"},0)),ISNUMBER(MATCH(F249,{"F","E","D","D+","C","C+","B","B+","A","A+","S"},0))),_xlfn.SWITCH(C249,"F",0,"E",1,"D",2,"D+",3,"C",4,"C+",5,"B",6,"B+",7,"A",8,"A+",9,"S",10)*0.1+_xlfn.SWITCH(D249,"F",0,"E",1,"D",2,"D+",3,"C",4,"C+",5,"B",6,"B+",7,"A",8,"A+",9,"S",10)*0.4+_xlfn.SWITCH(E249,"F",0,"E",1,"D",2,"D+",3,"C",4,"C+",5,"B",6,"B+",7,"A",8,"A+",9,"S",10)*0.3+_xlfn.SWITCH(F249,"F",0,"E",1,"D",2,"D+",3,"C",4,"C+",5,"B",6,"B+",7,"A",8,"A+",9,"S",10)*0.2,"")</f>
        <v/>
      </c>
      <c r="I249" s="473" t="s">
        <v>5142</v>
      </c>
    </row>
    <row r="250" spans="1:14">
      <c r="A250" s="445" t="s">
        <v>1411</v>
      </c>
      <c r="B250" s="474" t="s">
        <v>1412</v>
      </c>
      <c r="C250" s="445" t="s">
        <v>1562</v>
      </c>
      <c r="D250" s="445" t="s">
        <v>1562</v>
      </c>
      <c r="E250" s="445" t="s">
        <v>18</v>
      </c>
      <c r="F250" s="445" t="s">
        <v>1562</v>
      </c>
      <c r="G250" s="445" t="str">
        <f>IF(AND(ISNUMBER(MATCH(D250,{"F","E","D","D+","C","C+","B","B+","A","A+","S"},0)),ISNUMBER(MATCH(E250,{"F","E","D","D+","C","C+","B","B+","A","A+","S"},0)),ISNUMBER(MATCH(F250,{"F","E","D","D+","C","C+","B","B+","A","A+","S"},0))),LOOKUP(AVERAGE(_xlfn.SWITCH(D250,"F",0,"E",10,"D",20,"D+",30,"C",40,"C+",50,"B",60,"B+",70,"A",80,"A+",90,"S",100),_xlfn.SWITCH(E250,"F",0,"E",10,"D",20,"D+",30,"C",40,"C+",50,"B",60,"B+",70,"A",80,"A+",90,"S",100),_xlfn.SWITCH(F250,"F",0,"E",10,"D",20,"D+",30,"C",40,"C+",50,"B",60,"B+",70,"A",80,"A+",90,"S",100)),{0,15,25,35,45,55,65,75,85,95},{"D","D","D+","C","C+","B","B+","A","A+","S"}),"?")</f>
        <v>C+</v>
      </c>
      <c r="H250" s="447">
        <f>IF(AND(ISNUMBER(MATCH(C250,{"F","E","D","D+","C","C+","B","B+","A","A+","S"},0)),ISNUMBER(MATCH(D250,{"F","E","D","D+","C","C+","B","B+","A","A+","S"},0)),ISNUMBER(MATCH(E250,{"F","E","D","D+","C","C+","B","B+","A","A+","S"},0)),ISNUMBER(MATCH(F250,{"F","E","D","D+","C","C+","B","B+","A","A+","S"},0))),_xlfn.SWITCH(C250,"F",0,"E",1,"D",2,"D+",3,"C",4,"C+",5,"B",6,"B+",7,"A",8,"A+",9,"S",10)*0.1+_xlfn.SWITCH(D250,"F",0,"E",1,"D",2,"D+",3,"C",4,"C+",5,"B",6,"B+",7,"A",8,"A+",9,"S",10)*0.4+_xlfn.SWITCH(E250,"F",0,"E",1,"D",2,"D+",3,"C",4,"C+",5,"B",6,"B+",7,"A",8,"A+",9,"S",10)*0.3+_xlfn.SWITCH(F250,"F",0,"E",1,"D",2,"D+",3,"C",4,"C+",5,"B",6,"B+",7,"A",8,"A+",9,"S",10)*0.2,"")</f>
        <v>5.3</v>
      </c>
      <c r="I250" s="473"/>
    </row>
    <row r="251" spans="1:14">
      <c r="A251" s="445" t="s">
        <v>1173</v>
      </c>
      <c r="B251" s="478" t="s">
        <v>1174</v>
      </c>
      <c r="C251" s="445" t="s">
        <v>1567</v>
      </c>
      <c r="D251" s="445" t="s">
        <v>1567</v>
      </c>
      <c r="E251" s="445" t="s">
        <v>1567</v>
      </c>
      <c r="F251" s="445" t="s">
        <v>18</v>
      </c>
      <c r="G251" s="445" t="str">
        <f>IF(AND(ISNUMBER(MATCH(D251,{"F","E","D","D+","C","C+","B","B+","A","A+","S"},0)),ISNUMBER(MATCH(E251,{"F","E","D","D+","C","C+","B","B+","A","A+","S"},0)),ISNUMBER(MATCH(F251,{"F","E","D","D+","C","C+","B","B+","A","A+","S"},0))),LOOKUP(AVERAGE(_xlfn.SWITCH(D251,"F",0,"E",10,"D",20,"D+",30,"C",40,"C+",50,"B",60,"B+",70,"A",80,"A+",90,"S",100),_xlfn.SWITCH(E251,"F",0,"E",10,"D",20,"D+",30,"C",40,"C+",50,"B",60,"B+",70,"A",80,"A+",90,"S",100),_xlfn.SWITCH(F251,"F",0,"E",10,"D",20,"D+",30,"C",40,"C+",50,"B",60,"B+",70,"A",80,"A+",90,"S",100)),{0,15,25,35,45,55,65,75,85,95},{"D","D","D+","C","C+","B","B+","A","A+","S"}),"?")</f>
        <v>B+</v>
      </c>
      <c r="H251" s="447">
        <f>IF(AND(ISNUMBER(MATCH(C251,{"F","E","D","D+","C","C+","B","B+","A","A+","S"},0)),ISNUMBER(MATCH(D251,{"F","E","D","D+","C","C+","B","B+","A","A+","S"},0)),ISNUMBER(MATCH(E251,{"F","E","D","D+","C","C+","B","B+","A","A+","S"},0)),ISNUMBER(MATCH(F251,{"F","E","D","D+","C","C+","B","B+","A","A+","S"},0))),_xlfn.SWITCH(C251,"F",0,"E",1,"D",2,"D+",3,"C",4,"C+",5,"B",6,"B+",7,"A",8,"A+",9,"S",10)*0.1+_xlfn.SWITCH(D251,"F",0,"E",1,"D",2,"D+",3,"C",4,"C+",5,"B",6,"B+",7,"A",8,"A+",9,"S",10)*0.4+_xlfn.SWITCH(E251,"F",0,"E",1,"D",2,"D+",3,"C",4,"C+",5,"B",6,"B+",7,"A",8,"A+",9,"S",10)*0.3+_xlfn.SWITCH(F251,"F",0,"E",1,"D",2,"D+",3,"C",4,"C+",5,"B",6,"B+",7,"A",8,"A+",9,"S",10)*0.2,"")</f>
        <v>6.8000000000000007</v>
      </c>
      <c r="I251" s="473" t="s">
        <v>5143</v>
      </c>
    </row>
    <row r="252" spans="1:14">
      <c r="A252" s="445" t="s">
        <v>1413</v>
      </c>
      <c r="B252" s="474" t="s">
        <v>1414</v>
      </c>
      <c r="C252" s="445" t="s">
        <v>1562</v>
      </c>
      <c r="D252" s="445" t="s">
        <v>1562</v>
      </c>
      <c r="E252" s="445" t="s">
        <v>1562</v>
      </c>
      <c r="F252" s="445" t="s">
        <v>1562</v>
      </c>
      <c r="G252" s="445" t="str">
        <f>IF(AND(ISNUMBER(MATCH(D252,{"F","E","D","D+","C","C+","B","B+","A","A+","S"},0)),ISNUMBER(MATCH(E252,{"F","E","D","D+","C","C+","B","B+","A","A+","S"},0)),ISNUMBER(MATCH(F252,{"F","E","D","D+","C","C+","B","B+","A","A+","S"},0))),LOOKUP(AVERAGE(_xlfn.SWITCH(D252,"F",0,"E",10,"D",20,"D+",30,"C",40,"C+",50,"B",60,"B+",70,"A",80,"A+",90,"S",100),_xlfn.SWITCH(E252,"F",0,"E",10,"D",20,"D+",30,"C",40,"C+",50,"B",60,"B+",70,"A",80,"A+",90,"S",100),_xlfn.SWITCH(F252,"F",0,"E",10,"D",20,"D+",30,"C",40,"C+",50,"B",60,"B+",70,"A",80,"A+",90,"S",100)),{0,15,25,35,45,55,65,75,85,95},{"D","D","D+","C","C+","B","B+","A","A+","S"}),"?")</f>
        <v>C+</v>
      </c>
      <c r="H252" s="447">
        <f>IF(AND(ISNUMBER(MATCH(C252,{"F","E","D","D+","C","C+","B","B+","A","A+","S"},0)),ISNUMBER(MATCH(D252,{"F","E","D","D+","C","C+","B","B+","A","A+","S"},0)),ISNUMBER(MATCH(E252,{"F","E","D","D+","C","C+","B","B+","A","A+","S"},0)),ISNUMBER(MATCH(F252,{"F","E","D","D+","C","C+","B","B+","A","A+","S"},0))),_xlfn.SWITCH(C252,"F",0,"E",1,"D",2,"D+",3,"C",4,"C+",5,"B",6,"B+",7,"A",8,"A+",9,"S",10)*0.1+_xlfn.SWITCH(D252,"F",0,"E",1,"D",2,"D+",3,"C",4,"C+",5,"B",6,"B+",7,"A",8,"A+",9,"S",10)*0.4+_xlfn.SWITCH(E252,"F",0,"E",1,"D",2,"D+",3,"C",4,"C+",5,"B",6,"B+",7,"A",8,"A+",9,"S",10)*0.3+_xlfn.SWITCH(F252,"F",0,"E",1,"D",2,"D+",3,"C",4,"C+",5,"B",6,"B+",7,"A",8,"A+",9,"S",10)*0.2,"")</f>
        <v>5</v>
      </c>
      <c r="I252" s="473"/>
    </row>
    <row r="253" spans="1:14">
      <c r="A253" s="445" t="s">
        <v>1415</v>
      </c>
      <c r="B253" s="474" t="s">
        <v>1416</v>
      </c>
      <c r="C253" s="445" t="s">
        <v>1562</v>
      </c>
      <c r="D253" s="445" t="s">
        <v>1562</v>
      </c>
      <c r="E253" s="445" t="s">
        <v>1574</v>
      </c>
      <c r="F253" s="445" t="s">
        <v>1562</v>
      </c>
      <c r="G253" s="445" t="str">
        <f>IF(AND(ISNUMBER(MATCH(D253,{"F","E","D","D+","C","C+","B","B+","A","A+","S"},0)),ISNUMBER(MATCH(E253,{"F","E","D","D+","C","C+","B","B+","A","A+","S"},0)),ISNUMBER(MATCH(F253,{"F","E","D","D+","C","C+","B","B+","A","A+","S"},0))),LOOKUP(AVERAGE(_xlfn.SWITCH(D253,"F",0,"E",10,"D",20,"D+",30,"C",40,"C+",50,"B",60,"B+",70,"A",80,"A+",90,"S",100),_xlfn.SWITCH(E253,"F",0,"E",10,"D",20,"D+",30,"C",40,"C+",50,"B",60,"B+",70,"A",80,"A+",90,"S",100),_xlfn.SWITCH(F253,"F",0,"E",10,"D",20,"D+",30,"C",40,"C+",50,"B",60,"B+",70,"A",80,"A+",90,"S",100)),{0,15,25,35,45,55,65,75,85,95},{"D","D","D+","C","C+","B","B+","A","A+","S"}),"?")</f>
        <v>C+</v>
      </c>
      <c r="H253" s="447">
        <f>IF(AND(ISNUMBER(MATCH(C253,{"F","E","D","D+","C","C+","B","B+","A","A+","S"},0)),ISNUMBER(MATCH(D253,{"F","E","D","D+","C","C+","B","B+","A","A+","S"},0)),ISNUMBER(MATCH(E253,{"F","E","D","D+","C","C+","B","B+","A","A+","S"},0)),ISNUMBER(MATCH(F253,{"F","E","D","D+","C","C+","B","B+","A","A+","S"},0))),_xlfn.SWITCH(C253,"F",0,"E",1,"D",2,"D+",3,"C",4,"C+",5,"B",6,"B+",7,"A",8,"A+",9,"S",10)*0.1+_xlfn.SWITCH(D253,"F",0,"E",1,"D",2,"D+",3,"C",4,"C+",5,"B",6,"B+",7,"A",8,"A+",9,"S",10)*0.4+_xlfn.SWITCH(E253,"F",0,"E",1,"D",2,"D+",3,"C",4,"C+",5,"B",6,"B+",7,"A",8,"A+",9,"S",10)*0.3+_xlfn.SWITCH(F253,"F",0,"E",1,"D",2,"D+",3,"C",4,"C+",5,"B",6,"B+",7,"A",8,"A+",9,"S",10)*0.2,"")</f>
        <v>4.7</v>
      </c>
      <c r="I253" s="473"/>
    </row>
    <row r="254" spans="1:14">
      <c r="A254" s="445" t="s">
        <v>1068</v>
      </c>
      <c r="B254" s="478" t="s">
        <v>726</v>
      </c>
      <c r="C254" s="445" t="s">
        <v>21</v>
      </c>
      <c r="D254" s="445" t="s">
        <v>1567</v>
      </c>
      <c r="E254" s="445" t="s">
        <v>21</v>
      </c>
      <c r="F254" s="445" t="s">
        <v>1567</v>
      </c>
      <c r="G254" s="445" t="str">
        <f>IF(AND(ISNUMBER(MATCH(D254,{"F","E","D","D+","C","C+","B","B+","A","A+","S"},0)),ISNUMBER(MATCH(E254,{"F","E","D","D+","C","C+","B","B+","A","A+","S"},0)),ISNUMBER(MATCH(F254,{"F","E","D","D+","C","C+","B","B+","A","A+","S"},0))),LOOKUP(AVERAGE(_xlfn.SWITCH(D254,"F",0,"E",10,"D",20,"D+",30,"C",40,"C+",50,"B",60,"B+",70,"A",80,"A+",90,"S",100),_xlfn.SWITCH(E254,"F",0,"E",10,"D",20,"D+",30,"C",40,"C+",50,"B",60,"B+",70,"A",80,"A+",90,"S",100),_xlfn.SWITCH(F254,"F",0,"E",10,"D",20,"D+",30,"C",40,"C+",50,"B",60,"B+",70,"A",80,"A+",90,"S",100)),{0,15,25,35,45,55,65,75,85,95},{"D","D","D+","C","C+","B","B+","A","A+","S"}),"?")</f>
        <v>B+</v>
      </c>
      <c r="H254" s="447">
        <f>IF(AND(ISNUMBER(MATCH(C254,{"F","E","D","D+","C","C+","B","B+","A","A+","S"},0)),ISNUMBER(MATCH(D254,{"F","E","D","D+","C","C+","B","B+","A","A+","S"},0)),ISNUMBER(MATCH(E254,{"F","E","D","D+","C","C+","B","B+","A","A+","S"},0)),ISNUMBER(MATCH(F254,{"F","E","D","D+","C","C+","B","B+","A","A+","S"},0))),_xlfn.SWITCH(C254,"F",0,"E",1,"D",2,"D+",3,"C",4,"C+",5,"B",6,"B+",7,"A",8,"A+",9,"S",10)*0.1+_xlfn.SWITCH(D254,"F",0,"E",1,"D",2,"D+",3,"C",4,"C+",5,"B",6,"B+",7,"A",8,"A+",9,"S",10)*0.4+_xlfn.SWITCH(E254,"F",0,"E",1,"D",2,"D+",3,"C",4,"C+",5,"B",6,"B+",7,"A",8,"A+",9,"S",10)*0.3+_xlfn.SWITCH(F254,"F",0,"E",1,"D",2,"D+",3,"C",4,"C+",5,"B",6,"B+",7,"A",8,"A+",9,"S",10)*0.2,"")</f>
        <v>7.4</v>
      </c>
      <c r="I254" s="473" t="s">
        <v>5144</v>
      </c>
    </row>
    <row r="255" spans="1:14">
      <c r="A255" s="445" t="s">
        <v>1417</v>
      </c>
      <c r="B255" s="474" t="s">
        <v>1418</v>
      </c>
      <c r="C255" s="445" t="s">
        <v>1562</v>
      </c>
      <c r="D255" s="445" t="s">
        <v>1574</v>
      </c>
      <c r="E255" s="445" t="s">
        <v>1562</v>
      </c>
      <c r="F255" s="445" t="s">
        <v>1661</v>
      </c>
      <c r="G255" s="445" t="str">
        <f>IF(AND(ISNUMBER(MATCH(D255,{"F","E","D","D+","C","C+","B","B+","A","A+","S"},0)),ISNUMBER(MATCH(E255,{"F","E","D","D+","C","C+","B","B+","A","A+","S"},0)),ISNUMBER(MATCH(F255,{"F","E","D","D+","C","C+","B","B+","A","A+","S"},0))),LOOKUP(AVERAGE(_xlfn.SWITCH(D255,"F",0,"E",10,"D",20,"D+",30,"C",40,"C+",50,"B",60,"B+",70,"A",80,"A+",90,"S",100),_xlfn.SWITCH(E255,"F",0,"E",10,"D",20,"D+",30,"C",40,"C+",50,"B",60,"B+",70,"A",80,"A+",90,"S",100),_xlfn.SWITCH(F255,"F",0,"E",10,"D",20,"D+",30,"C",40,"C+",50,"B",60,"B+",70,"A",80,"A+",90,"S",100)),{0,15,25,35,45,55,65,75,85,95},{"D","D","D+","C","C+","B","B+","A","A+","S"}),"?")</f>
        <v>C</v>
      </c>
      <c r="H255" s="447">
        <f>IF(AND(ISNUMBER(MATCH(C255,{"F","E","D","D+","C","C+","B","B+","A","A+","S"},0)),ISNUMBER(MATCH(D255,{"F","E","D","D+","C","C+","B","B+","A","A+","S"},0)),ISNUMBER(MATCH(E255,{"F","E","D","D+","C","C+","B","B+","A","A+","S"},0)),ISNUMBER(MATCH(F255,{"F","E","D","D+","C","C+","B","B+","A","A+","S"},0))),_xlfn.SWITCH(C255,"F",0,"E",1,"D",2,"D+",3,"C",4,"C+",5,"B",6,"B+",7,"A",8,"A+",9,"S",10)*0.1+_xlfn.SWITCH(D255,"F",0,"E",1,"D",2,"D+",3,"C",4,"C+",5,"B",6,"B+",7,"A",8,"A+",9,"S",10)*0.4+_xlfn.SWITCH(E255,"F",0,"E",1,"D",2,"D+",3,"C",4,"C+",5,"B",6,"B+",7,"A",8,"A+",9,"S",10)*0.3+_xlfn.SWITCH(F255,"F",0,"E",1,"D",2,"D+",3,"C",4,"C+",5,"B",6,"B+",7,"A",8,"A+",9,"S",10)*0.2,"")</f>
        <v>4.2</v>
      </c>
      <c r="I255" s="473"/>
    </row>
    <row r="256" spans="1:14">
      <c r="A256" s="445" t="s">
        <v>1419</v>
      </c>
      <c r="B256" s="478" t="s">
        <v>1420</v>
      </c>
      <c r="C256" s="445" t="s">
        <v>1562</v>
      </c>
      <c r="D256" s="445" t="s">
        <v>1567</v>
      </c>
      <c r="E256" s="445" t="s">
        <v>18</v>
      </c>
      <c r="F256" s="445" t="s">
        <v>18</v>
      </c>
      <c r="G256" s="445" t="str">
        <f>IF(AND(ISNUMBER(MATCH(D256,{"F","E","D","D+","C","C+","B","B+","A","A+","S"},0)),ISNUMBER(MATCH(E256,{"F","E","D","D+","C","C+","B","B+","A","A+","S"},0)),ISNUMBER(MATCH(F256,{"F","E","D","D+","C","C+","B","B+","A","A+","S"},0))),LOOKUP(AVERAGE(_xlfn.SWITCH(D256,"F",0,"E",10,"D",20,"D+",30,"C",40,"C+",50,"B",60,"B+",70,"A",80,"A+",90,"S",100),_xlfn.SWITCH(E256,"F",0,"E",10,"D",20,"D+",30,"C",40,"C+",50,"B",60,"B+",70,"A",80,"A+",90,"S",100),_xlfn.SWITCH(F256,"F",0,"E",10,"D",20,"D+",30,"C",40,"C+",50,"B",60,"B+",70,"A",80,"A+",90,"S",100)),{0,15,25,35,45,55,65,75,85,95},{"D","D","D+","C","C+","B","B+","A","A+","S"}),"?")</f>
        <v>B</v>
      </c>
      <c r="H256" s="447">
        <f>IF(AND(ISNUMBER(MATCH(C256,{"F","E","D","D+","C","C+","B","B+","A","A+","S"},0)),ISNUMBER(MATCH(D256,{"F","E","D","D+","C","C+","B","B+","A","A+","S"},0)),ISNUMBER(MATCH(E256,{"F","E","D","D+","C","C+","B","B+","A","A+","S"},0)),ISNUMBER(MATCH(F256,{"F","E","D","D+","C","C+","B","B+","A","A+","S"},0))),_xlfn.SWITCH(C256,"F",0,"E",1,"D",2,"D+",3,"C",4,"C+",5,"B",6,"B+",7,"A",8,"A+",9,"S",10)*0.1+_xlfn.SWITCH(D256,"F",0,"E",1,"D",2,"D+",3,"C",4,"C+",5,"B",6,"B+",7,"A",8,"A+",9,"S",10)*0.4+_xlfn.SWITCH(E256,"F",0,"E",1,"D",2,"D+",3,"C",4,"C+",5,"B",6,"B+",7,"A",8,"A+",9,"S",10)*0.3+_xlfn.SWITCH(F256,"F",0,"E",1,"D",2,"D+",3,"C",4,"C+",5,"B",6,"B+",7,"A",8,"A+",9,"S",10)*0.2,"")</f>
        <v>6.3</v>
      </c>
      <c r="I256" s="473"/>
    </row>
    <row r="257" spans="1:9">
      <c r="A257" s="445" t="s">
        <v>1421</v>
      </c>
      <c r="B257" s="474" t="s">
        <v>1422</v>
      </c>
      <c r="C257" s="445" t="s">
        <v>1574</v>
      </c>
      <c r="D257" s="445"/>
      <c r="E257" s="445"/>
      <c r="F257" s="445"/>
      <c r="G257" s="445" t="str">
        <f>IF(AND(ISNUMBER(MATCH(D257,{"F","E","D","D+","C","C+","B","B+","A","A+","S"},0)),ISNUMBER(MATCH(E257,{"F","E","D","D+","C","C+","B","B+","A","A+","S"},0)),ISNUMBER(MATCH(F257,{"F","E","D","D+","C","C+","B","B+","A","A+","S"},0))),LOOKUP(AVERAGE(_xlfn.SWITCH(D257,"F",0,"E",10,"D",20,"D+",30,"C",40,"C+",50,"B",60,"B+",70,"A",80,"A+",90,"S",100),_xlfn.SWITCH(E257,"F",0,"E",10,"D",20,"D+",30,"C",40,"C+",50,"B",60,"B+",70,"A",80,"A+",90,"S",100),_xlfn.SWITCH(F257,"F",0,"E",10,"D",20,"D+",30,"C",40,"C+",50,"B",60,"B+",70,"A",80,"A+",90,"S",100)),{0,15,25,35,45,55,65,75,85,95},{"D","D","D+","C","C+","B","B+","A","A+","S"}),"?")</f>
        <v>?</v>
      </c>
      <c r="H257" s="447" t="str">
        <f>IF(AND(ISNUMBER(MATCH(C257,{"F","E","D","D+","C","C+","B","B+","A","A+","S"},0)),ISNUMBER(MATCH(D257,{"F","E","D","D+","C","C+","B","B+","A","A+","S"},0)),ISNUMBER(MATCH(E257,{"F","E","D","D+","C","C+","B","B+","A","A+","S"},0)),ISNUMBER(MATCH(F257,{"F","E","D","D+","C","C+","B","B+","A","A+","S"},0))),_xlfn.SWITCH(C257,"F",0,"E",1,"D",2,"D+",3,"C",4,"C+",5,"B",6,"B+",7,"A",8,"A+",9,"S",10)*0.1+_xlfn.SWITCH(D257,"F",0,"E",1,"D",2,"D+",3,"C",4,"C+",5,"B",6,"B+",7,"A",8,"A+",9,"S",10)*0.4+_xlfn.SWITCH(E257,"F",0,"E",1,"D",2,"D+",3,"C",4,"C+",5,"B",6,"B+",7,"A",8,"A+",9,"S",10)*0.3+_xlfn.SWITCH(F257,"F",0,"E",1,"D",2,"D+",3,"C",4,"C+",5,"B",6,"B+",7,"A",8,"A+",9,"S",10)*0.2,"")</f>
        <v/>
      </c>
      <c r="I257" s="473"/>
    </row>
    <row r="258" spans="1:9">
      <c r="A258" s="445" t="s">
        <v>1051</v>
      </c>
      <c r="B258" s="477" t="s">
        <v>1052</v>
      </c>
      <c r="C258" s="445" t="s">
        <v>21</v>
      </c>
      <c r="D258" s="445" t="s">
        <v>28</v>
      </c>
      <c r="E258" s="445" t="s">
        <v>28</v>
      </c>
      <c r="F258" s="445" t="s">
        <v>21</v>
      </c>
      <c r="G258" s="445" t="str">
        <f>IF(AND(ISNUMBER(MATCH(D258,{"F","E","D","D+","C","C+","B","B+","A","A+","S"},0)),ISNUMBER(MATCH(E258,{"F","E","D","D+","C","C+","B","B+","A","A+","S"},0)),ISNUMBER(MATCH(F258,{"F","E","D","D+","C","C+","B","B+","A","A+","S"},0))),LOOKUP(AVERAGE(_xlfn.SWITCH(D258,"F",0,"E",10,"D",20,"D+",30,"C",40,"C+",50,"B",60,"B+",70,"A",80,"A+",90,"S",100),_xlfn.SWITCH(E258,"F",0,"E",10,"D",20,"D+",30,"C",40,"C+",50,"B",60,"B+",70,"A",80,"A+",90,"S",100),_xlfn.SWITCH(F258,"F",0,"E",10,"D",20,"D+",30,"C",40,"C+",50,"B",60,"B+",70,"A",80,"A+",90,"S",100)),{0,15,25,35,45,55,65,75,85,95},{"D","D","D+","C","C+","B","B+","A","A+","S"}),"?")</f>
        <v>A+</v>
      </c>
      <c r="H258" s="447">
        <f>IF(AND(ISNUMBER(MATCH(C258,{"F","E","D","D+","C","C+","B","B+","A","A+","S"},0)),ISNUMBER(MATCH(D258,{"F","E","D","D+","C","C+","B","B+","A","A+","S"},0)),ISNUMBER(MATCH(E258,{"F","E","D","D+","C","C+","B","B+","A","A+","S"},0)),ISNUMBER(MATCH(F258,{"F","E","D","D+","C","C+","B","B+","A","A+","S"},0))),_xlfn.SWITCH(C258,"F",0,"E",1,"D",2,"D+",3,"C",4,"C+",5,"B",6,"B+",7,"A",8,"A+",9,"S",10)*0.1+_xlfn.SWITCH(D258,"F",0,"E",1,"D",2,"D+",3,"C",4,"C+",5,"B",6,"B+",7,"A",8,"A+",9,"S",10)*0.4+_xlfn.SWITCH(E258,"F",0,"E",1,"D",2,"D+",3,"C",4,"C+",5,"B",6,"B+",7,"A",8,"A+",9,"S",10)*0.3+_xlfn.SWITCH(F258,"F",0,"E",1,"D",2,"D+",3,"C",4,"C+",5,"B",6,"B+",7,"A",8,"A+",9,"S",10)*0.2,"")</f>
        <v>8.6999999999999993</v>
      </c>
      <c r="I258" s="473" t="s">
        <v>5145</v>
      </c>
    </row>
    <row r="259" spans="1:9">
      <c r="A259" s="445" t="s">
        <v>1062</v>
      </c>
      <c r="B259" s="478" t="s">
        <v>1063</v>
      </c>
      <c r="C259" s="445" t="s">
        <v>1567</v>
      </c>
      <c r="D259" s="445" t="s">
        <v>18</v>
      </c>
      <c r="E259" s="445" t="s">
        <v>1567</v>
      </c>
      <c r="F259" s="445" t="s">
        <v>18</v>
      </c>
      <c r="G259" s="445" t="str">
        <f>IF(AND(ISNUMBER(MATCH(D259,{"F","E","D","D+","C","C+","B","B+","A","A+","S"},0)),ISNUMBER(MATCH(E259,{"F","E","D","D+","C","C+","B","B+","A","A+","S"},0)),ISNUMBER(MATCH(F259,{"F","E","D","D+","C","C+","B","B+","A","A+","S"},0))),LOOKUP(AVERAGE(_xlfn.SWITCH(D259,"F",0,"E",10,"D",20,"D+",30,"C",40,"C+",50,"B",60,"B+",70,"A",80,"A+",90,"S",100),_xlfn.SWITCH(E259,"F",0,"E",10,"D",20,"D+",30,"C",40,"C+",50,"B",60,"B+",70,"A",80,"A+",90,"S",100),_xlfn.SWITCH(F259,"F",0,"E",10,"D",20,"D+",30,"C",40,"C+",50,"B",60,"B+",70,"A",80,"A+",90,"S",100)),{0,15,25,35,45,55,65,75,85,95},{"D","D","D+","C","C+","B","B+","A","A+","S"}),"?")</f>
        <v>B</v>
      </c>
      <c r="H259" s="447">
        <f>IF(AND(ISNUMBER(MATCH(C259,{"F","E","D","D+","C","C+","B","B+","A","A+","S"},0)),ISNUMBER(MATCH(D259,{"F","E","D","D+","C","C+","B","B+","A","A+","S"},0)),ISNUMBER(MATCH(E259,{"F","E","D","D+","C","C+","B","B+","A","A+","S"},0)),ISNUMBER(MATCH(F259,{"F","E","D","D+","C","C+","B","B+","A","A+","S"},0))),_xlfn.SWITCH(C259,"F",0,"E",1,"D",2,"D+",3,"C",4,"C+",5,"B",6,"B+",7,"A",8,"A+",9,"S",10)*0.1+_xlfn.SWITCH(D259,"F",0,"E",1,"D",2,"D+",3,"C",4,"C+",5,"B",6,"B+",7,"A",8,"A+",9,"S",10)*0.4+_xlfn.SWITCH(E259,"F",0,"E",1,"D",2,"D+",3,"C",4,"C+",5,"B",6,"B+",7,"A",8,"A+",9,"S",10)*0.3+_xlfn.SWITCH(F259,"F",0,"E",1,"D",2,"D+",3,"C",4,"C+",5,"B",6,"B+",7,"A",8,"A+",9,"S",10)*0.2,"")</f>
        <v>6.4000000000000012</v>
      </c>
      <c r="I259" s="473" t="s">
        <v>5146</v>
      </c>
    </row>
    <row r="260" spans="1:9">
      <c r="A260" s="445" t="s">
        <v>1423</v>
      </c>
      <c r="B260" s="474" t="s">
        <v>1424</v>
      </c>
      <c r="C260" s="445" t="s">
        <v>1574</v>
      </c>
      <c r="D260" s="445"/>
      <c r="E260" s="445"/>
      <c r="F260" s="445"/>
      <c r="G260" s="445" t="str">
        <f>IF(AND(ISNUMBER(MATCH(D260,{"F","E","D","D+","C","C+","B","B+","A","A+","S"},0)),ISNUMBER(MATCH(E260,{"F","E","D","D+","C","C+","B","B+","A","A+","S"},0)),ISNUMBER(MATCH(F260,{"F","E","D","D+","C","C+","B","B+","A","A+","S"},0))),LOOKUP(AVERAGE(_xlfn.SWITCH(D260,"F",0,"E",10,"D",20,"D+",30,"C",40,"C+",50,"B",60,"B+",70,"A",80,"A+",90,"S",100),_xlfn.SWITCH(E260,"F",0,"E",10,"D",20,"D+",30,"C",40,"C+",50,"B",60,"B+",70,"A",80,"A+",90,"S",100),_xlfn.SWITCH(F260,"F",0,"E",10,"D",20,"D+",30,"C",40,"C+",50,"B",60,"B+",70,"A",80,"A+",90,"S",100)),{0,15,25,35,45,55,65,75,85,95},{"D","D","D+","C","C+","B","B+","A","A+","S"}),"?")</f>
        <v>?</v>
      </c>
      <c r="H260" s="447" t="str">
        <f>IF(AND(ISNUMBER(MATCH(C260,{"F","E","D","D+","C","C+","B","B+","A","A+","S"},0)),ISNUMBER(MATCH(D260,{"F","E","D","D+","C","C+","B","B+","A","A+","S"},0)),ISNUMBER(MATCH(E260,{"F","E","D","D+","C","C+","B","B+","A","A+","S"},0)),ISNUMBER(MATCH(F260,{"F","E","D","D+","C","C+","B","B+","A","A+","S"},0))),_xlfn.SWITCH(C260,"F",0,"E",1,"D",2,"D+",3,"C",4,"C+",5,"B",6,"B+",7,"A",8,"A+",9,"S",10)*0.1+_xlfn.SWITCH(D260,"F",0,"E",1,"D",2,"D+",3,"C",4,"C+",5,"B",6,"B+",7,"A",8,"A+",9,"S",10)*0.4+_xlfn.SWITCH(E260,"F",0,"E",1,"D",2,"D+",3,"C",4,"C+",5,"B",6,"B+",7,"A",8,"A+",9,"S",10)*0.3+_xlfn.SWITCH(F260,"F",0,"E",1,"D",2,"D+",3,"C",4,"C+",5,"B",6,"B+",7,"A",8,"A+",9,"S",10)*0.2,"")</f>
        <v/>
      </c>
      <c r="I260" s="473"/>
    </row>
    <row r="261" spans="1:9">
      <c r="A261" s="445" t="s">
        <v>1425</v>
      </c>
      <c r="B261" s="474" t="s">
        <v>1426</v>
      </c>
      <c r="C261" s="445" t="s">
        <v>1562</v>
      </c>
      <c r="D261" s="445" t="s">
        <v>1562</v>
      </c>
      <c r="E261" s="445" t="s">
        <v>1562</v>
      </c>
      <c r="F261" s="445" t="s">
        <v>1562</v>
      </c>
      <c r="G261" s="445" t="str">
        <f>IF(AND(ISNUMBER(MATCH(D261,{"F","E","D","D+","C","C+","B","B+","A","A+","S"},0)),ISNUMBER(MATCH(E261,{"F","E","D","D+","C","C+","B","B+","A","A+","S"},0)),ISNUMBER(MATCH(F261,{"F","E","D","D+","C","C+","B","B+","A","A+","S"},0))),LOOKUP(AVERAGE(_xlfn.SWITCH(D261,"F",0,"E",10,"D",20,"D+",30,"C",40,"C+",50,"B",60,"B+",70,"A",80,"A+",90,"S",100),_xlfn.SWITCH(E261,"F",0,"E",10,"D",20,"D+",30,"C",40,"C+",50,"B",60,"B+",70,"A",80,"A+",90,"S",100),_xlfn.SWITCH(F261,"F",0,"E",10,"D",20,"D+",30,"C",40,"C+",50,"B",60,"B+",70,"A",80,"A+",90,"S",100)),{0,15,25,35,45,55,65,75,85,95},{"D","D","D+","C","C+","B","B+","A","A+","S"}),"?")</f>
        <v>C+</v>
      </c>
      <c r="H261" s="447">
        <f>IF(AND(ISNUMBER(MATCH(C261,{"F","E","D","D+","C","C+","B","B+","A","A+","S"},0)),ISNUMBER(MATCH(D261,{"F","E","D","D+","C","C+","B","B+","A","A+","S"},0)),ISNUMBER(MATCH(E261,{"F","E","D","D+","C","C+","B","B+","A","A+","S"},0)),ISNUMBER(MATCH(F261,{"F","E","D","D+","C","C+","B","B+","A","A+","S"},0))),_xlfn.SWITCH(C261,"F",0,"E",1,"D",2,"D+",3,"C",4,"C+",5,"B",6,"B+",7,"A",8,"A+",9,"S",10)*0.1+_xlfn.SWITCH(D261,"F",0,"E",1,"D",2,"D+",3,"C",4,"C+",5,"B",6,"B+",7,"A",8,"A+",9,"S",10)*0.4+_xlfn.SWITCH(E261,"F",0,"E",1,"D",2,"D+",3,"C",4,"C+",5,"B",6,"B+",7,"A",8,"A+",9,"S",10)*0.3+_xlfn.SWITCH(F261,"F",0,"E",1,"D",2,"D+",3,"C",4,"C+",5,"B",6,"B+",7,"A",8,"A+",9,"S",10)*0.2,"")</f>
        <v>5</v>
      </c>
      <c r="I261" s="473"/>
    </row>
    <row r="262" spans="1:9">
      <c r="A262" s="445" t="s">
        <v>1195</v>
      </c>
      <c r="B262" s="478" t="s">
        <v>1196</v>
      </c>
      <c r="C262" s="445" t="s">
        <v>18</v>
      </c>
      <c r="D262" s="445" t="s">
        <v>18</v>
      </c>
      <c r="E262" s="445" t="s">
        <v>1567</v>
      </c>
      <c r="F262" s="445" t="s">
        <v>18</v>
      </c>
      <c r="G262" s="445" t="str">
        <f>IF(AND(ISNUMBER(MATCH(D262,{"F","E","D","D+","C","C+","B","B+","A","A+","S"},0)),ISNUMBER(MATCH(E262,{"F","E","D","D+","C","C+","B","B+","A","A+","S"},0)),ISNUMBER(MATCH(F262,{"F","E","D","D+","C","C+","B","B+","A","A+","S"},0))),LOOKUP(AVERAGE(_xlfn.SWITCH(D262,"F",0,"E",10,"D",20,"D+",30,"C",40,"C+",50,"B",60,"B+",70,"A",80,"A+",90,"S",100),_xlfn.SWITCH(E262,"F",0,"E",10,"D",20,"D+",30,"C",40,"C+",50,"B",60,"B+",70,"A",80,"A+",90,"S",100),_xlfn.SWITCH(F262,"F",0,"E",10,"D",20,"D+",30,"C",40,"C+",50,"B",60,"B+",70,"A",80,"A+",90,"S",100)),{0,15,25,35,45,55,65,75,85,95},{"D","D","D+","C","C+","B","B+","A","A+","S"}),"?")</f>
        <v>B</v>
      </c>
      <c r="H262" s="447">
        <f>IF(AND(ISNUMBER(MATCH(C262,{"F","E","D","D+","C","C+","B","B+","A","A+","S"},0)),ISNUMBER(MATCH(D262,{"F","E","D","D+","C","C+","B","B+","A","A+","S"},0)),ISNUMBER(MATCH(E262,{"F","E","D","D+","C","C+","B","B+","A","A+","S"},0)),ISNUMBER(MATCH(F262,{"F","E","D","D+","C","C+","B","B+","A","A+","S"},0))),_xlfn.SWITCH(C262,"F",0,"E",1,"D",2,"D+",3,"C",4,"C+",5,"B",6,"B+",7,"A",8,"A+",9,"S",10)*0.1+_xlfn.SWITCH(D262,"F",0,"E",1,"D",2,"D+",3,"C",4,"C+",5,"B",6,"B+",7,"A",8,"A+",9,"S",10)*0.4+_xlfn.SWITCH(E262,"F",0,"E",1,"D",2,"D+",3,"C",4,"C+",5,"B",6,"B+",7,"A",8,"A+",9,"S",10)*0.3+_xlfn.SWITCH(F262,"F",0,"E",1,"D",2,"D+",3,"C",4,"C+",5,"B",6,"B+",7,"A",8,"A+",9,"S",10)*0.2,"")</f>
        <v>6.3000000000000007</v>
      </c>
      <c r="I262" s="473"/>
    </row>
    <row r="263" spans="1:9">
      <c r="A263" s="445" t="s">
        <v>1427</v>
      </c>
      <c r="B263" s="474" t="s">
        <v>1428</v>
      </c>
      <c r="C263" s="445" t="s">
        <v>1574</v>
      </c>
      <c r="D263" s="445"/>
      <c r="E263" s="445"/>
      <c r="F263" s="445"/>
      <c r="G263" s="445" t="str">
        <f>IF(AND(ISNUMBER(MATCH(D263,{"F","E","D","D+","C","C+","B","B+","A","A+","S"},0)),ISNUMBER(MATCH(E263,{"F","E","D","D+","C","C+","B","B+","A","A+","S"},0)),ISNUMBER(MATCH(F263,{"F","E","D","D+","C","C+","B","B+","A","A+","S"},0))),LOOKUP(AVERAGE(_xlfn.SWITCH(D263,"F",0,"E",10,"D",20,"D+",30,"C",40,"C+",50,"B",60,"B+",70,"A",80,"A+",90,"S",100),_xlfn.SWITCH(E263,"F",0,"E",10,"D",20,"D+",30,"C",40,"C+",50,"B",60,"B+",70,"A",80,"A+",90,"S",100),_xlfn.SWITCH(F263,"F",0,"E",10,"D",20,"D+",30,"C",40,"C+",50,"B",60,"B+",70,"A",80,"A+",90,"S",100)),{0,15,25,35,45,55,65,75,85,95},{"D","D","D+","C","C+","B","B+","A","A+","S"}),"?")</f>
        <v>?</v>
      </c>
      <c r="H263" s="447" t="str">
        <f>IF(AND(ISNUMBER(MATCH(C263,{"F","E","D","D+","C","C+","B","B+","A","A+","S"},0)),ISNUMBER(MATCH(D263,{"F","E","D","D+","C","C+","B","B+","A","A+","S"},0)),ISNUMBER(MATCH(E263,{"F","E","D","D+","C","C+","B","B+","A","A+","S"},0)),ISNUMBER(MATCH(F263,{"F","E","D","D+","C","C+","B","B+","A","A+","S"},0))),_xlfn.SWITCH(C263,"F",0,"E",1,"D",2,"D+",3,"C",4,"C+",5,"B",6,"B+",7,"A",8,"A+",9,"S",10)*0.1+_xlfn.SWITCH(D263,"F",0,"E",1,"D",2,"D+",3,"C",4,"C+",5,"B",6,"B+",7,"A",8,"A+",9,"S",10)*0.4+_xlfn.SWITCH(E263,"F",0,"E",1,"D",2,"D+",3,"C",4,"C+",5,"B",6,"B+",7,"A",8,"A+",9,"S",10)*0.3+_xlfn.SWITCH(F263,"F",0,"E",1,"D",2,"D+",3,"C",4,"C+",5,"B",6,"B+",7,"A",8,"A+",9,"S",10)*0.2,"")</f>
        <v/>
      </c>
      <c r="I263" s="473"/>
    </row>
    <row r="264" spans="1:9">
      <c r="A264" s="445" t="s">
        <v>1073</v>
      </c>
      <c r="B264" s="478" t="s">
        <v>1074</v>
      </c>
      <c r="C264" s="445" t="s">
        <v>21</v>
      </c>
      <c r="D264" s="445" t="s">
        <v>21</v>
      </c>
      <c r="E264" s="445" t="s">
        <v>28</v>
      </c>
      <c r="F264" s="445" t="s">
        <v>28</v>
      </c>
      <c r="G264" s="445" t="str">
        <f>IF(AND(ISNUMBER(MATCH(D264,{"F","E","D","D+","C","C+","B","B+","A","A+","S"},0)),ISNUMBER(MATCH(E264,{"F","E","D","D+","C","C+","B","B+","A","A+","S"},0)),ISNUMBER(MATCH(F264,{"F","E","D","D+","C","C+","B","B+","A","A+","S"},0))),LOOKUP(AVERAGE(_xlfn.SWITCH(D264,"F",0,"E",10,"D",20,"D+",30,"C",40,"C+",50,"B",60,"B+",70,"A",80,"A+",90,"S",100),_xlfn.SWITCH(E264,"F",0,"E",10,"D",20,"D+",30,"C",40,"C+",50,"B",60,"B+",70,"A",80,"A+",90,"S",100),_xlfn.SWITCH(F264,"F",0,"E",10,"D",20,"D+",30,"C",40,"C+",50,"B",60,"B+",70,"A",80,"A+",90,"S",100)),{0,15,25,35,45,55,65,75,85,95},{"D","D","D+","C","C+","B","B+","A","A+","S"}),"?")</f>
        <v>A+</v>
      </c>
      <c r="H264" s="447">
        <f>IF(AND(ISNUMBER(MATCH(C264,{"F","E","D","D+","C","C+","B","B+","A","A+","S"},0)),ISNUMBER(MATCH(D264,{"F","E","D","D+","C","C+","B","B+","A","A+","S"},0)),ISNUMBER(MATCH(E264,{"F","E","D","D+","C","C+","B","B+","A","A+","S"},0)),ISNUMBER(MATCH(F264,{"F","E","D","D+","C","C+","B","B+","A","A+","S"},0))),_xlfn.SWITCH(C264,"F",0,"E",1,"D",2,"D+",3,"C",4,"C+",5,"B",6,"B+",7,"A",8,"A+",9,"S",10)*0.1+_xlfn.SWITCH(D264,"F",0,"E",1,"D",2,"D+",3,"C",4,"C+",5,"B",6,"B+",7,"A",8,"A+",9,"S",10)*0.4+_xlfn.SWITCH(E264,"F",0,"E",1,"D",2,"D+",3,"C",4,"C+",5,"B",6,"B+",7,"A",8,"A+",9,"S",10)*0.3+_xlfn.SWITCH(F264,"F",0,"E",1,"D",2,"D+",3,"C",4,"C+",5,"B",6,"B+",7,"A",8,"A+",9,"S",10)*0.2,"")</f>
        <v>8.5</v>
      </c>
      <c r="I264" s="473" t="s">
        <v>5147</v>
      </c>
    </row>
    <row r="265" spans="1:9">
      <c r="A265" s="445" t="s">
        <v>1429</v>
      </c>
      <c r="B265" s="474" t="s">
        <v>1430</v>
      </c>
      <c r="C265" s="445" t="s">
        <v>1574</v>
      </c>
      <c r="D265" s="445"/>
      <c r="E265" s="445"/>
      <c r="F265" s="445"/>
      <c r="G265" s="445" t="str">
        <f>IF(AND(ISNUMBER(MATCH(D265,{"F","E","D","D+","C","C+","B","B+","A","A+","S"},0)),ISNUMBER(MATCH(E265,{"F","E","D","D+","C","C+","B","B+","A","A+","S"},0)),ISNUMBER(MATCH(F265,{"F","E","D","D+","C","C+","B","B+","A","A+","S"},0))),LOOKUP(AVERAGE(_xlfn.SWITCH(D265,"F",0,"E",10,"D",20,"D+",30,"C",40,"C+",50,"B",60,"B+",70,"A",80,"A+",90,"S",100),_xlfn.SWITCH(E265,"F",0,"E",10,"D",20,"D+",30,"C",40,"C+",50,"B",60,"B+",70,"A",80,"A+",90,"S",100),_xlfn.SWITCH(F265,"F",0,"E",10,"D",20,"D+",30,"C",40,"C+",50,"B",60,"B+",70,"A",80,"A+",90,"S",100)),{0,15,25,35,45,55,65,75,85,95},{"D","D","D+","C","C+","B","B+","A","A+","S"}),"?")</f>
        <v>?</v>
      </c>
      <c r="H265" s="447" t="str">
        <f>IF(AND(ISNUMBER(MATCH(C265,{"F","E","D","D+","C","C+","B","B+","A","A+","S"},0)),ISNUMBER(MATCH(D265,{"F","E","D","D+","C","C+","B","B+","A","A+","S"},0)),ISNUMBER(MATCH(E265,{"F","E","D","D+","C","C+","B","B+","A","A+","S"},0)),ISNUMBER(MATCH(F265,{"F","E","D","D+","C","C+","B","B+","A","A+","S"},0))),_xlfn.SWITCH(C265,"F",0,"E",1,"D",2,"D+",3,"C",4,"C+",5,"B",6,"B+",7,"A",8,"A+",9,"S",10)*0.1+_xlfn.SWITCH(D265,"F",0,"E",1,"D",2,"D+",3,"C",4,"C+",5,"B",6,"B+",7,"A",8,"A+",9,"S",10)*0.4+_xlfn.SWITCH(E265,"F",0,"E",1,"D",2,"D+",3,"C",4,"C+",5,"B",6,"B+",7,"A",8,"A+",9,"S",10)*0.3+_xlfn.SWITCH(F265,"F",0,"E",1,"D",2,"D+",3,"C",4,"C+",5,"B",6,"B+",7,"A",8,"A+",9,"S",10)*0.2,"")</f>
        <v/>
      </c>
      <c r="I265" s="473"/>
    </row>
    <row r="266" spans="1:9">
      <c r="A266" s="445" t="s">
        <v>1190</v>
      </c>
      <c r="B266" s="474" t="s">
        <v>1191</v>
      </c>
      <c r="C266" s="445" t="s">
        <v>1562</v>
      </c>
      <c r="D266" s="445" t="s">
        <v>18</v>
      </c>
      <c r="E266" s="445" t="s">
        <v>1567</v>
      </c>
      <c r="F266" s="445" t="s">
        <v>18</v>
      </c>
      <c r="G266" s="445" t="str">
        <f>IF(AND(ISNUMBER(MATCH(D266,{"F","E","D","D+","C","C+","B","B+","A","A+","S"},0)),ISNUMBER(MATCH(E266,{"F","E","D","D+","C","C+","B","B+","A","A+","S"},0)),ISNUMBER(MATCH(F266,{"F","E","D","D+","C","C+","B","B+","A","A+","S"},0))),LOOKUP(AVERAGE(_xlfn.SWITCH(D266,"F",0,"E",10,"D",20,"D+",30,"C",40,"C+",50,"B",60,"B+",70,"A",80,"A+",90,"S",100),_xlfn.SWITCH(E266,"F",0,"E",10,"D",20,"D+",30,"C",40,"C+",50,"B",60,"B+",70,"A",80,"A+",90,"S",100),_xlfn.SWITCH(F266,"F",0,"E",10,"D",20,"D+",30,"C",40,"C+",50,"B",60,"B+",70,"A",80,"A+",90,"S",100)),{0,15,25,35,45,55,65,75,85,95},{"D","D","D+","C","C+","B","B+","A","A+","S"}),"?")</f>
        <v>B</v>
      </c>
      <c r="H266" s="447">
        <f>IF(AND(ISNUMBER(MATCH(C266,{"F","E","D","D+","C","C+","B","B+","A","A+","S"},0)),ISNUMBER(MATCH(D266,{"F","E","D","D+","C","C+","B","B+","A","A+","S"},0)),ISNUMBER(MATCH(E266,{"F","E","D","D+","C","C+","B","B+","A","A+","S"},0)),ISNUMBER(MATCH(F266,{"F","E","D","D+","C","C+","B","B+","A","A+","S"},0))),_xlfn.SWITCH(C266,"F",0,"E",1,"D",2,"D+",3,"C",4,"C+",5,"B",6,"B+",7,"A",8,"A+",9,"S",10)*0.1+_xlfn.SWITCH(D266,"F",0,"E",1,"D",2,"D+",3,"C",4,"C+",5,"B",6,"B+",7,"A",8,"A+",9,"S",10)*0.4+_xlfn.SWITCH(E266,"F",0,"E",1,"D",2,"D+",3,"C",4,"C+",5,"B",6,"B+",7,"A",8,"A+",9,"S",10)*0.3+_xlfn.SWITCH(F266,"F",0,"E",1,"D",2,"D+",3,"C",4,"C+",5,"B",6,"B+",7,"A",8,"A+",9,"S",10)*0.2,"")</f>
        <v>6.2</v>
      </c>
      <c r="I266" s="473"/>
    </row>
    <row r="267" spans="1:9">
      <c r="A267" s="445" t="s">
        <v>1147</v>
      </c>
      <c r="B267" s="477" t="s">
        <v>1148</v>
      </c>
      <c r="C267" s="445" t="s">
        <v>17</v>
      </c>
      <c r="D267" s="445" t="s">
        <v>17</v>
      </c>
      <c r="E267" s="445" t="s">
        <v>17</v>
      </c>
      <c r="F267" s="445" t="s">
        <v>17</v>
      </c>
      <c r="G267" s="445" t="str">
        <f>IF(AND(ISNUMBER(MATCH(D267,{"F","E","D","D+","C","C+","B","B+","A","A+","S"},0)),ISNUMBER(MATCH(E267,{"F","E","D","D+","C","C+","B","B+","A","A+","S"},0)),ISNUMBER(MATCH(F267,{"F","E","D","D+","C","C+","B","B+","A","A+","S"},0))),LOOKUP(AVERAGE(_xlfn.SWITCH(D267,"F",0,"E",10,"D",20,"D+",30,"C",40,"C+",50,"B",60,"B+",70,"A",80,"A+",90,"S",100),_xlfn.SWITCH(E267,"F",0,"E",10,"D",20,"D+",30,"C",40,"C+",50,"B",60,"B+",70,"A",80,"A+",90,"S",100),_xlfn.SWITCH(F267,"F",0,"E",10,"D",20,"D+",30,"C",40,"C+",50,"B",60,"B+",70,"A",80,"A+",90,"S",100)),{0,15,25,35,45,55,65,75,85,95},{"D","D","D+","C","C+","B","B+","A","A+","S"}),"?")</f>
        <v>S</v>
      </c>
      <c r="H267" s="447">
        <f>IF(AND(ISNUMBER(MATCH(C267,{"F","E","D","D+","C","C+","B","B+","A","A+","S"},0)),ISNUMBER(MATCH(D267,{"F","E","D","D+","C","C+","B","B+","A","A+","S"},0)),ISNUMBER(MATCH(E267,{"F","E","D","D+","C","C+","B","B+","A","A+","S"},0)),ISNUMBER(MATCH(F267,{"F","E","D","D+","C","C+","B","B+","A","A+","S"},0))),_xlfn.SWITCH(C267,"F",0,"E",1,"D",2,"D+",3,"C",4,"C+",5,"B",6,"B+",7,"A",8,"A+",9,"S",10)*0.1+_xlfn.SWITCH(D267,"F",0,"E",1,"D",2,"D+",3,"C",4,"C+",5,"B",6,"B+",7,"A",8,"A+",9,"S",10)*0.4+_xlfn.SWITCH(E267,"F",0,"E",1,"D",2,"D+",3,"C",4,"C+",5,"B",6,"B+",7,"A",8,"A+",9,"S",10)*0.3+_xlfn.SWITCH(F267,"F",0,"E",1,"D",2,"D+",3,"C",4,"C+",5,"B",6,"B+",7,"A",8,"A+",9,"S",10)*0.2,"")</f>
        <v>10</v>
      </c>
      <c r="I267" s="473" t="s">
        <v>5148</v>
      </c>
    </row>
    <row r="268" spans="1:9">
      <c r="A268" s="445" t="s">
        <v>1121</v>
      </c>
      <c r="B268" s="474" t="s">
        <v>1122</v>
      </c>
      <c r="C268" s="445" t="s">
        <v>1562</v>
      </c>
      <c r="D268" s="445" t="s">
        <v>1562</v>
      </c>
      <c r="E268" s="445" t="s">
        <v>1562</v>
      </c>
      <c r="F268" s="445" t="s">
        <v>1562</v>
      </c>
      <c r="G268" s="445" t="str">
        <f>IF(AND(ISNUMBER(MATCH(D268,{"F","E","D","D+","C","C+","B","B+","A","A+","S"},0)),ISNUMBER(MATCH(E268,{"F","E","D","D+","C","C+","B","B+","A","A+","S"},0)),ISNUMBER(MATCH(F268,{"F","E","D","D+","C","C+","B","B+","A","A+","S"},0))),LOOKUP(AVERAGE(_xlfn.SWITCH(D268,"F",0,"E",10,"D",20,"D+",30,"C",40,"C+",50,"B",60,"B+",70,"A",80,"A+",90,"S",100),_xlfn.SWITCH(E268,"F",0,"E",10,"D",20,"D+",30,"C",40,"C+",50,"B",60,"B+",70,"A",80,"A+",90,"S",100),_xlfn.SWITCH(F268,"F",0,"E",10,"D",20,"D+",30,"C",40,"C+",50,"B",60,"B+",70,"A",80,"A+",90,"S",100)),{0,15,25,35,45,55,65,75,85,95},{"D","D","D+","C","C+","B","B+","A","A+","S"}),"?")</f>
        <v>C+</v>
      </c>
      <c r="H268" s="447">
        <f>IF(AND(ISNUMBER(MATCH(C268,{"F","E","D","D+","C","C+","B","B+","A","A+","S"},0)),ISNUMBER(MATCH(D268,{"F","E","D","D+","C","C+","B","B+","A","A+","S"},0)),ISNUMBER(MATCH(E268,{"F","E","D","D+","C","C+","B","B+","A","A+","S"},0)),ISNUMBER(MATCH(F268,{"F","E","D","D+","C","C+","B","B+","A","A+","S"},0))),_xlfn.SWITCH(C268,"F",0,"E",1,"D",2,"D+",3,"C",4,"C+",5,"B",6,"B+",7,"A",8,"A+",9,"S",10)*0.1+_xlfn.SWITCH(D268,"F",0,"E",1,"D",2,"D+",3,"C",4,"C+",5,"B",6,"B+",7,"A",8,"A+",9,"S",10)*0.4+_xlfn.SWITCH(E268,"F",0,"E",1,"D",2,"D+",3,"C",4,"C+",5,"B",6,"B+",7,"A",8,"A+",9,"S",10)*0.3+_xlfn.SWITCH(F268,"F",0,"E",1,"D",2,"D+",3,"C",4,"C+",5,"B",6,"B+",7,"A",8,"A+",9,"S",10)*0.2,"")</f>
        <v>5</v>
      </c>
      <c r="I268" s="473"/>
    </row>
    <row r="269" spans="1:9">
      <c r="A269" s="445" t="s">
        <v>1431</v>
      </c>
      <c r="B269" s="474" t="s">
        <v>1432</v>
      </c>
      <c r="C269" s="445" t="s">
        <v>1562</v>
      </c>
      <c r="D269" s="445" t="s">
        <v>1574</v>
      </c>
      <c r="E269" s="445" t="s">
        <v>1574</v>
      </c>
      <c r="F269" s="445" t="s">
        <v>1562</v>
      </c>
      <c r="G269" s="445" t="str">
        <f>IF(AND(ISNUMBER(MATCH(D269,{"F","E","D","D+","C","C+","B","B+","A","A+","S"},0)),ISNUMBER(MATCH(E269,{"F","E","D","D+","C","C+","B","B+","A","A+","S"},0)),ISNUMBER(MATCH(F269,{"F","E","D","D+","C","C+","B","B+","A","A+","S"},0))),LOOKUP(AVERAGE(_xlfn.SWITCH(D269,"F",0,"E",10,"D",20,"D+",30,"C",40,"C+",50,"B",60,"B+",70,"A",80,"A+",90,"S",100),_xlfn.SWITCH(E269,"F",0,"E",10,"D",20,"D+",30,"C",40,"C+",50,"B",60,"B+",70,"A",80,"A+",90,"S",100),_xlfn.SWITCH(F269,"F",0,"E",10,"D",20,"D+",30,"C",40,"C+",50,"B",60,"B+",70,"A",80,"A+",90,"S",100)),{0,15,25,35,45,55,65,75,85,95},{"D","D","D+","C","C+","B","B+","A","A+","S"}),"?")</f>
        <v>C</v>
      </c>
      <c r="H269" s="447">
        <f>IF(AND(ISNUMBER(MATCH(C269,{"F","E","D","D+","C","C+","B","B+","A","A+","S"},0)),ISNUMBER(MATCH(D269,{"F","E","D","D+","C","C+","B","B+","A","A+","S"},0)),ISNUMBER(MATCH(E269,{"F","E","D","D+","C","C+","B","B+","A","A+","S"},0)),ISNUMBER(MATCH(F269,{"F","E","D","D+","C","C+","B","B+","A","A+","S"},0))),_xlfn.SWITCH(C269,"F",0,"E",1,"D",2,"D+",3,"C",4,"C+",5,"B",6,"B+",7,"A",8,"A+",9,"S",10)*0.1+_xlfn.SWITCH(D269,"F",0,"E",1,"D",2,"D+",3,"C",4,"C+",5,"B",6,"B+",7,"A",8,"A+",9,"S",10)*0.4+_xlfn.SWITCH(E269,"F",0,"E",1,"D",2,"D+",3,"C",4,"C+",5,"B",6,"B+",7,"A",8,"A+",9,"S",10)*0.3+_xlfn.SWITCH(F269,"F",0,"E",1,"D",2,"D+",3,"C",4,"C+",5,"B",6,"B+",7,"A",8,"A+",9,"S",10)*0.2,"")</f>
        <v>4.3</v>
      </c>
      <c r="I269" s="473"/>
    </row>
    <row r="270" spans="1:9">
      <c r="A270" s="445" t="s">
        <v>1433</v>
      </c>
      <c r="B270" s="474" t="s">
        <v>1434</v>
      </c>
      <c r="C270" s="445" t="s">
        <v>1574</v>
      </c>
      <c r="D270" s="445"/>
      <c r="E270" s="445"/>
      <c r="F270" s="445"/>
      <c r="G270" s="445" t="str">
        <f>IF(AND(ISNUMBER(MATCH(D270,{"F","E","D","D+","C","C+","B","B+","A","A+","S"},0)),ISNUMBER(MATCH(E270,{"F","E","D","D+","C","C+","B","B+","A","A+","S"},0)),ISNUMBER(MATCH(F270,{"F","E","D","D+","C","C+","B","B+","A","A+","S"},0))),LOOKUP(AVERAGE(_xlfn.SWITCH(D270,"F",0,"E",10,"D",20,"D+",30,"C",40,"C+",50,"B",60,"B+",70,"A",80,"A+",90,"S",100),_xlfn.SWITCH(E270,"F",0,"E",10,"D",20,"D+",30,"C",40,"C+",50,"B",60,"B+",70,"A",80,"A+",90,"S",100),_xlfn.SWITCH(F270,"F",0,"E",10,"D",20,"D+",30,"C",40,"C+",50,"B",60,"B+",70,"A",80,"A+",90,"S",100)),{0,15,25,35,45,55,65,75,85,95},{"D","D","D+","C","C+","B","B+","A","A+","S"}),"?")</f>
        <v>?</v>
      </c>
      <c r="H270" s="447" t="str">
        <f>IF(AND(ISNUMBER(MATCH(C270,{"F","E","D","D+","C","C+","B","B+","A","A+","S"},0)),ISNUMBER(MATCH(D270,{"F","E","D","D+","C","C+","B","B+","A","A+","S"},0)),ISNUMBER(MATCH(E270,{"F","E","D","D+","C","C+","B","B+","A","A+","S"},0)),ISNUMBER(MATCH(F270,{"F","E","D","D+","C","C+","B","B+","A","A+","S"},0))),_xlfn.SWITCH(C270,"F",0,"E",1,"D",2,"D+",3,"C",4,"C+",5,"B",6,"B+",7,"A",8,"A+",9,"S",10)*0.1+_xlfn.SWITCH(D270,"F",0,"E",1,"D",2,"D+",3,"C",4,"C+",5,"B",6,"B+",7,"A",8,"A+",9,"S",10)*0.4+_xlfn.SWITCH(E270,"F",0,"E",1,"D",2,"D+",3,"C",4,"C+",5,"B",6,"B+",7,"A",8,"A+",9,"S",10)*0.3+_xlfn.SWITCH(F270,"F",0,"E",1,"D",2,"D+",3,"C",4,"C+",5,"B",6,"B+",7,"A",8,"A+",9,"S",10)*0.2,"")</f>
        <v/>
      </c>
      <c r="I270" s="473"/>
    </row>
    <row r="271" spans="1:9">
      <c r="A271" s="445" t="s">
        <v>1435</v>
      </c>
      <c r="B271" s="474" t="s">
        <v>1933</v>
      </c>
      <c r="C271" s="445" t="s">
        <v>1562</v>
      </c>
      <c r="D271" s="445" t="s">
        <v>18</v>
      </c>
      <c r="E271" s="445" t="s">
        <v>18</v>
      </c>
      <c r="F271" s="445" t="s">
        <v>1562</v>
      </c>
      <c r="G271" s="445" t="str">
        <f>IF(AND(ISNUMBER(MATCH(D271,{"F","E","D","D+","C","C+","B","B+","A","A+","S"},0)),ISNUMBER(MATCH(E271,{"F","E","D","D+","C","C+","B","B+","A","A+","S"},0)),ISNUMBER(MATCH(F271,{"F","E","D","D+","C","C+","B","B+","A","A+","S"},0))),LOOKUP(AVERAGE(_xlfn.SWITCH(D271,"F",0,"E",10,"D",20,"D+",30,"C",40,"C+",50,"B",60,"B+",70,"A",80,"A+",90,"S",100),_xlfn.SWITCH(E271,"F",0,"E",10,"D",20,"D+",30,"C",40,"C+",50,"B",60,"B+",70,"A",80,"A+",90,"S",100),_xlfn.SWITCH(F271,"F",0,"E",10,"D",20,"D+",30,"C",40,"C+",50,"B",60,"B+",70,"A",80,"A+",90,"S",100)),{0,15,25,35,45,55,65,75,85,95},{"D","D","D+","C","C+","B","B+","A","A+","S"}),"?")</f>
        <v>B</v>
      </c>
      <c r="H271" s="447">
        <f>IF(AND(ISNUMBER(MATCH(C271,{"F","E","D","D+","C","C+","B","B+","A","A+","S"},0)),ISNUMBER(MATCH(D271,{"F","E","D","D+","C","C+","B","B+","A","A+","S"},0)),ISNUMBER(MATCH(E271,{"F","E","D","D+","C","C+","B","B+","A","A+","S"},0)),ISNUMBER(MATCH(F271,{"F","E","D","D+","C","C+","B","B+","A","A+","S"},0))),_xlfn.SWITCH(C271,"F",0,"E",1,"D",2,"D+",3,"C",4,"C+",5,"B",6,"B+",7,"A",8,"A+",9,"S",10)*0.1+_xlfn.SWITCH(D271,"F",0,"E",1,"D",2,"D+",3,"C",4,"C+",5,"B",6,"B+",7,"A",8,"A+",9,"S",10)*0.4+_xlfn.SWITCH(E271,"F",0,"E",1,"D",2,"D+",3,"C",4,"C+",5,"B",6,"B+",7,"A",8,"A+",9,"S",10)*0.3+_xlfn.SWITCH(F271,"F",0,"E",1,"D",2,"D+",3,"C",4,"C+",5,"B",6,"B+",7,"A",8,"A+",9,"S",10)*0.2,"")</f>
        <v>5.7</v>
      </c>
      <c r="I271" s="473"/>
    </row>
    <row r="272" spans="1:9">
      <c r="A272" s="445" t="s">
        <v>1437</v>
      </c>
      <c r="B272" s="474" t="s">
        <v>1438</v>
      </c>
      <c r="C272" s="445" t="s">
        <v>1574</v>
      </c>
      <c r="D272" s="445"/>
      <c r="E272" s="445"/>
      <c r="F272" s="445"/>
      <c r="G272" s="445" t="str">
        <f>IF(AND(ISNUMBER(MATCH(D272,{"F","E","D","D+","C","C+","B","B+","A","A+","S"},0)),ISNUMBER(MATCH(E272,{"F","E","D","D+","C","C+","B","B+","A","A+","S"},0)),ISNUMBER(MATCH(F272,{"F","E","D","D+","C","C+","B","B+","A","A+","S"},0))),LOOKUP(AVERAGE(_xlfn.SWITCH(D272,"F",0,"E",10,"D",20,"D+",30,"C",40,"C+",50,"B",60,"B+",70,"A",80,"A+",90,"S",100),_xlfn.SWITCH(E272,"F",0,"E",10,"D",20,"D+",30,"C",40,"C+",50,"B",60,"B+",70,"A",80,"A+",90,"S",100),_xlfn.SWITCH(F272,"F",0,"E",10,"D",20,"D+",30,"C",40,"C+",50,"B",60,"B+",70,"A",80,"A+",90,"S",100)),{0,15,25,35,45,55,65,75,85,95},{"D","D","D+","C","C+","B","B+","A","A+","S"}),"?")</f>
        <v>?</v>
      </c>
      <c r="H272" s="447" t="str">
        <f>IF(AND(ISNUMBER(MATCH(C272,{"F","E","D","D+","C","C+","B","B+","A","A+","S"},0)),ISNUMBER(MATCH(D272,{"F","E","D","D+","C","C+","B","B+","A","A+","S"},0)),ISNUMBER(MATCH(E272,{"F","E","D","D+","C","C+","B","B+","A","A+","S"},0)),ISNUMBER(MATCH(F272,{"F","E","D","D+","C","C+","B","B+","A","A+","S"},0))),_xlfn.SWITCH(C272,"F",0,"E",1,"D",2,"D+",3,"C",4,"C+",5,"B",6,"B+",7,"A",8,"A+",9,"S",10)*0.1+_xlfn.SWITCH(D272,"F",0,"E",1,"D",2,"D+",3,"C",4,"C+",5,"B",6,"B+",7,"A",8,"A+",9,"S",10)*0.4+_xlfn.SWITCH(E272,"F",0,"E",1,"D",2,"D+",3,"C",4,"C+",5,"B",6,"B+",7,"A",8,"A+",9,"S",10)*0.3+_xlfn.SWITCH(F272,"F",0,"E",1,"D",2,"D+",3,"C",4,"C+",5,"B",6,"B+",7,"A",8,"A+",9,"S",10)*0.2,"")</f>
        <v/>
      </c>
      <c r="I272" s="473"/>
    </row>
    <row r="273" spans="1:9">
      <c r="A273" s="445" t="s">
        <v>1206</v>
      </c>
      <c r="B273" s="478" t="s">
        <v>1207</v>
      </c>
      <c r="C273" s="445" t="s">
        <v>18</v>
      </c>
      <c r="D273" s="445" t="s">
        <v>1567</v>
      </c>
      <c r="E273" s="445" t="s">
        <v>21</v>
      </c>
      <c r="F273" s="445" t="s">
        <v>28</v>
      </c>
      <c r="G273" s="445" t="str">
        <f>IF(AND(ISNUMBER(MATCH(D273,{"F","E","D","D+","C","C+","B","B+","A","A+","S"},0)),ISNUMBER(MATCH(E273,{"F","E","D","D+","C","C+","B","B+","A","A+","S"},0)),ISNUMBER(MATCH(F273,{"F","E","D","D+","C","C+","B","B+","A","A+","S"},0))),LOOKUP(AVERAGE(_xlfn.SWITCH(D273,"F",0,"E",10,"D",20,"D+",30,"C",40,"C+",50,"B",60,"B+",70,"A",80,"A+",90,"S",100),_xlfn.SWITCH(E273,"F",0,"E",10,"D",20,"D+",30,"C",40,"C+",50,"B",60,"B+",70,"A",80,"A+",90,"S",100),_xlfn.SWITCH(F273,"F",0,"E",10,"D",20,"D+",30,"C",40,"C+",50,"B",60,"B+",70,"A",80,"A+",90,"S",100)),{0,15,25,35,45,55,65,75,85,95},{"D","D","D+","C","C+","B","B+","A","A+","S"}),"?")</f>
        <v>A</v>
      </c>
      <c r="H273" s="447">
        <f>IF(AND(ISNUMBER(MATCH(C273,{"F","E","D","D+","C","C+","B","B+","A","A+","S"},0)),ISNUMBER(MATCH(D273,{"F","E","D","D+","C","C+","B","B+","A","A+","S"},0)),ISNUMBER(MATCH(E273,{"F","E","D","D+","C","C+","B","B+","A","A+","S"},0)),ISNUMBER(MATCH(F273,{"F","E","D","D+","C","C+","B","B+","A","A+","S"},0))),_xlfn.SWITCH(C273,"F",0,"E",1,"D",2,"D+",3,"C",4,"C+",5,"B",6,"B+",7,"A",8,"A+",9,"S",10)*0.1+_xlfn.SWITCH(D273,"F",0,"E",1,"D",2,"D+",3,"C",4,"C+",5,"B",6,"B+",7,"A",8,"A+",9,"S",10)*0.4+_xlfn.SWITCH(E273,"F",0,"E",1,"D",2,"D+",3,"C",4,"C+",5,"B",6,"B+",7,"A",8,"A+",9,"S",10)*0.3+_xlfn.SWITCH(F273,"F",0,"E",1,"D",2,"D+",3,"C",4,"C+",5,"B",6,"B+",7,"A",8,"A+",9,"S",10)*0.2,"")</f>
        <v>7.6000000000000005</v>
      </c>
      <c r="I273" s="473" t="s">
        <v>5149</v>
      </c>
    </row>
    <row r="274" spans="1:9">
      <c r="A274" s="445" t="s">
        <v>1439</v>
      </c>
      <c r="B274" s="474" t="s">
        <v>1440</v>
      </c>
      <c r="C274" s="445" t="s">
        <v>1562</v>
      </c>
      <c r="D274" s="445" t="s">
        <v>18</v>
      </c>
      <c r="E274" s="445" t="s">
        <v>1562</v>
      </c>
      <c r="F274" s="445" t="s">
        <v>1562</v>
      </c>
      <c r="G274" s="445" t="str">
        <f>IF(AND(ISNUMBER(MATCH(D274,{"F","E","D","D+","C","C+","B","B+","A","A+","S"},0)),ISNUMBER(MATCH(E274,{"F","E","D","D+","C","C+","B","B+","A","A+","S"},0)),ISNUMBER(MATCH(F274,{"F","E","D","D+","C","C+","B","B+","A","A+","S"},0))),LOOKUP(AVERAGE(_xlfn.SWITCH(D274,"F",0,"E",10,"D",20,"D+",30,"C",40,"C+",50,"B",60,"B+",70,"A",80,"A+",90,"S",100),_xlfn.SWITCH(E274,"F",0,"E",10,"D",20,"D+",30,"C",40,"C+",50,"B",60,"B+",70,"A",80,"A+",90,"S",100),_xlfn.SWITCH(F274,"F",0,"E",10,"D",20,"D+",30,"C",40,"C+",50,"B",60,"B+",70,"A",80,"A+",90,"S",100)),{0,15,25,35,45,55,65,75,85,95},{"D","D","D+","C","C+","B","B+","A","A+","S"}),"?")</f>
        <v>C+</v>
      </c>
      <c r="H274" s="447">
        <f>IF(AND(ISNUMBER(MATCH(C274,{"F","E","D","D+","C","C+","B","B+","A","A+","S"},0)),ISNUMBER(MATCH(D274,{"F","E","D","D+","C","C+","B","B+","A","A+","S"},0)),ISNUMBER(MATCH(E274,{"F","E","D","D+","C","C+","B","B+","A","A+","S"},0)),ISNUMBER(MATCH(F274,{"F","E","D","D+","C","C+","B","B+","A","A+","S"},0))),_xlfn.SWITCH(C274,"F",0,"E",1,"D",2,"D+",3,"C",4,"C+",5,"B",6,"B+",7,"A",8,"A+",9,"S",10)*0.1+_xlfn.SWITCH(D274,"F",0,"E",1,"D",2,"D+",3,"C",4,"C+",5,"B",6,"B+",7,"A",8,"A+",9,"S",10)*0.4+_xlfn.SWITCH(E274,"F",0,"E",1,"D",2,"D+",3,"C",4,"C+",5,"B",6,"B+",7,"A",8,"A+",9,"S",10)*0.3+_xlfn.SWITCH(F274,"F",0,"E",1,"D",2,"D+",3,"C",4,"C+",5,"B",6,"B+",7,"A",8,"A+",9,"S",10)*0.2,"")</f>
        <v>5.4</v>
      </c>
      <c r="I274" s="473" t="s">
        <v>5150</v>
      </c>
    </row>
    <row r="275" spans="1:9" ht="34">
      <c r="A275" s="445" t="s">
        <v>1228</v>
      </c>
      <c r="B275" s="482" t="s">
        <v>1229</v>
      </c>
      <c r="C275" s="445" t="s">
        <v>18</v>
      </c>
      <c r="D275" s="445" t="s">
        <v>18</v>
      </c>
      <c r="E275" s="445" t="s">
        <v>21</v>
      </c>
      <c r="F275" s="445" t="s">
        <v>1567</v>
      </c>
      <c r="G275" s="445" t="str">
        <f>IF(AND(ISNUMBER(MATCH(D275,{"F","E","D","D+","C","C+","B","B+","A","A+","S"},0)),ISNUMBER(MATCH(E275,{"F","E","D","D+","C","C+","B","B+","A","A+","S"},0)),ISNUMBER(MATCH(F275,{"F","E","D","D+","C","C+","B","B+","A","A+","S"},0))),LOOKUP(AVERAGE(_xlfn.SWITCH(D275,"F",0,"E",10,"D",20,"D+",30,"C",40,"C+",50,"B",60,"B+",70,"A",80,"A+",90,"S",100),_xlfn.SWITCH(E275,"F",0,"E",10,"D",20,"D+",30,"C",40,"C+",50,"B",60,"B+",70,"A",80,"A+",90,"S",100),_xlfn.SWITCH(F275,"F",0,"E",10,"D",20,"D+",30,"C",40,"C+",50,"B",60,"B+",70,"A",80,"A+",90,"S",100)),{0,15,25,35,45,55,65,75,85,95},{"D","D","D+","C","C+","B","B+","A","A+","S"}),"?")</f>
        <v>B+</v>
      </c>
      <c r="H275" s="447">
        <f>IF(AND(ISNUMBER(MATCH(C275,{"F","E","D","D+","C","C+","B","B+","A","A+","S"},0)),ISNUMBER(MATCH(D275,{"F","E","D","D+","C","C+","B","B+","A","A+","S"},0)),ISNUMBER(MATCH(E275,{"F","E","D","D+","C","C+","B","B+","A","A+","S"},0)),ISNUMBER(MATCH(F275,{"F","E","D","D+","C","C+","B","B+","A","A+","S"},0))),_xlfn.SWITCH(C275,"F",0,"E",1,"D",2,"D+",3,"C",4,"C+",5,"B",6,"B+",7,"A",8,"A+",9,"S",10)*0.1+_xlfn.SWITCH(D275,"F",0,"E",1,"D",2,"D+",3,"C",4,"C+",5,"B",6,"B+",7,"A",8,"A+",9,"S",10)*0.4+_xlfn.SWITCH(E275,"F",0,"E",1,"D",2,"D+",3,"C",4,"C+",5,"B",6,"B+",7,"A",8,"A+",9,"S",10)*0.3+_xlfn.SWITCH(F275,"F",0,"E",1,"D",2,"D+",3,"C",4,"C+",5,"B",6,"B+",7,"A",8,"A+",9,"S",10)*0.2,"")</f>
        <v>6.8000000000000007</v>
      </c>
      <c r="I275" s="475" t="s">
        <v>5151</v>
      </c>
    </row>
    <row r="276" spans="1:9" ht="34">
      <c r="A276" s="445" t="s">
        <v>1441</v>
      </c>
      <c r="B276" s="474" t="s">
        <v>1442</v>
      </c>
      <c r="C276" s="445" t="s">
        <v>18</v>
      </c>
      <c r="D276" s="445" t="s">
        <v>18</v>
      </c>
      <c r="E276" s="445" t="s">
        <v>1567</v>
      </c>
      <c r="F276" s="445" t="s">
        <v>18</v>
      </c>
      <c r="G276" s="445" t="str">
        <f>IF(AND(ISNUMBER(MATCH(D276,{"F","E","D","D+","C","C+","B","B+","A","A+","S"},0)),ISNUMBER(MATCH(E276,{"F","E","D","D+","C","C+","B","B+","A","A+","S"},0)),ISNUMBER(MATCH(F276,{"F","E","D","D+","C","C+","B","B+","A","A+","S"},0))),LOOKUP(AVERAGE(_xlfn.SWITCH(D276,"F",0,"E",10,"D",20,"D+",30,"C",40,"C+",50,"B",60,"B+",70,"A",80,"A+",90,"S",100),_xlfn.SWITCH(E276,"F",0,"E",10,"D",20,"D+",30,"C",40,"C+",50,"B",60,"B+",70,"A",80,"A+",90,"S",100),_xlfn.SWITCH(F276,"F",0,"E",10,"D",20,"D+",30,"C",40,"C+",50,"B",60,"B+",70,"A",80,"A+",90,"S",100)),{0,15,25,35,45,55,65,75,85,95},{"D","D","D+","C","C+","B","B+","A","A+","S"}),"?")</f>
        <v>B</v>
      </c>
      <c r="H276" s="447">
        <f>IF(AND(ISNUMBER(MATCH(C276,{"F","E","D","D+","C","C+","B","B+","A","A+","S"},0)),ISNUMBER(MATCH(D276,{"F","E","D","D+","C","C+","B","B+","A","A+","S"},0)),ISNUMBER(MATCH(E276,{"F","E","D","D+","C","C+","B","B+","A","A+","S"},0)),ISNUMBER(MATCH(F276,{"F","E","D","D+","C","C+","B","B+","A","A+","S"},0))),_xlfn.SWITCH(C276,"F",0,"E",1,"D",2,"D+",3,"C",4,"C+",5,"B",6,"B+",7,"A",8,"A+",9,"S",10)*0.1+_xlfn.SWITCH(D276,"F",0,"E",1,"D",2,"D+",3,"C",4,"C+",5,"B",6,"B+",7,"A",8,"A+",9,"S",10)*0.4+_xlfn.SWITCH(E276,"F",0,"E",1,"D",2,"D+",3,"C",4,"C+",5,"B",6,"B+",7,"A",8,"A+",9,"S",10)*0.3+_xlfn.SWITCH(F276,"F",0,"E",1,"D",2,"D+",3,"C",4,"C+",5,"B",6,"B+",7,"A",8,"A+",9,"S",10)*0.2,"")</f>
        <v>6.3000000000000007</v>
      </c>
      <c r="I276" s="475" t="s">
        <v>5152</v>
      </c>
    </row>
    <row r="277" spans="1:9">
      <c r="A277" s="445" t="s">
        <v>1163</v>
      </c>
      <c r="B277" s="491" t="s">
        <v>1164</v>
      </c>
      <c r="C277" s="445" t="s">
        <v>28</v>
      </c>
      <c r="D277" s="445" t="s">
        <v>28</v>
      </c>
      <c r="E277" s="445" t="s">
        <v>17</v>
      </c>
      <c r="F277" s="445" t="s">
        <v>28</v>
      </c>
      <c r="G277" s="445" t="str">
        <f>IF(AND(ISNUMBER(MATCH(D277,{"F","E","D","D+","C","C+","B","B+","A","A+","S"},0)),ISNUMBER(MATCH(E277,{"F","E","D","D+","C","C+","B","B+","A","A+","S"},0)),ISNUMBER(MATCH(F277,{"F","E","D","D+","C","C+","B","B+","A","A+","S"},0))),LOOKUP(AVERAGE(_xlfn.SWITCH(D277,"F",0,"E",10,"D",20,"D+",30,"C",40,"C+",50,"B",60,"B+",70,"A",80,"A+",90,"S",100),_xlfn.SWITCH(E277,"F",0,"E",10,"D",20,"D+",30,"C",40,"C+",50,"B",60,"B+",70,"A",80,"A+",90,"S",100),_xlfn.SWITCH(F277,"F",0,"E",10,"D",20,"D+",30,"C",40,"C+",50,"B",60,"B+",70,"A",80,"A+",90,"S",100)),{0,15,25,35,45,55,65,75,85,95},{"D","D","D+","C","C+","B","B+","A","A+","S"}),"?")</f>
        <v>A+</v>
      </c>
      <c r="H277" s="447">
        <f>IF(AND(ISNUMBER(MATCH(C277,{"F","E","D","D+","C","C+","B","B+","A","A+","S"},0)),ISNUMBER(MATCH(D277,{"F","E","D","D+","C","C+","B","B+","A","A+","S"},0)),ISNUMBER(MATCH(E277,{"F","E","D","D+","C","C+","B","B+","A","A+","S"},0)),ISNUMBER(MATCH(F277,{"F","E","D","D+","C","C+","B","B+","A","A+","S"},0))),_xlfn.SWITCH(C277,"F",0,"E",1,"D",2,"D+",3,"C",4,"C+",5,"B",6,"B+",7,"A",8,"A+",9,"S",10)*0.1+_xlfn.SWITCH(D277,"F",0,"E",1,"D",2,"D+",3,"C",4,"C+",5,"B",6,"B+",7,"A",8,"A+",9,"S",10)*0.4+_xlfn.SWITCH(E277,"F",0,"E",1,"D",2,"D+",3,"C",4,"C+",5,"B",6,"B+",7,"A",8,"A+",9,"S",10)*0.3+_xlfn.SWITCH(F277,"F",0,"E",1,"D",2,"D+",3,"C",4,"C+",5,"B",6,"B+",7,"A",8,"A+",9,"S",10)*0.2,"")</f>
        <v>9.3000000000000007</v>
      </c>
      <c r="I277" s="473" t="s">
        <v>5153</v>
      </c>
    </row>
    <row r="278" spans="1:9">
      <c r="A278" s="445" t="s">
        <v>1443</v>
      </c>
      <c r="B278" s="492" t="s">
        <v>1444</v>
      </c>
      <c r="C278" s="445" t="s">
        <v>1574</v>
      </c>
      <c r="D278" s="445"/>
      <c r="E278" s="445"/>
      <c r="F278" s="445"/>
      <c r="G278" s="445" t="str">
        <f>IF(AND(ISNUMBER(MATCH(D278,{"F","E","D","D+","C","C+","B","B+","A","A+","S"},0)),ISNUMBER(MATCH(E278,{"F","E","D","D+","C","C+","B","B+","A","A+","S"},0)),ISNUMBER(MATCH(F278,{"F","E","D","D+","C","C+","B","B+","A","A+","S"},0))),LOOKUP(AVERAGE(_xlfn.SWITCH(D278,"F",0,"E",10,"D",20,"D+",30,"C",40,"C+",50,"B",60,"B+",70,"A",80,"A+",90,"S",100),_xlfn.SWITCH(E278,"F",0,"E",10,"D",20,"D+",30,"C",40,"C+",50,"B",60,"B+",70,"A",80,"A+",90,"S",100),_xlfn.SWITCH(F278,"F",0,"E",10,"D",20,"D+",30,"C",40,"C+",50,"B",60,"B+",70,"A",80,"A+",90,"S",100)),{0,15,25,35,45,55,65,75,85,95},{"D","D","D+","C","C+","B","B+","A","A+","S"}),"?")</f>
        <v>?</v>
      </c>
      <c r="H278" s="447" t="str">
        <f>IF(AND(ISNUMBER(MATCH(C278,{"F","E","D","D+","C","C+","B","B+","A","A+","S"},0)),ISNUMBER(MATCH(D278,{"F","E","D","D+","C","C+","B","B+","A","A+","S"},0)),ISNUMBER(MATCH(E278,{"F","E","D","D+","C","C+","B","B+","A","A+","S"},0)),ISNUMBER(MATCH(F278,{"F","E","D","D+","C","C+","B","B+","A","A+","S"},0))),_xlfn.SWITCH(C278,"F",0,"E",1,"D",2,"D+",3,"C",4,"C+",5,"B",6,"B+",7,"A",8,"A+",9,"S",10)*0.1+_xlfn.SWITCH(D278,"F",0,"E",1,"D",2,"D+",3,"C",4,"C+",5,"B",6,"B+",7,"A",8,"A+",9,"S",10)*0.4+_xlfn.SWITCH(E278,"F",0,"E",1,"D",2,"D+",3,"C",4,"C+",5,"B",6,"B+",7,"A",8,"A+",9,"S",10)*0.3+_xlfn.SWITCH(F278,"F",0,"E",1,"D",2,"D+",3,"C",4,"C+",5,"B",6,"B+",7,"A",8,"A+",9,"S",10)*0.2,"")</f>
        <v/>
      </c>
      <c r="I278" s="473"/>
    </row>
  </sheetData>
  <mergeCells count="5">
    <mergeCell ref="A2:I2"/>
    <mergeCell ref="A229:I230"/>
    <mergeCell ref="A232:I233"/>
    <mergeCell ref="A1:I1"/>
    <mergeCell ref="A136:I136"/>
  </mergeCells>
  <phoneticPr fontId="89" type="noConversion"/>
  <dataValidations count="1">
    <dataValidation type="list" allowBlank="1" showInputMessage="1" showErrorMessage="1" sqref="C4:C18 G228 G135 D4:F135 C235:F278 C231:G231 C138:F228 C133:C135 C109:C131 C69:C107 C20:C67" xr:uid="{00000000-0002-0000-2200-000000000000}">
      <formula1>"S,A+,A,B+,B,C+,C,D+,D,?,"</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imi下半场sf锐评极速版"/>
  <dimension ref="A1:H47"/>
  <sheetViews>
    <sheetView workbookViewId="0"/>
  </sheetViews>
  <sheetFormatPr baseColWidth="10" defaultColWidth="13.7109375" defaultRowHeight="18" customHeight="1"/>
  <cols>
    <col min="8" max="8" width="20.42578125" customWidth="1"/>
  </cols>
  <sheetData>
    <row r="1" spans="1:8">
      <c r="A1" s="637" t="s">
        <v>1394</v>
      </c>
      <c r="B1" s="630"/>
      <c r="C1" s="630"/>
      <c r="D1" s="630"/>
      <c r="E1" s="630"/>
      <c r="F1" s="630"/>
      <c r="G1" s="630"/>
      <c r="H1" s="627"/>
    </row>
    <row r="2" spans="1:8">
      <c r="A2" s="630"/>
      <c r="B2" s="630"/>
      <c r="C2" s="630"/>
      <c r="D2" s="630"/>
      <c r="E2" s="630"/>
      <c r="F2" s="630"/>
      <c r="G2" s="630"/>
      <c r="H2" s="627"/>
    </row>
    <row r="3" spans="1:8">
      <c r="A3" s="489" t="s">
        <v>4</v>
      </c>
      <c r="B3" s="490" t="s">
        <v>5</v>
      </c>
      <c r="C3" s="571" t="s">
        <v>5154</v>
      </c>
      <c r="D3" s="571"/>
      <c r="E3" s="571"/>
      <c r="F3" s="571"/>
      <c r="G3" s="489" t="s">
        <v>10</v>
      </c>
      <c r="H3" s="489" t="s">
        <v>11</v>
      </c>
    </row>
    <row r="4" spans="1:8">
      <c r="A4" s="445" t="s">
        <v>1395</v>
      </c>
      <c r="B4" s="461" t="s">
        <v>1396</v>
      </c>
      <c r="C4" s="571"/>
      <c r="D4" s="571"/>
      <c r="E4" s="571"/>
      <c r="F4" s="571"/>
      <c r="G4" s="445" t="s">
        <v>18</v>
      </c>
      <c r="H4" s="473" t="s">
        <v>5155</v>
      </c>
    </row>
    <row r="5" spans="1:8">
      <c r="A5" s="445" t="s">
        <v>1221</v>
      </c>
      <c r="B5" s="493" t="s">
        <v>1222</v>
      </c>
      <c r="C5" s="571"/>
      <c r="D5" s="571"/>
      <c r="E5" s="571"/>
      <c r="F5" s="571"/>
      <c r="G5" s="445" t="s">
        <v>1567</v>
      </c>
      <c r="H5" s="473" t="s">
        <v>5156</v>
      </c>
    </row>
    <row r="6" spans="1:8">
      <c r="A6" s="445" t="s">
        <v>1235</v>
      </c>
      <c r="B6" s="493" t="s">
        <v>1236</v>
      </c>
      <c r="C6" s="571"/>
      <c r="D6" s="571"/>
      <c r="E6" s="571"/>
      <c r="F6" s="571"/>
      <c r="G6" s="445" t="s">
        <v>21</v>
      </c>
      <c r="H6" s="473" t="s">
        <v>5157</v>
      </c>
    </row>
    <row r="7" spans="1:8">
      <c r="A7" s="445" t="s">
        <v>1397</v>
      </c>
      <c r="B7" s="493" t="s">
        <v>1398</v>
      </c>
      <c r="C7" s="571"/>
      <c r="D7" s="571"/>
      <c r="E7" s="571"/>
      <c r="F7" s="571"/>
      <c r="G7" s="445" t="s">
        <v>1567</v>
      </c>
      <c r="H7" s="473" t="s">
        <v>5158</v>
      </c>
    </row>
    <row r="8" spans="1:8">
      <c r="A8" s="445" t="s">
        <v>1106</v>
      </c>
      <c r="B8" s="493" t="s">
        <v>1107</v>
      </c>
      <c r="C8" s="571"/>
      <c r="D8" s="571"/>
      <c r="E8" s="571"/>
      <c r="F8" s="571"/>
      <c r="G8" s="445" t="s">
        <v>1567</v>
      </c>
      <c r="H8" s="473" t="s">
        <v>5159</v>
      </c>
    </row>
    <row r="9" spans="1:8">
      <c r="A9" s="445" t="s">
        <v>1399</v>
      </c>
      <c r="B9" s="461" t="s">
        <v>1400</v>
      </c>
      <c r="C9" s="571"/>
      <c r="D9" s="571"/>
      <c r="E9" s="571"/>
      <c r="F9" s="571"/>
      <c r="G9" s="445" t="s">
        <v>18</v>
      </c>
      <c r="H9" s="473" t="s">
        <v>5160</v>
      </c>
    </row>
    <row r="10" spans="1:8">
      <c r="A10" s="445" t="s">
        <v>1135</v>
      </c>
      <c r="B10" s="461" t="s">
        <v>1136</v>
      </c>
      <c r="C10" s="571"/>
      <c r="D10" s="571"/>
      <c r="E10" s="571"/>
      <c r="F10" s="571"/>
      <c r="G10" s="445" t="s">
        <v>1567</v>
      </c>
      <c r="H10" s="473" t="s">
        <v>5161</v>
      </c>
    </row>
    <row r="11" spans="1:8">
      <c r="A11" s="445" t="s">
        <v>1401</v>
      </c>
      <c r="B11" s="461" t="s">
        <v>1402</v>
      </c>
      <c r="C11" s="571"/>
      <c r="D11" s="571"/>
      <c r="E11" s="571"/>
      <c r="F11" s="571"/>
      <c r="G11" s="445" t="s">
        <v>18</v>
      </c>
      <c r="H11" s="473" t="s">
        <v>5162</v>
      </c>
    </row>
    <row r="12" spans="1:8">
      <c r="A12" s="445" t="s">
        <v>1403</v>
      </c>
      <c r="B12" s="461" t="s">
        <v>1404</v>
      </c>
      <c r="C12" s="571"/>
      <c r="D12" s="571"/>
      <c r="E12" s="571"/>
      <c r="F12" s="571"/>
      <c r="G12" s="445" t="s">
        <v>1562</v>
      </c>
      <c r="H12" s="473" t="s">
        <v>5163</v>
      </c>
    </row>
    <row r="13" spans="1:8">
      <c r="A13" s="445" t="s">
        <v>1405</v>
      </c>
      <c r="B13" s="461" t="s">
        <v>1406</v>
      </c>
      <c r="C13" s="571"/>
      <c r="D13" s="571"/>
      <c r="E13" s="571"/>
      <c r="F13" s="571"/>
      <c r="G13" s="445" t="s">
        <v>18</v>
      </c>
      <c r="H13" s="473" t="s">
        <v>5164</v>
      </c>
    </row>
    <row r="14" spans="1:8">
      <c r="A14" s="445" t="s">
        <v>1407</v>
      </c>
      <c r="B14" s="461" t="s">
        <v>1408</v>
      </c>
      <c r="C14" s="571"/>
      <c r="D14" s="571"/>
      <c r="E14" s="571"/>
      <c r="F14" s="571"/>
      <c r="G14" s="445" t="s">
        <v>18</v>
      </c>
      <c r="H14" s="473" t="s">
        <v>5165</v>
      </c>
    </row>
    <row r="15" spans="1:8">
      <c r="A15" s="445" t="s">
        <v>1153</v>
      </c>
      <c r="B15" s="493" t="s">
        <v>1154</v>
      </c>
      <c r="C15" s="571"/>
      <c r="D15" s="571"/>
      <c r="E15" s="571"/>
      <c r="F15" s="571"/>
      <c r="G15" s="445" t="s">
        <v>1567</v>
      </c>
      <c r="H15" s="473" t="s">
        <v>5166</v>
      </c>
    </row>
    <row r="16" spans="1:8">
      <c r="A16" s="445" t="s">
        <v>1409</v>
      </c>
      <c r="B16" s="461">
        <v>7</v>
      </c>
      <c r="C16" s="571"/>
      <c r="D16" s="571"/>
      <c r="E16" s="571"/>
      <c r="F16" s="571"/>
      <c r="G16" s="445" t="s">
        <v>1567</v>
      </c>
      <c r="H16" s="473" t="s">
        <v>5167</v>
      </c>
    </row>
    <row r="17" spans="1:8">
      <c r="A17" s="445" t="s">
        <v>1186</v>
      </c>
      <c r="B17" s="493" t="s">
        <v>1187</v>
      </c>
      <c r="C17" s="571"/>
      <c r="D17" s="571"/>
      <c r="E17" s="571"/>
      <c r="F17" s="571"/>
      <c r="G17" s="445" t="s">
        <v>1567</v>
      </c>
      <c r="H17" s="473" t="s">
        <v>5168</v>
      </c>
    </row>
    <row r="18" spans="1:8">
      <c r="A18" s="445" t="s">
        <v>1044</v>
      </c>
      <c r="B18" s="461" t="s">
        <v>1410</v>
      </c>
      <c r="C18" s="571"/>
      <c r="D18" s="571"/>
      <c r="E18" s="571"/>
      <c r="F18" s="571"/>
      <c r="G18" s="445" t="s">
        <v>18</v>
      </c>
      <c r="H18" s="473" t="s">
        <v>5169</v>
      </c>
    </row>
    <row r="19" spans="1:8">
      <c r="A19" s="445" t="s">
        <v>1411</v>
      </c>
      <c r="B19" s="461" t="s">
        <v>1412</v>
      </c>
      <c r="C19" s="571"/>
      <c r="D19" s="571"/>
      <c r="E19" s="571"/>
      <c r="F19" s="571"/>
      <c r="G19" s="445" t="s">
        <v>18</v>
      </c>
      <c r="H19" s="473" t="s">
        <v>5170</v>
      </c>
    </row>
    <row r="20" spans="1:8">
      <c r="A20" s="445" t="s">
        <v>1173</v>
      </c>
      <c r="B20" s="493" t="s">
        <v>1174</v>
      </c>
      <c r="C20" s="571"/>
      <c r="D20" s="571"/>
      <c r="E20" s="571"/>
      <c r="F20" s="571"/>
      <c r="G20" s="445" t="s">
        <v>1567</v>
      </c>
      <c r="H20" s="473" t="s">
        <v>5171</v>
      </c>
    </row>
    <row r="21" spans="1:8">
      <c r="A21" s="445" t="s">
        <v>1413</v>
      </c>
      <c r="B21" s="461" t="s">
        <v>1414</v>
      </c>
      <c r="C21" s="571"/>
      <c r="D21" s="571"/>
      <c r="E21" s="571"/>
      <c r="F21" s="571"/>
      <c r="G21" s="445" t="s">
        <v>18</v>
      </c>
      <c r="H21" s="473" t="s">
        <v>5172</v>
      </c>
    </row>
    <row r="22" spans="1:8">
      <c r="A22" s="445" t="s">
        <v>1415</v>
      </c>
      <c r="B22" s="461" t="s">
        <v>1416</v>
      </c>
      <c r="C22" s="571"/>
      <c r="D22" s="571"/>
      <c r="E22" s="571"/>
      <c r="F22" s="571"/>
      <c r="G22" s="445" t="s">
        <v>18</v>
      </c>
      <c r="H22" s="473" t="s">
        <v>5173</v>
      </c>
    </row>
    <row r="23" spans="1:8">
      <c r="A23" s="445" t="s">
        <v>1068</v>
      </c>
      <c r="B23" s="493" t="s">
        <v>726</v>
      </c>
      <c r="C23" s="571"/>
      <c r="D23" s="571"/>
      <c r="E23" s="571"/>
      <c r="F23" s="571"/>
      <c r="G23" s="445" t="s">
        <v>28</v>
      </c>
      <c r="H23" s="473" t="s">
        <v>5174</v>
      </c>
    </row>
    <row r="24" spans="1:8">
      <c r="A24" s="445" t="s">
        <v>1417</v>
      </c>
      <c r="B24" s="461" t="s">
        <v>1418</v>
      </c>
      <c r="C24" s="571"/>
      <c r="D24" s="571"/>
      <c r="E24" s="571"/>
      <c r="F24" s="571"/>
      <c r="G24" s="445" t="s">
        <v>1562</v>
      </c>
      <c r="H24" s="473" t="s">
        <v>5175</v>
      </c>
    </row>
    <row r="25" spans="1:8">
      <c r="A25" s="445" t="s">
        <v>1419</v>
      </c>
      <c r="B25" s="461" t="s">
        <v>1420</v>
      </c>
      <c r="C25" s="571"/>
      <c r="D25" s="571"/>
      <c r="E25" s="571"/>
      <c r="F25" s="571"/>
      <c r="G25" s="445" t="s">
        <v>18</v>
      </c>
      <c r="H25" s="473" t="s">
        <v>5176</v>
      </c>
    </row>
    <row r="26" spans="1:8">
      <c r="A26" s="445" t="s">
        <v>1421</v>
      </c>
      <c r="B26" s="461" t="s">
        <v>1422</v>
      </c>
      <c r="C26" s="571"/>
      <c r="D26" s="571"/>
      <c r="E26" s="571"/>
      <c r="F26" s="571"/>
      <c r="G26" s="445" t="s">
        <v>1562</v>
      </c>
      <c r="H26" s="473" t="s">
        <v>5177</v>
      </c>
    </row>
    <row r="27" spans="1:8">
      <c r="A27" s="445" t="s">
        <v>1051</v>
      </c>
      <c r="B27" s="494" t="s">
        <v>1052</v>
      </c>
      <c r="C27" s="571"/>
      <c r="D27" s="571"/>
      <c r="E27" s="571"/>
      <c r="F27" s="571"/>
      <c r="G27" s="445" t="s">
        <v>28</v>
      </c>
      <c r="H27" s="473" t="s">
        <v>5178</v>
      </c>
    </row>
    <row r="28" spans="1:8">
      <c r="A28" s="445" t="s">
        <v>1062</v>
      </c>
      <c r="B28" s="461" t="s">
        <v>1063</v>
      </c>
      <c r="C28" s="571"/>
      <c r="D28" s="571"/>
      <c r="E28" s="571"/>
      <c r="F28" s="571"/>
      <c r="G28" s="445" t="s">
        <v>18</v>
      </c>
      <c r="H28" s="473" t="s">
        <v>5179</v>
      </c>
    </row>
    <row r="29" spans="1:8">
      <c r="A29" s="445" t="s">
        <v>1423</v>
      </c>
      <c r="B29" s="461" t="s">
        <v>1424</v>
      </c>
      <c r="C29" s="571"/>
      <c r="D29" s="571"/>
      <c r="E29" s="571"/>
      <c r="F29" s="571"/>
      <c r="G29" s="445" t="s">
        <v>18</v>
      </c>
      <c r="H29" s="473" t="s">
        <v>5180</v>
      </c>
    </row>
    <row r="30" spans="1:8">
      <c r="A30" s="445" t="s">
        <v>1425</v>
      </c>
      <c r="B30" s="461" t="s">
        <v>1426</v>
      </c>
      <c r="C30" s="571"/>
      <c r="D30" s="571"/>
      <c r="E30" s="571"/>
      <c r="F30" s="571"/>
      <c r="G30" s="445" t="s">
        <v>18</v>
      </c>
      <c r="H30" s="473" t="s">
        <v>5181</v>
      </c>
    </row>
    <row r="31" spans="1:8">
      <c r="A31" s="445" t="s">
        <v>1195</v>
      </c>
      <c r="B31" s="493" t="s">
        <v>1196</v>
      </c>
      <c r="C31" s="571"/>
      <c r="D31" s="571"/>
      <c r="E31" s="571"/>
      <c r="F31" s="571"/>
      <c r="G31" s="445" t="s">
        <v>1567</v>
      </c>
      <c r="H31" s="473" t="s">
        <v>5182</v>
      </c>
    </row>
    <row r="32" spans="1:8">
      <c r="A32" s="445" t="s">
        <v>1427</v>
      </c>
      <c r="B32" s="493" t="s">
        <v>1428</v>
      </c>
      <c r="C32" s="571"/>
      <c r="D32" s="571"/>
      <c r="E32" s="571"/>
      <c r="F32" s="571"/>
      <c r="G32" s="445" t="s">
        <v>1567</v>
      </c>
      <c r="H32" s="473" t="s">
        <v>5183</v>
      </c>
    </row>
    <row r="33" spans="1:8">
      <c r="A33" s="445" t="s">
        <v>1073</v>
      </c>
      <c r="B33" s="493" t="s">
        <v>1074</v>
      </c>
      <c r="C33" s="571"/>
      <c r="D33" s="571"/>
      <c r="E33" s="571"/>
      <c r="F33" s="571"/>
      <c r="G33" s="445" t="s">
        <v>21</v>
      </c>
      <c r="H33" s="473" t="s">
        <v>5184</v>
      </c>
    </row>
    <row r="34" spans="1:8">
      <c r="A34" s="445" t="s">
        <v>1429</v>
      </c>
      <c r="B34" s="461" t="s">
        <v>1430</v>
      </c>
      <c r="C34" s="571"/>
      <c r="D34" s="571"/>
      <c r="E34" s="571"/>
      <c r="F34" s="571"/>
      <c r="G34" s="445" t="s">
        <v>1567</v>
      </c>
      <c r="H34" s="473" t="s">
        <v>5185</v>
      </c>
    </row>
    <row r="35" spans="1:8">
      <c r="A35" s="445" t="s">
        <v>1190</v>
      </c>
      <c r="B35" s="461" t="s">
        <v>1191</v>
      </c>
      <c r="C35" s="571"/>
      <c r="D35" s="571"/>
      <c r="E35" s="571"/>
      <c r="F35" s="571"/>
      <c r="G35" s="445" t="s">
        <v>18</v>
      </c>
      <c r="H35" s="473" t="s">
        <v>5186</v>
      </c>
    </row>
    <row r="36" spans="1:8">
      <c r="A36" s="445" t="s">
        <v>1147</v>
      </c>
      <c r="B36" s="494" t="s">
        <v>1148</v>
      </c>
      <c r="C36" s="571"/>
      <c r="D36" s="571"/>
      <c r="E36" s="571"/>
      <c r="F36" s="571"/>
      <c r="G36" s="445" t="s">
        <v>17</v>
      </c>
      <c r="H36" s="473" t="s">
        <v>3070</v>
      </c>
    </row>
    <row r="37" spans="1:8">
      <c r="A37" s="445" t="s">
        <v>1121</v>
      </c>
      <c r="B37" s="461" t="s">
        <v>1122</v>
      </c>
      <c r="C37" s="571"/>
      <c r="D37" s="571"/>
      <c r="E37" s="571"/>
      <c r="F37" s="571"/>
      <c r="G37" s="445" t="s">
        <v>1567</v>
      </c>
      <c r="H37" s="473" t="s">
        <v>5187</v>
      </c>
    </row>
    <row r="38" spans="1:8">
      <c r="A38" s="445" t="s">
        <v>1431</v>
      </c>
      <c r="B38" s="461" t="s">
        <v>1432</v>
      </c>
      <c r="C38" s="571"/>
      <c r="D38" s="571"/>
      <c r="E38" s="571"/>
      <c r="F38" s="571"/>
      <c r="G38" s="445" t="s">
        <v>1562</v>
      </c>
      <c r="H38" s="473" t="s">
        <v>5188</v>
      </c>
    </row>
    <row r="39" spans="1:8">
      <c r="A39" s="445" t="s">
        <v>1433</v>
      </c>
      <c r="B39" s="461" t="s">
        <v>1434</v>
      </c>
      <c r="C39" s="571"/>
      <c r="D39" s="571"/>
      <c r="E39" s="571"/>
      <c r="F39" s="571"/>
      <c r="G39" s="445" t="s">
        <v>1562</v>
      </c>
      <c r="H39" s="473" t="s">
        <v>5189</v>
      </c>
    </row>
    <row r="40" spans="1:8">
      <c r="A40" s="445" t="s">
        <v>1435</v>
      </c>
      <c r="B40" s="461" t="s">
        <v>1436</v>
      </c>
      <c r="C40" s="571"/>
      <c r="D40" s="571"/>
      <c r="E40" s="571"/>
      <c r="F40" s="571"/>
      <c r="G40" s="445" t="s">
        <v>18</v>
      </c>
      <c r="H40" s="473" t="s">
        <v>5190</v>
      </c>
    </row>
    <row r="41" spans="1:8">
      <c r="A41" s="445" t="s">
        <v>1437</v>
      </c>
      <c r="B41" s="461" t="s">
        <v>1438</v>
      </c>
      <c r="C41" s="571"/>
      <c r="D41" s="571"/>
      <c r="E41" s="571"/>
      <c r="F41" s="571"/>
      <c r="G41" s="445" t="s">
        <v>18</v>
      </c>
      <c r="H41" s="473" t="s">
        <v>5191</v>
      </c>
    </row>
    <row r="42" spans="1:8">
      <c r="A42" s="445" t="s">
        <v>1206</v>
      </c>
      <c r="B42" s="493" t="s">
        <v>1207</v>
      </c>
      <c r="C42" s="571"/>
      <c r="D42" s="571"/>
      <c r="E42" s="571"/>
      <c r="F42" s="571"/>
      <c r="G42" s="445" t="s">
        <v>1567</v>
      </c>
      <c r="H42" s="473" t="s">
        <v>5192</v>
      </c>
    </row>
    <row r="43" spans="1:8" ht="22.5" customHeight="1">
      <c r="A43" s="445" t="s">
        <v>1439</v>
      </c>
      <c r="B43" s="461" t="s">
        <v>1440</v>
      </c>
      <c r="C43" s="571"/>
      <c r="D43" s="571"/>
      <c r="E43" s="571"/>
      <c r="F43" s="571"/>
      <c r="G43" s="445" t="s">
        <v>18</v>
      </c>
      <c r="H43" s="473" t="s">
        <v>5193</v>
      </c>
    </row>
    <row r="44" spans="1:8">
      <c r="A44" s="445" t="s">
        <v>1228</v>
      </c>
      <c r="B44" s="495" t="s">
        <v>1229</v>
      </c>
      <c r="C44" s="571"/>
      <c r="D44" s="571"/>
      <c r="E44" s="571"/>
      <c r="F44" s="571"/>
      <c r="G44" s="445" t="s">
        <v>1567</v>
      </c>
      <c r="H44" s="473" t="s">
        <v>5194</v>
      </c>
    </row>
    <row r="45" spans="1:8">
      <c r="A45" s="445" t="s">
        <v>1441</v>
      </c>
      <c r="B45" s="461" t="s">
        <v>1442</v>
      </c>
      <c r="C45" s="571"/>
      <c r="D45" s="571"/>
      <c r="E45" s="571"/>
      <c r="F45" s="571"/>
      <c r="G45" s="445" t="s">
        <v>18</v>
      </c>
      <c r="H45" s="473" t="s">
        <v>5195</v>
      </c>
    </row>
    <row r="46" spans="1:8">
      <c r="A46" s="445" t="s">
        <v>1163</v>
      </c>
      <c r="B46" s="496" t="s">
        <v>1164</v>
      </c>
      <c r="C46" s="571"/>
      <c r="D46" s="571"/>
      <c r="E46" s="571"/>
      <c r="F46" s="571"/>
      <c r="G46" s="445" t="s">
        <v>28</v>
      </c>
      <c r="H46" s="473" t="s">
        <v>5196</v>
      </c>
    </row>
    <row r="47" spans="1:8">
      <c r="A47" s="445" t="s">
        <v>1443</v>
      </c>
      <c r="B47" s="497" t="s">
        <v>1444</v>
      </c>
      <c r="C47" s="571"/>
      <c r="D47" s="571"/>
      <c r="E47" s="571"/>
      <c r="F47" s="571"/>
      <c r="G47" s="445" t="s">
        <v>1567</v>
      </c>
      <c r="H47" s="473" t="s">
        <v>5197</v>
      </c>
    </row>
  </sheetData>
  <mergeCells count="2">
    <mergeCell ref="A1:H2"/>
    <mergeCell ref="C3:F47"/>
  </mergeCells>
  <phoneticPr fontId="89" type="noConversion"/>
  <dataValidations count="1">
    <dataValidation type="list" allowBlank="1" showInputMessage="1" showErrorMessage="1" sqref="G4:G47" xr:uid="{00000000-0002-0000-2300-000000000000}">
      <formula1>"S,A+,A,B+,B,C+,C,D+,D,?,"</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备份P SF乱评"/>
  <dimension ref="A1:I47"/>
  <sheetViews>
    <sheetView workbookViewId="0"/>
  </sheetViews>
  <sheetFormatPr baseColWidth="10" defaultColWidth="13.7109375" defaultRowHeight="18" customHeight="1"/>
  <cols>
    <col min="2" max="2" width="32.28515625" customWidth="1"/>
    <col min="8" max="8" width="49.42578125" customWidth="1"/>
  </cols>
  <sheetData>
    <row r="1" spans="1:9">
      <c r="A1" s="549" t="s">
        <v>1394</v>
      </c>
      <c r="B1" s="557"/>
      <c r="C1" s="557"/>
      <c r="D1" s="557"/>
      <c r="E1" s="557"/>
      <c r="F1" s="557"/>
      <c r="G1" s="557"/>
      <c r="H1" s="571"/>
      <c r="I1" s="571"/>
    </row>
    <row r="2" spans="1:9">
      <c r="A2" s="557"/>
      <c r="B2" s="557"/>
      <c r="C2" s="557"/>
      <c r="D2" s="557"/>
      <c r="E2" s="557"/>
      <c r="F2" s="557"/>
      <c r="G2" s="557"/>
      <c r="H2" s="571"/>
      <c r="I2" s="571"/>
    </row>
    <row r="3" spans="1:9">
      <c r="A3" s="24" t="s">
        <v>4</v>
      </c>
      <c r="B3" s="94" t="s">
        <v>5</v>
      </c>
      <c r="C3" s="11" t="s">
        <v>6</v>
      </c>
      <c r="D3" s="11" t="s">
        <v>7</v>
      </c>
      <c r="E3" s="11" t="s">
        <v>8</v>
      </c>
      <c r="F3" s="11" t="s">
        <v>9</v>
      </c>
      <c r="G3" s="11" t="s">
        <v>10</v>
      </c>
      <c r="H3" s="11" t="s">
        <v>11</v>
      </c>
      <c r="I3" s="11" t="s">
        <v>12</v>
      </c>
    </row>
    <row r="4" spans="1:9" ht="42" customHeight="1">
      <c r="A4" s="24" t="s">
        <v>1395</v>
      </c>
      <c r="B4" s="25" t="s">
        <v>1396</v>
      </c>
      <c r="C4" s="19" t="s">
        <v>1567</v>
      </c>
      <c r="D4" s="19" t="s">
        <v>1567</v>
      </c>
      <c r="E4" s="19" t="s">
        <v>18</v>
      </c>
      <c r="F4" s="19" t="s">
        <v>18</v>
      </c>
      <c r="G4" s="19" t="s">
        <v>18</v>
      </c>
      <c r="H4" s="311" t="s">
        <v>5198</v>
      </c>
    </row>
    <row r="5" spans="1:9" ht="27" customHeight="1">
      <c r="A5" s="24" t="s">
        <v>1221</v>
      </c>
      <c r="B5" s="25" t="s">
        <v>1222</v>
      </c>
      <c r="C5" s="19" t="s">
        <v>21</v>
      </c>
      <c r="D5" s="19" t="s">
        <v>21</v>
      </c>
      <c r="E5" s="19" t="s">
        <v>21</v>
      </c>
      <c r="F5" s="19" t="s">
        <v>28</v>
      </c>
      <c r="G5" s="19" t="s">
        <v>21</v>
      </c>
      <c r="H5" s="311" t="s">
        <v>5199</v>
      </c>
    </row>
    <row r="6" spans="1:9">
      <c r="A6" s="24" t="s">
        <v>1235</v>
      </c>
      <c r="B6" s="25" t="s">
        <v>1236</v>
      </c>
      <c r="C6" s="19" t="s">
        <v>1567</v>
      </c>
      <c r="D6" s="19" t="s">
        <v>18</v>
      </c>
      <c r="E6" s="19" t="s">
        <v>18</v>
      </c>
      <c r="F6" s="19" t="s">
        <v>21</v>
      </c>
      <c r="G6" s="19" t="s">
        <v>1567</v>
      </c>
      <c r="H6" t="s">
        <v>5200</v>
      </c>
    </row>
    <row r="7" spans="1:9" ht="30" customHeight="1">
      <c r="A7" s="24" t="s">
        <v>1397</v>
      </c>
      <c r="B7" s="25" t="s">
        <v>1398</v>
      </c>
      <c r="C7" s="19" t="s">
        <v>21</v>
      </c>
      <c r="D7" s="19" t="s">
        <v>1567</v>
      </c>
      <c r="E7" s="19" t="s">
        <v>28</v>
      </c>
      <c r="F7" s="19" t="s">
        <v>21</v>
      </c>
      <c r="G7" s="19" t="s">
        <v>21</v>
      </c>
      <c r="H7" s="311" t="s">
        <v>5201</v>
      </c>
    </row>
    <row r="8" spans="1:9" ht="30" customHeight="1">
      <c r="A8" s="24" t="s">
        <v>1106</v>
      </c>
      <c r="B8" s="25" t="s">
        <v>1107</v>
      </c>
      <c r="C8" s="19" t="s">
        <v>28</v>
      </c>
      <c r="D8" s="19" t="s">
        <v>17</v>
      </c>
      <c r="E8" s="19" t="s">
        <v>17</v>
      </c>
      <c r="F8" s="19" t="s">
        <v>17</v>
      </c>
      <c r="G8" s="19" t="s">
        <v>28</v>
      </c>
      <c r="H8" s="311" t="s">
        <v>5202</v>
      </c>
    </row>
    <row r="9" spans="1:9">
      <c r="A9" s="24" t="s">
        <v>1399</v>
      </c>
      <c r="B9" s="25" t="s">
        <v>1400</v>
      </c>
      <c r="C9" s="19" t="s">
        <v>21</v>
      </c>
      <c r="D9" s="19" t="s">
        <v>1567</v>
      </c>
      <c r="E9" s="19" t="s">
        <v>1567</v>
      </c>
      <c r="F9" s="19" t="s">
        <v>28</v>
      </c>
      <c r="G9" s="19" t="s">
        <v>21</v>
      </c>
      <c r="H9" t="s">
        <v>5203</v>
      </c>
    </row>
    <row r="10" spans="1:9">
      <c r="A10" s="24" t="s">
        <v>1135</v>
      </c>
      <c r="B10" s="25" t="s">
        <v>1136</v>
      </c>
      <c r="C10" s="19" t="s">
        <v>28</v>
      </c>
      <c r="D10" s="19" t="s">
        <v>28</v>
      </c>
      <c r="E10" s="19" t="s">
        <v>17</v>
      </c>
      <c r="F10" s="19" t="s">
        <v>28</v>
      </c>
      <c r="G10" s="19" t="s">
        <v>28</v>
      </c>
      <c r="H10" t="s">
        <v>5204</v>
      </c>
    </row>
    <row r="11" spans="1:9">
      <c r="A11" s="24" t="s">
        <v>1401</v>
      </c>
      <c r="B11" s="25" t="s">
        <v>1402</v>
      </c>
      <c r="C11" s="19" t="s">
        <v>1567</v>
      </c>
      <c r="D11" s="19" t="s">
        <v>1567</v>
      </c>
      <c r="E11" s="19" t="s">
        <v>18</v>
      </c>
      <c r="F11" s="19" t="s">
        <v>1567</v>
      </c>
      <c r="G11" s="19" t="s">
        <v>1567</v>
      </c>
      <c r="H11" t="s">
        <v>5205</v>
      </c>
    </row>
    <row r="12" spans="1:9">
      <c r="A12" s="24" t="s">
        <v>1403</v>
      </c>
      <c r="B12" s="25" t="s">
        <v>1404</v>
      </c>
      <c r="C12" s="19" t="s">
        <v>1567</v>
      </c>
      <c r="D12" s="19" t="s">
        <v>18</v>
      </c>
      <c r="E12" s="19" t="s">
        <v>18</v>
      </c>
      <c r="F12" s="19" t="s">
        <v>1567</v>
      </c>
      <c r="G12" s="19" t="s">
        <v>18</v>
      </c>
      <c r="H12" t="s">
        <v>5206</v>
      </c>
    </row>
    <row r="13" spans="1:9">
      <c r="A13" s="24" t="s">
        <v>1405</v>
      </c>
      <c r="B13" s="25" t="s">
        <v>1406</v>
      </c>
      <c r="C13" s="19" t="s">
        <v>28</v>
      </c>
      <c r="D13" s="19" t="s">
        <v>21</v>
      </c>
      <c r="E13" s="19" t="s">
        <v>21</v>
      </c>
      <c r="F13" s="19" t="s">
        <v>28</v>
      </c>
      <c r="G13" s="19" t="s">
        <v>28</v>
      </c>
      <c r="H13" t="s">
        <v>5207</v>
      </c>
    </row>
    <row r="14" spans="1:9" ht="32.25" customHeight="1">
      <c r="A14" s="24" t="s">
        <v>1407</v>
      </c>
      <c r="B14" s="25" t="s">
        <v>1408</v>
      </c>
      <c r="C14" s="19" t="s">
        <v>21</v>
      </c>
      <c r="D14" s="19" t="s">
        <v>1567</v>
      </c>
      <c r="E14" s="19" t="s">
        <v>18</v>
      </c>
      <c r="F14" s="19" t="s">
        <v>1567</v>
      </c>
      <c r="G14" s="19" t="s">
        <v>1567</v>
      </c>
      <c r="H14" s="311" t="s">
        <v>5208</v>
      </c>
    </row>
    <row r="15" spans="1:9">
      <c r="A15" s="24" t="s">
        <v>1153</v>
      </c>
      <c r="B15" s="25" t="s">
        <v>1154</v>
      </c>
      <c r="C15" s="19" t="s">
        <v>17</v>
      </c>
      <c r="D15" s="19" t="s">
        <v>28</v>
      </c>
      <c r="E15" s="19" t="s">
        <v>28</v>
      </c>
      <c r="F15" s="19" t="s">
        <v>17</v>
      </c>
      <c r="G15" s="19" t="s">
        <v>28</v>
      </c>
      <c r="H15" t="s">
        <v>5209</v>
      </c>
    </row>
    <row r="16" spans="1:9">
      <c r="A16" s="24" t="s">
        <v>1409</v>
      </c>
      <c r="B16" s="25">
        <v>7</v>
      </c>
      <c r="C16" s="19" t="s">
        <v>22</v>
      </c>
      <c r="D16" s="19" t="s">
        <v>22</v>
      </c>
      <c r="E16" s="19" t="s">
        <v>22</v>
      </c>
      <c r="F16" s="19" t="s">
        <v>22</v>
      </c>
      <c r="G16" s="19" t="s">
        <v>22</v>
      </c>
      <c r="H16" t="s">
        <v>5210</v>
      </c>
    </row>
    <row r="17" spans="1:8">
      <c r="A17" s="24" t="s">
        <v>1186</v>
      </c>
      <c r="B17" s="25" t="s">
        <v>1187</v>
      </c>
      <c r="C17" s="19" t="s">
        <v>28</v>
      </c>
      <c r="D17" s="19" t="s">
        <v>28</v>
      </c>
      <c r="E17" s="19" t="s">
        <v>1567</v>
      </c>
      <c r="F17" s="19" t="s">
        <v>17</v>
      </c>
      <c r="G17" s="19" t="s">
        <v>21</v>
      </c>
      <c r="H17" t="s">
        <v>5211</v>
      </c>
    </row>
    <row r="18" spans="1:8" ht="32.25" customHeight="1">
      <c r="A18" s="24" t="s">
        <v>1044</v>
      </c>
      <c r="B18" s="25" t="s">
        <v>1410</v>
      </c>
      <c r="C18" s="19" t="s">
        <v>21</v>
      </c>
      <c r="D18" s="19" t="s">
        <v>28</v>
      </c>
      <c r="E18" s="19" t="s">
        <v>28</v>
      </c>
      <c r="F18" s="19" t="s">
        <v>21</v>
      </c>
      <c r="G18" s="19" t="s">
        <v>28</v>
      </c>
      <c r="H18" s="311" t="s">
        <v>5212</v>
      </c>
    </row>
    <row r="19" spans="1:8" ht="18.75" customHeight="1">
      <c r="A19" s="24" t="s">
        <v>1411</v>
      </c>
      <c r="B19" s="25" t="s">
        <v>1412</v>
      </c>
      <c r="C19" s="19" t="s">
        <v>1567</v>
      </c>
      <c r="D19" s="19" t="s">
        <v>18</v>
      </c>
      <c r="E19" s="19" t="s">
        <v>18</v>
      </c>
      <c r="F19" s="19" t="s">
        <v>18</v>
      </c>
      <c r="G19" s="19" t="s">
        <v>18</v>
      </c>
      <c r="H19" t="s">
        <v>5213</v>
      </c>
    </row>
    <row r="20" spans="1:8">
      <c r="A20" s="24" t="s">
        <v>1173</v>
      </c>
      <c r="B20" s="25" t="s">
        <v>1174</v>
      </c>
      <c r="C20" s="19" t="s">
        <v>28</v>
      </c>
      <c r="D20" s="19" t="s">
        <v>21</v>
      </c>
      <c r="E20" s="19" t="s">
        <v>28</v>
      </c>
      <c r="F20" s="19" t="s">
        <v>21</v>
      </c>
      <c r="G20" s="19" t="s">
        <v>21</v>
      </c>
      <c r="H20" t="s">
        <v>5214</v>
      </c>
    </row>
    <row r="21" spans="1:8">
      <c r="A21" s="24" t="s">
        <v>1413</v>
      </c>
      <c r="B21" s="25" t="s">
        <v>1414</v>
      </c>
      <c r="C21" s="19" t="s">
        <v>21</v>
      </c>
      <c r="D21" s="19" t="s">
        <v>21</v>
      </c>
      <c r="E21" s="19" t="s">
        <v>28</v>
      </c>
      <c r="F21" s="19" t="s">
        <v>28</v>
      </c>
      <c r="G21" s="19" t="s">
        <v>28</v>
      </c>
      <c r="H21" t="s">
        <v>5215</v>
      </c>
    </row>
    <row r="22" spans="1:8">
      <c r="A22" s="24" t="s">
        <v>1415</v>
      </c>
      <c r="B22" s="25" t="s">
        <v>1416</v>
      </c>
      <c r="C22" s="19" t="s">
        <v>18</v>
      </c>
      <c r="D22" s="19" t="s">
        <v>1567</v>
      </c>
      <c r="E22" s="19" t="s">
        <v>18</v>
      </c>
      <c r="F22" s="19" t="s">
        <v>18</v>
      </c>
      <c r="G22" s="19" t="s">
        <v>18</v>
      </c>
      <c r="H22" t="s">
        <v>5216</v>
      </c>
    </row>
    <row r="23" spans="1:8" ht="28.5" customHeight="1">
      <c r="A23" s="24" t="s">
        <v>1068</v>
      </c>
      <c r="B23" s="25" t="s">
        <v>726</v>
      </c>
      <c r="C23" s="19" t="s">
        <v>21</v>
      </c>
      <c r="D23" s="19" t="s">
        <v>28</v>
      </c>
      <c r="E23" s="19" t="s">
        <v>17</v>
      </c>
      <c r="F23" s="19" t="s">
        <v>28</v>
      </c>
      <c r="G23" s="19" t="s">
        <v>28</v>
      </c>
      <c r="H23" s="311" t="s">
        <v>5217</v>
      </c>
    </row>
    <row r="24" spans="1:8" ht="33.75" customHeight="1">
      <c r="A24" s="24" t="s">
        <v>1417</v>
      </c>
      <c r="B24" s="25" t="s">
        <v>1418</v>
      </c>
      <c r="C24" s="19" t="s">
        <v>21</v>
      </c>
      <c r="D24" s="19" t="s">
        <v>28</v>
      </c>
      <c r="E24" s="19" t="s">
        <v>21</v>
      </c>
      <c r="F24" s="19" t="s">
        <v>28</v>
      </c>
      <c r="G24" s="19" t="s">
        <v>21</v>
      </c>
      <c r="H24" s="311" t="s">
        <v>5218</v>
      </c>
    </row>
    <row r="25" spans="1:8">
      <c r="A25" s="24" t="s">
        <v>1419</v>
      </c>
      <c r="B25" s="25" t="s">
        <v>1420</v>
      </c>
      <c r="C25" s="19" t="s">
        <v>1567</v>
      </c>
      <c r="D25" s="19" t="s">
        <v>21</v>
      </c>
      <c r="E25" s="19" t="s">
        <v>21</v>
      </c>
      <c r="F25" s="19" t="s">
        <v>21</v>
      </c>
      <c r="G25" s="19" t="s">
        <v>21</v>
      </c>
      <c r="H25" t="s">
        <v>5219</v>
      </c>
    </row>
    <row r="26" spans="1:8" ht="36.75" customHeight="1">
      <c r="A26" s="24" t="s">
        <v>1421</v>
      </c>
      <c r="B26" s="25" t="s">
        <v>1422</v>
      </c>
      <c r="C26" s="19" t="s">
        <v>18</v>
      </c>
      <c r="D26" s="19" t="s">
        <v>18</v>
      </c>
      <c r="E26" s="19" t="s">
        <v>1567</v>
      </c>
      <c r="F26" s="19" t="s">
        <v>18</v>
      </c>
      <c r="G26" s="19" t="s">
        <v>1567</v>
      </c>
      <c r="H26" s="311" t="s">
        <v>5220</v>
      </c>
    </row>
    <row r="27" spans="1:8">
      <c r="A27" s="24" t="s">
        <v>1051</v>
      </c>
      <c r="B27" s="25" t="s">
        <v>1052</v>
      </c>
      <c r="C27" s="19" t="s">
        <v>28</v>
      </c>
      <c r="D27" s="19" t="s">
        <v>28</v>
      </c>
      <c r="E27" s="19" t="s">
        <v>17</v>
      </c>
      <c r="F27" s="19" t="s">
        <v>17</v>
      </c>
      <c r="G27" s="19" t="s">
        <v>28</v>
      </c>
      <c r="H27" t="s">
        <v>5221</v>
      </c>
    </row>
    <row r="28" spans="1:8">
      <c r="A28" s="24" t="s">
        <v>1062</v>
      </c>
      <c r="B28" s="25" t="s">
        <v>1063</v>
      </c>
      <c r="C28" s="19" t="s">
        <v>21</v>
      </c>
      <c r="D28" s="19" t="s">
        <v>1567</v>
      </c>
      <c r="E28" s="19" t="s">
        <v>21</v>
      </c>
      <c r="F28" s="19" t="s">
        <v>28</v>
      </c>
      <c r="G28" s="19" t="s">
        <v>21</v>
      </c>
      <c r="H28" t="s">
        <v>5222</v>
      </c>
    </row>
    <row r="29" spans="1:8" ht="34.5" customHeight="1">
      <c r="A29" s="24" t="s">
        <v>1423</v>
      </c>
      <c r="B29" s="25" t="s">
        <v>1424</v>
      </c>
      <c r="C29" s="19" t="s">
        <v>1567</v>
      </c>
      <c r="D29" s="19" t="s">
        <v>21</v>
      </c>
      <c r="E29" s="19" t="s">
        <v>1567</v>
      </c>
      <c r="F29" s="19" t="s">
        <v>1567</v>
      </c>
      <c r="G29" s="19" t="s">
        <v>1567</v>
      </c>
      <c r="H29" s="311" t="s">
        <v>5223</v>
      </c>
    </row>
    <row r="30" spans="1:8">
      <c r="A30" s="24" t="s">
        <v>1425</v>
      </c>
      <c r="B30" s="25" t="s">
        <v>1426</v>
      </c>
      <c r="C30" s="19" t="s">
        <v>28</v>
      </c>
      <c r="D30" s="19" t="s">
        <v>18</v>
      </c>
      <c r="E30" s="19" t="s">
        <v>1567</v>
      </c>
      <c r="F30" s="19" t="s">
        <v>1567</v>
      </c>
      <c r="G30" s="19" t="s">
        <v>21</v>
      </c>
      <c r="H30" t="s">
        <v>5224</v>
      </c>
    </row>
    <row r="31" spans="1:8" ht="38.25" customHeight="1">
      <c r="A31" s="24" t="s">
        <v>1195</v>
      </c>
      <c r="B31" s="25" t="s">
        <v>1196</v>
      </c>
      <c r="C31" s="19" t="s">
        <v>17</v>
      </c>
      <c r="D31" s="19" t="s">
        <v>17</v>
      </c>
      <c r="E31" s="19" t="s">
        <v>17</v>
      </c>
      <c r="F31" s="19" t="s">
        <v>17</v>
      </c>
      <c r="G31" s="19" t="s">
        <v>17</v>
      </c>
      <c r="H31" s="311" t="s">
        <v>5225</v>
      </c>
    </row>
    <row r="32" spans="1:8">
      <c r="A32" s="24" t="s">
        <v>1427</v>
      </c>
      <c r="B32" s="25" t="s">
        <v>1428</v>
      </c>
      <c r="C32" s="19" t="s">
        <v>28</v>
      </c>
      <c r="D32" s="19" t="s">
        <v>18</v>
      </c>
      <c r="E32" s="19" t="s">
        <v>1567</v>
      </c>
      <c r="F32" s="19" t="s">
        <v>1567</v>
      </c>
      <c r="G32" s="19" t="s">
        <v>21</v>
      </c>
      <c r="H32" t="s">
        <v>5226</v>
      </c>
    </row>
    <row r="33" spans="1:8">
      <c r="A33" s="24" t="s">
        <v>1073</v>
      </c>
      <c r="B33" s="25" t="s">
        <v>1074</v>
      </c>
      <c r="C33" s="19" t="s">
        <v>17</v>
      </c>
      <c r="D33" s="19" t="s">
        <v>17</v>
      </c>
      <c r="E33" s="19" t="s">
        <v>17</v>
      </c>
      <c r="F33" s="19" t="s">
        <v>17</v>
      </c>
      <c r="G33" s="19" t="s">
        <v>17</v>
      </c>
      <c r="H33" t="s">
        <v>2033</v>
      </c>
    </row>
    <row r="34" spans="1:8">
      <c r="A34" s="24" t="s">
        <v>1429</v>
      </c>
      <c r="B34" s="25" t="s">
        <v>1430</v>
      </c>
      <c r="C34" s="19" t="s">
        <v>1567</v>
      </c>
      <c r="D34" s="19" t="s">
        <v>1567</v>
      </c>
      <c r="E34" s="19" t="s">
        <v>21</v>
      </c>
      <c r="F34" s="19" t="s">
        <v>1567</v>
      </c>
      <c r="G34" s="19" t="s">
        <v>1567</v>
      </c>
      <c r="H34" t="s">
        <v>5227</v>
      </c>
    </row>
    <row r="35" spans="1:8">
      <c r="A35" s="24" t="s">
        <v>1190</v>
      </c>
      <c r="B35" s="25" t="s">
        <v>1191</v>
      </c>
      <c r="C35" s="19" t="s">
        <v>28</v>
      </c>
      <c r="D35" s="19" t="s">
        <v>21</v>
      </c>
      <c r="E35" s="19" t="s">
        <v>17</v>
      </c>
      <c r="F35" s="19" t="s">
        <v>17</v>
      </c>
      <c r="G35" s="19" t="s">
        <v>28</v>
      </c>
      <c r="H35" t="s">
        <v>5228</v>
      </c>
    </row>
    <row r="36" spans="1:8">
      <c r="A36" s="24" t="s">
        <v>1147</v>
      </c>
      <c r="B36" s="25" t="s">
        <v>1148</v>
      </c>
      <c r="C36" s="19" t="s">
        <v>17</v>
      </c>
      <c r="D36" s="19" t="s">
        <v>17</v>
      </c>
      <c r="E36" s="19" t="s">
        <v>17</v>
      </c>
      <c r="F36" s="19" t="s">
        <v>17</v>
      </c>
      <c r="G36" s="19" t="s">
        <v>17</v>
      </c>
      <c r="H36" t="s">
        <v>3070</v>
      </c>
    </row>
    <row r="37" spans="1:8">
      <c r="A37" s="24" t="s">
        <v>1121</v>
      </c>
      <c r="B37" s="25" t="s">
        <v>1122</v>
      </c>
      <c r="C37" s="19" t="s">
        <v>21</v>
      </c>
      <c r="D37" s="19" t="s">
        <v>21</v>
      </c>
      <c r="E37" s="19" t="s">
        <v>28</v>
      </c>
      <c r="F37" s="19" t="s">
        <v>21</v>
      </c>
      <c r="G37" s="19" t="s">
        <v>28</v>
      </c>
      <c r="H37" t="s">
        <v>5229</v>
      </c>
    </row>
    <row r="38" spans="1:8">
      <c r="A38" s="24" t="s">
        <v>1431</v>
      </c>
      <c r="B38" s="25" t="s">
        <v>1432</v>
      </c>
      <c r="C38" s="19" t="s">
        <v>28</v>
      </c>
      <c r="D38" s="19" t="s">
        <v>1567</v>
      </c>
      <c r="E38" s="19" t="s">
        <v>1567</v>
      </c>
      <c r="F38" s="19" t="s">
        <v>21</v>
      </c>
      <c r="G38" s="19" t="s">
        <v>21</v>
      </c>
      <c r="H38" t="s">
        <v>5230</v>
      </c>
    </row>
    <row r="39" spans="1:8">
      <c r="A39" s="24" t="s">
        <v>1433</v>
      </c>
      <c r="B39" s="25" t="s">
        <v>1434</v>
      </c>
      <c r="C39" s="19" t="s">
        <v>1562</v>
      </c>
      <c r="D39" s="19" t="s">
        <v>18</v>
      </c>
      <c r="E39" s="19" t="s">
        <v>18</v>
      </c>
      <c r="F39" s="19" t="s">
        <v>18</v>
      </c>
      <c r="G39" s="19" t="s">
        <v>18</v>
      </c>
      <c r="H39" t="s">
        <v>5231</v>
      </c>
    </row>
    <row r="40" spans="1:8">
      <c r="A40" s="24" t="s">
        <v>1435</v>
      </c>
      <c r="B40" s="25" t="s">
        <v>1436</v>
      </c>
      <c r="C40" s="19" t="s">
        <v>1567</v>
      </c>
      <c r="D40" s="19" t="s">
        <v>18</v>
      </c>
      <c r="E40" s="19" t="s">
        <v>1562</v>
      </c>
      <c r="F40" s="19" t="s">
        <v>18</v>
      </c>
      <c r="G40" s="19" t="s">
        <v>18</v>
      </c>
      <c r="H40" t="s">
        <v>5232</v>
      </c>
    </row>
    <row r="41" spans="1:8">
      <c r="A41" s="24" t="s">
        <v>1437</v>
      </c>
      <c r="B41" s="25" t="s">
        <v>1438</v>
      </c>
      <c r="C41" s="19" t="s">
        <v>28</v>
      </c>
      <c r="D41" s="19" t="s">
        <v>21</v>
      </c>
      <c r="E41" s="19" t="s">
        <v>28</v>
      </c>
      <c r="F41" s="19" t="s">
        <v>28</v>
      </c>
      <c r="G41" s="19" t="s">
        <v>21</v>
      </c>
      <c r="H41" t="s">
        <v>5233</v>
      </c>
    </row>
    <row r="42" spans="1:8" ht="33.75" customHeight="1">
      <c r="A42" s="24" t="s">
        <v>1206</v>
      </c>
      <c r="B42" s="25" t="s">
        <v>1207</v>
      </c>
      <c r="C42" s="19" t="s">
        <v>17</v>
      </c>
      <c r="D42" s="19" t="s">
        <v>28</v>
      </c>
      <c r="E42" s="19" t="s">
        <v>17</v>
      </c>
      <c r="F42" s="19" t="s">
        <v>28</v>
      </c>
      <c r="G42" s="19" t="s">
        <v>28</v>
      </c>
      <c r="H42" s="311" t="s">
        <v>5234</v>
      </c>
    </row>
    <row r="43" spans="1:8">
      <c r="A43" s="24" t="s">
        <v>1439</v>
      </c>
      <c r="B43" s="25" t="s">
        <v>1440</v>
      </c>
      <c r="C43" s="19" t="s">
        <v>28</v>
      </c>
      <c r="D43" s="19" t="s">
        <v>21</v>
      </c>
      <c r="E43" s="19" t="s">
        <v>21</v>
      </c>
      <c r="F43" s="19" t="s">
        <v>28</v>
      </c>
      <c r="G43" s="19" t="s">
        <v>21</v>
      </c>
      <c r="H43" t="s">
        <v>5235</v>
      </c>
    </row>
    <row r="44" spans="1:8">
      <c r="A44" s="24" t="s">
        <v>1228</v>
      </c>
      <c r="B44" s="42" t="s">
        <v>1229</v>
      </c>
      <c r="C44" s="19" t="s">
        <v>28</v>
      </c>
      <c r="D44" s="19" t="s">
        <v>17</v>
      </c>
      <c r="E44" s="19" t="s">
        <v>28</v>
      </c>
      <c r="F44" s="19" t="s">
        <v>17</v>
      </c>
      <c r="G44" s="19" t="s">
        <v>28</v>
      </c>
      <c r="H44" t="s">
        <v>5236</v>
      </c>
    </row>
    <row r="45" spans="1:8">
      <c r="A45" s="24" t="s">
        <v>1441</v>
      </c>
      <c r="B45" s="25" t="s">
        <v>1442</v>
      </c>
      <c r="C45" s="19" t="s">
        <v>21</v>
      </c>
      <c r="D45" s="19" t="s">
        <v>28</v>
      </c>
      <c r="E45" s="19" t="s">
        <v>21</v>
      </c>
      <c r="F45" s="19" t="s">
        <v>21</v>
      </c>
      <c r="G45" s="19" t="s">
        <v>28</v>
      </c>
      <c r="H45" t="s">
        <v>5237</v>
      </c>
    </row>
    <row r="46" spans="1:8">
      <c r="A46" s="24" t="s">
        <v>1163</v>
      </c>
      <c r="B46" s="43" t="s">
        <v>1164</v>
      </c>
      <c r="C46" s="19" t="s">
        <v>17</v>
      </c>
      <c r="D46" s="19" t="s">
        <v>17</v>
      </c>
      <c r="E46" s="19" t="s">
        <v>17</v>
      </c>
      <c r="F46" s="19" t="s">
        <v>17</v>
      </c>
      <c r="G46" s="19" t="s">
        <v>17</v>
      </c>
      <c r="H46" t="s">
        <v>3070</v>
      </c>
    </row>
    <row r="47" spans="1:8">
      <c r="A47" s="24" t="s">
        <v>1443</v>
      </c>
      <c r="B47" s="43" t="s">
        <v>1444</v>
      </c>
      <c r="C47" s="19" t="s">
        <v>1567</v>
      </c>
      <c r="D47" s="19" t="s">
        <v>18</v>
      </c>
      <c r="E47" s="19" t="s">
        <v>1567</v>
      </c>
      <c r="F47" s="19" t="s">
        <v>28</v>
      </c>
      <c r="G47" s="19" t="s">
        <v>21</v>
      </c>
      <c r="H47" t="s">
        <v>5238</v>
      </c>
    </row>
  </sheetData>
  <mergeCells count="1">
    <mergeCell ref="A1:I2"/>
  </mergeCells>
  <phoneticPr fontId="89" type="noConversion"/>
  <dataValidations count="1">
    <dataValidation type="list" allowBlank="1" showInputMessage="1" showErrorMessage="1" sqref="C4:G47" xr:uid="{00000000-0002-0000-2400-000000000000}">
      <formula1>"S,A+,A,B+,B,C+,C,D+,D,?,"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37</vt:i4>
      </vt:variant>
    </vt:vector>
  </HeadingPairs>
  <TitlesOfParts>
    <vt:vector size="37" baseType="lpstr">
      <vt:lpstr>模板页</vt:lpstr>
      <vt:lpstr>💥</vt:lpstr>
      <vt:lpstr>檐下猫&amp;南宫若馨Cylna.AC+部分AF</vt:lpstr>
      <vt:lpstr>下半S组纯夸感想</vt:lpstr>
      <vt:lpstr>ctce SF瞎评价</vt:lpstr>
      <vt:lpstr>枫岚聊混音</vt:lpstr>
      <vt:lpstr>imi的sc乱评</vt:lpstr>
      <vt:lpstr>乱评价</vt:lpstr>
      <vt:lpstr>アドミン.SF</vt:lpstr>
      <vt:lpstr>雷云云云.AF</vt:lpstr>
      <vt:lpstr>锐评一个a组下半场</vt:lpstr>
      <vt:lpstr>186.SC</vt:lpstr>
      <vt:lpstr>Ehu.SC</vt:lpstr>
      <vt:lpstr>。SC</vt:lpstr>
      <vt:lpstr>720 下半AF</vt:lpstr>
      <vt:lpstr>happy</vt:lpstr>
      <vt:lpstr>F组仅日语（by ld）</vt:lpstr>
      <vt:lpstr>KalonTonics AF</vt:lpstr>
      <vt:lpstr>krvspt</vt:lpstr>
      <vt:lpstr>sm乱打-AC</vt:lpstr>
      <vt:lpstr>sm乱打-SC</vt:lpstr>
      <vt:lpstr>哈弗茨~ACAFSC</vt:lpstr>
      <vt:lpstr>JFLACSCAAF</vt:lpstr>
      <vt:lpstr>X-Ray AF</vt:lpstr>
      <vt:lpstr>hs sc</vt:lpstr>
      <vt:lpstr>正言ACSC</vt:lpstr>
      <vt:lpstr>星空ACSC</vt:lpstr>
      <vt:lpstr>蓝婉111</vt:lpstr>
      <vt:lpstr>KATIKA评AF</vt:lpstr>
      <vt:lpstr>乱评</vt:lpstr>
      <vt:lpstr>李逵乱评- SF</vt:lpstr>
      <vt:lpstr>Periberry 下半A组</vt:lpstr>
      <vt:lpstr>临江 下半场SC钝评</vt:lpstr>
      <vt:lpstr>千千潜秋乱品.acf.sc</vt:lpstr>
      <vt:lpstr>品鉴下半A组和SF</vt:lpstr>
      <vt:lpstr>imi下半场sf锐评极速版</vt:lpstr>
      <vt:lpstr>备份P SF乱评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RW X.</cp:lastModifiedBy>
  <dcterms:created xsi:type="dcterms:W3CDTF">2026-03-25T20:40:23Z</dcterms:created>
  <dcterms:modified xsi:type="dcterms:W3CDTF">2026-03-25T14:29:49Z</dcterms:modified>
</cp:coreProperties>
</file>